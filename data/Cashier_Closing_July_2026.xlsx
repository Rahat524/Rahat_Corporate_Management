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p\OneDrive\Desktop\"/>
    </mc:Choice>
  </mc:AlternateContent>
  <xr:revisionPtr revIDLastSave="0" documentId="13_ncr:1_{B29572E8-5A7B-47AE-8AAF-7A975B946BA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Employee Database" sheetId="2" r:id="rId1"/>
    <sheet name="Summary" sheetId="3" r:id="rId2"/>
    <sheet name="1" sheetId="1" r:id="rId3"/>
    <sheet name="2" sheetId="4" r:id="rId4"/>
    <sheet name="3" sheetId="5" r:id="rId5"/>
    <sheet name="4" sheetId="6" r:id="rId6"/>
    <sheet name="5" sheetId="7" r:id="rId7"/>
    <sheet name="6" sheetId="8" r:id="rId8"/>
    <sheet name="7" sheetId="9" r:id="rId9"/>
    <sheet name="8" sheetId="10" r:id="rId10"/>
    <sheet name="9" sheetId="11" r:id="rId11"/>
    <sheet name="10" sheetId="12" r:id="rId12"/>
    <sheet name="11" sheetId="13" r:id="rId13"/>
    <sheet name="12" sheetId="14" r:id="rId14"/>
    <sheet name="13" sheetId="15" r:id="rId15"/>
    <sheet name="14" sheetId="16" r:id="rId16"/>
    <sheet name="15" sheetId="17" r:id="rId17"/>
    <sheet name="16" sheetId="18" r:id="rId18"/>
    <sheet name="17" sheetId="19" r:id="rId19"/>
    <sheet name="18" sheetId="20" r:id="rId20"/>
    <sheet name="19" sheetId="21" r:id="rId21"/>
    <sheet name="20" sheetId="22" r:id="rId22"/>
    <sheet name="21" sheetId="23" r:id="rId23"/>
    <sheet name="22" sheetId="24" r:id="rId24"/>
    <sheet name="23" sheetId="25" r:id="rId25"/>
    <sheet name="24" sheetId="26" r:id="rId26"/>
    <sheet name="25" sheetId="27" r:id="rId27"/>
    <sheet name="26" sheetId="28" r:id="rId28"/>
    <sheet name="27" sheetId="29" r:id="rId29"/>
    <sheet name="28" sheetId="30" r:id="rId30"/>
    <sheet name="29" sheetId="31" r:id="rId31"/>
    <sheet name="30" sheetId="32" r:id="rId32"/>
    <sheet name="31" sheetId="33" r:id="rId33"/>
  </sheets>
  <externalReferences>
    <externalReference r:id="rId34"/>
    <externalReference r:id="rId35"/>
  </externalReferences>
  <definedNames>
    <definedName name="Cost_Centers">OFFSET([1]DataSheet!$N$2,,,COUNTA([1]DataSheet!$N$2:$N$10000))</definedName>
    <definedName name="CostCenter_Description">OFFSET([1]DataSheet!$M$2,,,COUNTA([1]DataSheet!$M$2:$M$10000))</definedName>
    <definedName name="Locations">OFFSET([2]DataSheet!$D$2,,,COUNTA([2]DataSheet!$D$2:$D$1000))</definedName>
    <definedName name="User_IDs">OFFSET([2]DataSheet!$A$2,,,COUNTA([2]DataSheet!$A$2:$A$4916))</definedName>
    <definedName name="User_Name">OFFSET([2]DataSheet!$B$2,,,COUNTA([2]DataSheet!$B$2:$B$4916))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C10" i="33" l="1"/>
  <c r="AI8" i="33"/>
  <c r="AJ8" i="33"/>
  <c r="AL34" i="33"/>
  <c r="AL33" i="33"/>
  <c r="AL32" i="33"/>
  <c r="AL31" i="33"/>
  <c r="AL30" i="33"/>
  <c r="AL29" i="33"/>
  <c r="AL28" i="33"/>
  <c r="AL27" i="33"/>
  <c r="AL26" i="33"/>
  <c r="AL25" i="33"/>
  <c r="AL24" i="33"/>
  <c r="AL23" i="33"/>
  <c r="AL22" i="33"/>
  <c r="AL21" i="33"/>
  <c r="AL20" i="33"/>
  <c r="AL19" i="33"/>
  <c r="AL18" i="33"/>
  <c r="AL17" i="33"/>
  <c r="AL16" i="33"/>
  <c r="AL13" i="33"/>
  <c r="AK34" i="33"/>
  <c r="AK33" i="33"/>
  <c r="AK32" i="33"/>
  <c r="AK31" i="33"/>
  <c r="AK30" i="33"/>
  <c r="AK29" i="33"/>
  <c r="AK28" i="33"/>
  <c r="AK27" i="33"/>
  <c r="AK26" i="33"/>
  <c r="AK25" i="33"/>
  <c r="AK24" i="33"/>
  <c r="AK23" i="33"/>
  <c r="AK22" i="33"/>
  <c r="AK21" i="33"/>
  <c r="AK20" i="33"/>
  <c r="AK19" i="33"/>
  <c r="AK18" i="33"/>
  <c r="AK17" i="33"/>
  <c r="AK16" i="33"/>
  <c r="AK15" i="33"/>
  <c r="AL15" i="33" s="1"/>
  <c r="AK14" i="33"/>
  <c r="AL14" i="33" s="1"/>
  <c r="AK13" i="33"/>
  <c r="AJ12" i="33"/>
  <c r="AI12" i="33"/>
  <c r="AJ23" i="32" l="1"/>
  <c r="AI23" i="32"/>
  <c r="AK23" i="32" s="1"/>
  <c r="AL23" i="32" s="1"/>
  <c r="AJ12" i="32"/>
  <c r="AI12" i="32"/>
  <c r="AJ19" i="32"/>
  <c r="AI19" i="32"/>
  <c r="AJ24" i="32"/>
  <c r="AI24" i="32"/>
  <c r="AK24" i="32" s="1"/>
  <c r="AL24" i="32" s="1"/>
  <c r="AJ25" i="32"/>
  <c r="AI25" i="32"/>
  <c r="AJ18" i="32"/>
  <c r="AI18" i="32"/>
  <c r="AJ20" i="32"/>
  <c r="AK20" i="32"/>
  <c r="AL20" i="32" s="1"/>
  <c r="AI20" i="32"/>
  <c r="AJ22" i="32"/>
  <c r="AL34" i="32"/>
  <c r="AL33" i="32"/>
  <c r="AL32" i="32"/>
  <c r="AL31" i="32"/>
  <c r="AL30" i="32"/>
  <c r="AL29" i="32"/>
  <c r="AL28" i="32"/>
  <c r="AL27" i="32"/>
  <c r="AL26" i="32"/>
  <c r="AL21" i="32"/>
  <c r="AK33" i="32"/>
  <c r="AK32" i="32"/>
  <c r="AK31" i="32"/>
  <c r="AK30" i="32"/>
  <c r="AK29" i="32"/>
  <c r="AK28" i="32"/>
  <c r="AK27" i="32"/>
  <c r="AK26" i="32"/>
  <c r="AK25" i="32"/>
  <c r="AL25" i="32" s="1"/>
  <c r="AK22" i="32"/>
  <c r="AL22" i="32" s="1"/>
  <c r="AK21" i="32"/>
  <c r="AK19" i="32"/>
  <c r="AL19" i="32" s="1"/>
  <c r="AK18" i="32"/>
  <c r="AL18" i="32" s="1"/>
  <c r="AJ21" i="32"/>
  <c r="AJ17" i="32"/>
  <c r="AI17" i="32"/>
  <c r="AJ16" i="32"/>
  <c r="AJ13" i="32"/>
  <c r="H19" i="32"/>
  <c r="G19" i="32"/>
  <c r="H17" i="32"/>
  <c r="G17" i="32"/>
  <c r="AJ11" i="32"/>
  <c r="AJ10" i="32"/>
  <c r="AI10" i="32"/>
  <c r="D7" i="32"/>
  <c r="AJ9" i="32"/>
  <c r="C7" i="32"/>
  <c r="E7" i="32"/>
  <c r="AJ8" i="32"/>
  <c r="AJ7" i="32"/>
  <c r="AJ6" i="32"/>
  <c r="AJ5" i="32"/>
  <c r="H15" i="31"/>
  <c r="AJ23" i="31"/>
  <c r="AI23" i="31"/>
  <c r="AJ25" i="31"/>
  <c r="AI24" i="31"/>
  <c r="AJ24" i="31"/>
  <c r="AL34" i="31"/>
  <c r="AL33" i="31"/>
  <c r="AL32" i="31"/>
  <c r="AL31" i="31"/>
  <c r="AL30" i="31"/>
  <c r="AL29" i="31"/>
  <c r="AL28" i="31"/>
  <c r="AL27" i="31"/>
  <c r="AL24" i="31"/>
  <c r="AL22" i="31"/>
  <c r="AL21" i="31"/>
  <c r="AL20" i="31"/>
  <c r="AL19" i="31"/>
  <c r="AK34" i="31"/>
  <c r="AK33" i="31"/>
  <c r="AK32" i="31"/>
  <c r="AK31" i="31"/>
  <c r="AK30" i="31"/>
  <c r="AK29" i="31"/>
  <c r="AK28" i="31"/>
  <c r="AK27" i="31"/>
  <c r="AK26" i="31"/>
  <c r="AL26" i="31" s="1"/>
  <c r="AK25" i="31"/>
  <c r="AL25" i="31" s="1"/>
  <c r="AK24" i="31"/>
  <c r="AK23" i="31"/>
  <c r="AL23" i="31" s="1"/>
  <c r="AK22" i="31"/>
  <c r="AK21" i="31"/>
  <c r="AK20" i="31"/>
  <c r="AK19" i="31"/>
  <c r="AJ22" i="31"/>
  <c r="AJ20" i="31"/>
  <c r="AJ19" i="31"/>
  <c r="AJ18" i="31"/>
  <c r="AI18" i="31"/>
  <c r="AJ17" i="31"/>
  <c r="AI17" i="31"/>
  <c r="AJ16" i="31"/>
  <c r="AJ15" i="31"/>
  <c r="AJ14" i="31"/>
  <c r="AJ11" i="31"/>
  <c r="AJ10" i="31"/>
  <c r="AJ9" i="31"/>
  <c r="AJ8" i="31"/>
  <c r="AJ7" i="31"/>
  <c r="AJ6" i="31"/>
  <c r="AJ5" i="31"/>
  <c r="AJ18" i="30"/>
  <c r="AJ17" i="30"/>
  <c r="AJ20" i="30"/>
  <c r="AJ21" i="30"/>
  <c r="AJ12" i="30"/>
  <c r="AJ13" i="30"/>
  <c r="AI13" i="30"/>
  <c r="AI15" i="30"/>
  <c r="AJ15" i="30"/>
  <c r="AK15" i="30" s="1"/>
  <c r="AL15" i="30" s="1"/>
  <c r="AJ14" i="30"/>
  <c r="AI14" i="30"/>
  <c r="AJ22" i="30"/>
  <c r="AJ24" i="30"/>
  <c r="AI24" i="30"/>
  <c r="AL34" i="30"/>
  <c r="AL33" i="30"/>
  <c r="AL32" i="30"/>
  <c r="AL31" i="30"/>
  <c r="AL30" i="30"/>
  <c r="AL29" i="30"/>
  <c r="AL28" i="30"/>
  <c r="AL27" i="30"/>
  <c r="AL26" i="30"/>
  <c r="AL25" i="30"/>
  <c r="AL16" i="30"/>
  <c r="AK34" i="30"/>
  <c r="AK33" i="30"/>
  <c r="AK32" i="30"/>
  <c r="AK31" i="30"/>
  <c r="AK30" i="30"/>
  <c r="AK29" i="30"/>
  <c r="AK28" i="30"/>
  <c r="AK27" i="30"/>
  <c r="AK26" i="30"/>
  <c r="AK25" i="30"/>
  <c r="AK23" i="30"/>
  <c r="AL23" i="30" s="1"/>
  <c r="AK22" i="30"/>
  <c r="AL22" i="30" s="1"/>
  <c r="AK21" i="30"/>
  <c r="AL21" i="30" s="1"/>
  <c r="AK20" i="30"/>
  <c r="AL20" i="30" s="1"/>
  <c r="AK19" i="30"/>
  <c r="AL19" i="30" s="1"/>
  <c r="AK18" i="30"/>
  <c r="AL18" i="30" s="1"/>
  <c r="AK17" i="30"/>
  <c r="AL17" i="30" s="1"/>
  <c r="AK16" i="30"/>
  <c r="AK14" i="30"/>
  <c r="AL14" i="30" s="1"/>
  <c r="AJ16" i="30"/>
  <c r="AJ11" i="30"/>
  <c r="AJ10" i="30"/>
  <c r="AJ9" i="30"/>
  <c r="D8" i="30"/>
  <c r="C8" i="30"/>
  <c r="AJ8" i="30"/>
  <c r="AJ7" i="30"/>
  <c r="AJ6" i="30"/>
  <c r="AI6" i="30"/>
  <c r="AJ5" i="30"/>
  <c r="AJ25" i="29"/>
  <c r="AK25" i="29" s="1"/>
  <c r="AL25" i="29" s="1"/>
  <c r="AI25" i="29"/>
  <c r="AJ24" i="29"/>
  <c r="AI24" i="29"/>
  <c r="AK24" i="29" s="1"/>
  <c r="AL24" i="29" s="1"/>
  <c r="AJ23" i="29"/>
  <c r="AJ22" i="29"/>
  <c r="AI22" i="29"/>
  <c r="AK22" i="29" s="1"/>
  <c r="AL22" i="29" s="1"/>
  <c r="AJ21" i="29"/>
  <c r="AI21" i="29"/>
  <c r="AJ20" i="29"/>
  <c r="AI20" i="29"/>
  <c r="AK20" i="29" s="1"/>
  <c r="AL20" i="29" s="1"/>
  <c r="AJ19" i="29"/>
  <c r="AL34" i="29"/>
  <c r="AL33" i="29"/>
  <c r="AL32" i="29"/>
  <c r="AL31" i="29"/>
  <c r="AL30" i="29"/>
  <c r="AL29" i="29"/>
  <c r="AL28" i="29"/>
  <c r="AL27" i="29"/>
  <c r="AL26" i="29"/>
  <c r="AK34" i="29"/>
  <c r="AK33" i="29"/>
  <c r="AK32" i="29"/>
  <c r="AK31" i="29"/>
  <c r="AK30" i="29"/>
  <c r="AK29" i="29"/>
  <c r="AK28" i="29"/>
  <c r="AK27" i="29"/>
  <c r="AK26" i="29"/>
  <c r="AK23" i="29"/>
  <c r="AL23" i="29" s="1"/>
  <c r="AK19" i="29"/>
  <c r="AL19" i="29" s="1"/>
  <c r="AI19" i="29"/>
  <c r="AJ17" i="29"/>
  <c r="AJ16" i="29"/>
  <c r="AI16" i="29"/>
  <c r="AJ13" i="29"/>
  <c r="D10" i="29"/>
  <c r="C10" i="29"/>
  <c r="D7" i="29"/>
  <c r="C7" i="29"/>
  <c r="C5" i="29"/>
  <c r="C8" i="29"/>
  <c r="AK24" i="30" l="1"/>
  <c r="AL24" i="30" s="1"/>
  <c r="AK21" i="29"/>
  <c r="AL21" i="29" s="1"/>
  <c r="AJ12" i="29"/>
  <c r="AJ10" i="29"/>
  <c r="AJ9" i="29"/>
  <c r="AJ8" i="29"/>
  <c r="AJ7" i="29"/>
  <c r="AJ6" i="29"/>
  <c r="AI6" i="29"/>
  <c r="AJ5" i="29"/>
  <c r="AI5" i="29"/>
  <c r="AJ30" i="28"/>
  <c r="AI30" i="28"/>
  <c r="AK30" i="28" s="1"/>
  <c r="AL30" i="28" s="1"/>
  <c r="AJ29" i="28"/>
  <c r="AK29" i="28" s="1"/>
  <c r="AL29" i="28" s="1"/>
  <c r="AJ27" i="28"/>
  <c r="AI27" i="28"/>
  <c r="AK27" i="28" s="1"/>
  <c r="AL27" i="28" s="1"/>
  <c r="AJ26" i="28"/>
  <c r="AK26" i="28" s="1"/>
  <c r="AL26" i="28" s="1"/>
  <c r="AJ17" i="28"/>
  <c r="AI17" i="28"/>
  <c r="AJ24" i="28"/>
  <c r="L23" i="28"/>
  <c r="AJ23" i="28"/>
  <c r="AJ22" i="28"/>
  <c r="AK22" i="28" s="1"/>
  <c r="AL22" i="28" s="1"/>
  <c r="AJ21" i="28"/>
  <c r="AI21" i="28"/>
  <c r="AK21" i="28" s="1"/>
  <c r="AL21" i="28" s="1"/>
  <c r="AJ20" i="28"/>
  <c r="L19" i="28"/>
  <c r="AK34" i="28"/>
  <c r="AL34" i="28" s="1"/>
  <c r="AK33" i="28"/>
  <c r="AL33" i="28" s="1"/>
  <c r="AK32" i="28"/>
  <c r="AL32" i="28" s="1"/>
  <c r="AK31" i="28"/>
  <c r="AL31" i="28" s="1"/>
  <c r="AK28" i="28"/>
  <c r="AL28" i="28" s="1"/>
  <c r="AK25" i="28"/>
  <c r="AL25" i="28" s="1"/>
  <c r="AK24" i="28"/>
  <c r="AL24" i="28" s="1"/>
  <c r="AK23" i="28"/>
  <c r="AL23" i="28" s="1"/>
  <c r="AK20" i="28"/>
  <c r="AL20" i="28" s="1"/>
  <c r="AK19" i="28"/>
  <c r="AL19" i="28" s="1"/>
  <c r="AK18" i="28"/>
  <c r="AL18" i="28" s="1"/>
  <c r="AJ19" i="28"/>
  <c r="AJ18" i="28"/>
  <c r="AJ16" i="28"/>
  <c r="L20" i="28"/>
  <c r="K20" i="28"/>
  <c r="L21" i="28"/>
  <c r="K21" i="28"/>
  <c r="B17" i="28"/>
  <c r="AJ15" i="28"/>
  <c r="AJ8" i="28"/>
  <c r="AJ6" i="28"/>
  <c r="AJ10" i="28"/>
  <c r="AJ14" i="28"/>
  <c r="AJ9" i="28"/>
  <c r="AJ13" i="28"/>
  <c r="AJ12" i="28"/>
  <c r="AJ7" i="28"/>
  <c r="AJ11" i="28"/>
  <c r="AJ5" i="28"/>
  <c r="AJ22" i="27"/>
  <c r="AK22" i="27" s="1"/>
  <c r="AL22" i="27" s="1"/>
  <c r="AJ17" i="27"/>
  <c r="AJ18" i="27"/>
  <c r="AK18" i="27" s="1"/>
  <c r="AL18" i="27" s="1"/>
  <c r="AI18" i="27"/>
  <c r="AJ23" i="27"/>
  <c r="AJ16" i="27"/>
  <c r="AK16" i="27" s="1"/>
  <c r="AL16" i="27" s="1"/>
  <c r="AI16" i="27"/>
  <c r="AJ25" i="27"/>
  <c r="AI25" i="27"/>
  <c r="AJ21" i="27"/>
  <c r="AJ20" i="27"/>
  <c r="AJ28" i="27"/>
  <c r="AJ15" i="27"/>
  <c r="AI15" i="27"/>
  <c r="AK15" i="27" s="1"/>
  <c r="AL15" i="27" s="1"/>
  <c r="AJ27" i="27"/>
  <c r="AI27" i="27"/>
  <c r="AL34" i="27"/>
  <c r="AL33" i="27"/>
  <c r="AL32" i="27"/>
  <c r="AL31" i="27"/>
  <c r="AL30" i="27"/>
  <c r="AL29" i="27"/>
  <c r="AL14" i="27"/>
  <c r="AL13" i="27"/>
  <c r="AK34" i="27"/>
  <c r="AK33" i="27"/>
  <c r="AK32" i="27"/>
  <c r="AK31" i="27"/>
  <c r="AK30" i="27"/>
  <c r="AK29" i="27"/>
  <c r="AK28" i="27"/>
  <c r="AL28" i="27" s="1"/>
  <c r="AK27" i="27"/>
  <c r="AL27" i="27" s="1"/>
  <c r="AK26" i="27"/>
  <c r="AL26" i="27" s="1"/>
  <c r="AK25" i="27"/>
  <c r="AL25" i="27" s="1"/>
  <c r="AK24" i="27"/>
  <c r="AL24" i="27" s="1"/>
  <c r="AK23" i="27"/>
  <c r="AL23" i="27" s="1"/>
  <c r="AK21" i="27"/>
  <c r="AL21" i="27" s="1"/>
  <c r="AK20" i="27"/>
  <c r="AL20" i="27" s="1"/>
  <c r="AK19" i="27"/>
  <c r="AL19" i="27" s="1"/>
  <c r="AK17" i="27"/>
  <c r="AL17" i="27" s="1"/>
  <c r="AK14" i="27"/>
  <c r="AJ5" i="27"/>
  <c r="AJ13" i="27"/>
  <c r="AJ8" i="27"/>
  <c r="AI8" i="27"/>
  <c r="AJ9" i="27"/>
  <c r="AJ7" i="27"/>
  <c r="AJ12" i="27"/>
  <c r="AI12" i="27"/>
  <c r="AJ11" i="27"/>
  <c r="AJ10" i="27"/>
  <c r="AJ22" i="26" l="1"/>
  <c r="AK22" i="26" s="1"/>
  <c r="AL22" i="26" s="1"/>
  <c r="AI22" i="26"/>
  <c r="AJ16" i="26"/>
  <c r="AI16" i="26"/>
  <c r="AJ17" i="26"/>
  <c r="AK17" i="26" s="1"/>
  <c r="AL17" i="26" s="1"/>
  <c r="AJ21" i="26"/>
  <c r="AJ23" i="26"/>
  <c r="AI23" i="26"/>
  <c r="AJ18" i="26"/>
  <c r="AK18" i="26" s="1"/>
  <c r="AL18" i="26" s="1"/>
  <c r="AJ24" i="26"/>
  <c r="AI24" i="26"/>
  <c r="AJ25" i="26"/>
  <c r="AK25" i="26"/>
  <c r="AL25" i="26" s="1"/>
  <c r="AJ27" i="26"/>
  <c r="AK27" i="26" s="1"/>
  <c r="AL27" i="26" s="1"/>
  <c r="AJ26" i="26"/>
  <c r="AL32" i="26"/>
  <c r="AL28" i="26"/>
  <c r="AL19" i="26"/>
  <c r="AK33" i="26"/>
  <c r="AL33" i="26" s="1"/>
  <c r="AK32" i="26"/>
  <c r="AK31" i="26"/>
  <c r="AL31" i="26" s="1"/>
  <c r="AK30" i="26"/>
  <c r="AL30" i="26" s="1"/>
  <c r="AK29" i="26"/>
  <c r="AL29" i="26" s="1"/>
  <c r="AK28" i="26"/>
  <c r="AK21" i="26"/>
  <c r="AL21" i="26" s="1"/>
  <c r="AK20" i="26"/>
  <c r="AL20" i="26" s="1"/>
  <c r="AK19" i="26"/>
  <c r="AK16" i="26"/>
  <c r="AL16" i="26" s="1"/>
  <c r="AK15" i="26"/>
  <c r="AL15" i="26" s="1"/>
  <c r="AI26" i="26"/>
  <c r="AK26" i="26" l="1"/>
  <c r="AL26" i="26" s="1"/>
  <c r="AK23" i="26"/>
  <c r="AL23" i="26" s="1"/>
  <c r="AK24" i="26"/>
  <c r="AL24" i="26" s="1"/>
  <c r="AJ13" i="26"/>
  <c r="AI9" i="26"/>
  <c r="AJ9" i="26"/>
  <c r="AJ8" i="26"/>
  <c r="AI8" i="26"/>
  <c r="AJ6" i="26"/>
  <c r="AI6" i="26"/>
  <c r="AJ25" i="25" l="1"/>
  <c r="AI25" i="25"/>
  <c r="AK25" i="25" s="1"/>
  <c r="AL25" i="25" s="1"/>
  <c r="AJ24" i="25"/>
  <c r="AK24" i="25" s="1"/>
  <c r="AL24" i="25" s="1"/>
  <c r="AJ23" i="25"/>
  <c r="AI23" i="25"/>
  <c r="AJ22" i="25"/>
  <c r="AK22" i="25" s="1"/>
  <c r="AL22" i="25" s="1"/>
  <c r="AJ21" i="25"/>
  <c r="AI21" i="25"/>
  <c r="AK21" i="25" s="1"/>
  <c r="AL21" i="25" s="1"/>
  <c r="AL29" i="25"/>
  <c r="AK34" i="25"/>
  <c r="AL34" i="25" s="1"/>
  <c r="AK33" i="25"/>
  <c r="AL33" i="25" s="1"/>
  <c r="AK32" i="25"/>
  <c r="AL32" i="25" s="1"/>
  <c r="AK31" i="25"/>
  <c r="AL31" i="25" s="1"/>
  <c r="AK30" i="25"/>
  <c r="AL30" i="25" s="1"/>
  <c r="AK29" i="25"/>
  <c r="AK28" i="25"/>
  <c r="AL28" i="25" s="1"/>
  <c r="AK27" i="25"/>
  <c r="AL27" i="25" s="1"/>
  <c r="AK26" i="25"/>
  <c r="AL26" i="25" s="1"/>
  <c r="AK20" i="25"/>
  <c r="AL20" i="25" s="1"/>
  <c r="AJ19" i="25"/>
  <c r="AI19" i="25"/>
  <c r="AK19" i="25" s="1"/>
  <c r="AL19" i="25" s="1"/>
  <c r="AJ18" i="25"/>
  <c r="AJ17" i="25"/>
  <c r="AI17" i="25"/>
  <c r="AJ15" i="25"/>
  <c r="AJ14" i="25"/>
  <c r="AK23" i="25" l="1"/>
  <c r="AL23" i="25" s="1"/>
  <c r="AJ11" i="25"/>
  <c r="AJ12" i="25"/>
  <c r="AJ9" i="25"/>
  <c r="AJ8" i="25"/>
  <c r="AJ7" i="25"/>
  <c r="AJ6" i="25"/>
  <c r="AJ5" i="25"/>
  <c r="AJ13" i="24" l="1"/>
  <c r="AI13" i="24"/>
  <c r="AJ15" i="24"/>
  <c r="AK15" i="24" s="1"/>
  <c r="AL15" i="24" s="1"/>
  <c r="AJ18" i="24"/>
  <c r="AK18" i="24" s="1"/>
  <c r="AL18" i="24" s="1"/>
  <c r="AJ17" i="24"/>
  <c r="AK17" i="24" s="1"/>
  <c r="AL17" i="24" s="1"/>
  <c r="AJ26" i="24"/>
  <c r="AK26" i="24" s="1"/>
  <c r="AL26" i="24" s="1"/>
  <c r="AJ22" i="24"/>
  <c r="AI22" i="24"/>
  <c r="AK22" i="24" s="1"/>
  <c r="AL22" i="24" s="1"/>
  <c r="AJ24" i="24"/>
  <c r="AJ23" i="24"/>
  <c r="AJ25" i="24"/>
  <c r="AI25" i="24"/>
  <c r="AK25" i="24" s="1"/>
  <c r="AL25" i="24" s="1"/>
  <c r="AK34" i="24"/>
  <c r="AL34" i="24" s="1"/>
  <c r="AK33" i="24"/>
  <c r="AL33" i="24" s="1"/>
  <c r="AK32" i="24"/>
  <c r="AL32" i="24" s="1"/>
  <c r="AK31" i="24"/>
  <c r="AL31" i="24" s="1"/>
  <c r="AK30" i="24"/>
  <c r="AL30" i="24" s="1"/>
  <c r="AK29" i="24"/>
  <c r="AL29" i="24" s="1"/>
  <c r="AK28" i="24"/>
  <c r="AL28" i="24" s="1"/>
  <c r="AK27" i="24"/>
  <c r="AL27" i="24" s="1"/>
  <c r="AK24" i="24"/>
  <c r="AL24" i="24" s="1"/>
  <c r="AK23" i="24"/>
  <c r="AL23" i="24" s="1"/>
  <c r="AK21" i="24"/>
  <c r="AL21" i="24" s="1"/>
  <c r="AK20" i="24"/>
  <c r="AL20" i="24" s="1"/>
  <c r="AK19" i="24"/>
  <c r="AL19" i="24" s="1"/>
  <c r="AK16" i="24"/>
  <c r="AL16" i="24" s="1"/>
  <c r="AK14" i="24"/>
  <c r="AL14" i="24" s="1"/>
  <c r="AJ12" i="24"/>
  <c r="AJ11" i="24"/>
  <c r="AJ10" i="24"/>
  <c r="AJ9" i="24"/>
  <c r="AJ8" i="24"/>
  <c r="AJ7" i="24"/>
  <c r="AJ6" i="24"/>
  <c r="AJ5" i="24"/>
  <c r="AI25" i="23"/>
  <c r="AK25" i="23" s="1"/>
  <c r="AL25" i="23" s="1"/>
  <c r="AJ15" i="23"/>
  <c r="AI15" i="23"/>
  <c r="AJ19" i="23"/>
  <c r="AI19" i="23"/>
  <c r="AJ16" i="23"/>
  <c r="AK16" i="23" s="1"/>
  <c r="AL16" i="23" s="1"/>
  <c r="AI24" i="23"/>
  <c r="AJ22" i="23"/>
  <c r="AK22" i="23" s="1"/>
  <c r="AL22" i="23" s="1"/>
  <c r="AK34" i="23"/>
  <c r="AL34" i="23" s="1"/>
  <c r="AK33" i="23"/>
  <c r="AL33" i="23" s="1"/>
  <c r="AK32" i="23"/>
  <c r="AL32" i="23" s="1"/>
  <c r="AK31" i="23"/>
  <c r="AL31" i="23" s="1"/>
  <c r="AK30" i="23"/>
  <c r="AL30" i="23" s="1"/>
  <c r="AK29" i="23"/>
  <c r="AL29" i="23" s="1"/>
  <c r="AK28" i="23"/>
  <c r="AL28" i="23" s="1"/>
  <c r="AK27" i="23"/>
  <c r="AL27" i="23" s="1"/>
  <c r="AK26" i="23"/>
  <c r="AL26" i="23" s="1"/>
  <c r="AK24" i="23"/>
  <c r="AL24" i="23" s="1"/>
  <c r="AK23" i="23"/>
  <c r="AL23" i="23" s="1"/>
  <c r="AK21" i="23"/>
  <c r="AL21" i="23" s="1"/>
  <c r="AK18" i="23"/>
  <c r="AL18" i="23" s="1"/>
  <c r="AK17" i="23"/>
  <c r="AL17" i="23" s="1"/>
  <c r="AK14" i="23"/>
  <c r="AL14" i="23" s="1"/>
  <c r="AJ20" i="23"/>
  <c r="AK20" i="23" s="1"/>
  <c r="AL20" i="23" s="1"/>
  <c r="AJ13" i="23"/>
  <c r="AK19" i="23" l="1"/>
  <c r="AL19" i="23" s="1"/>
  <c r="AK15" i="23"/>
  <c r="AL15" i="23" s="1"/>
  <c r="AJ12" i="23"/>
  <c r="AJ11" i="23"/>
  <c r="AJ9" i="23"/>
  <c r="AJ7" i="23"/>
  <c r="AJ6" i="23"/>
  <c r="AJ5" i="23"/>
  <c r="AJ24" i="22" l="1"/>
  <c r="AI24" i="22"/>
  <c r="AJ23" i="22"/>
  <c r="AI23" i="22"/>
  <c r="AJ22" i="22"/>
  <c r="AI22" i="22"/>
  <c r="AJ21" i="22"/>
  <c r="AJ20" i="22"/>
  <c r="AI20" i="22"/>
  <c r="AJ18" i="22"/>
  <c r="AI18" i="22"/>
  <c r="AJ15" i="22"/>
  <c r="AI15" i="22"/>
  <c r="AJ14" i="22"/>
  <c r="AI14" i="22"/>
  <c r="AJ16" i="22"/>
  <c r="AJ12" i="22" l="1"/>
  <c r="AJ11" i="22"/>
  <c r="AJ10" i="22"/>
  <c r="AI10" i="22"/>
  <c r="AJ9" i="22"/>
  <c r="AJ8" i="22"/>
  <c r="AJ7" i="22"/>
  <c r="AJ6" i="22"/>
  <c r="AJ5" i="22"/>
  <c r="AJ15" i="21" l="1"/>
  <c r="AI15" i="21"/>
  <c r="AJ17" i="21"/>
  <c r="AJ18" i="21"/>
  <c r="AK18" i="21" s="1"/>
  <c r="AL18" i="21" s="1"/>
  <c r="AI22" i="21"/>
  <c r="AJ22" i="21"/>
  <c r="AK22" i="21"/>
  <c r="AL22" i="21" s="1"/>
  <c r="AJ14" i="21"/>
  <c r="AI14" i="21"/>
  <c r="AJ16" i="21"/>
  <c r="AJ19" i="21"/>
  <c r="AI19" i="21"/>
  <c r="AJ20" i="21"/>
  <c r="AI20" i="21"/>
  <c r="AI23" i="21"/>
  <c r="AJ23" i="21"/>
  <c r="AJ26" i="21"/>
  <c r="AK26" i="21" s="1"/>
  <c r="AL26" i="21" s="1"/>
  <c r="AJ28" i="21"/>
  <c r="AJ25" i="21"/>
  <c r="AK25" i="21" s="1"/>
  <c r="AL25" i="21" s="1"/>
  <c r="AK34" i="21"/>
  <c r="AL34" i="21" s="1"/>
  <c r="AK33" i="21"/>
  <c r="AL33" i="21" s="1"/>
  <c r="AK32" i="21"/>
  <c r="AL32" i="21" s="1"/>
  <c r="AK31" i="21"/>
  <c r="AL31" i="21" s="1"/>
  <c r="AK30" i="21"/>
  <c r="AL30" i="21" s="1"/>
  <c r="AK29" i="21"/>
  <c r="AL29" i="21" s="1"/>
  <c r="AK28" i="21"/>
  <c r="AL28" i="21" s="1"/>
  <c r="AK24" i="21"/>
  <c r="AL24" i="21" s="1"/>
  <c r="AK21" i="21"/>
  <c r="AL21" i="21" s="1"/>
  <c r="AJ27" i="21"/>
  <c r="AI27" i="21"/>
  <c r="AK27" i="21" l="1"/>
  <c r="AL27" i="21" s="1"/>
  <c r="AK19" i="21"/>
  <c r="AL19" i="21" s="1"/>
  <c r="AK23" i="21"/>
  <c r="AL23" i="21" s="1"/>
  <c r="AK20" i="21"/>
  <c r="AL20" i="21" s="1"/>
  <c r="AJ13" i="21" l="1"/>
  <c r="AJ12" i="21"/>
  <c r="AJ11" i="21" l="1"/>
  <c r="AI11" i="21"/>
  <c r="AJ10" i="21"/>
  <c r="AJ9" i="21"/>
  <c r="AJ8" i="21"/>
  <c r="AJ7" i="21"/>
  <c r="AJ6" i="21"/>
  <c r="AI6" i="21"/>
  <c r="AJ5" i="21" l="1"/>
  <c r="AI5" i="21"/>
  <c r="AI29" i="20" l="1"/>
  <c r="AJ28" i="20"/>
  <c r="AI28" i="20"/>
  <c r="AJ27" i="20"/>
  <c r="AI27" i="20"/>
  <c r="AJ25" i="20"/>
  <c r="AJ24" i="20"/>
  <c r="AI24" i="20"/>
  <c r="AJ22" i="20"/>
  <c r="AJ21" i="20"/>
  <c r="AI21" i="20"/>
  <c r="AJ20" i="20"/>
  <c r="AI20" i="20"/>
  <c r="AJ19" i="20"/>
  <c r="AI19" i="20"/>
  <c r="AJ17" i="20"/>
  <c r="AI17" i="20"/>
  <c r="AJ16" i="20"/>
  <c r="AJ14" i="20" l="1"/>
  <c r="AI14" i="20"/>
  <c r="AJ12" i="20"/>
  <c r="AI12" i="20"/>
  <c r="AJ11" i="20"/>
  <c r="AJ10" i="20"/>
  <c r="AJ9" i="20"/>
  <c r="AJ8" i="20"/>
  <c r="AI8" i="20"/>
  <c r="AJ7" i="20"/>
  <c r="AJ6" i="20"/>
  <c r="AJ5" i="20"/>
  <c r="AJ28" i="19" l="1"/>
  <c r="AI28" i="19"/>
  <c r="AJ16" i="19"/>
  <c r="AK16" i="19" s="1"/>
  <c r="AL16" i="19" s="1"/>
  <c r="AJ15" i="19"/>
  <c r="AI15" i="19"/>
  <c r="AJ19" i="19"/>
  <c r="AI19" i="19"/>
  <c r="AK19" i="19" s="1"/>
  <c r="AL19" i="19" s="1"/>
  <c r="AJ22" i="19"/>
  <c r="AK22" i="19" s="1"/>
  <c r="AL22" i="19" s="1"/>
  <c r="AI22" i="19"/>
  <c r="AJ25" i="19"/>
  <c r="AK25" i="19" s="1"/>
  <c r="AL25" i="19" s="1"/>
  <c r="AJ27" i="19"/>
  <c r="AI27" i="19"/>
  <c r="AK33" i="19"/>
  <c r="AL33" i="19" s="1"/>
  <c r="AK32" i="19"/>
  <c r="AL32" i="19" s="1"/>
  <c r="AK31" i="19"/>
  <c r="AL31" i="19" s="1"/>
  <c r="AK30" i="19"/>
  <c r="AL30" i="19" s="1"/>
  <c r="AK29" i="19"/>
  <c r="AL29" i="19" s="1"/>
  <c r="AK24" i="19"/>
  <c r="AL24" i="19" s="1"/>
  <c r="AK23" i="19"/>
  <c r="AL23" i="19" s="1"/>
  <c r="AK21" i="19"/>
  <c r="AL21" i="19" s="1"/>
  <c r="AK20" i="19"/>
  <c r="AL20" i="19" s="1"/>
  <c r="AK18" i="19"/>
  <c r="AL18" i="19" s="1"/>
  <c r="AK17" i="19"/>
  <c r="AL17" i="19" s="1"/>
  <c r="AJ26" i="19"/>
  <c r="AK26" i="19" s="1"/>
  <c r="AL26" i="19" s="1"/>
  <c r="AJ14" i="19"/>
  <c r="AJ13" i="19"/>
  <c r="AI13" i="19"/>
  <c r="AJ12" i="19"/>
  <c r="AK27" i="19" l="1"/>
  <c r="AL27" i="19" s="1"/>
  <c r="AK28" i="19"/>
  <c r="AL28" i="19" s="1"/>
  <c r="AJ9" i="19"/>
  <c r="AI9" i="19"/>
  <c r="AJ6" i="19"/>
  <c r="AJ5" i="19"/>
  <c r="AJ13" i="18" l="1"/>
  <c r="AI13" i="18"/>
  <c r="AJ15" i="18"/>
  <c r="AI15" i="18"/>
  <c r="AK15" i="18" s="1"/>
  <c r="AL15" i="18" s="1"/>
  <c r="AJ16" i="18"/>
  <c r="AI16" i="18"/>
  <c r="AK16" i="18" s="1"/>
  <c r="AL16" i="18" s="1"/>
  <c r="AJ17" i="18"/>
  <c r="AI17" i="18"/>
  <c r="AK17" i="18" s="1"/>
  <c r="AL17" i="18" s="1"/>
  <c r="AJ14" i="18"/>
  <c r="AI14" i="18"/>
  <c r="AK14" i="18" s="1"/>
  <c r="AL14" i="18" s="1"/>
  <c r="AJ18" i="18"/>
  <c r="AI18" i="18"/>
  <c r="AK18" i="18" s="1"/>
  <c r="AL18" i="18" s="1"/>
  <c r="AJ19" i="18"/>
  <c r="AJ20" i="18"/>
  <c r="AI20" i="18"/>
  <c r="AJ23" i="18"/>
  <c r="AK23" i="18" s="1"/>
  <c r="AL23" i="18" s="1"/>
  <c r="AI23" i="18"/>
  <c r="AJ25" i="18"/>
  <c r="AI25" i="18"/>
  <c r="AL31" i="18"/>
  <c r="AK33" i="18"/>
  <c r="AL33" i="18" s="1"/>
  <c r="AK32" i="18"/>
  <c r="AL32" i="18" s="1"/>
  <c r="AK31" i="18"/>
  <c r="AK30" i="18"/>
  <c r="AL30" i="18" s="1"/>
  <c r="AK29" i="18"/>
  <c r="AL29" i="18" s="1"/>
  <c r="AK28" i="18"/>
  <c r="AL28" i="18" s="1"/>
  <c r="AK27" i="18"/>
  <c r="AL27" i="18" s="1"/>
  <c r="AK26" i="18"/>
  <c r="AL26" i="18" s="1"/>
  <c r="AK24" i="18"/>
  <c r="AL24" i="18" s="1"/>
  <c r="AK22" i="18"/>
  <c r="AL22" i="18" s="1"/>
  <c r="AK21" i="18"/>
  <c r="AL21" i="18" s="1"/>
  <c r="AK19" i="18"/>
  <c r="AL19" i="18" s="1"/>
  <c r="AJ11" i="18"/>
  <c r="AJ10" i="18"/>
  <c r="AI10" i="18"/>
  <c r="AJ9" i="18"/>
  <c r="AI9" i="18"/>
  <c r="AK25" i="18" l="1"/>
  <c r="AL25" i="18" s="1"/>
  <c r="AK20" i="18"/>
  <c r="AL20" i="18" s="1"/>
  <c r="AJ7" i="18"/>
  <c r="AJ6" i="18"/>
  <c r="AJ5" i="18"/>
  <c r="AJ14" i="17" l="1"/>
  <c r="AJ15" i="17"/>
  <c r="AK15" i="17" s="1"/>
  <c r="AL15" i="17" s="1"/>
  <c r="AJ18" i="17"/>
  <c r="AK18" i="17" s="1"/>
  <c r="AL18" i="17" s="1"/>
  <c r="AJ13" i="17"/>
  <c r="AI13" i="17"/>
  <c r="AJ22" i="17"/>
  <c r="AI22" i="17"/>
  <c r="AJ23" i="17"/>
  <c r="AI23" i="17"/>
  <c r="AJ21" i="17"/>
  <c r="AI21" i="17"/>
  <c r="AK21" i="17" s="1"/>
  <c r="AL21" i="17" s="1"/>
  <c r="AJ24" i="17"/>
  <c r="AI24" i="17"/>
  <c r="AJ20" i="17"/>
  <c r="AI20" i="17"/>
  <c r="AK20" i="17" s="1"/>
  <c r="AL20" i="17" s="1"/>
  <c r="AK34" i="17"/>
  <c r="AL34" i="17" s="1"/>
  <c r="AK33" i="17"/>
  <c r="AL33" i="17" s="1"/>
  <c r="AK32" i="17"/>
  <c r="AL32" i="17" s="1"/>
  <c r="AK31" i="17"/>
  <c r="AL31" i="17" s="1"/>
  <c r="AK30" i="17"/>
  <c r="AL30" i="17" s="1"/>
  <c r="AK29" i="17"/>
  <c r="AL29" i="17" s="1"/>
  <c r="AK28" i="17"/>
  <c r="AL28" i="17" s="1"/>
  <c r="AK27" i="17"/>
  <c r="AL27" i="17" s="1"/>
  <c r="AK26" i="17"/>
  <c r="AL26" i="17" s="1"/>
  <c r="AK25" i="17"/>
  <c r="AL25" i="17" s="1"/>
  <c r="AK19" i="17"/>
  <c r="AL19" i="17" s="1"/>
  <c r="AK17" i="17"/>
  <c r="AL17" i="17" s="1"/>
  <c r="AK16" i="17"/>
  <c r="AL16" i="17" s="1"/>
  <c r="AK14" i="17"/>
  <c r="AL14" i="17" s="1"/>
  <c r="AK22" i="17" l="1"/>
  <c r="AL22" i="17" s="1"/>
  <c r="AK23" i="17"/>
  <c r="AL23" i="17" s="1"/>
  <c r="AK24" i="17"/>
  <c r="AL24" i="17" s="1"/>
  <c r="AJ12" i="17"/>
  <c r="AJ11" i="17"/>
  <c r="AJ10" i="17"/>
  <c r="AJ8" i="17"/>
  <c r="AJ7" i="17"/>
  <c r="AJ6" i="17"/>
  <c r="AI6" i="17"/>
  <c r="AJ5" i="17"/>
  <c r="AJ16" i="16" l="1"/>
  <c r="AK16" i="16" s="1"/>
  <c r="AL16" i="16" s="1"/>
  <c r="AJ14" i="16"/>
  <c r="AK14" i="16" s="1"/>
  <c r="AJ25" i="16"/>
  <c r="AI25" i="16"/>
  <c r="AJ18" i="16"/>
  <c r="AI18" i="16"/>
  <c r="AJ19" i="16"/>
  <c r="AI19" i="16"/>
  <c r="AJ20" i="16"/>
  <c r="AI20" i="16"/>
  <c r="AK33" i="16"/>
  <c r="AL33" i="16" s="1"/>
  <c r="AK32" i="16"/>
  <c r="AL32" i="16" s="1"/>
  <c r="AK31" i="16"/>
  <c r="AL31" i="16" s="1"/>
  <c r="AK30" i="16"/>
  <c r="AL30" i="16" s="1"/>
  <c r="AK29" i="16"/>
  <c r="AL29" i="16" s="1"/>
  <c r="AK28" i="16"/>
  <c r="AL28" i="16" s="1"/>
  <c r="AK27" i="16"/>
  <c r="AL27" i="16" s="1"/>
  <c r="AK26" i="16"/>
  <c r="AL26" i="16" s="1"/>
  <c r="AK24" i="16"/>
  <c r="AL24" i="16" s="1"/>
  <c r="AK23" i="16"/>
  <c r="AL23" i="16" s="1"/>
  <c r="AK22" i="16"/>
  <c r="AL22" i="16" s="1"/>
  <c r="AK21" i="16"/>
  <c r="AL21" i="16" s="1"/>
  <c r="AK17" i="16"/>
  <c r="AL17" i="16" s="1"/>
  <c r="AK15" i="16"/>
  <c r="AL15" i="16" s="1"/>
  <c r="AJ13" i="16"/>
  <c r="AK20" i="16" l="1"/>
  <c r="AL20" i="16" s="1"/>
  <c r="AK18" i="16"/>
  <c r="AL18" i="16" s="1"/>
  <c r="AK25" i="16"/>
  <c r="AL25" i="16" s="1"/>
  <c r="AK19" i="16"/>
  <c r="AL19" i="16" s="1"/>
  <c r="AJ8" i="16"/>
  <c r="AI8" i="16"/>
  <c r="E8" i="16"/>
  <c r="D8" i="16"/>
  <c r="C8" i="16"/>
  <c r="E7" i="16"/>
  <c r="D7" i="16"/>
  <c r="C7" i="16"/>
  <c r="AJ7" i="16"/>
  <c r="E9" i="16"/>
  <c r="D9" i="16"/>
  <c r="C9" i="16"/>
  <c r="AJ9" i="16"/>
  <c r="D5" i="16"/>
  <c r="C5" i="16"/>
  <c r="E12" i="16"/>
  <c r="D12" i="16"/>
  <c r="C12" i="16"/>
  <c r="E6" i="16"/>
  <c r="D6" i="16"/>
  <c r="C6" i="16"/>
  <c r="AJ11" i="16"/>
  <c r="AJ6" i="16"/>
  <c r="AJ10" i="16"/>
  <c r="AI10" i="16"/>
  <c r="AJ27" i="15" l="1"/>
  <c r="AK27" i="15" s="1"/>
  <c r="AL27" i="15" s="1"/>
  <c r="AJ25" i="15"/>
  <c r="AK25" i="15" s="1"/>
  <c r="AL25" i="15" s="1"/>
  <c r="AJ24" i="15"/>
  <c r="AK24" i="15" s="1"/>
  <c r="AL24" i="15" s="1"/>
  <c r="AJ23" i="15"/>
  <c r="AK23" i="15" s="1"/>
  <c r="AL23" i="15" s="1"/>
  <c r="AJ22" i="15"/>
  <c r="AI22" i="15"/>
  <c r="AJ21" i="15"/>
  <c r="AI21" i="15"/>
  <c r="AK21" i="15" s="1"/>
  <c r="AL21" i="15" s="1"/>
  <c r="AJ19" i="15"/>
  <c r="AK20" i="15"/>
  <c r="AL20" i="15" s="1"/>
  <c r="AK34" i="15"/>
  <c r="AL34" i="15" s="1"/>
  <c r="AK33" i="15"/>
  <c r="AL33" i="15" s="1"/>
  <c r="AK32" i="15"/>
  <c r="AL32" i="15" s="1"/>
  <c r="AK31" i="15"/>
  <c r="AL31" i="15" s="1"/>
  <c r="AK30" i="15"/>
  <c r="AL30" i="15" s="1"/>
  <c r="AK29" i="15"/>
  <c r="AL29" i="15" s="1"/>
  <c r="AK28" i="15"/>
  <c r="AL28" i="15" s="1"/>
  <c r="AK26" i="15"/>
  <c r="AL26" i="15" s="1"/>
  <c r="AI19" i="15"/>
  <c r="AK19" i="15" s="1"/>
  <c r="AL19" i="15" s="1"/>
  <c r="AJ18" i="15"/>
  <c r="AI18" i="15"/>
  <c r="AJ17" i="15"/>
  <c r="AJ16" i="15"/>
  <c r="AJ15" i="15"/>
  <c r="AJ14" i="15"/>
  <c r="AK22" i="15" l="1"/>
  <c r="AL22" i="15" s="1"/>
  <c r="AJ13" i="15"/>
  <c r="AJ11" i="15"/>
  <c r="AJ10" i="15"/>
  <c r="AJ9" i="15"/>
  <c r="AJ8" i="15"/>
  <c r="AK8" i="15" s="1"/>
  <c r="AJ7" i="15"/>
  <c r="AJ6" i="15"/>
  <c r="AJ5" i="15"/>
  <c r="B34" i="14" l="1"/>
  <c r="AJ34" i="14"/>
  <c r="AK34" i="14" s="1"/>
  <c r="AL34" i="14" s="1"/>
  <c r="J34" i="14"/>
  <c r="AD34" i="14"/>
  <c r="AF34" i="14" s="1"/>
  <c r="AG34" i="14" s="1"/>
  <c r="AJ35" i="14"/>
  <c r="AJ33" i="14"/>
  <c r="AI33" i="14"/>
  <c r="AJ32" i="14"/>
  <c r="AI32" i="14"/>
  <c r="AJ31" i="14"/>
  <c r="AI31" i="14"/>
  <c r="AJ29" i="14"/>
  <c r="AI29" i="14"/>
  <c r="AJ27" i="14"/>
  <c r="AJ26" i="14" l="1"/>
  <c r="AJ25" i="14"/>
  <c r="AK25" i="14" s="1"/>
  <c r="AL25" i="14" s="1"/>
  <c r="AJ24" i="14"/>
  <c r="AI24" i="14"/>
  <c r="AK24" i="14" s="1"/>
  <c r="AL24" i="14" s="1"/>
  <c r="AJ23" i="14"/>
  <c r="AI23" i="14"/>
  <c r="AK23" i="14" s="1"/>
  <c r="AL23" i="14" s="1"/>
  <c r="AJ22" i="14"/>
  <c r="AI22" i="14"/>
  <c r="AK22" i="14" s="1"/>
  <c r="AL22" i="14" s="1"/>
  <c r="AJ21" i="14"/>
  <c r="AI21" i="14"/>
  <c r="AJ20" i="14"/>
  <c r="AI20" i="14"/>
  <c r="AK20" i="14" s="1"/>
  <c r="AL20" i="14" s="1"/>
  <c r="AK35" i="14"/>
  <c r="AL35" i="14" s="1"/>
  <c r="AK33" i="14"/>
  <c r="AL33" i="14" s="1"/>
  <c r="AK32" i="14"/>
  <c r="AL32" i="14" s="1"/>
  <c r="AK31" i="14"/>
  <c r="AL31" i="14" s="1"/>
  <c r="AK30" i="14"/>
  <c r="AL30" i="14" s="1"/>
  <c r="AK29" i="14"/>
  <c r="AL29" i="14" s="1"/>
  <c r="AK28" i="14"/>
  <c r="AL28" i="14" s="1"/>
  <c r="AK27" i="14"/>
  <c r="AL27" i="14" s="1"/>
  <c r="AK26" i="14"/>
  <c r="AL26" i="14" s="1"/>
  <c r="AJ19" i="14"/>
  <c r="AI19" i="14"/>
  <c r="AJ18" i="14"/>
  <c r="AJ17" i="14"/>
  <c r="AK19" i="14" l="1"/>
  <c r="AL19" i="14" s="1"/>
  <c r="AK21" i="14"/>
  <c r="AL21" i="14" s="1"/>
  <c r="AJ16" i="14"/>
  <c r="AI16" i="14"/>
  <c r="AJ15" i="14"/>
  <c r="AI15" i="14"/>
  <c r="AJ14" i="14"/>
  <c r="AI14" i="14"/>
  <c r="AJ13" i="14"/>
  <c r="AJ12" i="14"/>
  <c r="AJ11" i="14"/>
  <c r="AJ10" i="14"/>
  <c r="AJ8" i="14"/>
  <c r="AI8" i="14"/>
  <c r="E8" i="14"/>
  <c r="D8" i="14"/>
  <c r="C8" i="14"/>
  <c r="AJ9" i="14"/>
  <c r="AI9" i="14"/>
  <c r="AJ7" i="14"/>
  <c r="AI7" i="14"/>
  <c r="AJ6" i="14"/>
  <c r="AJ5" i="14"/>
  <c r="AI5" i="14"/>
  <c r="AJ27" i="13" l="1"/>
  <c r="AI27" i="13"/>
  <c r="AJ21" i="13"/>
  <c r="AK21" i="13" s="1"/>
  <c r="AL21" i="13" s="1"/>
  <c r="AK34" i="13"/>
  <c r="AL34" i="13" s="1"/>
  <c r="AK33" i="13"/>
  <c r="AL33" i="13" s="1"/>
  <c r="AK32" i="13"/>
  <c r="AL32" i="13" s="1"/>
  <c r="AK31" i="13"/>
  <c r="AL31" i="13" s="1"/>
  <c r="AK30" i="13"/>
  <c r="AL30" i="13" s="1"/>
  <c r="AK29" i="13"/>
  <c r="AL29" i="13" s="1"/>
  <c r="AK28" i="13"/>
  <c r="AL28" i="13" s="1"/>
  <c r="AK26" i="13"/>
  <c r="AL26" i="13" s="1"/>
  <c r="AK25" i="13"/>
  <c r="AL25" i="13" s="1"/>
  <c r="AK24" i="13"/>
  <c r="AL24" i="13" s="1"/>
  <c r="AK23" i="13"/>
  <c r="AL23" i="13" s="1"/>
  <c r="AK22" i="13"/>
  <c r="AL22" i="13" s="1"/>
  <c r="AK20" i="13"/>
  <c r="AL20" i="13" s="1"/>
  <c r="AK19" i="13"/>
  <c r="AL19" i="13" s="1"/>
  <c r="AK18" i="13"/>
  <c r="AL18" i="13" s="1"/>
  <c r="AK17" i="13"/>
  <c r="AL17" i="13" s="1"/>
  <c r="AK16" i="13"/>
  <c r="AL16" i="13" s="1"/>
  <c r="AK15" i="13"/>
  <c r="AL15" i="13" s="1"/>
  <c r="AK14" i="13"/>
  <c r="AL14" i="13" s="1"/>
  <c r="AK13" i="13"/>
  <c r="AL13" i="13" s="1"/>
  <c r="AK12" i="13"/>
  <c r="AL12" i="13" s="1"/>
  <c r="AK11" i="13"/>
  <c r="AL11" i="13" s="1"/>
  <c r="AK27" i="13" l="1"/>
  <c r="AL27" i="13" s="1"/>
  <c r="D14" i="13"/>
  <c r="C14" i="13"/>
  <c r="AJ16" i="12"/>
  <c r="AJ25" i="12"/>
  <c r="AI25" i="12"/>
  <c r="AJ26" i="12"/>
  <c r="AI26" i="12"/>
  <c r="AJ23" i="12"/>
  <c r="AI23" i="12"/>
  <c r="AJ29" i="12"/>
  <c r="AJ28" i="12"/>
  <c r="AI28" i="12"/>
  <c r="AJ18" i="12"/>
  <c r="AI18" i="12"/>
  <c r="AJ15" i="12"/>
  <c r="AI15" i="12"/>
  <c r="AJ19" i="12"/>
  <c r="AK34" i="12" l="1"/>
  <c r="AK33" i="12"/>
  <c r="AL33" i="12" s="1"/>
  <c r="AK32" i="12"/>
  <c r="AK31" i="12"/>
  <c r="AK30" i="12"/>
  <c r="AK29" i="12"/>
  <c r="AL29" i="12" s="1"/>
  <c r="AK28" i="12"/>
  <c r="AL28" i="12" s="1"/>
  <c r="AK27" i="12"/>
  <c r="AL27" i="12" s="1"/>
  <c r="AK26" i="12"/>
  <c r="AL26" i="12" s="1"/>
  <c r="AK25" i="12"/>
  <c r="AL25" i="12" s="1"/>
  <c r="AK24" i="12"/>
  <c r="AL24" i="12" s="1"/>
  <c r="AK23" i="12"/>
  <c r="AL23" i="12" s="1"/>
  <c r="AK22" i="12"/>
  <c r="AL22" i="12" s="1"/>
  <c r="AK21" i="12"/>
  <c r="AK20" i="12"/>
  <c r="AL20" i="12" s="1"/>
  <c r="AK19" i="12"/>
  <c r="AL19" i="12" s="1"/>
  <c r="AK18" i="12"/>
  <c r="AL18" i="12" s="1"/>
  <c r="AL34" i="12"/>
  <c r="AL32" i="12"/>
  <c r="AL31" i="12"/>
  <c r="AL30" i="12"/>
  <c r="AL21" i="12"/>
  <c r="AL12" i="12"/>
  <c r="AJ24" i="11" l="1"/>
  <c r="AJ23" i="11"/>
  <c r="AI23" i="11"/>
  <c r="AK23" i="11" s="1"/>
  <c r="AL23" i="11" s="1"/>
  <c r="AJ22" i="11"/>
  <c r="AI22" i="11"/>
  <c r="AJ21" i="11"/>
  <c r="AK21" i="11" s="1"/>
  <c r="AL21" i="11" s="1"/>
  <c r="AJ20" i="11"/>
  <c r="AI20" i="11"/>
  <c r="AI13" i="11"/>
  <c r="AJ13" i="11"/>
  <c r="AK34" i="11"/>
  <c r="AL34" i="11" s="1"/>
  <c r="AK33" i="11"/>
  <c r="AL33" i="11" s="1"/>
  <c r="AK32" i="11"/>
  <c r="AL32" i="11" s="1"/>
  <c r="AK31" i="11"/>
  <c r="AL31" i="11" s="1"/>
  <c r="AK30" i="11"/>
  <c r="AL30" i="11" s="1"/>
  <c r="AK29" i="11"/>
  <c r="AL29" i="11" s="1"/>
  <c r="AK28" i="11"/>
  <c r="AL28" i="11" s="1"/>
  <c r="AK27" i="11"/>
  <c r="AL27" i="11" s="1"/>
  <c r="AK26" i="11"/>
  <c r="AL26" i="11" s="1"/>
  <c r="AK25" i="11"/>
  <c r="AL25" i="11" s="1"/>
  <c r="AK24" i="11"/>
  <c r="AL24" i="11" s="1"/>
  <c r="AJ16" i="11"/>
  <c r="AJ19" i="11"/>
  <c r="AI19" i="11"/>
  <c r="AI18" i="11"/>
  <c r="AJ18" i="11"/>
  <c r="AJ17" i="11"/>
  <c r="AJ15" i="11"/>
  <c r="AJ14" i="11"/>
  <c r="AI14" i="11"/>
  <c r="AJ12" i="11"/>
  <c r="AJ11" i="11"/>
  <c r="AJ10" i="11"/>
  <c r="AJ9" i="11"/>
  <c r="AI9" i="11"/>
  <c r="AJ8" i="11"/>
  <c r="AJ7" i="11"/>
  <c r="AJ6" i="11"/>
  <c r="AJ5" i="11"/>
  <c r="AK19" i="11" l="1"/>
  <c r="AL19" i="11" s="1"/>
  <c r="AK22" i="11"/>
  <c r="AL22" i="11" s="1"/>
  <c r="AK20" i="11"/>
  <c r="AL20" i="11" s="1"/>
  <c r="AJ15" i="10"/>
  <c r="AI15" i="10"/>
  <c r="AJ16" i="10"/>
  <c r="AI16" i="10"/>
  <c r="AJ18" i="10"/>
  <c r="AK18" i="10" s="1"/>
  <c r="AL18" i="10" s="1"/>
  <c r="AJ22" i="10"/>
  <c r="AI22" i="10"/>
  <c r="AJ23" i="10"/>
  <c r="AK23" i="10" s="1"/>
  <c r="AL23" i="10" s="1"/>
  <c r="AJ19" i="10"/>
  <c r="AK19" i="10" s="1"/>
  <c r="AL19" i="10" s="1"/>
  <c r="AJ20" i="10"/>
  <c r="AI20" i="10"/>
  <c r="AJ13" i="10"/>
  <c r="AI13" i="10"/>
  <c r="AJ14" i="10"/>
  <c r="AI14" i="10"/>
  <c r="AJ25" i="10"/>
  <c r="AI25" i="10"/>
  <c r="AL33" i="10"/>
  <c r="AL32" i="10"/>
  <c r="AL31" i="10"/>
  <c r="AK30" i="10"/>
  <c r="AL30" i="10" s="1"/>
  <c r="AK29" i="10"/>
  <c r="AL29" i="10" s="1"/>
  <c r="AK28" i="10"/>
  <c r="AL28" i="10" s="1"/>
  <c r="AK27" i="10"/>
  <c r="AL27" i="10" s="1"/>
  <c r="AK26" i="10"/>
  <c r="AL26" i="10" s="1"/>
  <c r="AK24" i="10"/>
  <c r="AL24" i="10" s="1"/>
  <c r="AK21" i="10"/>
  <c r="AL21" i="10" s="1"/>
  <c r="AK17" i="10"/>
  <c r="AL17" i="10" s="1"/>
  <c r="AK14" i="10" l="1"/>
  <c r="AL14" i="10" s="1"/>
  <c r="AK22" i="10"/>
  <c r="AL22" i="10" s="1"/>
  <c r="AK25" i="10"/>
  <c r="AL25" i="10" s="1"/>
  <c r="AK15" i="10"/>
  <c r="AL15" i="10" s="1"/>
  <c r="AK16" i="10"/>
  <c r="AL16" i="10" s="1"/>
  <c r="AK20" i="10"/>
  <c r="AL20" i="10" s="1"/>
  <c r="AJ12" i="10"/>
  <c r="AJ11" i="10"/>
  <c r="AJ10" i="10"/>
  <c r="AJ9" i="10"/>
  <c r="AJ8" i="10"/>
  <c r="AI8" i="10"/>
  <c r="AJ7" i="10"/>
  <c r="AI7" i="10"/>
  <c r="AJ5" i="10"/>
  <c r="AJ15" i="9" l="1"/>
  <c r="AI15" i="9"/>
  <c r="AJ16" i="9"/>
  <c r="AJ22" i="9"/>
  <c r="AJ20" i="9"/>
  <c r="AI20" i="9"/>
  <c r="AI21" i="9"/>
  <c r="AJ21" i="9"/>
  <c r="AJ18" i="9"/>
  <c r="AJ17" i="9" l="1"/>
  <c r="AI17" i="9"/>
  <c r="AJ25" i="9"/>
  <c r="AI25" i="9"/>
  <c r="AK25" i="9" s="1"/>
  <c r="AL25" i="9" s="1"/>
  <c r="AJ24" i="9"/>
  <c r="AK24" i="9" s="1"/>
  <c r="AL24" i="9" s="1"/>
  <c r="AJ14" i="9"/>
  <c r="AK34" i="9"/>
  <c r="AL34" i="9" s="1"/>
  <c r="AK33" i="9"/>
  <c r="AL33" i="9" s="1"/>
  <c r="AK32" i="9"/>
  <c r="AL32" i="9" s="1"/>
  <c r="AK31" i="9"/>
  <c r="AL31" i="9" s="1"/>
  <c r="AK30" i="9"/>
  <c r="AL30" i="9" s="1"/>
  <c r="AK29" i="9"/>
  <c r="AL29" i="9" s="1"/>
  <c r="AK28" i="9"/>
  <c r="AL28" i="9" s="1"/>
  <c r="AK27" i="9"/>
  <c r="AL27" i="9" s="1"/>
  <c r="AK26" i="9"/>
  <c r="AL26" i="9" s="1"/>
  <c r="AK23" i="9"/>
  <c r="AL23" i="9" s="1"/>
  <c r="AK22" i="9"/>
  <c r="AL22" i="9" s="1"/>
  <c r="AK21" i="9"/>
  <c r="AL21" i="9" s="1"/>
  <c r="AK20" i="9"/>
  <c r="AL20" i="9" s="1"/>
  <c r="AK19" i="9"/>
  <c r="AL19" i="9" s="1"/>
  <c r="AK18" i="9"/>
  <c r="AL18" i="9" s="1"/>
  <c r="AK16" i="9"/>
  <c r="AL16" i="9" s="1"/>
  <c r="AK15" i="9"/>
  <c r="AL15" i="9" s="1"/>
  <c r="AJ13" i="9"/>
  <c r="AI13" i="9"/>
  <c r="AJ12" i="9"/>
  <c r="AJ11" i="9"/>
  <c r="AJ21" i="8"/>
  <c r="AI21" i="8"/>
  <c r="AJ10" i="9"/>
  <c r="AJ9" i="9"/>
  <c r="AJ8" i="9"/>
  <c r="AJ7" i="9"/>
  <c r="AI6" i="9"/>
  <c r="AK17" i="9" l="1"/>
  <c r="AL17" i="9" s="1"/>
  <c r="AJ19" i="8"/>
  <c r="AK19" i="8" s="1"/>
  <c r="AL19" i="8" s="1"/>
  <c r="AK28" i="8"/>
  <c r="AL28" i="8" s="1"/>
  <c r="AK21" i="8"/>
  <c r="AL21" i="8" s="1"/>
  <c r="AJ27" i="8"/>
  <c r="AK27" i="8" s="1"/>
  <c r="AL27" i="8" s="1"/>
  <c r="AJ26" i="8"/>
  <c r="AI26" i="8"/>
  <c r="AJ25" i="8"/>
  <c r="AK25" i="8" s="1"/>
  <c r="AL25" i="8" s="1"/>
  <c r="AJ24" i="8"/>
  <c r="AK24" i="8" s="1"/>
  <c r="AL24" i="8" s="1"/>
  <c r="AJ23" i="8"/>
  <c r="AK23" i="8" s="1"/>
  <c r="AL23" i="8" s="1"/>
  <c r="AJ22" i="8"/>
  <c r="AI22" i="8"/>
  <c r="AJ20" i="8"/>
  <c r="AI20" i="8"/>
  <c r="AJ17" i="8"/>
  <c r="AJ16" i="8"/>
  <c r="AJ15" i="8"/>
  <c r="AJ14" i="8"/>
  <c r="AJ13" i="8"/>
  <c r="AJ12" i="8"/>
  <c r="AJ11" i="8"/>
  <c r="AI11" i="8"/>
  <c r="AJ10" i="8"/>
  <c r="AI10" i="8"/>
  <c r="AJ9" i="8"/>
  <c r="AJ8" i="8"/>
  <c r="AJ7" i="8"/>
  <c r="AJ6" i="8"/>
  <c r="AJ5" i="8"/>
  <c r="AK20" i="8" l="1"/>
  <c r="AL20" i="8" s="1"/>
  <c r="AK22" i="8"/>
  <c r="AL22" i="8" s="1"/>
  <c r="AK26" i="8"/>
  <c r="AL26" i="8" s="1"/>
  <c r="AJ35" i="7"/>
  <c r="AK35" i="7" s="1"/>
  <c r="AL35" i="7" s="1"/>
  <c r="AJ34" i="7"/>
  <c r="AI34" i="7"/>
  <c r="AD35" i="7"/>
  <c r="AF35" i="7" s="1"/>
  <c r="AG35" i="7" s="1"/>
  <c r="R35" i="7"/>
  <c r="N35" i="7"/>
  <c r="J35" i="7"/>
  <c r="F35" i="7"/>
  <c r="B35" i="7"/>
  <c r="AD34" i="7"/>
  <c r="AF34" i="7" s="1"/>
  <c r="AG34" i="7" s="1"/>
  <c r="R34" i="7"/>
  <c r="N34" i="7"/>
  <c r="J34" i="7"/>
  <c r="F34" i="7"/>
  <c r="B34" i="7"/>
  <c r="AJ33" i="7"/>
  <c r="AI33" i="7"/>
  <c r="AJ32" i="7"/>
  <c r="AI32" i="7"/>
  <c r="AJ30" i="7"/>
  <c r="AJ28" i="7"/>
  <c r="AJ27" i="7"/>
  <c r="AJ25" i="7"/>
  <c r="AJ24" i="7"/>
  <c r="AK34" i="7" l="1"/>
  <c r="AL34" i="7" s="1"/>
  <c r="AJ23" i="7"/>
  <c r="AI23" i="7"/>
  <c r="AJ22" i="7"/>
  <c r="AK22" i="7" s="1"/>
  <c r="AL22" i="7" s="1"/>
  <c r="AK36" i="7"/>
  <c r="AL36" i="7" s="1"/>
  <c r="AK33" i="7"/>
  <c r="AL33" i="7" s="1"/>
  <c r="AK32" i="7"/>
  <c r="AL32" i="7" s="1"/>
  <c r="AK31" i="7"/>
  <c r="AL31" i="7" s="1"/>
  <c r="AK30" i="7"/>
  <c r="AL30" i="7" s="1"/>
  <c r="AK29" i="7"/>
  <c r="AL29" i="7" s="1"/>
  <c r="AK28" i="7"/>
  <c r="AL28" i="7" s="1"/>
  <c r="AK27" i="7"/>
  <c r="AL27" i="7" s="1"/>
  <c r="AK26" i="7"/>
  <c r="AL26" i="7" s="1"/>
  <c r="AK25" i="7"/>
  <c r="AL25" i="7" s="1"/>
  <c r="AK24" i="7"/>
  <c r="AL24" i="7" s="1"/>
  <c r="AJ21" i="7"/>
  <c r="AK21" i="7" s="1"/>
  <c r="AL21" i="7" s="1"/>
  <c r="AJ20" i="7"/>
  <c r="AI20" i="7"/>
  <c r="AJ19" i="7"/>
  <c r="AI19" i="7"/>
  <c r="AJ18" i="7"/>
  <c r="AI18" i="7"/>
  <c r="AJ17" i="7"/>
  <c r="AI17" i="7"/>
  <c r="AJ16" i="7"/>
  <c r="AJ14" i="7"/>
  <c r="AJ13" i="7"/>
  <c r="AJ12" i="7"/>
  <c r="AJ11" i="7"/>
  <c r="AJ10" i="7"/>
  <c r="AJ9" i="7"/>
  <c r="AI9" i="7"/>
  <c r="AJ8" i="7"/>
  <c r="AJ7" i="7"/>
  <c r="AJ6" i="7"/>
  <c r="AI6" i="7"/>
  <c r="AK20" i="7" l="1"/>
  <c r="AL20" i="7" s="1"/>
  <c r="AK19" i="7"/>
  <c r="AL19" i="7" s="1"/>
  <c r="AK23" i="7"/>
  <c r="AL23" i="7" s="1"/>
  <c r="AJ30" i="6"/>
  <c r="AI30" i="6"/>
  <c r="AJ32" i="6"/>
  <c r="AK32" i="6" s="1"/>
  <c r="AL32" i="6" s="1"/>
  <c r="AJ23" i="6"/>
  <c r="AK23" i="6" s="1"/>
  <c r="AL23" i="6" s="1"/>
  <c r="AJ24" i="6"/>
  <c r="AK24" i="6" s="1"/>
  <c r="AL24" i="6" s="1"/>
  <c r="AJ26" i="6"/>
  <c r="AI26" i="6"/>
  <c r="AJ22" i="6"/>
  <c r="AK22" i="6" s="1"/>
  <c r="AL22" i="6" s="1"/>
  <c r="AJ27" i="6"/>
  <c r="AI27" i="6"/>
  <c r="AJ25" i="6"/>
  <c r="AK25" i="6" s="1"/>
  <c r="AL25" i="6" s="1"/>
  <c r="AJ29" i="6"/>
  <c r="AK29" i="6" s="1"/>
  <c r="AL29" i="6" s="1"/>
  <c r="AJ19" i="6"/>
  <c r="AK19" i="6" s="1"/>
  <c r="AL19" i="6" s="1"/>
  <c r="AJ28" i="6"/>
  <c r="AK28" i="6" s="1"/>
  <c r="AL28" i="6" s="1"/>
  <c r="AJ33" i="6"/>
  <c r="AI33" i="6"/>
  <c r="AJ31" i="6"/>
  <c r="AK31" i="6" s="1"/>
  <c r="AL31" i="6" s="1"/>
  <c r="AJ35" i="6"/>
  <c r="AI35" i="6"/>
  <c r="AJ34" i="6"/>
  <c r="AK34" i="6" s="1"/>
  <c r="AL34" i="6" s="1"/>
  <c r="AK20" i="6"/>
  <c r="AL20" i="6" s="1"/>
  <c r="AJ36" i="6"/>
  <c r="AK36" i="6" s="1"/>
  <c r="AL36" i="6" s="1"/>
  <c r="AJ18" i="6"/>
  <c r="AI18" i="6"/>
  <c r="AJ21" i="6"/>
  <c r="AK21" i="6" s="1"/>
  <c r="AL21" i="6" s="1"/>
  <c r="AD34" i="6"/>
  <c r="AF34" i="6" s="1"/>
  <c r="AG34" i="6" s="1"/>
  <c r="R34" i="6"/>
  <c r="N34" i="6"/>
  <c r="J34" i="6"/>
  <c r="F34" i="6"/>
  <c r="B34" i="6"/>
  <c r="AD33" i="6"/>
  <c r="AF33" i="6" s="1"/>
  <c r="AG33" i="6" s="1"/>
  <c r="R33" i="6"/>
  <c r="N33" i="6"/>
  <c r="J33" i="6"/>
  <c r="F33" i="6"/>
  <c r="B33" i="6"/>
  <c r="AK27" i="6" l="1"/>
  <c r="AL27" i="6" s="1"/>
  <c r="AK30" i="6"/>
  <c r="AL30" i="6" s="1"/>
  <c r="AK33" i="6"/>
  <c r="AL33" i="6" s="1"/>
  <c r="AK35" i="6"/>
  <c r="AL35" i="6" s="1"/>
  <c r="AK26" i="6"/>
  <c r="AL26" i="6" s="1"/>
  <c r="B5" i="5"/>
  <c r="AJ17" i="6" l="1"/>
  <c r="AJ16" i="6"/>
  <c r="AI16" i="6"/>
  <c r="AJ15" i="6"/>
  <c r="AJ14" i="6"/>
  <c r="AJ12" i="6"/>
  <c r="AJ11" i="6"/>
  <c r="AJ10" i="6"/>
  <c r="AJ9" i="6"/>
  <c r="AI9" i="6"/>
  <c r="AJ8" i="6"/>
  <c r="AJ7" i="6"/>
  <c r="AJ6" i="6"/>
  <c r="AI6" i="6"/>
  <c r="AJ5" i="6"/>
  <c r="AK34" i="5" l="1"/>
  <c r="AL34" i="5" s="1"/>
  <c r="AD34" i="5"/>
  <c r="AF34" i="5" s="1"/>
  <c r="AG34" i="5" s="1"/>
  <c r="R34" i="5"/>
  <c r="N34" i="5"/>
  <c r="J34" i="5"/>
  <c r="F34" i="5"/>
  <c r="B34" i="5"/>
  <c r="AJ27" i="5"/>
  <c r="AI27" i="5"/>
  <c r="AJ19" i="5"/>
  <c r="AK19" i="5" s="1"/>
  <c r="AL19" i="5" s="1"/>
  <c r="AJ29" i="5"/>
  <c r="AI29" i="5"/>
  <c r="AK17" i="5"/>
  <c r="AJ32" i="5"/>
  <c r="AJ25" i="5"/>
  <c r="AK25" i="5" s="1"/>
  <c r="AL25" i="5" s="1"/>
  <c r="AJ21" i="5"/>
  <c r="AK21" i="5" s="1"/>
  <c r="AL21" i="5" s="1"/>
  <c r="AJ33" i="5"/>
  <c r="AK33" i="5" s="1"/>
  <c r="AL33" i="5" s="1"/>
  <c r="AJ28" i="5"/>
  <c r="AK28" i="5" s="1"/>
  <c r="AL28" i="5" s="1"/>
  <c r="AJ23" i="5"/>
  <c r="AI23" i="5"/>
  <c r="AK35" i="5"/>
  <c r="AL35" i="5" s="1"/>
  <c r="AK32" i="5"/>
  <c r="AL32" i="5" s="1"/>
  <c r="AK31" i="5"/>
  <c r="AL31" i="5" s="1"/>
  <c r="AK30" i="5"/>
  <c r="AL30" i="5" s="1"/>
  <c r="AK26" i="5"/>
  <c r="AL26" i="5" s="1"/>
  <c r="AK24" i="5"/>
  <c r="AL24" i="5" s="1"/>
  <c r="AK22" i="5"/>
  <c r="AL22" i="5" s="1"/>
  <c r="AK20" i="5"/>
  <c r="AL20" i="5" s="1"/>
  <c r="AK18" i="5"/>
  <c r="AJ22" i="1"/>
  <c r="AI22" i="1"/>
  <c r="AK23" i="5" l="1"/>
  <c r="AL23" i="5" s="1"/>
  <c r="AK29" i="5"/>
  <c r="AL29" i="5" s="1"/>
  <c r="AK27" i="5"/>
  <c r="AL27" i="5" s="1"/>
  <c r="AI7" i="5"/>
  <c r="AJ7" i="5"/>
  <c r="AJ22" i="4" l="1"/>
  <c r="AI22" i="4"/>
  <c r="AJ17" i="4"/>
  <c r="AI17" i="4"/>
  <c r="AJ23" i="4"/>
  <c r="AK23" i="4" s="1"/>
  <c r="AL23" i="4" s="1"/>
  <c r="AJ14" i="4"/>
  <c r="AJ18" i="4"/>
  <c r="AK19" i="4"/>
  <c r="AL19" i="4" s="1"/>
  <c r="AK20" i="4"/>
  <c r="AL20" i="4" s="1"/>
  <c r="AK21" i="4"/>
  <c r="AL21" i="4" s="1"/>
  <c r="AK25" i="4"/>
  <c r="AL25" i="4" s="1"/>
  <c r="AK27" i="4"/>
  <c r="AL27" i="4" s="1"/>
  <c r="AK29" i="4"/>
  <c r="AL29" i="4" s="1"/>
  <c r="AK30" i="4"/>
  <c r="AL30" i="4" s="1"/>
  <c r="AK31" i="4"/>
  <c r="AL31" i="4" s="1"/>
  <c r="AK32" i="4"/>
  <c r="AL32" i="4" s="1"/>
  <c r="AK33" i="4"/>
  <c r="AL33" i="4" s="1"/>
  <c r="AK34" i="4"/>
  <c r="AL34" i="4" s="1"/>
  <c r="AK25" i="1"/>
  <c r="AL25" i="1" s="1"/>
  <c r="AK29" i="1"/>
  <c r="AL29" i="1" s="1"/>
  <c r="AK30" i="1"/>
  <c r="AL30" i="1" s="1"/>
  <c r="AK31" i="1"/>
  <c r="AL31" i="1" s="1"/>
  <c r="AK32" i="1"/>
  <c r="AL32" i="1" s="1"/>
  <c r="AK33" i="1"/>
  <c r="AL33" i="1" s="1"/>
  <c r="AK34" i="1"/>
  <c r="AL34" i="1" s="1"/>
  <c r="AJ24" i="4"/>
  <c r="AI24" i="4"/>
  <c r="AJ28" i="4"/>
  <c r="AK28" i="4" s="1"/>
  <c r="AL28" i="4" s="1"/>
  <c r="AJ26" i="4"/>
  <c r="AK26" i="4" s="1"/>
  <c r="AL26" i="4" s="1"/>
  <c r="AK22" i="4" l="1"/>
  <c r="AL22" i="4" s="1"/>
  <c r="AK24" i="4"/>
  <c r="AL24" i="4" s="1"/>
  <c r="AJ12" i="4"/>
  <c r="AI12" i="4"/>
  <c r="AJ11" i="4"/>
  <c r="AJ10" i="4"/>
  <c r="AJ9" i="4"/>
  <c r="AI9" i="4"/>
  <c r="AJ8" i="4"/>
  <c r="AJ6" i="4"/>
  <c r="AJ5" i="4" l="1"/>
  <c r="AJ17" i="1"/>
  <c r="AK22" i="1"/>
  <c r="AL22" i="1" s="1"/>
  <c r="AJ23" i="1"/>
  <c r="AI23" i="1"/>
  <c r="AJ20" i="1"/>
  <c r="AK20" i="1" s="1"/>
  <c r="AL20" i="1" s="1"/>
  <c r="AJ16" i="1"/>
  <c r="AJ21" i="1"/>
  <c r="AK21" i="1" s="1"/>
  <c r="AL21" i="1" s="1"/>
  <c r="AJ15" i="1"/>
  <c r="AI15" i="1"/>
  <c r="AJ24" i="1"/>
  <c r="AK24" i="1" s="1"/>
  <c r="AL24" i="1" s="1"/>
  <c r="AJ26" i="1"/>
  <c r="AI26" i="1"/>
  <c r="AJ28" i="1"/>
  <c r="AK28" i="1" s="1"/>
  <c r="AL28" i="1" s="1"/>
  <c r="AJ27" i="1"/>
  <c r="AK27" i="1" s="1"/>
  <c r="AL27" i="1" s="1"/>
  <c r="AJ19" i="1"/>
  <c r="AI19" i="1"/>
  <c r="AK19" i="1" l="1"/>
  <c r="AL19" i="1" s="1"/>
  <c r="AK26" i="1"/>
  <c r="AL26" i="1" s="1"/>
  <c r="AK23" i="1"/>
  <c r="AL23" i="1" s="1"/>
  <c r="AJ13" i="1"/>
  <c r="AI13" i="1"/>
  <c r="AJ12" i="1"/>
  <c r="AJ11" i="1"/>
  <c r="AI11" i="1"/>
  <c r="AJ9" i="1"/>
  <c r="AI9" i="1"/>
  <c r="AJ8" i="1"/>
  <c r="AJ7" i="1"/>
  <c r="AJ6" i="1"/>
  <c r="AJ5" i="1"/>
  <c r="AM35" i="33" l="1"/>
  <c r="AJ35" i="33"/>
  <c r="AI35" i="33"/>
  <c r="AE35" i="33"/>
  <c r="AC35" i="33"/>
  <c r="AB35" i="33"/>
  <c r="AA35" i="33"/>
  <c r="Z35" i="33"/>
  <c r="Y35" i="33"/>
  <c r="X35" i="33"/>
  <c r="W35" i="33"/>
  <c r="V35" i="33"/>
  <c r="U35" i="33"/>
  <c r="T35" i="33"/>
  <c r="S35" i="33"/>
  <c r="Q35" i="33"/>
  <c r="P35" i="33"/>
  <c r="O35" i="33"/>
  <c r="M35" i="33"/>
  <c r="L35" i="33"/>
  <c r="K35" i="33"/>
  <c r="I35" i="33"/>
  <c r="H35" i="33"/>
  <c r="G35" i="33"/>
  <c r="E35" i="33"/>
  <c r="D35" i="33"/>
  <c r="C35" i="33"/>
  <c r="AF34" i="33"/>
  <c r="AG34" i="33" s="1"/>
  <c r="AD34" i="33"/>
  <c r="R34" i="33"/>
  <c r="N34" i="33"/>
  <c r="J34" i="33"/>
  <c r="F34" i="33"/>
  <c r="B34" i="33"/>
  <c r="AF33" i="33"/>
  <c r="AG33" i="33" s="1"/>
  <c r="AD33" i="33"/>
  <c r="R33" i="33"/>
  <c r="N33" i="33"/>
  <c r="J33" i="33"/>
  <c r="F33" i="33"/>
  <c r="B33" i="33"/>
  <c r="AF32" i="33"/>
  <c r="AG32" i="33" s="1"/>
  <c r="AD32" i="33"/>
  <c r="R32" i="33"/>
  <c r="N32" i="33"/>
  <c r="J32" i="33"/>
  <c r="F32" i="33"/>
  <c r="B32" i="33"/>
  <c r="AF31" i="33"/>
  <c r="AG31" i="33" s="1"/>
  <c r="AD31" i="33"/>
  <c r="R31" i="33"/>
  <c r="N31" i="33"/>
  <c r="J31" i="33"/>
  <c r="F31" i="33"/>
  <c r="B31" i="33"/>
  <c r="AF30" i="33"/>
  <c r="AG30" i="33" s="1"/>
  <c r="AD30" i="33"/>
  <c r="R30" i="33"/>
  <c r="N30" i="33"/>
  <c r="J30" i="33"/>
  <c r="F30" i="33"/>
  <c r="B30" i="33"/>
  <c r="AF29" i="33"/>
  <c r="AG29" i="33" s="1"/>
  <c r="AD29" i="33"/>
  <c r="R29" i="33"/>
  <c r="N29" i="33"/>
  <c r="J29" i="33"/>
  <c r="F29" i="33"/>
  <c r="B29" i="33"/>
  <c r="AF28" i="33"/>
  <c r="AG28" i="33" s="1"/>
  <c r="AD28" i="33"/>
  <c r="R28" i="33"/>
  <c r="N28" i="33"/>
  <c r="J28" i="33"/>
  <c r="F28" i="33"/>
  <c r="B28" i="33"/>
  <c r="AF27" i="33"/>
  <c r="AG27" i="33" s="1"/>
  <c r="AD27" i="33"/>
  <c r="R27" i="33"/>
  <c r="N27" i="33"/>
  <c r="J27" i="33"/>
  <c r="F27" i="33"/>
  <c r="B27" i="33"/>
  <c r="AF26" i="33"/>
  <c r="AG26" i="33" s="1"/>
  <c r="AD26" i="33"/>
  <c r="R26" i="33"/>
  <c r="N26" i="33"/>
  <c r="J26" i="33"/>
  <c r="F26" i="33"/>
  <c r="B26" i="33"/>
  <c r="AF25" i="33"/>
  <c r="AG25" i="33" s="1"/>
  <c r="AD25" i="33"/>
  <c r="R25" i="33"/>
  <c r="N25" i="33"/>
  <c r="J25" i="33"/>
  <c r="F25" i="33"/>
  <c r="B25" i="33"/>
  <c r="AF24" i="33"/>
  <c r="AG24" i="33" s="1"/>
  <c r="AD24" i="33"/>
  <c r="R24" i="33"/>
  <c r="N24" i="33"/>
  <c r="J24" i="33"/>
  <c r="F24" i="33"/>
  <c r="B24" i="33"/>
  <c r="AF23" i="33"/>
  <c r="AG23" i="33" s="1"/>
  <c r="AD23" i="33"/>
  <c r="R23" i="33"/>
  <c r="N23" i="33"/>
  <c r="J23" i="33"/>
  <c r="F23" i="33"/>
  <c r="B23" i="33"/>
  <c r="AF22" i="33"/>
  <c r="AG22" i="33" s="1"/>
  <c r="AD22" i="33"/>
  <c r="R22" i="33"/>
  <c r="N22" i="33"/>
  <c r="J22" i="33"/>
  <c r="F22" i="33"/>
  <c r="B22" i="33"/>
  <c r="AF21" i="33"/>
  <c r="AG21" i="33" s="1"/>
  <c r="AD21" i="33"/>
  <c r="R21" i="33"/>
  <c r="N21" i="33"/>
  <c r="J21" i="33"/>
  <c r="F21" i="33"/>
  <c r="B21" i="33"/>
  <c r="AF20" i="33"/>
  <c r="AG20" i="33" s="1"/>
  <c r="AD20" i="33"/>
  <c r="R20" i="33"/>
  <c r="N20" i="33"/>
  <c r="J20" i="33"/>
  <c r="F20" i="33"/>
  <c r="B20" i="33"/>
  <c r="AF19" i="33"/>
  <c r="AG19" i="33" s="1"/>
  <c r="AD19" i="33"/>
  <c r="R19" i="33"/>
  <c r="N19" i="33"/>
  <c r="J19" i="33"/>
  <c r="F19" i="33"/>
  <c r="B19" i="33"/>
  <c r="AF18" i="33"/>
  <c r="AG18" i="33" s="1"/>
  <c r="AD18" i="33"/>
  <c r="R18" i="33"/>
  <c r="N18" i="33"/>
  <c r="J18" i="33"/>
  <c r="F18" i="33"/>
  <c r="B18" i="33"/>
  <c r="AF17" i="33"/>
  <c r="AG17" i="33" s="1"/>
  <c r="AD17" i="33"/>
  <c r="R17" i="33"/>
  <c r="N17" i="33"/>
  <c r="J17" i="33"/>
  <c r="F17" i="33"/>
  <c r="B17" i="33"/>
  <c r="AF16" i="33"/>
  <c r="AG16" i="33" s="1"/>
  <c r="AD16" i="33"/>
  <c r="R16" i="33"/>
  <c r="N16" i="33"/>
  <c r="J16" i="33"/>
  <c r="F16" i="33"/>
  <c r="B16" i="33"/>
  <c r="AF15" i="33"/>
  <c r="AG15" i="33" s="1"/>
  <c r="AD15" i="33"/>
  <c r="R15" i="33"/>
  <c r="N15" i="33"/>
  <c r="J15" i="33"/>
  <c r="F15" i="33"/>
  <c r="B15" i="33"/>
  <c r="AF14" i="33"/>
  <c r="AG14" i="33" s="1"/>
  <c r="AD14" i="33"/>
  <c r="R14" i="33"/>
  <c r="N14" i="33"/>
  <c r="J14" i="33"/>
  <c r="F14" i="33"/>
  <c r="B14" i="33"/>
  <c r="AD13" i="33"/>
  <c r="AF13" i="33" s="1"/>
  <c r="AG13" i="33" s="1"/>
  <c r="R13" i="33"/>
  <c r="N13" i="33"/>
  <c r="J13" i="33"/>
  <c r="F13" i="33"/>
  <c r="B13" i="33"/>
  <c r="AK12" i="33"/>
  <c r="AL12" i="33" s="1"/>
  <c r="AD12" i="33"/>
  <c r="AF12" i="33" s="1"/>
  <c r="AG12" i="33" s="1"/>
  <c r="R12" i="33"/>
  <c r="N12" i="33"/>
  <c r="J12" i="33"/>
  <c r="F12" i="33"/>
  <c r="B12" i="33"/>
  <c r="AK11" i="33"/>
  <c r="AL11" i="33" s="1"/>
  <c r="AD11" i="33"/>
  <c r="AF11" i="33" s="1"/>
  <c r="AG11" i="33" s="1"/>
  <c r="R11" i="33"/>
  <c r="N11" i="33"/>
  <c r="J11" i="33"/>
  <c r="F11" i="33"/>
  <c r="B11" i="33"/>
  <c r="AK10" i="33"/>
  <c r="AL10" i="33" s="1"/>
  <c r="AF10" i="33"/>
  <c r="AG10" i="33" s="1"/>
  <c r="AD10" i="33"/>
  <c r="R10" i="33"/>
  <c r="N10" i="33"/>
  <c r="J10" i="33"/>
  <c r="F10" i="33"/>
  <c r="B10" i="33"/>
  <c r="AK9" i="33"/>
  <c r="AL9" i="33" s="1"/>
  <c r="AD9" i="33"/>
  <c r="AF9" i="33" s="1"/>
  <c r="AG9" i="33" s="1"/>
  <c r="R9" i="33"/>
  <c r="N9" i="33"/>
  <c r="J9" i="33"/>
  <c r="F9" i="33"/>
  <c r="B9" i="33"/>
  <c r="AK8" i="33"/>
  <c r="AL8" i="33" s="1"/>
  <c r="AD8" i="33"/>
  <c r="AF8" i="33" s="1"/>
  <c r="AG8" i="33" s="1"/>
  <c r="R8" i="33"/>
  <c r="N8" i="33"/>
  <c r="J8" i="33"/>
  <c r="F8" i="33"/>
  <c r="B8" i="33"/>
  <c r="AK7" i="33"/>
  <c r="AL7" i="33" s="1"/>
  <c r="AD7" i="33"/>
  <c r="AF7" i="33" s="1"/>
  <c r="AG7" i="33" s="1"/>
  <c r="R7" i="33"/>
  <c r="N7" i="33"/>
  <c r="J7" i="33"/>
  <c r="F7" i="33"/>
  <c r="B7" i="33"/>
  <c r="AK6" i="33"/>
  <c r="AL6" i="33" s="1"/>
  <c r="AD6" i="33"/>
  <c r="AF6" i="33" s="1"/>
  <c r="AG6" i="33" s="1"/>
  <c r="R6" i="33"/>
  <c r="N6" i="33"/>
  <c r="J6" i="33"/>
  <c r="F6" i="33"/>
  <c r="B6" i="33"/>
  <c r="AK5" i="33"/>
  <c r="AL5" i="33" s="1"/>
  <c r="AD5" i="33"/>
  <c r="AF5" i="33" s="1"/>
  <c r="R5" i="33"/>
  <c r="N5" i="33"/>
  <c r="J5" i="33"/>
  <c r="F5" i="33"/>
  <c r="B5" i="33"/>
  <c r="AM35" i="32"/>
  <c r="AJ35" i="32"/>
  <c r="AI35" i="32"/>
  <c r="AE35" i="32"/>
  <c r="AC35" i="32"/>
  <c r="AB35" i="32"/>
  <c r="AA35" i="32"/>
  <c r="Z35" i="32"/>
  <c r="Y35" i="32"/>
  <c r="X35" i="32"/>
  <c r="W35" i="32"/>
  <c r="V35" i="32"/>
  <c r="U35" i="32"/>
  <c r="T35" i="32"/>
  <c r="S35" i="32"/>
  <c r="Q35" i="32"/>
  <c r="P35" i="32"/>
  <c r="O35" i="32"/>
  <c r="M35" i="32"/>
  <c r="L35" i="32"/>
  <c r="K35" i="32"/>
  <c r="I35" i="32"/>
  <c r="H35" i="32"/>
  <c r="G35" i="32"/>
  <c r="E35" i="32"/>
  <c r="D35" i="32"/>
  <c r="C35" i="32"/>
  <c r="AF34" i="32"/>
  <c r="AG34" i="32" s="1"/>
  <c r="AD34" i="32"/>
  <c r="R34" i="32"/>
  <c r="N34" i="32"/>
  <c r="J34" i="32"/>
  <c r="F34" i="32"/>
  <c r="B34" i="32"/>
  <c r="AF33" i="32"/>
  <c r="AG33" i="32" s="1"/>
  <c r="AD33" i="32"/>
  <c r="R33" i="32"/>
  <c r="N33" i="32"/>
  <c r="J33" i="32"/>
  <c r="F33" i="32"/>
  <c r="B33" i="32"/>
  <c r="AF32" i="32"/>
  <c r="AG32" i="32" s="1"/>
  <c r="AD32" i="32"/>
  <c r="R32" i="32"/>
  <c r="N32" i="32"/>
  <c r="J32" i="32"/>
  <c r="F32" i="32"/>
  <c r="B32" i="32"/>
  <c r="AF31" i="32"/>
  <c r="AG31" i="32" s="1"/>
  <c r="AD31" i="32"/>
  <c r="R31" i="32"/>
  <c r="N31" i="32"/>
  <c r="J31" i="32"/>
  <c r="F31" i="32"/>
  <c r="B31" i="32"/>
  <c r="AF30" i="32"/>
  <c r="AG30" i="32" s="1"/>
  <c r="AD30" i="32"/>
  <c r="R30" i="32"/>
  <c r="N30" i="32"/>
  <c r="J30" i="32"/>
  <c r="F30" i="32"/>
  <c r="B30" i="32"/>
  <c r="AF29" i="32"/>
  <c r="AG29" i="32" s="1"/>
  <c r="AD29" i="32"/>
  <c r="R29" i="32"/>
  <c r="N29" i="32"/>
  <c r="J29" i="32"/>
  <c r="F29" i="32"/>
  <c r="B29" i="32"/>
  <c r="AF28" i="32"/>
  <c r="AG28" i="32" s="1"/>
  <c r="AD28" i="32"/>
  <c r="R28" i="32"/>
  <c r="N28" i="32"/>
  <c r="J28" i="32"/>
  <c r="F28" i="32"/>
  <c r="B28" i="32"/>
  <c r="AF27" i="32"/>
  <c r="AG27" i="32" s="1"/>
  <c r="AD27" i="32"/>
  <c r="R27" i="32"/>
  <c r="N27" i="32"/>
  <c r="J27" i="32"/>
  <c r="F27" i="32"/>
  <c r="B27" i="32"/>
  <c r="AF26" i="32"/>
  <c r="AG26" i="32" s="1"/>
  <c r="AD26" i="32"/>
  <c r="R26" i="32"/>
  <c r="N26" i="32"/>
  <c r="J26" i="32"/>
  <c r="F26" i="32"/>
  <c r="B26" i="32"/>
  <c r="AD25" i="32"/>
  <c r="AF25" i="32" s="1"/>
  <c r="AG25" i="32" s="1"/>
  <c r="R25" i="32"/>
  <c r="N25" i="32"/>
  <c r="J25" i="32"/>
  <c r="F25" i="32"/>
  <c r="B25" i="32"/>
  <c r="AF24" i="32"/>
  <c r="AG24" i="32" s="1"/>
  <c r="AD24" i="32"/>
  <c r="R24" i="32"/>
  <c r="N24" i="32"/>
  <c r="J24" i="32"/>
  <c r="F24" i="32"/>
  <c r="B24" i="32"/>
  <c r="AD23" i="32"/>
  <c r="AF23" i="32" s="1"/>
  <c r="AG23" i="32" s="1"/>
  <c r="R23" i="32"/>
  <c r="N23" i="32"/>
  <c r="J23" i="32"/>
  <c r="F23" i="32"/>
  <c r="B23" i="32"/>
  <c r="AD22" i="32"/>
  <c r="AF22" i="32" s="1"/>
  <c r="AG22" i="32" s="1"/>
  <c r="R22" i="32"/>
  <c r="N22" i="32"/>
  <c r="J22" i="32"/>
  <c r="F22" i="32"/>
  <c r="B22" i="32"/>
  <c r="AF21" i="32"/>
  <c r="AG21" i="32" s="1"/>
  <c r="AD21" i="32"/>
  <c r="R21" i="32"/>
  <c r="N21" i="32"/>
  <c r="J21" i="32"/>
  <c r="F21" i="32"/>
  <c r="B21" i="32"/>
  <c r="AF20" i="32"/>
  <c r="AG20" i="32" s="1"/>
  <c r="AD20" i="32"/>
  <c r="R20" i="32"/>
  <c r="N20" i="32"/>
  <c r="J20" i="32"/>
  <c r="F20" i="32"/>
  <c r="B20" i="32"/>
  <c r="AF19" i="32"/>
  <c r="AG19" i="32" s="1"/>
  <c r="AD19" i="32"/>
  <c r="R19" i="32"/>
  <c r="N19" i="32"/>
  <c r="J19" i="32"/>
  <c r="F19" i="32"/>
  <c r="B19" i="32"/>
  <c r="AD18" i="32"/>
  <c r="AF18" i="32" s="1"/>
  <c r="AG18" i="32" s="1"/>
  <c r="R18" i="32"/>
  <c r="N18" i="32"/>
  <c r="J18" i="32"/>
  <c r="F18" i="32"/>
  <c r="B18" i="32"/>
  <c r="AK17" i="32"/>
  <c r="AL17" i="32" s="1"/>
  <c r="AF17" i="32"/>
  <c r="AG17" i="32" s="1"/>
  <c r="AD17" i="32"/>
  <c r="R17" i="32"/>
  <c r="N17" i="32"/>
  <c r="J17" i="32"/>
  <c r="F17" i="32"/>
  <c r="B17" i="32"/>
  <c r="AK16" i="32"/>
  <c r="AL16" i="32" s="1"/>
  <c r="AF16" i="32"/>
  <c r="AG16" i="32" s="1"/>
  <c r="AD16" i="32"/>
  <c r="R16" i="32"/>
  <c r="N16" i="32"/>
  <c r="J16" i="32"/>
  <c r="F16" i="32"/>
  <c r="B16" i="32"/>
  <c r="AK15" i="32"/>
  <c r="AL15" i="32" s="1"/>
  <c r="AF15" i="32"/>
  <c r="AG15" i="32" s="1"/>
  <c r="AD15" i="32"/>
  <c r="R15" i="32"/>
  <c r="N15" i="32"/>
  <c r="J15" i="32"/>
  <c r="F15" i="32"/>
  <c r="B15" i="32"/>
  <c r="AK14" i="32"/>
  <c r="AL14" i="32" s="1"/>
  <c r="AF14" i="32"/>
  <c r="AG14" i="32" s="1"/>
  <c r="AD14" i="32"/>
  <c r="R14" i="32"/>
  <c r="N14" i="32"/>
  <c r="J14" i="32"/>
  <c r="F14" i="32"/>
  <c r="B14" i="32"/>
  <c r="AK13" i="32"/>
  <c r="AL13" i="32" s="1"/>
  <c r="AD13" i="32"/>
  <c r="AF13" i="32" s="1"/>
  <c r="AG13" i="32" s="1"/>
  <c r="R13" i="32"/>
  <c r="N13" i="32"/>
  <c r="J13" i="32"/>
  <c r="F13" i="32"/>
  <c r="B13" i="32"/>
  <c r="AK12" i="32"/>
  <c r="AL12" i="32" s="1"/>
  <c r="AF12" i="32"/>
  <c r="AG12" i="32" s="1"/>
  <c r="AD12" i="32"/>
  <c r="R12" i="32"/>
  <c r="N12" i="32"/>
  <c r="J12" i="32"/>
  <c r="F12" i="32"/>
  <c r="B12" i="32"/>
  <c r="AK11" i="32"/>
  <c r="AL11" i="32" s="1"/>
  <c r="AD11" i="32"/>
  <c r="AF11" i="32" s="1"/>
  <c r="AG11" i="32" s="1"/>
  <c r="R11" i="32"/>
  <c r="N11" i="32"/>
  <c r="J11" i="32"/>
  <c r="F11" i="32"/>
  <c r="B11" i="32"/>
  <c r="AK10" i="32"/>
  <c r="AL10" i="32" s="1"/>
  <c r="AF10" i="32"/>
  <c r="AG10" i="32" s="1"/>
  <c r="AD10" i="32"/>
  <c r="R10" i="32"/>
  <c r="N10" i="32"/>
  <c r="J10" i="32"/>
  <c r="F10" i="32"/>
  <c r="B10" i="32"/>
  <c r="AK9" i="32"/>
  <c r="AL9" i="32" s="1"/>
  <c r="AF9" i="32"/>
  <c r="AG9" i="32" s="1"/>
  <c r="AD9" i="32"/>
  <c r="R9" i="32"/>
  <c r="N9" i="32"/>
  <c r="J9" i="32"/>
  <c r="F9" i="32"/>
  <c r="B9" i="32"/>
  <c r="AK8" i="32"/>
  <c r="AL8" i="32" s="1"/>
  <c r="AF8" i="32"/>
  <c r="AG8" i="32" s="1"/>
  <c r="AD8" i="32"/>
  <c r="R8" i="32"/>
  <c r="N8" i="32"/>
  <c r="J8" i="32"/>
  <c r="F8" i="32"/>
  <c r="B8" i="32"/>
  <c r="AK7" i="32"/>
  <c r="AL7" i="32" s="1"/>
  <c r="AF7" i="32"/>
  <c r="AG7" i="32" s="1"/>
  <c r="AD7" i="32"/>
  <c r="R7" i="32"/>
  <c r="N7" i="32"/>
  <c r="J7" i="32"/>
  <c r="F7" i="32"/>
  <c r="B7" i="32"/>
  <c r="AK6" i="32"/>
  <c r="AL6" i="32" s="1"/>
  <c r="AD6" i="32"/>
  <c r="AF6" i="32" s="1"/>
  <c r="AG6" i="32" s="1"/>
  <c r="R6" i="32"/>
  <c r="N6" i="32"/>
  <c r="J6" i="32"/>
  <c r="F6" i="32"/>
  <c r="B6" i="32"/>
  <c r="AK5" i="32"/>
  <c r="AL5" i="32" s="1"/>
  <c r="AF5" i="32"/>
  <c r="AD5" i="32"/>
  <c r="R5" i="32"/>
  <c r="N5" i="32"/>
  <c r="J5" i="32"/>
  <c r="F5" i="32"/>
  <c r="B5" i="32"/>
  <c r="AM35" i="31"/>
  <c r="AJ35" i="31"/>
  <c r="AI35" i="31"/>
  <c r="AE35" i="31"/>
  <c r="AC35" i="31"/>
  <c r="AB35" i="31"/>
  <c r="AA35" i="31"/>
  <c r="Z35" i="31"/>
  <c r="Y35" i="31"/>
  <c r="X35" i="31"/>
  <c r="W35" i="31"/>
  <c r="V35" i="31"/>
  <c r="U35" i="31"/>
  <c r="T35" i="31"/>
  <c r="S35" i="31"/>
  <c r="Q35" i="31"/>
  <c r="P35" i="31"/>
  <c r="O35" i="31"/>
  <c r="M35" i="31"/>
  <c r="L35" i="31"/>
  <c r="K35" i="31"/>
  <c r="I35" i="31"/>
  <c r="H35" i="31"/>
  <c r="G35" i="31"/>
  <c r="E35" i="31"/>
  <c r="D35" i="31"/>
  <c r="C35" i="31"/>
  <c r="AF34" i="31"/>
  <c r="AG34" i="31" s="1"/>
  <c r="AD34" i="31"/>
  <c r="R34" i="31"/>
  <c r="N34" i="31"/>
  <c r="J34" i="31"/>
  <c r="F34" i="31"/>
  <c r="B34" i="31"/>
  <c r="AF33" i="31"/>
  <c r="AG33" i="31" s="1"/>
  <c r="AD33" i="31"/>
  <c r="R33" i="31"/>
  <c r="N33" i="31"/>
  <c r="J33" i="31"/>
  <c r="F33" i="31"/>
  <c r="B33" i="31"/>
  <c r="AF32" i="31"/>
  <c r="AG32" i="31" s="1"/>
  <c r="AD32" i="31"/>
  <c r="R32" i="31"/>
  <c r="N32" i="31"/>
  <c r="J32" i="31"/>
  <c r="F32" i="31"/>
  <c r="B32" i="31"/>
  <c r="AF31" i="31"/>
  <c r="AG31" i="31" s="1"/>
  <c r="AD31" i="31"/>
  <c r="R31" i="31"/>
  <c r="N31" i="31"/>
  <c r="J31" i="31"/>
  <c r="F31" i="31"/>
  <c r="B31" i="31"/>
  <c r="AF30" i="31"/>
  <c r="AG30" i="31" s="1"/>
  <c r="AD30" i="31"/>
  <c r="R30" i="31"/>
  <c r="N30" i="31"/>
  <c r="J30" i="31"/>
  <c r="F30" i="31"/>
  <c r="B30" i="31"/>
  <c r="AF29" i="31"/>
  <c r="AG29" i="31" s="1"/>
  <c r="AD29" i="31"/>
  <c r="R29" i="31"/>
  <c r="N29" i="31"/>
  <c r="J29" i="31"/>
  <c r="F29" i="31"/>
  <c r="B29" i="31"/>
  <c r="AF28" i="31"/>
  <c r="AG28" i="31" s="1"/>
  <c r="AD28" i="31"/>
  <c r="R28" i="31"/>
  <c r="N28" i="31"/>
  <c r="J28" i="31"/>
  <c r="F28" i="31"/>
  <c r="B28" i="31"/>
  <c r="AF27" i="31"/>
  <c r="AG27" i="31" s="1"/>
  <c r="AD27" i="31"/>
  <c r="R27" i="31"/>
  <c r="N27" i="31"/>
  <c r="J27" i="31"/>
  <c r="F27" i="31"/>
  <c r="B27" i="31"/>
  <c r="AD26" i="31"/>
  <c r="AF26" i="31" s="1"/>
  <c r="AG26" i="31" s="1"/>
  <c r="R26" i="31"/>
  <c r="N26" i="31"/>
  <c r="J26" i="31"/>
  <c r="F26" i="31"/>
  <c r="B26" i="31"/>
  <c r="AD25" i="31"/>
  <c r="AF25" i="31" s="1"/>
  <c r="AG25" i="31" s="1"/>
  <c r="R25" i="31"/>
  <c r="N25" i="31"/>
  <c r="J25" i="31"/>
  <c r="F25" i="31"/>
  <c r="B25" i="31"/>
  <c r="AD24" i="31"/>
  <c r="AF24" i="31" s="1"/>
  <c r="AG24" i="31" s="1"/>
  <c r="R24" i="31"/>
  <c r="N24" i="31"/>
  <c r="J24" i="31"/>
  <c r="F24" i="31"/>
  <c r="B24" i="31"/>
  <c r="AD23" i="31"/>
  <c r="AF23" i="31" s="1"/>
  <c r="AG23" i="31" s="1"/>
  <c r="R23" i="31"/>
  <c r="N23" i="31"/>
  <c r="J23" i="31"/>
  <c r="F23" i="31"/>
  <c r="B23" i="31"/>
  <c r="AD22" i="31"/>
  <c r="AF22" i="31" s="1"/>
  <c r="AG22" i="31" s="1"/>
  <c r="R22" i="31"/>
  <c r="N22" i="31"/>
  <c r="J22" i="31"/>
  <c r="F22" i="31"/>
  <c r="B22" i="31"/>
  <c r="AD21" i="31"/>
  <c r="AF21" i="31" s="1"/>
  <c r="AG21" i="31" s="1"/>
  <c r="R21" i="31"/>
  <c r="N21" i="31"/>
  <c r="J21" i="31"/>
  <c r="F21" i="31"/>
  <c r="B21" i="31"/>
  <c r="AD20" i="31"/>
  <c r="AF20" i="31" s="1"/>
  <c r="AG20" i="31" s="1"/>
  <c r="R20" i="31"/>
  <c r="N20" i="31"/>
  <c r="J20" i="31"/>
  <c r="F20" i="31"/>
  <c r="B20" i="31"/>
  <c r="AD19" i="31"/>
  <c r="AF19" i="31" s="1"/>
  <c r="AG19" i="31" s="1"/>
  <c r="R19" i="31"/>
  <c r="N19" i="31"/>
  <c r="J19" i="31"/>
  <c r="F19" i="31"/>
  <c r="B19" i="31"/>
  <c r="AK18" i="31"/>
  <c r="AL18" i="31" s="1"/>
  <c r="AD18" i="31"/>
  <c r="AF18" i="31" s="1"/>
  <c r="AG18" i="31" s="1"/>
  <c r="R18" i="31"/>
  <c r="N18" i="31"/>
  <c r="J18" i="31"/>
  <c r="F18" i="31"/>
  <c r="B18" i="31"/>
  <c r="AK17" i="31"/>
  <c r="AL17" i="31" s="1"/>
  <c r="AD17" i="31"/>
  <c r="AF17" i="31" s="1"/>
  <c r="AG17" i="31" s="1"/>
  <c r="R17" i="31"/>
  <c r="N17" i="31"/>
  <c r="J17" i="31"/>
  <c r="F17" i="31"/>
  <c r="B17" i="31"/>
  <c r="AK16" i="31"/>
  <c r="AL16" i="31" s="1"/>
  <c r="AD16" i="31"/>
  <c r="AF16" i="31" s="1"/>
  <c r="AG16" i="31" s="1"/>
  <c r="R16" i="31"/>
  <c r="N16" i="31"/>
  <c r="J16" i="31"/>
  <c r="F16" i="31"/>
  <c r="B16" i="31"/>
  <c r="AK15" i="31"/>
  <c r="AL15" i="31" s="1"/>
  <c r="AD15" i="31"/>
  <c r="AF15" i="31" s="1"/>
  <c r="AG15" i="31" s="1"/>
  <c r="R15" i="31"/>
  <c r="N15" i="31"/>
  <c r="J15" i="31"/>
  <c r="F15" i="31"/>
  <c r="B15" i="31"/>
  <c r="AK14" i="31"/>
  <c r="AL14" i="31" s="1"/>
  <c r="AD14" i="31"/>
  <c r="AF14" i="31" s="1"/>
  <c r="AG14" i="31" s="1"/>
  <c r="R14" i="31"/>
  <c r="N14" i="31"/>
  <c r="J14" i="31"/>
  <c r="F14" i="31"/>
  <c r="B14" i="31"/>
  <c r="AK13" i="31"/>
  <c r="AL13" i="31" s="1"/>
  <c r="AD13" i="31"/>
  <c r="AF13" i="31" s="1"/>
  <c r="AG13" i="31" s="1"/>
  <c r="R13" i="31"/>
  <c r="N13" i="31"/>
  <c r="J13" i="31"/>
  <c r="F13" i="31"/>
  <c r="B13" i="31"/>
  <c r="AK12" i="31"/>
  <c r="AL12" i="31" s="1"/>
  <c r="AD12" i="31"/>
  <c r="AF12" i="31" s="1"/>
  <c r="AG12" i="31" s="1"/>
  <c r="R12" i="31"/>
  <c r="N12" i="31"/>
  <c r="J12" i="31"/>
  <c r="F12" i="31"/>
  <c r="B12" i="31"/>
  <c r="AK11" i="31"/>
  <c r="AL11" i="31" s="1"/>
  <c r="AF11" i="31"/>
  <c r="AG11" i="31" s="1"/>
  <c r="AD11" i="31"/>
  <c r="R11" i="31"/>
  <c r="N11" i="31"/>
  <c r="J11" i="31"/>
  <c r="F11" i="31"/>
  <c r="B11" i="31"/>
  <c r="AK10" i="31"/>
  <c r="AL10" i="31" s="1"/>
  <c r="AD10" i="31"/>
  <c r="AF10" i="31" s="1"/>
  <c r="AG10" i="31" s="1"/>
  <c r="R10" i="31"/>
  <c r="N10" i="31"/>
  <c r="J10" i="31"/>
  <c r="F10" i="31"/>
  <c r="B10" i="31"/>
  <c r="AK9" i="31"/>
  <c r="AL9" i="31" s="1"/>
  <c r="AD9" i="31"/>
  <c r="AF9" i="31" s="1"/>
  <c r="AG9" i="31" s="1"/>
  <c r="R9" i="31"/>
  <c r="N9" i="31"/>
  <c r="J9" i="31"/>
  <c r="F9" i="31"/>
  <c r="B9" i="31"/>
  <c r="AK8" i="31"/>
  <c r="AL8" i="31" s="1"/>
  <c r="AD8" i="31"/>
  <c r="AF8" i="31" s="1"/>
  <c r="AG8" i="31" s="1"/>
  <c r="R8" i="31"/>
  <c r="N8" i="31"/>
  <c r="J8" i="31"/>
  <c r="F8" i="31"/>
  <c r="B8" i="31"/>
  <c r="AK7" i="31"/>
  <c r="AL7" i="31" s="1"/>
  <c r="AD7" i="31"/>
  <c r="AF7" i="31" s="1"/>
  <c r="AG7" i="31" s="1"/>
  <c r="R7" i="31"/>
  <c r="N7" i="31"/>
  <c r="J7" i="31"/>
  <c r="F7" i="31"/>
  <c r="B7" i="31"/>
  <c r="AK6" i="31"/>
  <c r="AL6" i="31" s="1"/>
  <c r="AD6" i="31"/>
  <c r="AF6" i="31" s="1"/>
  <c r="AG6" i="31" s="1"/>
  <c r="R6" i="31"/>
  <c r="N6" i="31"/>
  <c r="J6" i="31"/>
  <c r="F6" i="31"/>
  <c r="B6" i="31"/>
  <c r="AK5" i="31"/>
  <c r="AD5" i="31"/>
  <c r="AF5" i="31" s="1"/>
  <c r="R5" i="31"/>
  <c r="N5" i="31"/>
  <c r="J5" i="31"/>
  <c r="F5" i="31"/>
  <c r="B5" i="31"/>
  <c r="AM35" i="30"/>
  <c r="AJ35" i="30"/>
  <c r="AI35" i="30"/>
  <c r="AE35" i="30"/>
  <c r="AC35" i="30"/>
  <c r="AB35" i="30"/>
  <c r="AA35" i="30"/>
  <c r="Z35" i="30"/>
  <c r="Y35" i="30"/>
  <c r="X35" i="30"/>
  <c r="W35" i="30"/>
  <c r="V35" i="30"/>
  <c r="U35" i="30"/>
  <c r="T35" i="30"/>
  <c r="S35" i="30"/>
  <c r="Q35" i="30"/>
  <c r="P35" i="30"/>
  <c r="O35" i="30"/>
  <c r="M35" i="30"/>
  <c r="L35" i="30"/>
  <c r="K35" i="30"/>
  <c r="I35" i="30"/>
  <c r="H35" i="30"/>
  <c r="G35" i="30"/>
  <c r="E35" i="30"/>
  <c r="D35" i="30"/>
  <c r="C35" i="30"/>
  <c r="AF34" i="30"/>
  <c r="AG34" i="30" s="1"/>
  <c r="AD34" i="30"/>
  <c r="R34" i="30"/>
  <c r="N34" i="30"/>
  <c r="J34" i="30"/>
  <c r="F34" i="30"/>
  <c r="B34" i="30"/>
  <c r="AF33" i="30"/>
  <c r="AG33" i="30" s="1"/>
  <c r="AD33" i="30"/>
  <c r="R33" i="30"/>
  <c r="N33" i="30"/>
  <c r="J33" i="30"/>
  <c r="F33" i="30"/>
  <c r="B33" i="30"/>
  <c r="AF32" i="30"/>
  <c r="AG32" i="30" s="1"/>
  <c r="AD32" i="30"/>
  <c r="R32" i="30"/>
  <c r="N32" i="30"/>
  <c r="J32" i="30"/>
  <c r="F32" i="30"/>
  <c r="B32" i="30"/>
  <c r="AF31" i="30"/>
  <c r="AG31" i="30" s="1"/>
  <c r="AD31" i="30"/>
  <c r="R31" i="30"/>
  <c r="N31" i="30"/>
  <c r="J31" i="30"/>
  <c r="F31" i="30"/>
  <c r="B31" i="30"/>
  <c r="AF30" i="30"/>
  <c r="AG30" i="30" s="1"/>
  <c r="AD30" i="30"/>
  <c r="R30" i="30"/>
  <c r="N30" i="30"/>
  <c r="J30" i="30"/>
  <c r="F30" i="30"/>
  <c r="B30" i="30"/>
  <c r="AF29" i="30"/>
  <c r="AG29" i="30" s="1"/>
  <c r="AD29" i="30"/>
  <c r="R29" i="30"/>
  <c r="N29" i="30"/>
  <c r="J29" i="30"/>
  <c r="F29" i="30"/>
  <c r="B29" i="30"/>
  <c r="AF28" i="30"/>
  <c r="AG28" i="30" s="1"/>
  <c r="AD28" i="30"/>
  <c r="R28" i="30"/>
  <c r="N28" i="30"/>
  <c r="J28" i="30"/>
  <c r="F28" i="30"/>
  <c r="B28" i="30"/>
  <c r="AF27" i="30"/>
  <c r="AG27" i="30" s="1"/>
  <c r="AD27" i="30"/>
  <c r="R27" i="30"/>
  <c r="N27" i="30"/>
  <c r="J27" i="30"/>
  <c r="F27" i="30"/>
  <c r="B27" i="30"/>
  <c r="AF26" i="30"/>
  <c r="AG26" i="30" s="1"/>
  <c r="AD26" i="30"/>
  <c r="R26" i="30"/>
  <c r="N26" i="30"/>
  <c r="J26" i="30"/>
  <c r="F26" i="30"/>
  <c r="B26" i="30"/>
  <c r="AF25" i="30"/>
  <c r="AG25" i="30" s="1"/>
  <c r="AD25" i="30"/>
  <c r="R25" i="30"/>
  <c r="N25" i="30"/>
  <c r="J25" i="30"/>
  <c r="F25" i="30"/>
  <c r="B25" i="30"/>
  <c r="AD24" i="30"/>
  <c r="AF24" i="30" s="1"/>
  <c r="AG24" i="30" s="1"/>
  <c r="R24" i="30"/>
  <c r="N24" i="30"/>
  <c r="J24" i="30"/>
  <c r="F24" i="30"/>
  <c r="B24" i="30"/>
  <c r="AD23" i="30"/>
  <c r="AF23" i="30" s="1"/>
  <c r="AG23" i="30" s="1"/>
  <c r="R23" i="30"/>
  <c r="N23" i="30"/>
  <c r="J23" i="30"/>
  <c r="F23" i="30"/>
  <c r="B23" i="30"/>
  <c r="AD22" i="30"/>
  <c r="AF22" i="30" s="1"/>
  <c r="AG22" i="30" s="1"/>
  <c r="R22" i="30"/>
  <c r="N22" i="30"/>
  <c r="J22" i="30"/>
  <c r="F22" i="30"/>
  <c r="B22" i="30"/>
  <c r="AD21" i="30"/>
  <c r="AF21" i="30" s="1"/>
  <c r="AG21" i="30" s="1"/>
  <c r="R21" i="30"/>
  <c r="N21" i="30"/>
  <c r="J21" i="30"/>
  <c r="F21" i="30"/>
  <c r="B21" i="30"/>
  <c r="AD20" i="30"/>
  <c r="AF20" i="30" s="1"/>
  <c r="AG20" i="30" s="1"/>
  <c r="R20" i="30"/>
  <c r="N20" i="30"/>
  <c r="J20" i="30"/>
  <c r="F20" i="30"/>
  <c r="B20" i="30"/>
  <c r="AF19" i="30"/>
  <c r="AG19" i="30" s="1"/>
  <c r="AD19" i="30"/>
  <c r="R19" i="30"/>
  <c r="N19" i="30"/>
  <c r="J19" i="30"/>
  <c r="F19" i="30"/>
  <c r="B19" i="30"/>
  <c r="AD18" i="30"/>
  <c r="AF18" i="30" s="1"/>
  <c r="AG18" i="30" s="1"/>
  <c r="R18" i="30"/>
  <c r="N18" i="30"/>
  <c r="J18" i="30"/>
  <c r="F18" i="30"/>
  <c r="B18" i="30"/>
  <c r="AD17" i="30"/>
  <c r="AF17" i="30" s="1"/>
  <c r="AG17" i="30" s="1"/>
  <c r="R17" i="30"/>
  <c r="N17" i="30"/>
  <c r="J17" i="30"/>
  <c r="F17" i="30"/>
  <c r="B17" i="30"/>
  <c r="AF16" i="30"/>
  <c r="AG16" i="30" s="1"/>
  <c r="AD16" i="30"/>
  <c r="R16" i="30"/>
  <c r="N16" i="30"/>
  <c r="J16" i="30"/>
  <c r="F16" i="30"/>
  <c r="B16" i="30"/>
  <c r="AD15" i="30"/>
  <c r="AF15" i="30" s="1"/>
  <c r="AG15" i="30" s="1"/>
  <c r="R15" i="30"/>
  <c r="N15" i="30"/>
  <c r="J15" i="30"/>
  <c r="F15" i="30"/>
  <c r="B15" i="30"/>
  <c r="AD14" i="30"/>
  <c r="AF14" i="30" s="1"/>
  <c r="AG14" i="30" s="1"/>
  <c r="R14" i="30"/>
  <c r="N14" i="30"/>
  <c r="J14" i="30"/>
  <c r="F14" i="30"/>
  <c r="B14" i="30"/>
  <c r="AK13" i="30"/>
  <c r="AL13" i="30" s="1"/>
  <c r="AD13" i="30"/>
  <c r="AF13" i="30" s="1"/>
  <c r="AG13" i="30" s="1"/>
  <c r="R13" i="30"/>
  <c r="N13" i="30"/>
  <c r="J13" i="30"/>
  <c r="F13" i="30"/>
  <c r="B13" i="30"/>
  <c r="AK12" i="30"/>
  <c r="AL12" i="30" s="1"/>
  <c r="AD12" i="30"/>
  <c r="AF12" i="30" s="1"/>
  <c r="AG12" i="30" s="1"/>
  <c r="R12" i="30"/>
  <c r="N12" i="30"/>
  <c r="J12" i="30"/>
  <c r="F12" i="30"/>
  <c r="B12" i="30"/>
  <c r="AK11" i="30"/>
  <c r="AL11" i="30" s="1"/>
  <c r="AD11" i="30"/>
  <c r="AF11" i="30" s="1"/>
  <c r="AG11" i="30" s="1"/>
  <c r="R11" i="30"/>
  <c r="N11" i="30"/>
  <c r="J11" i="30"/>
  <c r="F11" i="30"/>
  <c r="B11" i="30"/>
  <c r="AK10" i="30"/>
  <c r="AL10" i="30" s="1"/>
  <c r="AD10" i="30"/>
  <c r="AF10" i="30" s="1"/>
  <c r="AG10" i="30" s="1"/>
  <c r="R10" i="30"/>
  <c r="N10" i="30"/>
  <c r="J10" i="30"/>
  <c r="F10" i="30"/>
  <c r="B10" i="30"/>
  <c r="AK9" i="30"/>
  <c r="AL9" i="30" s="1"/>
  <c r="AD9" i="30"/>
  <c r="AF9" i="30" s="1"/>
  <c r="AG9" i="30" s="1"/>
  <c r="R9" i="30"/>
  <c r="N9" i="30"/>
  <c r="J9" i="30"/>
  <c r="F9" i="30"/>
  <c r="B9" i="30"/>
  <c r="AK8" i="30"/>
  <c r="AL8" i="30" s="1"/>
  <c r="AD8" i="30"/>
  <c r="AF8" i="30" s="1"/>
  <c r="AG8" i="30" s="1"/>
  <c r="R8" i="30"/>
  <c r="N8" i="30"/>
  <c r="J8" i="30"/>
  <c r="F8" i="30"/>
  <c r="B8" i="30"/>
  <c r="AK7" i="30"/>
  <c r="AL7" i="30" s="1"/>
  <c r="AD7" i="30"/>
  <c r="AF7" i="30" s="1"/>
  <c r="AG7" i="30" s="1"/>
  <c r="R7" i="30"/>
  <c r="N7" i="30"/>
  <c r="J7" i="30"/>
  <c r="F7" i="30"/>
  <c r="B7" i="30"/>
  <c r="AK6" i="30"/>
  <c r="AL6" i="30" s="1"/>
  <c r="AD6" i="30"/>
  <c r="AF6" i="30" s="1"/>
  <c r="AG6" i="30" s="1"/>
  <c r="R6" i="30"/>
  <c r="N6" i="30"/>
  <c r="J6" i="30"/>
  <c r="F6" i="30"/>
  <c r="B6" i="30"/>
  <c r="AK5" i="30"/>
  <c r="AD5" i="30"/>
  <c r="AF5" i="30" s="1"/>
  <c r="R5" i="30"/>
  <c r="N5" i="30"/>
  <c r="J5" i="30"/>
  <c r="F5" i="30"/>
  <c r="B5" i="30"/>
  <c r="AM35" i="29"/>
  <c r="AJ35" i="29"/>
  <c r="AI35" i="29"/>
  <c r="AE35" i="29"/>
  <c r="AC35" i="29"/>
  <c r="AB35" i="29"/>
  <c r="AA35" i="29"/>
  <c r="Z35" i="29"/>
  <c r="Y35" i="29"/>
  <c r="X35" i="29"/>
  <c r="W35" i="29"/>
  <c r="V35" i="29"/>
  <c r="U35" i="29"/>
  <c r="T35" i="29"/>
  <c r="S35" i="29"/>
  <c r="Q35" i="29"/>
  <c r="P35" i="29"/>
  <c r="O35" i="29"/>
  <c r="M35" i="29"/>
  <c r="L35" i="29"/>
  <c r="K35" i="29"/>
  <c r="I35" i="29"/>
  <c r="H35" i="29"/>
  <c r="G35" i="29"/>
  <c r="E35" i="29"/>
  <c r="D35" i="29"/>
  <c r="C35" i="29"/>
  <c r="AF34" i="29"/>
  <c r="AG34" i="29" s="1"/>
  <c r="AD34" i="29"/>
  <c r="R34" i="29"/>
  <c r="N34" i="29"/>
  <c r="J34" i="29"/>
  <c r="F34" i="29"/>
  <c r="B34" i="29"/>
  <c r="AF33" i="29"/>
  <c r="AG33" i="29" s="1"/>
  <c r="AD33" i="29"/>
  <c r="R33" i="29"/>
  <c r="N33" i="29"/>
  <c r="J33" i="29"/>
  <c r="F33" i="29"/>
  <c r="B33" i="29"/>
  <c r="AF32" i="29"/>
  <c r="AG32" i="29" s="1"/>
  <c r="AD32" i="29"/>
  <c r="R32" i="29"/>
  <c r="N32" i="29"/>
  <c r="J32" i="29"/>
  <c r="F32" i="29"/>
  <c r="B32" i="29"/>
  <c r="AF31" i="29"/>
  <c r="AG31" i="29" s="1"/>
  <c r="AD31" i="29"/>
  <c r="R31" i="29"/>
  <c r="N31" i="29"/>
  <c r="J31" i="29"/>
  <c r="F31" i="29"/>
  <c r="B31" i="29"/>
  <c r="AF30" i="29"/>
  <c r="AG30" i="29" s="1"/>
  <c r="AD30" i="29"/>
  <c r="R30" i="29"/>
  <c r="N30" i="29"/>
  <c r="J30" i="29"/>
  <c r="F30" i="29"/>
  <c r="B30" i="29"/>
  <c r="AF29" i="29"/>
  <c r="AG29" i="29" s="1"/>
  <c r="AD29" i="29"/>
  <c r="R29" i="29"/>
  <c r="N29" i="29"/>
  <c r="J29" i="29"/>
  <c r="F29" i="29"/>
  <c r="B29" i="29"/>
  <c r="AF28" i="29"/>
  <c r="AG28" i="29" s="1"/>
  <c r="AD28" i="29"/>
  <c r="R28" i="29"/>
  <c r="N28" i="29"/>
  <c r="J28" i="29"/>
  <c r="F28" i="29"/>
  <c r="B28" i="29"/>
  <c r="AF27" i="29"/>
  <c r="AG27" i="29" s="1"/>
  <c r="AD27" i="29"/>
  <c r="R27" i="29"/>
  <c r="N27" i="29"/>
  <c r="J27" i="29"/>
  <c r="F27" i="29"/>
  <c r="B27" i="29"/>
  <c r="AF26" i="29"/>
  <c r="AG26" i="29" s="1"/>
  <c r="AD26" i="29"/>
  <c r="R26" i="29"/>
  <c r="N26" i="29"/>
  <c r="J26" i="29"/>
  <c r="F26" i="29"/>
  <c r="B26" i="29"/>
  <c r="AD25" i="29"/>
  <c r="AF25" i="29" s="1"/>
  <c r="AG25" i="29" s="1"/>
  <c r="R25" i="29"/>
  <c r="N25" i="29"/>
  <c r="J25" i="29"/>
  <c r="F25" i="29"/>
  <c r="B25" i="29"/>
  <c r="AD24" i="29"/>
  <c r="AF24" i="29" s="1"/>
  <c r="AG24" i="29" s="1"/>
  <c r="R24" i="29"/>
  <c r="N24" i="29"/>
  <c r="J24" i="29"/>
  <c r="F24" i="29"/>
  <c r="B24" i="29"/>
  <c r="AD23" i="29"/>
  <c r="AF23" i="29" s="1"/>
  <c r="AG23" i="29" s="1"/>
  <c r="R23" i="29"/>
  <c r="N23" i="29"/>
  <c r="J23" i="29"/>
  <c r="F23" i="29"/>
  <c r="B23" i="29"/>
  <c r="AF22" i="29"/>
  <c r="AG22" i="29" s="1"/>
  <c r="AD22" i="29"/>
  <c r="R22" i="29"/>
  <c r="N22" i="29"/>
  <c r="J22" i="29"/>
  <c r="F22" i="29"/>
  <c r="B22" i="29"/>
  <c r="AD21" i="29"/>
  <c r="AF21" i="29" s="1"/>
  <c r="AG21" i="29" s="1"/>
  <c r="R21" i="29"/>
  <c r="N21" i="29"/>
  <c r="J21" i="29"/>
  <c r="F21" i="29"/>
  <c r="B21" i="29"/>
  <c r="AD20" i="29"/>
  <c r="AF20" i="29" s="1"/>
  <c r="AG20" i="29" s="1"/>
  <c r="R20" i="29"/>
  <c r="N20" i="29"/>
  <c r="J20" i="29"/>
  <c r="F20" i="29"/>
  <c r="B20" i="29"/>
  <c r="AD19" i="29"/>
  <c r="AF19" i="29" s="1"/>
  <c r="AG19" i="29" s="1"/>
  <c r="R19" i="29"/>
  <c r="N19" i="29"/>
  <c r="J19" i="29"/>
  <c r="F19" i="29"/>
  <c r="B19" i="29"/>
  <c r="AK18" i="29"/>
  <c r="AL18" i="29" s="1"/>
  <c r="AD18" i="29"/>
  <c r="AF18" i="29" s="1"/>
  <c r="AG18" i="29" s="1"/>
  <c r="R18" i="29"/>
  <c r="N18" i="29"/>
  <c r="J18" i="29"/>
  <c r="F18" i="29"/>
  <c r="B18" i="29"/>
  <c r="AK17" i="29"/>
  <c r="AL17" i="29" s="1"/>
  <c r="AD17" i="29"/>
  <c r="AF17" i="29" s="1"/>
  <c r="AG17" i="29" s="1"/>
  <c r="R17" i="29"/>
  <c r="N17" i="29"/>
  <c r="J17" i="29"/>
  <c r="F17" i="29"/>
  <c r="B17" i="29"/>
  <c r="AK16" i="29"/>
  <c r="AL16" i="29" s="1"/>
  <c r="AD16" i="29"/>
  <c r="AF16" i="29" s="1"/>
  <c r="AG16" i="29" s="1"/>
  <c r="R16" i="29"/>
  <c r="N16" i="29"/>
  <c r="J16" i="29"/>
  <c r="F16" i="29"/>
  <c r="B16" i="29"/>
  <c r="AK15" i="29"/>
  <c r="AL15" i="29" s="1"/>
  <c r="AD15" i="29"/>
  <c r="AF15" i="29" s="1"/>
  <c r="AG15" i="29" s="1"/>
  <c r="R15" i="29"/>
  <c r="N15" i="29"/>
  <c r="J15" i="29"/>
  <c r="F15" i="29"/>
  <c r="B15" i="29"/>
  <c r="AK14" i="29"/>
  <c r="AL14" i="29" s="1"/>
  <c r="AD14" i="29"/>
  <c r="AF14" i="29" s="1"/>
  <c r="AG14" i="29" s="1"/>
  <c r="R14" i="29"/>
  <c r="N14" i="29"/>
  <c r="J14" i="29"/>
  <c r="F14" i="29"/>
  <c r="B14" i="29"/>
  <c r="AK13" i="29"/>
  <c r="AL13" i="29" s="1"/>
  <c r="AD13" i="29"/>
  <c r="AF13" i="29" s="1"/>
  <c r="AG13" i="29" s="1"/>
  <c r="R13" i="29"/>
  <c r="N13" i="29"/>
  <c r="J13" i="29"/>
  <c r="F13" i="29"/>
  <c r="B13" i="29"/>
  <c r="AK12" i="29"/>
  <c r="AL12" i="29" s="1"/>
  <c r="AD12" i="29"/>
  <c r="AF12" i="29" s="1"/>
  <c r="AG12" i="29" s="1"/>
  <c r="R12" i="29"/>
  <c r="N12" i="29"/>
  <c r="J12" i="29"/>
  <c r="F12" i="29"/>
  <c r="B12" i="29"/>
  <c r="AK11" i="29"/>
  <c r="AL11" i="29" s="1"/>
  <c r="AD11" i="29"/>
  <c r="AF11" i="29" s="1"/>
  <c r="AG11" i="29" s="1"/>
  <c r="R11" i="29"/>
  <c r="N11" i="29"/>
  <c r="J11" i="29"/>
  <c r="F11" i="29"/>
  <c r="B11" i="29"/>
  <c r="AK10" i="29"/>
  <c r="AL10" i="29" s="1"/>
  <c r="AD10" i="29"/>
  <c r="AF10" i="29" s="1"/>
  <c r="AG10" i="29" s="1"/>
  <c r="R10" i="29"/>
  <c r="N10" i="29"/>
  <c r="J10" i="29"/>
  <c r="F10" i="29"/>
  <c r="B10" i="29"/>
  <c r="AK9" i="29"/>
  <c r="AL9" i="29" s="1"/>
  <c r="AD9" i="29"/>
  <c r="AF9" i="29" s="1"/>
  <c r="AG9" i="29" s="1"/>
  <c r="R9" i="29"/>
  <c r="N9" i="29"/>
  <c r="J9" i="29"/>
  <c r="F9" i="29"/>
  <c r="B9" i="29"/>
  <c r="AK8" i="29"/>
  <c r="AL8" i="29" s="1"/>
  <c r="AD8" i="29"/>
  <c r="AF8" i="29" s="1"/>
  <c r="AG8" i="29" s="1"/>
  <c r="R8" i="29"/>
  <c r="N8" i="29"/>
  <c r="J8" i="29"/>
  <c r="F8" i="29"/>
  <c r="B8" i="29"/>
  <c r="AK7" i="29"/>
  <c r="AL7" i="29" s="1"/>
  <c r="AD7" i="29"/>
  <c r="AF7" i="29" s="1"/>
  <c r="AG7" i="29" s="1"/>
  <c r="R7" i="29"/>
  <c r="N7" i="29"/>
  <c r="J7" i="29"/>
  <c r="F7" i="29"/>
  <c r="B7" i="29"/>
  <c r="AK6" i="29"/>
  <c r="AL6" i="29" s="1"/>
  <c r="AD6" i="29"/>
  <c r="AF6" i="29" s="1"/>
  <c r="AG6" i="29" s="1"/>
  <c r="R6" i="29"/>
  <c r="N6" i="29"/>
  <c r="J6" i="29"/>
  <c r="F6" i="29"/>
  <c r="B6" i="29"/>
  <c r="AK5" i="29"/>
  <c r="AL5" i="29" s="1"/>
  <c r="AD5" i="29"/>
  <c r="AF5" i="29" s="1"/>
  <c r="AG5" i="29" s="1"/>
  <c r="R5" i="29"/>
  <c r="N5" i="29"/>
  <c r="J5" i="29"/>
  <c r="F5" i="29"/>
  <c r="B5" i="29"/>
  <c r="AM35" i="28"/>
  <c r="AJ35" i="28"/>
  <c r="AI35" i="28"/>
  <c r="AE35" i="28"/>
  <c r="AC35" i="28"/>
  <c r="AB35" i="28"/>
  <c r="AA35" i="28"/>
  <c r="Z35" i="28"/>
  <c r="Y35" i="28"/>
  <c r="X35" i="28"/>
  <c r="W35" i="28"/>
  <c r="V35" i="28"/>
  <c r="U35" i="28"/>
  <c r="T35" i="28"/>
  <c r="S35" i="28"/>
  <c r="Q35" i="28"/>
  <c r="P35" i="28"/>
  <c r="O35" i="28"/>
  <c r="M35" i="28"/>
  <c r="L35" i="28"/>
  <c r="K35" i="28"/>
  <c r="I35" i="28"/>
  <c r="H35" i="28"/>
  <c r="G35" i="28"/>
  <c r="E35" i="28"/>
  <c r="D35" i="28"/>
  <c r="C35" i="28"/>
  <c r="AF34" i="28"/>
  <c r="AG34" i="28" s="1"/>
  <c r="AD34" i="28"/>
  <c r="R34" i="28"/>
  <c r="N34" i="28"/>
  <c r="J34" i="28"/>
  <c r="F34" i="28"/>
  <c r="B34" i="28"/>
  <c r="AF33" i="28"/>
  <c r="AG33" i="28" s="1"/>
  <c r="AD33" i="28"/>
  <c r="R33" i="28"/>
  <c r="N33" i="28"/>
  <c r="J33" i="28"/>
  <c r="F33" i="28"/>
  <c r="B33" i="28"/>
  <c r="AF32" i="28"/>
  <c r="AG32" i="28" s="1"/>
  <c r="AD32" i="28"/>
  <c r="R32" i="28"/>
  <c r="N32" i="28"/>
  <c r="J32" i="28"/>
  <c r="F32" i="28"/>
  <c r="B32" i="28"/>
  <c r="AD31" i="28"/>
  <c r="AF31" i="28" s="1"/>
  <c r="AG31" i="28" s="1"/>
  <c r="R31" i="28"/>
  <c r="N31" i="28"/>
  <c r="J31" i="28"/>
  <c r="F31" i="28"/>
  <c r="B31" i="28"/>
  <c r="AD30" i="28"/>
  <c r="AF30" i="28" s="1"/>
  <c r="AG30" i="28" s="1"/>
  <c r="R30" i="28"/>
  <c r="N30" i="28"/>
  <c r="J30" i="28"/>
  <c r="F30" i="28"/>
  <c r="B30" i="28"/>
  <c r="AF29" i="28"/>
  <c r="AG29" i="28" s="1"/>
  <c r="AD29" i="28"/>
  <c r="R29" i="28"/>
  <c r="N29" i="28"/>
  <c r="J29" i="28"/>
  <c r="F29" i="28"/>
  <c r="B29" i="28"/>
  <c r="AF28" i="28"/>
  <c r="AG28" i="28" s="1"/>
  <c r="AD28" i="28"/>
  <c r="R28" i="28"/>
  <c r="N28" i="28"/>
  <c r="J28" i="28"/>
  <c r="F28" i="28"/>
  <c r="B28" i="28"/>
  <c r="AF27" i="28"/>
  <c r="AG27" i="28" s="1"/>
  <c r="AD27" i="28"/>
  <c r="R27" i="28"/>
  <c r="N27" i="28"/>
  <c r="J27" i="28"/>
  <c r="F27" i="28"/>
  <c r="B27" i="28"/>
  <c r="AD26" i="28"/>
  <c r="AF26" i="28" s="1"/>
  <c r="AG26" i="28" s="1"/>
  <c r="R26" i="28"/>
  <c r="N26" i="28"/>
  <c r="J26" i="28"/>
  <c r="F26" i="28"/>
  <c r="B26" i="28"/>
  <c r="AD25" i="28"/>
  <c r="AF25" i="28" s="1"/>
  <c r="AG25" i="28" s="1"/>
  <c r="R25" i="28"/>
  <c r="N25" i="28"/>
  <c r="J25" i="28"/>
  <c r="F25" i="28"/>
  <c r="B25" i="28"/>
  <c r="AF24" i="28"/>
  <c r="AG24" i="28" s="1"/>
  <c r="AD24" i="28"/>
  <c r="R24" i="28"/>
  <c r="N24" i="28"/>
  <c r="J24" i="28"/>
  <c r="F24" i="28"/>
  <c r="B24" i="28"/>
  <c r="AF23" i="28"/>
  <c r="AG23" i="28" s="1"/>
  <c r="AD23" i="28"/>
  <c r="R23" i="28"/>
  <c r="N23" i="28"/>
  <c r="J23" i="28"/>
  <c r="F23" i="28"/>
  <c r="B23" i="28"/>
  <c r="AD22" i="28"/>
  <c r="AF22" i="28" s="1"/>
  <c r="AG22" i="28" s="1"/>
  <c r="R22" i="28"/>
  <c r="N22" i="28"/>
  <c r="J22" i="28"/>
  <c r="F22" i="28"/>
  <c r="B22" i="28"/>
  <c r="AD21" i="28"/>
  <c r="AF21" i="28" s="1"/>
  <c r="AG21" i="28" s="1"/>
  <c r="R21" i="28"/>
  <c r="N21" i="28"/>
  <c r="J21" i="28"/>
  <c r="F21" i="28"/>
  <c r="B21" i="28"/>
  <c r="AD20" i="28"/>
  <c r="AF20" i="28" s="1"/>
  <c r="AG20" i="28" s="1"/>
  <c r="R20" i="28"/>
  <c r="N20" i="28"/>
  <c r="J20" i="28"/>
  <c r="F20" i="28"/>
  <c r="B20" i="28"/>
  <c r="AF19" i="28"/>
  <c r="AG19" i="28" s="1"/>
  <c r="AD19" i="28"/>
  <c r="R19" i="28"/>
  <c r="N19" i="28"/>
  <c r="J19" i="28"/>
  <c r="F19" i="28"/>
  <c r="B19" i="28"/>
  <c r="AF18" i="28"/>
  <c r="AG18" i="28" s="1"/>
  <c r="AD18" i="28"/>
  <c r="R18" i="28"/>
  <c r="N18" i="28"/>
  <c r="J18" i="28"/>
  <c r="F18" i="28"/>
  <c r="B18" i="28"/>
  <c r="AK17" i="28"/>
  <c r="AL17" i="28" s="1"/>
  <c r="AF17" i="28"/>
  <c r="AG17" i="28" s="1"/>
  <c r="AD17" i="28"/>
  <c r="R17" i="28"/>
  <c r="N17" i="28"/>
  <c r="J17" i="28"/>
  <c r="F17" i="28"/>
  <c r="AK16" i="28"/>
  <c r="AL16" i="28" s="1"/>
  <c r="AD16" i="28"/>
  <c r="AF16" i="28" s="1"/>
  <c r="AG16" i="28" s="1"/>
  <c r="R16" i="28"/>
  <c r="N16" i="28"/>
  <c r="J16" i="28"/>
  <c r="F16" i="28"/>
  <c r="B16" i="28"/>
  <c r="AK15" i="28"/>
  <c r="AL15" i="28" s="1"/>
  <c r="AF15" i="28"/>
  <c r="AG15" i="28" s="1"/>
  <c r="AD15" i="28"/>
  <c r="R15" i="28"/>
  <c r="N15" i="28"/>
  <c r="J15" i="28"/>
  <c r="F15" i="28"/>
  <c r="B15" i="28"/>
  <c r="AK14" i="28"/>
  <c r="AL14" i="28" s="1"/>
  <c r="AF14" i="28"/>
  <c r="AG14" i="28" s="1"/>
  <c r="AD14" i="28"/>
  <c r="R14" i="28"/>
  <c r="N14" i="28"/>
  <c r="J14" i="28"/>
  <c r="F14" i="28"/>
  <c r="B14" i="28"/>
  <c r="AK13" i="28"/>
  <c r="AL13" i="28" s="1"/>
  <c r="AF13" i="28"/>
  <c r="AG13" i="28" s="1"/>
  <c r="AD13" i="28"/>
  <c r="R13" i="28"/>
  <c r="N13" i="28"/>
  <c r="J13" i="28"/>
  <c r="F13" i="28"/>
  <c r="B13" i="28"/>
  <c r="AK12" i="28"/>
  <c r="AL12" i="28" s="1"/>
  <c r="AF12" i="28"/>
  <c r="AG12" i="28" s="1"/>
  <c r="AD12" i="28"/>
  <c r="R12" i="28"/>
  <c r="N12" i="28"/>
  <c r="J12" i="28"/>
  <c r="F12" i="28"/>
  <c r="B12" i="28"/>
  <c r="AK11" i="28"/>
  <c r="AL11" i="28" s="1"/>
  <c r="AF11" i="28"/>
  <c r="AG11" i="28" s="1"/>
  <c r="AD11" i="28"/>
  <c r="R11" i="28"/>
  <c r="N11" i="28"/>
  <c r="J11" i="28"/>
  <c r="F11" i="28"/>
  <c r="B11" i="28"/>
  <c r="AK10" i="28"/>
  <c r="AL10" i="28" s="1"/>
  <c r="AF10" i="28"/>
  <c r="AG10" i="28" s="1"/>
  <c r="AD10" i="28"/>
  <c r="R10" i="28"/>
  <c r="N10" i="28"/>
  <c r="J10" i="28"/>
  <c r="F10" i="28"/>
  <c r="B10" i="28"/>
  <c r="AK9" i="28"/>
  <c r="AL9" i="28" s="1"/>
  <c r="AF9" i="28"/>
  <c r="AG9" i="28" s="1"/>
  <c r="AD9" i="28"/>
  <c r="R9" i="28"/>
  <c r="N9" i="28"/>
  <c r="J9" i="28"/>
  <c r="F9" i="28"/>
  <c r="B9" i="28"/>
  <c r="AK8" i="28"/>
  <c r="AL8" i="28" s="1"/>
  <c r="AF8" i="28"/>
  <c r="AG8" i="28" s="1"/>
  <c r="AD8" i="28"/>
  <c r="R8" i="28"/>
  <c r="N8" i="28"/>
  <c r="J8" i="28"/>
  <c r="F8" i="28"/>
  <c r="B8" i="28"/>
  <c r="AK7" i="28"/>
  <c r="AL7" i="28" s="1"/>
  <c r="AF7" i="28"/>
  <c r="AG7" i="28" s="1"/>
  <c r="AD7" i="28"/>
  <c r="R7" i="28"/>
  <c r="N7" i="28"/>
  <c r="J7" i="28"/>
  <c r="F7" i="28"/>
  <c r="B7" i="28"/>
  <c r="AK6" i="28"/>
  <c r="AL6" i="28" s="1"/>
  <c r="AF6" i="28"/>
  <c r="AG6" i="28" s="1"/>
  <c r="AD6" i="28"/>
  <c r="R6" i="28"/>
  <c r="N6" i="28"/>
  <c r="J6" i="28"/>
  <c r="F6" i="28"/>
  <c r="B6" i="28"/>
  <c r="AK5" i="28"/>
  <c r="AL5" i="28" s="1"/>
  <c r="AF5" i="28"/>
  <c r="AG5" i="28" s="1"/>
  <c r="AD5" i="28"/>
  <c r="R5" i="28"/>
  <c r="N5" i="28"/>
  <c r="J5" i="28"/>
  <c r="F5" i="28"/>
  <c r="B5" i="28"/>
  <c r="AM35" i="27"/>
  <c r="AJ35" i="27"/>
  <c r="AI35" i="27"/>
  <c r="AE35" i="27"/>
  <c r="AC35" i="27"/>
  <c r="AB35" i="27"/>
  <c r="AA35" i="27"/>
  <c r="Z35" i="27"/>
  <c r="Y35" i="27"/>
  <c r="X35" i="27"/>
  <c r="W35" i="27"/>
  <c r="V35" i="27"/>
  <c r="U35" i="27"/>
  <c r="T35" i="27"/>
  <c r="S35" i="27"/>
  <c r="Q35" i="27"/>
  <c r="P35" i="27"/>
  <c r="O35" i="27"/>
  <c r="M35" i="27"/>
  <c r="L35" i="27"/>
  <c r="K35" i="27"/>
  <c r="I35" i="27"/>
  <c r="H35" i="27"/>
  <c r="G35" i="27"/>
  <c r="E35" i="27"/>
  <c r="D35" i="27"/>
  <c r="C35" i="27"/>
  <c r="AF34" i="27"/>
  <c r="AG34" i="27" s="1"/>
  <c r="AD34" i="27"/>
  <c r="R34" i="27"/>
  <c r="N34" i="27"/>
  <c r="J34" i="27"/>
  <c r="F34" i="27"/>
  <c r="B34" i="27"/>
  <c r="AF33" i="27"/>
  <c r="AG33" i="27" s="1"/>
  <c r="AD33" i="27"/>
  <c r="R33" i="27"/>
  <c r="N33" i="27"/>
  <c r="J33" i="27"/>
  <c r="F33" i="27"/>
  <c r="B33" i="27"/>
  <c r="AF32" i="27"/>
  <c r="AG32" i="27" s="1"/>
  <c r="AD32" i="27"/>
  <c r="R32" i="27"/>
  <c r="N32" i="27"/>
  <c r="J32" i="27"/>
  <c r="F32" i="27"/>
  <c r="B32" i="27"/>
  <c r="AF31" i="27"/>
  <c r="AG31" i="27" s="1"/>
  <c r="AD31" i="27"/>
  <c r="R31" i="27"/>
  <c r="N31" i="27"/>
  <c r="J31" i="27"/>
  <c r="F31" i="27"/>
  <c r="B31" i="27"/>
  <c r="AF30" i="27"/>
  <c r="AG30" i="27" s="1"/>
  <c r="AD30" i="27"/>
  <c r="R30" i="27"/>
  <c r="N30" i="27"/>
  <c r="J30" i="27"/>
  <c r="F30" i="27"/>
  <c r="B30" i="27"/>
  <c r="AF29" i="27"/>
  <c r="AG29" i="27" s="1"/>
  <c r="AD29" i="27"/>
  <c r="R29" i="27"/>
  <c r="N29" i="27"/>
  <c r="J29" i="27"/>
  <c r="F29" i="27"/>
  <c r="B29" i="27"/>
  <c r="AF28" i="27"/>
  <c r="AG28" i="27" s="1"/>
  <c r="AD28" i="27"/>
  <c r="R28" i="27"/>
  <c r="N28" i="27"/>
  <c r="J28" i="27"/>
  <c r="F28" i="27"/>
  <c r="B28" i="27"/>
  <c r="AD27" i="27"/>
  <c r="AF27" i="27" s="1"/>
  <c r="AG27" i="27" s="1"/>
  <c r="R27" i="27"/>
  <c r="N27" i="27"/>
  <c r="J27" i="27"/>
  <c r="F27" i="27"/>
  <c r="B27" i="27"/>
  <c r="AD26" i="27"/>
  <c r="AF26" i="27" s="1"/>
  <c r="AG26" i="27" s="1"/>
  <c r="R26" i="27"/>
  <c r="N26" i="27"/>
  <c r="J26" i="27"/>
  <c r="F26" i="27"/>
  <c r="B26" i="27"/>
  <c r="AD25" i="27"/>
  <c r="AF25" i="27" s="1"/>
  <c r="AG25" i="27" s="1"/>
  <c r="R25" i="27"/>
  <c r="N25" i="27"/>
  <c r="J25" i="27"/>
  <c r="F25" i="27"/>
  <c r="B25" i="27"/>
  <c r="AD24" i="27"/>
  <c r="AF24" i="27" s="1"/>
  <c r="AG24" i="27" s="1"/>
  <c r="R24" i="27"/>
  <c r="N24" i="27"/>
  <c r="J24" i="27"/>
  <c r="F24" i="27"/>
  <c r="B24" i="27"/>
  <c r="AD23" i="27"/>
  <c r="AF23" i="27" s="1"/>
  <c r="AG23" i="27" s="1"/>
  <c r="R23" i="27"/>
  <c r="N23" i="27"/>
  <c r="J23" i="27"/>
  <c r="F23" i="27"/>
  <c r="B23" i="27"/>
  <c r="AD22" i="27"/>
  <c r="AF22" i="27" s="1"/>
  <c r="AG22" i="27" s="1"/>
  <c r="R22" i="27"/>
  <c r="N22" i="27"/>
  <c r="J22" i="27"/>
  <c r="F22" i="27"/>
  <c r="B22" i="27"/>
  <c r="AD21" i="27"/>
  <c r="AF21" i="27" s="1"/>
  <c r="AG21" i="27" s="1"/>
  <c r="R21" i="27"/>
  <c r="N21" i="27"/>
  <c r="J21" i="27"/>
  <c r="F21" i="27"/>
  <c r="B21" i="27"/>
  <c r="AD20" i="27"/>
  <c r="AF20" i="27" s="1"/>
  <c r="AG20" i="27" s="1"/>
  <c r="R20" i="27"/>
  <c r="N20" i="27"/>
  <c r="J20" i="27"/>
  <c r="F20" i="27"/>
  <c r="B20" i="27"/>
  <c r="AD19" i="27"/>
  <c r="AF19" i="27" s="1"/>
  <c r="AG19" i="27" s="1"/>
  <c r="R19" i="27"/>
  <c r="N19" i="27"/>
  <c r="J19" i="27"/>
  <c r="F19" i="27"/>
  <c r="B19" i="27"/>
  <c r="AD18" i="27"/>
  <c r="AF18" i="27" s="1"/>
  <c r="AG18" i="27" s="1"/>
  <c r="R18" i="27"/>
  <c r="N18" i="27"/>
  <c r="J18" i="27"/>
  <c r="F18" i="27"/>
  <c r="B18" i="27"/>
  <c r="AD17" i="27"/>
  <c r="AF17" i="27" s="1"/>
  <c r="AG17" i="27" s="1"/>
  <c r="R17" i="27"/>
  <c r="N17" i="27"/>
  <c r="J17" i="27"/>
  <c r="F17" i="27"/>
  <c r="B17" i="27"/>
  <c r="AD16" i="27"/>
  <c r="AF16" i="27" s="1"/>
  <c r="AG16" i="27" s="1"/>
  <c r="R16" i="27"/>
  <c r="N16" i="27"/>
  <c r="J16" i="27"/>
  <c r="F16" i="27"/>
  <c r="B16" i="27"/>
  <c r="AD15" i="27"/>
  <c r="AF15" i="27" s="1"/>
  <c r="AG15" i="27" s="1"/>
  <c r="R15" i="27"/>
  <c r="N15" i="27"/>
  <c r="J15" i="27"/>
  <c r="F15" i="27"/>
  <c r="B15" i="27"/>
  <c r="AD14" i="27"/>
  <c r="AF14" i="27" s="1"/>
  <c r="AG14" i="27" s="1"/>
  <c r="R14" i="27"/>
  <c r="N14" i="27"/>
  <c r="J14" i="27"/>
  <c r="F14" i="27"/>
  <c r="B14" i="27"/>
  <c r="AK13" i="27"/>
  <c r="AD13" i="27"/>
  <c r="AF13" i="27" s="1"/>
  <c r="AG13" i="27" s="1"/>
  <c r="R13" i="27"/>
  <c r="N13" i="27"/>
  <c r="J13" i="27"/>
  <c r="F13" i="27"/>
  <c r="B13" i="27"/>
  <c r="AK12" i="27"/>
  <c r="AL12" i="27" s="1"/>
  <c r="AD12" i="27"/>
  <c r="AF12" i="27" s="1"/>
  <c r="AG12" i="27" s="1"/>
  <c r="R12" i="27"/>
  <c r="N12" i="27"/>
  <c r="J12" i="27"/>
  <c r="F12" i="27"/>
  <c r="B12" i="27"/>
  <c r="AK11" i="27"/>
  <c r="AL11" i="27" s="1"/>
  <c r="AD11" i="27"/>
  <c r="AF11" i="27" s="1"/>
  <c r="AG11" i="27" s="1"/>
  <c r="R11" i="27"/>
  <c r="N11" i="27"/>
  <c r="J11" i="27"/>
  <c r="F11" i="27"/>
  <c r="B11" i="27"/>
  <c r="AK10" i="27"/>
  <c r="AL10" i="27" s="1"/>
  <c r="AD10" i="27"/>
  <c r="AF10" i="27" s="1"/>
  <c r="AG10" i="27" s="1"/>
  <c r="R10" i="27"/>
  <c r="N10" i="27"/>
  <c r="J10" i="27"/>
  <c r="F10" i="27"/>
  <c r="B10" i="27"/>
  <c r="AK9" i="27"/>
  <c r="AL9" i="27" s="1"/>
  <c r="AF9" i="27"/>
  <c r="AG9" i="27" s="1"/>
  <c r="AD9" i="27"/>
  <c r="R9" i="27"/>
  <c r="N9" i="27"/>
  <c r="J9" i="27"/>
  <c r="F9" i="27"/>
  <c r="B9" i="27"/>
  <c r="AK8" i="27"/>
  <c r="AL8" i="27" s="1"/>
  <c r="AF8" i="27"/>
  <c r="AG8" i="27" s="1"/>
  <c r="AD8" i="27"/>
  <c r="R8" i="27"/>
  <c r="N8" i="27"/>
  <c r="J8" i="27"/>
  <c r="F8" i="27"/>
  <c r="B8" i="27"/>
  <c r="AK7" i="27"/>
  <c r="AL7" i="27" s="1"/>
  <c r="AF7" i="27"/>
  <c r="AG7" i="27" s="1"/>
  <c r="AD7" i="27"/>
  <c r="R7" i="27"/>
  <c r="N7" i="27"/>
  <c r="J7" i="27"/>
  <c r="F7" i="27"/>
  <c r="B7" i="27"/>
  <c r="AK6" i="27"/>
  <c r="AL6" i="27" s="1"/>
  <c r="AF6" i="27"/>
  <c r="AG6" i="27" s="1"/>
  <c r="AD6" i="27"/>
  <c r="R6" i="27"/>
  <c r="N6" i="27"/>
  <c r="J6" i="27"/>
  <c r="F6" i="27"/>
  <c r="B6" i="27"/>
  <c r="AK5" i="27"/>
  <c r="AL5" i="27" s="1"/>
  <c r="AF5" i="27"/>
  <c r="AD5" i="27"/>
  <c r="R5" i="27"/>
  <c r="N5" i="27"/>
  <c r="J5" i="27"/>
  <c r="F5" i="27"/>
  <c r="B5" i="27"/>
  <c r="AM35" i="26"/>
  <c r="AJ35" i="26"/>
  <c r="AI35" i="26"/>
  <c r="AE35" i="26"/>
  <c r="AC35" i="26"/>
  <c r="AB35" i="26"/>
  <c r="AA35" i="26"/>
  <c r="Z35" i="26"/>
  <c r="Y35" i="26"/>
  <c r="X35" i="26"/>
  <c r="W35" i="26"/>
  <c r="V35" i="26"/>
  <c r="U35" i="26"/>
  <c r="T35" i="26"/>
  <c r="S35" i="26"/>
  <c r="Q35" i="26"/>
  <c r="P35" i="26"/>
  <c r="O35" i="26"/>
  <c r="M35" i="26"/>
  <c r="L35" i="26"/>
  <c r="K35" i="26"/>
  <c r="I35" i="26"/>
  <c r="H35" i="26"/>
  <c r="G35" i="26"/>
  <c r="E35" i="26"/>
  <c r="D35" i="26"/>
  <c r="C35" i="26"/>
  <c r="AF34" i="26"/>
  <c r="AG34" i="26" s="1"/>
  <c r="AD34" i="26"/>
  <c r="R34" i="26"/>
  <c r="N34" i="26"/>
  <c r="J34" i="26"/>
  <c r="F34" i="26"/>
  <c r="B34" i="26"/>
  <c r="AF33" i="26"/>
  <c r="AG33" i="26" s="1"/>
  <c r="AD33" i="26"/>
  <c r="R33" i="26"/>
  <c r="N33" i="26"/>
  <c r="J33" i="26"/>
  <c r="F33" i="26"/>
  <c r="B33" i="26"/>
  <c r="AF32" i="26"/>
  <c r="AG32" i="26" s="1"/>
  <c r="AD32" i="26"/>
  <c r="R32" i="26"/>
  <c r="N32" i="26"/>
  <c r="J32" i="26"/>
  <c r="F32" i="26"/>
  <c r="B32" i="26"/>
  <c r="AF31" i="26"/>
  <c r="AG31" i="26" s="1"/>
  <c r="AD31" i="26"/>
  <c r="R31" i="26"/>
  <c r="N31" i="26"/>
  <c r="J31" i="26"/>
  <c r="F31" i="26"/>
  <c r="B31" i="26"/>
  <c r="AF30" i="26"/>
  <c r="AG30" i="26" s="1"/>
  <c r="AD30" i="26"/>
  <c r="R30" i="26"/>
  <c r="N30" i="26"/>
  <c r="J30" i="26"/>
  <c r="F30" i="26"/>
  <c r="B30" i="26"/>
  <c r="AF29" i="26"/>
  <c r="AG29" i="26" s="1"/>
  <c r="AD29" i="26"/>
  <c r="R29" i="26"/>
  <c r="N29" i="26"/>
  <c r="J29" i="26"/>
  <c r="F29" i="26"/>
  <c r="B29" i="26"/>
  <c r="AF28" i="26"/>
  <c r="AG28" i="26" s="1"/>
  <c r="AD28" i="26"/>
  <c r="R28" i="26"/>
  <c r="N28" i="26"/>
  <c r="J28" i="26"/>
  <c r="F28" i="26"/>
  <c r="B28" i="26"/>
  <c r="AD27" i="26"/>
  <c r="AF27" i="26" s="1"/>
  <c r="AG27" i="26" s="1"/>
  <c r="R27" i="26"/>
  <c r="N27" i="26"/>
  <c r="J27" i="26"/>
  <c r="F27" i="26"/>
  <c r="B27" i="26"/>
  <c r="AD26" i="26"/>
  <c r="AF26" i="26" s="1"/>
  <c r="AG26" i="26" s="1"/>
  <c r="R26" i="26"/>
  <c r="N26" i="26"/>
  <c r="J26" i="26"/>
  <c r="F26" i="26"/>
  <c r="B26" i="26"/>
  <c r="AD25" i="26"/>
  <c r="AF25" i="26" s="1"/>
  <c r="AG25" i="26" s="1"/>
  <c r="R25" i="26"/>
  <c r="N25" i="26"/>
  <c r="J25" i="26"/>
  <c r="F25" i="26"/>
  <c r="B25" i="26"/>
  <c r="AF24" i="26"/>
  <c r="AG24" i="26" s="1"/>
  <c r="AD24" i="26"/>
  <c r="R24" i="26"/>
  <c r="N24" i="26"/>
  <c r="J24" i="26"/>
  <c r="F24" i="26"/>
  <c r="B24" i="26"/>
  <c r="AF23" i="26"/>
  <c r="AG23" i="26" s="1"/>
  <c r="AD23" i="26"/>
  <c r="R23" i="26"/>
  <c r="N23" i="26"/>
  <c r="J23" i="26"/>
  <c r="F23" i="26"/>
  <c r="B23" i="26"/>
  <c r="AD22" i="26"/>
  <c r="AF22" i="26" s="1"/>
  <c r="AG22" i="26" s="1"/>
  <c r="R22" i="26"/>
  <c r="N22" i="26"/>
  <c r="J22" i="26"/>
  <c r="F22" i="26"/>
  <c r="B22" i="26"/>
  <c r="AF21" i="26"/>
  <c r="AG21" i="26" s="1"/>
  <c r="AD21" i="26"/>
  <c r="R21" i="26"/>
  <c r="N21" i="26"/>
  <c r="J21" i="26"/>
  <c r="F21" i="26"/>
  <c r="B21" i="26"/>
  <c r="AF20" i="26"/>
  <c r="AG20" i="26" s="1"/>
  <c r="AD20" i="26"/>
  <c r="R20" i="26"/>
  <c r="N20" i="26"/>
  <c r="J20" i="26"/>
  <c r="F20" i="26"/>
  <c r="B20" i="26"/>
  <c r="AD19" i="26"/>
  <c r="AF19" i="26" s="1"/>
  <c r="AG19" i="26" s="1"/>
  <c r="R19" i="26"/>
  <c r="N19" i="26"/>
  <c r="J19" i="26"/>
  <c r="F19" i="26"/>
  <c r="B19" i="26"/>
  <c r="AD18" i="26"/>
  <c r="AF18" i="26" s="1"/>
  <c r="AG18" i="26" s="1"/>
  <c r="R18" i="26"/>
  <c r="N18" i="26"/>
  <c r="J18" i="26"/>
  <c r="F18" i="26"/>
  <c r="B18" i="26"/>
  <c r="AD17" i="26"/>
  <c r="AF17" i="26" s="1"/>
  <c r="AG17" i="26" s="1"/>
  <c r="R17" i="26"/>
  <c r="N17" i="26"/>
  <c r="J17" i="26"/>
  <c r="F17" i="26"/>
  <c r="B17" i="26"/>
  <c r="AF16" i="26"/>
  <c r="AG16" i="26" s="1"/>
  <c r="AD16" i="26"/>
  <c r="R16" i="26"/>
  <c r="N16" i="26"/>
  <c r="J16" i="26"/>
  <c r="F16" i="26"/>
  <c r="B16" i="26"/>
  <c r="AF15" i="26"/>
  <c r="AG15" i="26" s="1"/>
  <c r="AD15" i="26"/>
  <c r="R15" i="26"/>
  <c r="N15" i="26"/>
  <c r="J15" i="26"/>
  <c r="F15" i="26"/>
  <c r="B15" i="26"/>
  <c r="AK14" i="26"/>
  <c r="AL14" i="26" s="1"/>
  <c r="AF14" i="26"/>
  <c r="AG14" i="26" s="1"/>
  <c r="AD14" i="26"/>
  <c r="R14" i="26"/>
  <c r="N14" i="26"/>
  <c r="J14" i="26"/>
  <c r="F14" i="26"/>
  <c r="B14" i="26"/>
  <c r="AK13" i="26"/>
  <c r="AL13" i="26" s="1"/>
  <c r="AD13" i="26"/>
  <c r="AF13" i="26" s="1"/>
  <c r="AG13" i="26" s="1"/>
  <c r="R13" i="26"/>
  <c r="N13" i="26"/>
  <c r="J13" i="26"/>
  <c r="F13" i="26"/>
  <c r="B13" i="26"/>
  <c r="AK12" i="26"/>
  <c r="AL12" i="26" s="1"/>
  <c r="AD12" i="26"/>
  <c r="AF12" i="26" s="1"/>
  <c r="AG12" i="26" s="1"/>
  <c r="R12" i="26"/>
  <c r="N12" i="26"/>
  <c r="J12" i="26"/>
  <c r="F12" i="26"/>
  <c r="B12" i="26"/>
  <c r="AK11" i="26"/>
  <c r="AL11" i="26" s="1"/>
  <c r="AD11" i="26"/>
  <c r="AF11" i="26" s="1"/>
  <c r="AG11" i="26" s="1"/>
  <c r="R11" i="26"/>
  <c r="N11" i="26"/>
  <c r="J11" i="26"/>
  <c r="F11" i="26"/>
  <c r="B11" i="26"/>
  <c r="AK10" i="26"/>
  <c r="AL10" i="26" s="1"/>
  <c r="AD10" i="26"/>
  <c r="AF10" i="26" s="1"/>
  <c r="AG10" i="26" s="1"/>
  <c r="R10" i="26"/>
  <c r="N10" i="26"/>
  <c r="J10" i="26"/>
  <c r="F10" i="26"/>
  <c r="B10" i="26"/>
  <c r="AK9" i="26"/>
  <c r="AL9" i="26" s="1"/>
  <c r="AD9" i="26"/>
  <c r="AF9" i="26" s="1"/>
  <c r="AG9" i="26" s="1"/>
  <c r="R9" i="26"/>
  <c r="N9" i="26"/>
  <c r="J9" i="26"/>
  <c r="F9" i="26"/>
  <c r="B9" i="26"/>
  <c r="AK8" i="26"/>
  <c r="AL8" i="26" s="1"/>
  <c r="AD8" i="26"/>
  <c r="AF8" i="26" s="1"/>
  <c r="AG8" i="26" s="1"/>
  <c r="R8" i="26"/>
  <c r="N8" i="26"/>
  <c r="J8" i="26"/>
  <c r="F8" i="26"/>
  <c r="B8" i="26"/>
  <c r="AK7" i="26"/>
  <c r="AL7" i="26" s="1"/>
  <c r="AD7" i="26"/>
  <c r="AF7" i="26" s="1"/>
  <c r="AG7" i="26" s="1"/>
  <c r="R7" i="26"/>
  <c r="N7" i="26"/>
  <c r="J7" i="26"/>
  <c r="F7" i="26"/>
  <c r="B7" i="26"/>
  <c r="AK6" i="26"/>
  <c r="AL6" i="26" s="1"/>
  <c r="AD6" i="26"/>
  <c r="AF6" i="26" s="1"/>
  <c r="AG6" i="26" s="1"/>
  <c r="R6" i="26"/>
  <c r="N6" i="26"/>
  <c r="J6" i="26"/>
  <c r="F6" i="26"/>
  <c r="B6" i="26"/>
  <c r="AK5" i="26"/>
  <c r="AD5" i="26"/>
  <c r="AF5" i="26" s="1"/>
  <c r="AG5" i="26" s="1"/>
  <c r="R5" i="26"/>
  <c r="N5" i="26"/>
  <c r="J5" i="26"/>
  <c r="F5" i="26"/>
  <c r="B5" i="26"/>
  <c r="AM35" i="25"/>
  <c r="AJ35" i="25"/>
  <c r="AI35" i="25"/>
  <c r="AE35" i="25"/>
  <c r="AC35" i="25"/>
  <c r="AB35" i="25"/>
  <c r="AA35" i="25"/>
  <c r="Z35" i="25"/>
  <c r="Y35" i="25"/>
  <c r="X35" i="25"/>
  <c r="W35" i="25"/>
  <c r="V35" i="25"/>
  <c r="U35" i="25"/>
  <c r="T35" i="25"/>
  <c r="S35" i="25"/>
  <c r="Q35" i="25"/>
  <c r="P35" i="25"/>
  <c r="O35" i="25"/>
  <c r="M35" i="25"/>
  <c r="L35" i="25"/>
  <c r="K35" i="25"/>
  <c r="I35" i="25"/>
  <c r="H35" i="25"/>
  <c r="G35" i="25"/>
  <c r="E35" i="25"/>
  <c r="D35" i="25"/>
  <c r="C35" i="25"/>
  <c r="AF34" i="25"/>
  <c r="AG34" i="25" s="1"/>
  <c r="AD34" i="25"/>
  <c r="R34" i="25"/>
  <c r="N34" i="25"/>
  <c r="J34" i="25"/>
  <c r="F34" i="25"/>
  <c r="B34" i="25"/>
  <c r="AF33" i="25"/>
  <c r="AG33" i="25" s="1"/>
  <c r="AD33" i="25"/>
  <c r="R33" i="25"/>
  <c r="N33" i="25"/>
  <c r="J33" i="25"/>
  <c r="F33" i="25"/>
  <c r="B33" i="25"/>
  <c r="AF32" i="25"/>
  <c r="AG32" i="25" s="1"/>
  <c r="AD32" i="25"/>
  <c r="R32" i="25"/>
  <c r="N32" i="25"/>
  <c r="J32" i="25"/>
  <c r="F32" i="25"/>
  <c r="B32" i="25"/>
  <c r="AF31" i="25"/>
  <c r="AG31" i="25" s="1"/>
  <c r="AD31" i="25"/>
  <c r="R31" i="25"/>
  <c r="N31" i="25"/>
  <c r="J31" i="25"/>
  <c r="F31" i="25"/>
  <c r="B31" i="25"/>
  <c r="AF30" i="25"/>
  <c r="AG30" i="25" s="1"/>
  <c r="AD30" i="25"/>
  <c r="R30" i="25"/>
  <c r="N30" i="25"/>
  <c r="J30" i="25"/>
  <c r="F30" i="25"/>
  <c r="B30" i="25"/>
  <c r="AF29" i="25"/>
  <c r="AG29" i="25" s="1"/>
  <c r="AD29" i="25"/>
  <c r="R29" i="25"/>
  <c r="N29" i="25"/>
  <c r="J29" i="25"/>
  <c r="F29" i="25"/>
  <c r="B29" i="25"/>
  <c r="AF28" i="25"/>
  <c r="AG28" i="25" s="1"/>
  <c r="AD28" i="25"/>
  <c r="R28" i="25"/>
  <c r="N28" i="25"/>
  <c r="J28" i="25"/>
  <c r="F28" i="25"/>
  <c r="B28" i="25"/>
  <c r="AF27" i="25"/>
  <c r="AG27" i="25" s="1"/>
  <c r="AD27" i="25"/>
  <c r="R27" i="25"/>
  <c r="N27" i="25"/>
  <c r="J27" i="25"/>
  <c r="F27" i="25"/>
  <c r="B27" i="25"/>
  <c r="AF26" i="25"/>
  <c r="AG26" i="25" s="1"/>
  <c r="AD26" i="25"/>
  <c r="R26" i="25"/>
  <c r="N26" i="25"/>
  <c r="J26" i="25"/>
  <c r="F26" i="25"/>
  <c r="B26" i="25"/>
  <c r="AD25" i="25"/>
  <c r="AF25" i="25" s="1"/>
  <c r="AG25" i="25" s="1"/>
  <c r="R25" i="25"/>
  <c r="N25" i="25"/>
  <c r="J25" i="25"/>
  <c r="F25" i="25"/>
  <c r="B25" i="25"/>
  <c r="AD24" i="25"/>
  <c r="AF24" i="25" s="1"/>
  <c r="AG24" i="25" s="1"/>
  <c r="R24" i="25"/>
  <c r="N24" i="25"/>
  <c r="J24" i="25"/>
  <c r="F24" i="25"/>
  <c r="B24" i="25"/>
  <c r="AD23" i="25"/>
  <c r="AF23" i="25" s="1"/>
  <c r="AG23" i="25" s="1"/>
  <c r="R23" i="25"/>
  <c r="N23" i="25"/>
  <c r="J23" i="25"/>
  <c r="F23" i="25"/>
  <c r="B23" i="25"/>
  <c r="AD22" i="25"/>
  <c r="AF22" i="25" s="1"/>
  <c r="AG22" i="25" s="1"/>
  <c r="R22" i="25"/>
  <c r="N22" i="25"/>
  <c r="J22" i="25"/>
  <c r="F22" i="25"/>
  <c r="B22" i="25"/>
  <c r="AD21" i="25"/>
  <c r="AF21" i="25" s="1"/>
  <c r="AG21" i="25" s="1"/>
  <c r="R21" i="25"/>
  <c r="N21" i="25"/>
  <c r="J21" i="25"/>
  <c r="F21" i="25"/>
  <c r="B21" i="25"/>
  <c r="AD20" i="25"/>
  <c r="AF20" i="25" s="1"/>
  <c r="AG20" i="25" s="1"/>
  <c r="R20" i="25"/>
  <c r="N20" i="25"/>
  <c r="J20" i="25"/>
  <c r="F20" i="25"/>
  <c r="B20" i="25"/>
  <c r="AD19" i="25"/>
  <c r="AF19" i="25" s="1"/>
  <c r="AG19" i="25" s="1"/>
  <c r="R19" i="25"/>
  <c r="N19" i="25"/>
  <c r="J19" i="25"/>
  <c r="F19" i="25"/>
  <c r="B19" i="25"/>
  <c r="AK18" i="25"/>
  <c r="AL18" i="25" s="1"/>
  <c r="AD18" i="25"/>
  <c r="AF18" i="25" s="1"/>
  <c r="AG18" i="25" s="1"/>
  <c r="R18" i="25"/>
  <c r="N18" i="25"/>
  <c r="J18" i="25"/>
  <c r="F18" i="25"/>
  <c r="B18" i="25"/>
  <c r="AK17" i="25"/>
  <c r="AL17" i="25" s="1"/>
  <c r="AD17" i="25"/>
  <c r="AF17" i="25" s="1"/>
  <c r="AG17" i="25" s="1"/>
  <c r="R17" i="25"/>
  <c r="N17" i="25"/>
  <c r="J17" i="25"/>
  <c r="F17" i="25"/>
  <c r="B17" i="25"/>
  <c r="AK16" i="25"/>
  <c r="AL16" i="25" s="1"/>
  <c r="AD16" i="25"/>
  <c r="AF16" i="25" s="1"/>
  <c r="AG16" i="25" s="1"/>
  <c r="R16" i="25"/>
  <c r="N16" i="25"/>
  <c r="J16" i="25"/>
  <c r="F16" i="25"/>
  <c r="B16" i="25"/>
  <c r="AK15" i="25"/>
  <c r="AL15" i="25" s="1"/>
  <c r="AD15" i="25"/>
  <c r="AF15" i="25" s="1"/>
  <c r="AG15" i="25" s="1"/>
  <c r="R15" i="25"/>
  <c r="N15" i="25"/>
  <c r="J15" i="25"/>
  <c r="F15" i="25"/>
  <c r="B15" i="25"/>
  <c r="AK14" i="25"/>
  <c r="AL14" i="25" s="1"/>
  <c r="AD14" i="25"/>
  <c r="AF14" i="25" s="1"/>
  <c r="AG14" i="25" s="1"/>
  <c r="R14" i="25"/>
  <c r="N14" i="25"/>
  <c r="J14" i="25"/>
  <c r="F14" i="25"/>
  <c r="B14" i="25"/>
  <c r="AK13" i="25"/>
  <c r="AL13" i="25" s="1"/>
  <c r="AD13" i="25"/>
  <c r="AF13" i="25" s="1"/>
  <c r="AG13" i="25" s="1"/>
  <c r="R13" i="25"/>
  <c r="N13" i="25"/>
  <c r="J13" i="25"/>
  <c r="F13" i="25"/>
  <c r="B13" i="25"/>
  <c r="AK12" i="25"/>
  <c r="AL12" i="25" s="1"/>
  <c r="AD12" i="25"/>
  <c r="AF12" i="25" s="1"/>
  <c r="AG12" i="25" s="1"/>
  <c r="R12" i="25"/>
  <c r="N12" i="25"/>
  <c r="J12" i="25"/>
  <c r="F12" i="25"/>
  <c r="B12" i="25"/>
  <c r="AK11" i="25"/>
  <c r="AL11" i="25" s="1"/>
  <c r="AD11" i="25"/>
  <c r="AF11" i="25" s="1"/>
  <c r="AG11" i="25" s="1"/>
  <c r="R11" i="25"/>
  <c r="N11" i="25"/>
  <c r="J11" i="25"/>
  <c r="F11" i="25"/>
  <c r="B11" i="25"/>
  <c r="AK10" i="25"/>
  <c r="AL10" i="25" s="1"/>
  <c r="AD10" i="25"/>
  <c r="AF10" i="25" s="1"/>
  <c r="AG10" i="25" s="1"/>
  <c r="R10" i="25"/>
  <c r="N10" i="25"/>
  <c r="J10" i="25"/>
  <c r="F10" i="25"/>
  <c r="B10" i="25"/>
  <c r="AK9" i="25"/>
  <c r="AL9" i="25" s="1"/>
  <c r="AD9" i="25"/>
  <c r="AF9" i="25" s="1"/>
  <c r="AG9" i="25" s="1"/>
  <c r="R9" i="25"/>
  <c r="N9" i="25"/>
  <c r="J9" i="25"/>
  <c r="F9" i="25"/>
  <c r="B9" i="25"/>
  <c r="AK8" i="25"/>
  <c r="AL8" i="25" s="1"/>
  <c r="AD8" i="25"/>
  <c r="AF8" i="25" s="1"/>
  <c r="AG8" i="25" s="1"/>
  <c r="R8" i="25"/>
  <c r="N8" i="25"/>
  <c r="J8" i="25"/>
  <c r="F8" i="25"/>
  <c r="B8" i="25"/>
  <c r="AK7" i="25"/>
  <c r="AL7" i="25" s="1"/>
  <c r="AD7" i="25"/>
  <c r="AF7" i="25" s="1"/>
  <c r="AG7" i="25" s="1"/>
  <c r="R7" i="25"/>
  <c r="N7" i="25"/>
  <c r="J7" i="25"/>
  <c r="F7" i="25"/>
  <c r="B7" i="25"/>
  <c r="AK6" i="25"/>
  <c r="AL6" i="25" s="1"/>
  <c r="AD6" i="25"/>
  <c r="AF6" i="25" s="1"/>
  <c r="AG6" i="25" s="1"/>
  <c r="R6" i="25"/>
  <c r="N6" i="25"/>
  <c r="J6" i="25"/>
  <c r="F6" i="25"/>
  <c r="B6" i="25"/>
  <c r="AK5" i="25"/>
  <c r="AL5" i="25" s="1"/>
  <c r="AD5" i="25"/>
  <c r="AF5" i="25" s="1"/>
  <c r="AG5" i="25" s="1"/>
  <c r="R5" i="25"/>
  <c r="N5" i="25"/>
  <c r="J5" i="25"/>
  <c r="F5" i="25"/>
  <c r="B5" i="25"/>
  <c r="AM35" i="24"/>
  <c r="AJ35" i="24"/>
  <c r="AI35" i="24"/>
  <c r="AE35" i="24"/>
  <c r="AC35" i="24"/>
  <c r="AB35" i="24"/>
  <c r="AA35" i="24"/>
  <c r="Z35" i="24"/>
  <c r="Y35" i="24"/>
  <c r="X35" i="24"/>
  <c r="W35" i="24"/>
  <c r="V35" i="24"/>
  <c r="U35" i="24"/>
  <c r="T35" i="24"/>
  <c r="S35" i="24"/>
  <c r="Q35" i="24"/>
  <c r="P35" i="24"/>
  <c r="O35" i="24"/>
  <c r="M35" i="24"/>
  <c r="L35" i="24"/>
  <c r="K35" i="24"/>
  <c r="I35" i="24"/>
  <c r="H35" i="24"/>
  <c r="G35" i="24"/>
  <c r="E35" i="24"/>
  <c r="D35" i="24"/>
  <c r="C35" i="24"/>
  <c r="AF34" i="24"/>
  <c r="AG34" i="24" s="1"/>
  <c r="AD34" i="24"/>
  <c r="R34" i="24"/>
  <c r="N34" i="24"/>
  <c r="J34" i="24"/>
  <c r="F34" i="24"/>
  <c r="B34" i="24"/>
  <c r="AF33" i="24"/>
  <c r="AG33" i="24" s="1"/>
  <c r="AD33" i="24"/>
  <c r="R33" i="24"/>
  <c r="N33" i="24"/>
  <c r="J33" i="24"/>
  <c r="F33" i="24"/>
  <c r="B33" i="24"/>
  <c r="AF32" i="24"/>
  <c r="AG32" i="24" s="1"/>
  <c r="AD32" i="24"/>
  <c r="R32" i="24"/>
  <c r="N32" i="24"/>
  <c r="J32" i="24"/>
  <c r="F32" i="24"/>
  <c r="B32" i="24"/>
  <c r="AF31" i="24"/>
  <c r="AG31" i="24" s="1"/>
  <c r="AD31" i="24"/>
  <c r="R31" i="24"/>
  <c r="N31" i="24"/>
  <c r="J31" i="24"/>
  <c r="F31" i="24"/>
  <c r="B31" i="24"/>
  <c r="AF30" i="24"/>
  <c r="AG30" i="24" s="1"/>
  <c r="AD30" i="24"/>
  <c r="R30" i="24"/>
  <c r="N30" i="24"/>
  <c r="J30" i="24"/>
  <c r="F30" i="24"/>
  <c r="B30" i="24"/>
  <c r="AF29" i="24"/>
  <c r="AG29" i="24" s="1"/>
  <c r="AD29" i="24"/>
  <c r="R29" i="24"/>
  <c r="N29" i="24"/>
  <c r="J29" i="24"/>
  <c r="F29" i="24"/>
  <c r="B29" i="24"/>
  <c r="AF28" i="24"/>
  <c r="AG28" i="24" s="1"/>
  <c r="AD28" i="24"/>
  <c r="R28" i="24"/>
  <c r="N28" i="24"/>
  <c r="J28" i="24"/>
  <c r="F28" i="24"/>
  <c r="B28" i="24"/>
  <c r="AF27" i="24"/>
  <c r="AG27" i="24" s="1"/>
  <c r="AD27" i="24"/>
  <c r="R27" i="24"/>
  <c r="N27" i="24"/>
  <c r="J27" i="24"/>
  <c r="F27" i="24"/>
  <c r="B27" i="24"/>
  <c r="AD26" i="24"/>
  <c r="AF26" i="24" s="1"/>
  <c r="AG26" i="24" s="1"/>
  <c r="R26" i="24"/>
  <c r="N26" i="24"/>
  <c r="J26" i="24"/>
  <c r="F26" i="24"/>
  <c r="B26" i="24"/>
  <c r="AD25" i="24"/>
  <c r="AF25" i="24" s="1"/>
  <c r="AG25" i="24" s="1"/>
  <c r="R25" i="24"/>
  <c r="N25" i="24"/>
  <c r="J25" i="24"/>
  <c r="F25" i="24"/>
  <c r="B25" i="24"/>
  <c r="AF24" i="24"/>
  <c r="AG24" i="24" s="1"/>
  <c r="AD24" i="24"/>
  <c r="R24" i="24"/>
  <c r="N24" i="24"/>
  <c r="J24" i="24"/>
  <c r="F24" i="24"/>
  <c r="B24" i="24"/>
  <c r="AD23" i="24"/>
  <c r="AF23" i="24" s="1"/>
  <c r="AG23" i="24" s="1"/>
  <c r="R23" i="24"/>
  <c r="N23" i="24"/>
  <c r="J23" i="24"/>
  <c r="F23" i="24"/>
  <c r="B23" i="24"/>
  <c r="AD22" i="24"/>
  <c r="AF22" i="24" s="1"/>
  <c r="AG22" i="24" s="1"/>
  <c r="R22" i="24"/>
  <c r="N22" i="24"/>
  <c r="J22" i="24"/>
  <c r="F22" i="24"/>
  <c r="B22" i="24"/>
  <c r="AD21" i="24"/>
  <c r="AF21" i="24" s="1"/>
  <c r="AG21" i="24" s="1"/>
  <c r="R21" i="24"/>
  <c r="N21" i="24"/>
  <c r="J21" i="24"/>
  <c r="F21" i="24"/>
  <c r="B21" i="24"/>
  <c r="AD20" i="24"/>
  <c r="AF20" i="24" s="1"/>
  <c r="AG20" i="24" s="1"/>
  <c r="R20" i="24"/>
  <c r="N20" i="24"/>
  <c r="J20" i="24"/>
  <c r="F20" i="24"/>
  <c r="B20" i="24"/>
  <c r="AD19" i="24"/>
  <c r="AF19" i="24" s="1"/>
  <c r="AG19" i="24" s="1"/>
  <c r="R19" i="24"/>
  <c r="N19" i="24"/>
  <c r="J19" i="24"/>
  <c r="F19" i="24"/>
  <c r="B19" i="24"/>
  <c r="AD18" i="24"/>
  <c r="AF18" i="24" s="1"/>
  <c r="AG18" i="24" s="1"/>
  <c r="R18" i="24"/>
  <c r="N18" i="24"/>
  <c r="J18" i="24"/>
  <c r="F18" i="24"/>
  <c r="B18" i="24"/>
  <c r="AD17" i="24"/>
  <c r="AF17" i="24" s="1"/>
  <c r="AG17" i="24" s="1"/>
  <c r="R17" i="24"/>
  <c r="N17" i="24"/>
  <c r="J17" i="24"/>
  <c r="F17" i="24"/>
  <c r="B17" i="24"/>
  <c r="AD16" i="24"/>
  <c r="AF16" i="24" s="1"/>
  <c r="AG16" i="24" s="1"/>
  <c r="R16" i="24"/>
  <c r="N16" i="24"/>
  <c r="J16" i="24"/>
  <c r="F16" i="24"/>
  <c r="B16" i="24"/>
  <c r="AD15" i="24"/>
  <c r="AF15" i="24" s="1"/>
  <c r="AG15" i="24" s="1"/>
  <c r="R15" i="24"/>
  <c r="N15" i="24"/>
  <c r="J15" i="24"/>
  <c r="F15" i="24"/>
  <c r="B15" i="24"/>
  <c r="AD14" i="24"/>
  <c r="AF14" i="24" s="1"/>
  <c r="AG14" i="24" s="1"/>
  <c r="R14" i="24"/>
  <c r="N14" i="24"/>
  <c r="J14" i="24"/>
  <c r="F14" i="24"/>
  <c r="B14" i="24"/>
  <c r="AK13" i="24"/>
  <c r="AL13" i="24" s="1"/>
  <c r="AF13" i="24"/>
  <c r="AG13" i="24" s="1"/>
  <c r="AD13" i="24"/>
  <c r="R13" i="24"/>
  <c r="N13" i="24"/>
  <c r="J13" i="24"/>
  <c r="F13" i="24"/>
  <c r="B13" i="24"/>
  <c r="AK12" i="24"/>
  <c r="AL12" i="24" s="1"/>
  <c r="AF12" i="24"/>
  <c r="AG12" i="24" s="1"/>
  <c r="AD12" i="24"/>
  <c r="R12" i="24"/>
  <c r="N12" i="24"/>
  <c r="J12" i="24"/>
  <c r="F12" i="24"/>
  <c r="B12" i="24"/>
  <c r="AK11" i="24"/>
  <c r="AL11" i="24" s="1"/>
  <c r="AF11" i="24"/>
  <c r="AG11" i="24" s="1"/>
  <c r="AD11" i="24"/>
  <c r="R11" i="24"/>
  <c r="N11" i="24"/>
  <c r="J11" i="24"/>
  <c r="F11" i="24"/>
  <c r="B11" i="24"/>
  <c r="AK10" i="24"/>
  <c r="AL10" i="24" s="1"/>
  <c r="AF10" i="24"/>
  <c r="AG10" i="24" s="1"/>
  <c r="AD10" i="24"/>
  <c r="R10" i="24"/>
  <c r="N10" i="24"/>
  <c r="J10" i="24"/>
  <c r="F10" i="24"/>
  <c r="B10" i="24"/>
  <c r="AK9" i="24"/>
  <c r="AL9" i="24" s="1"/>
  <c r="AF9" i="24"/>
  <c r="AG9" i="24" s="1"/>
  <c r="AD9" i="24"/>
  <c r="R9" i="24"/>
  <c r="N9" i="24"/>
  <c r="J9" i="24"/>
  <c r="F9" i="24"/>
  <c r="B9" i="24"/>
  <c r="AK8" i="24"/>
  <c r="AL8" i="24" s="1"/>
  <c r="AF8" i="24"/>
  <c r="AG8" i="24" s="1"/>
  <c r="AD8" i="24"/>
  <c r="R8" i="24"/>
  <c r="N8" i="24"/>
  <c r="J8" i="24"/>
  <c r="F8" i="24"/>
  <c r="B8" i="24"/>
  <c r="AK7" i="24"/>
  <c r="AL7" i="24" s="1"/>
  <c r="AD7" i="24"/>
  <c r="AF7" i="24" s="1"/>
  <c r="AG7" i="24" s="1"/>
  <c r="R7" i="24"/>
  <c r="N7" i="24"/>
  <c r="J7" i="24"/>
  <c r="F7" i="24"/>
  <c r="B7" i="24"/>
  <c r="AK6" i="24"/>
  <c r="AL6" i="24" s="1"/>
  <c r="AD6" i="24"/>
  <c r="AF6" i="24" s="1"/>
  <c r="AG6" i="24" s="1"/>
  <c r="R6" i="24"/>
  <c r="N6" i="24"/>
  <c r="J6" i="24"/>
  <c r="F6" i="24"/>
  <c r="B6" i="24"/>
  <c r="AK5" i="24"/>
  <c r="AL5" i="24" s="1"/>
  <c r="AD5" i="24"/>
  <c r="AF5" i="24" s="1"/>
  <c r="AG5" i="24" s="1"/>
  <c r="R5" i="24"/>
  <c r="N5" i="24"/>
  <c r="J5" i="24"/>
  <c r="F5" i="24"/>
  <c r="B5" i="24"/>
  <c r="AM35" i="23"/>
  <c r="AJ35" i="23"/>
  <c r="AI35" i="23"/>
  <c r="AE35" i="23"/>
  <c r="AC35" i="23"/>
  <c r="AB35" i="23"/>
  <c r="AA35" i="23"/>
  <c r="Z35" i="23"/>
  <c r="Y35" i="23"/>
  <c r="X35" i="23"/>
  <c r="W35" i="23"/>
  <c r="V35" i="23"/>
  <c r="U35" i="23"/>
  <c r="T35" i="23"/>
  <c r="S35" i="23"/>
  <c r="Q35" i="23"/>
  <c r="P35" i="23"/>
  <c r="O35" i="23"/>
  <c r="M35" i="23"/>
  <c r="L35" i="23"/>
  <c r="K35" i="23"/>
  <c r="I35" i="23"/>
  <c r="H35" i="23"/>
  <c r="G35" i="23"/>
  <c r="E35" i="23"/>
  <c r="D35" i="23"/>
  <c r="C35" i="23"/>
  <c r="AF34" i="23"/>
  <c r="AG34" i="23" s="1"/>
  <c r="AD34" i="23"/>
  <c r="R34" i="23"/>
  <c r="N34" i="23"/>
  <c r="J34" i="23"/>
  <c r="F34" i="23"/>
  <c r="B34" i="23"/>
  <c r="AF33" i="23"/>
  <c r="AG33" i="23" s="1"/>
  <c r="AD33" i="23"/>
  <c r="R33" i="23"/>
  <c r="N33" i="23"/>
  <c r="J33" i="23"/>
  <c r="F33" i="23"/>
  <c r="B33" i="23"/>
  <c r="AF32" i="23"/>
  <c r="AG32" i="23" s="1"/>
  <c r="AD32" i="23"/>
  <c r="R32" i="23"/>
  <c r="N32" i="23"/>
  <c r="J32" i="23"/>
  <c r="F32" i="23"/>
  <c r="B32" i="23"/>
  <c r="AF31" i="23"/>
  <c r="AG31" i="23" s="1"/>
  <c r="AD31" i="23"/>
  <c r="R31" i="23"/>
  <c r="N31" i="23"/>
  <c r="J31" i="23"/>
  <c r="F31" i="23"/>
  <c r="B31" i="23"/>
  <c r="AF30" i="23"/>
  <c r="AG30" i="23" s="1"/>
  <c r="AD30" i="23"/>
  <c r="R30" i="23"/>
  <c r="N30" i="23"/>
  <c r="J30" i="23"/>
  <c r="F30" i="23"/>
  <c r="B30" i="23"/>
  <c r="AF29" i="23"/>
  <c r="AG29" i="23" s="1"/>
  <c r="AD29" i="23"/>
  <c r="R29" i="23"/>
  <c r="N29" i="23"/>
  <c r="J29" i="23"/>
  <c r="F29" i="23"/>
  <c r="B29" i="23"/>
  <c r="AF28" i="23"/>
  <c r="AG28" i="23" s="1"/>
  <c r="AD28" i="23"/>
  <c r="R28" i="23"/>
  <c r="N28" i="23"/>
  <c r="J28" i="23"/>
  <c r="F28" i="23"/>
  <c r="B28" i="23"/>
  <c r="AF27" i="23"/>
  <c r="AG27" i="23" s="1"/>
  <c r="AD27" i="23"/>
  <c r="R27" i="23"/>
  <c r="N27" i="23"/>
  <c r="J27" i="23"/>
  <c r="F27" i="23"/>
  <c r="B27" i="23"/>
  <c r="AF26" i="23"/>
  <c r="AG26" i="23" s="1"/>
  <c r="AD26" i="23"/>
  <c r="R26" i="23"/>
  <c r="N26" i="23"/>
  <c r="J26" i="23"/>
  <c r="F26" i="23"/>
  <c r="B26" i="23"/>
  <c r="AD25" i="23"/>
  <c r="AF25" i="23" s="1"/>
  <c r="AG25" i="23" s="1"/>
  <c r="R25" i="23"/>
  <c r="N25" i="23"/>
  <c r="J25" i="23"/>
  <c r="F25" i="23"/>
  <c r="B25" i="23"/>
  <c r="AD24" i="23"/>
  <c r="AF24" i="23" s="1"/>
  <c r="AG24" i="23" s="1"/>
  <c r="R24" i="23"/>
  <c r="N24" i="23"/>
  <c r="J24" i="23"/>
  <c r="F24" i="23"/>
  <c r="B24" i="23"/>
  <c r="AD23" i="23"/>
  <c r="AF23" i="23" s="1"/>
  <c r="AG23" i="23" s="1"/>
  <c r="R23" i="23"/>
  <c r="N23" i="23"/>
  <c r="J23" i="23"/>
  <c r="F23" i="23"/>
  <c r="B23" i="23"/>
  <c r="AD22" i="23"/>
  <c r="AF22" i="23" s="1"/>
  <c r="AG22" i="23" s="1"/>
  <c r="R22" i="23"/>
  <c r="N22" i="23"/>
  <c r="J22" i="23"/>
  <c r="F22" i="23"/>
  <c r="B22" i="23"/>
  <c r="AD21" i="23"/>
  <c r="AF21" i="23" s="1"/>
  <c r="AG21" i="23" s="1"/>
  <c r="R21" i="23"/>
  <c r="N21" i="23"/>
  <c r="J21" i="23"/>
  <c r="F21" i="23"/>
  <c r="B21" i="23"/>
  <c r="AF20" i="23"/>
  <c r="AG20" i="23" s="1"/>
  <c r="AD20" i="23"/>
  <c r="R20" i="23"/>
  <c r="N20" i="23"/>
  <c r="J20" i="23"/>
  <c r="F20" i="23"/>
  <c r="B20" i="23"/>
  <c r="AD19" i="23"/>
  <c r="AF19" i="23" s="1"/>
  <c r="AG19" i="23" s="1"/>
  <c r="R19" i="23"/>
  <c r="N19" i="23"/>
  <c r="J19" i="23"/>
  <c r="F19" i="23"/>
  <c r="B19" i="23"/>
  <c r="AD18" i="23"/>
  <c r="AF18" i="23" s="1"/>
  <c r="AG18" i="23" s="1"/>
  <c r="R18" i="23"/>
  <c r="N18" i="23"/>
  <c r="J18" i="23"/>
  <c r="F18" i="23"/>
  <c r="B18" i="23"/>
  <c r="AD17" i="23"/>
  <c r="AF17" i="23" s="1"/>
  <c r="AG17" i="23" s="1"/>
  <c r="R17" i="23"/>
  <c r="N17" i="23"/>
  <c r="J17" i="23"/>
  <c r="F17" i="23"/>
  <c r="B17" i="23"/>
  <c r="AD16" i="23"/>
  <c r="AF16" i="23" s="1"/>
  <c r="AG16" i="23" s="1"/>
  <c r="R16" i="23"/>
  <c r="N16" i="23"/>
  <c r="J16" i="23"/>
  <c r="F16" i="23"/>
  <c r="B16" i="23"/>
  <c r="AD15" i="23"/>
  <c r="AF15" i="23" s="1"/>
  <c r="AG15" i="23" s="1"/>
  <c r="R15" i="23"/>
  <c r="N15" i="23"/>
  <c r="J15" i="23"/>
  <c r="F15" i="23"/>
  <c r="B15" i="23"/>
  <c r="AD14" i="23"/>
  <c r="AF14" i="23" s="1"/>
  <c r="AG14" i="23" s="1"/>
  <c r="R14" i="23"/>
  <c r="N14" i="23"/>
  <c r="J14" i="23"/>
  <c r="F14" i="23"/>
  <c r="B14" i="23"/>
  <c r="AK13" i="23"/>
  <c r="AL13" i="23" s="1"/>
  <c r="AD13" i="23"/>
  <c r="AF13" i="23" s="1"/>
  <c r="AG13" i="23" s="1"/>
  <c r="R13" i="23"/>
  <c r="N13" i="23"/>
  <c r="J13" i="23"/>
  <c r="F13" i="23"/>
  <c r="B13" i="23"/>
  <c r="AK12" i="23"/>
  <c r="AL12" i="23" s="1"/>
  <c r="AD12" i="23"/>
  <c r="AF12" i="23" s="1"/>
  <c r="AG12" i="23" s="1"/>
  <c r="R12" i="23"/>
  <c r="N12" i="23"/>
  <c r="J12" i="23"/>
  <c r="F12" i="23"/>
  <c r="B12" i="23"/>
  <c r="AK11" i="23"/>
  <c r="AL11" i="23" s="1"/>
  <c r="AD11" i="23"/>
  <c r="AF11" i="23" s="1"/>
  <c r="AG11" i="23" s="1"/>
  <c r="R11" i="23"/>
  <c r="N11" i="23"/>
  <c r="J11" i="23"/>
  <c r="F11" i="23"/>
  <c r="B11" i="23"/>
  <c r="AK10" i="23"/>
  <c r="AL10" i="23" s="1"/>
  <c r="AD10" i="23"/>
  <c r="AF10" i="23" s="1"/>
  <c r="AG10" i="23" s="1"/>
  <c r="R10" i="23"/>
  <c r="N10" i="23"/>
  <c r="J10" i="23"/>
  <c r="F10" i="23"/>
  <c r="B10" i="23"/>
  <c r="AK9" i="23"/>
  <c r="AL9" i="23" s="1"/>
  <c r="AD9" i="23"/>
  <c r="AF9" i="23" s="1"/>
  <c r="AG9" i="23" s="1"/>
  <c r="R9" i="23"/>
  <c r="N9" i="23"/>
  <c r="J9" i="23"/>
  <c r="F9" i="23"/>
  <c r="B9" i="23"/>
  <c r="AK8" i="23"/>
  <c r="AL8" i="23" s="1"/>
  <c r="AD8" i="23"/>
  <c r="AF8" i="23" s="1"/>
  <c r="AG8" i="23" s="1"/>
  <c r="R8" i="23"/>
  <c r="N8" i="23"/>
  <c r="J8" i="23"/>
  <c r="F8" i="23"/>
  <c r="B8" i="23"/>
  <c r="AK7" i="23"/>
  <c r="AL7" i="23" s="1"/>
  <c r="AD7" i="23"/>
  <c r="AF7" i="23" s="1"/>
  <c r="AG7" i="23" s="1"/>
  <c r="R7" i="23"/>
  <c r="N7" i="23"/>
  <c r="J7" i="23"/>
  <c r="F7" i="23"/>
  <c r="B7" i="23"/>
  <c r="AK6" i="23"/>
  <c r="AL6" i="23" s="1"/>
  <c r="AD6" i="23"/>
  <c r="AF6" i="23" s="1"/>
  <c r="R6" i="23"/>
  <c r="N6" i="23"/>
  <c r="J6" i="23"/>
  <c r="F6" i="23"/>
  <c r="B6" i="23"/>
  <c r="AK5" i="23"/>
  <c r="AL5" i="23" s="1"/>
  <c r="AD5" i="23"/>
  <c r="AF5" i="23" s="1"/>
  <c r="AG5" i="23" s="1"/>
  <c r="R5" i="23"/>
  <c r="N5" i="23"/>
  <c r="J5" i="23"/>
  <c r="F5" i="23"/>
  <c r="B5" i="23"/>
  <c r="AM35" i="22"/>
  <c r="AJ35" i="22"/>
  <c r="AI35" i="22"/>
  <c r="AE35" i="22"/>
  <c r="AC35" i="22"/>
  <c r="AB35" i="22"/>
  <c r="AA35" i="22"/>
  <c r="Z35" i="22"/>
  <c r="Y35" i="22"/>
  <c r="X35" i="22"/>
  <c r="W35" i="22"/>
  <c r="V35" i="22"/>
  <c r="U35" i="22"/>
  <c r="T35" i="22"/>
  <c r="S35" i="22"/>
  <c r="Q35" i="22"/>
  <c r="P35" i="22"/>
  <c r="O35" i="22"/>
  <c r="M35" i="22"/>
  <c r="L35" i="22"/>
  <c r="K35" i="22"/>
  <c r="I35" i="22"/>
  <c r="H35" i="22"/>
  <c r="G35" i="22"/>
  <c r="E35" i="22"/>
  <c r="D35" i="22"/>
  <c r="C35" i="22"/>
  <c r="AF34" i="22"/>
  <c r="AG34" i="22" s="1"/>
  <c r="AD34" i="22"/>
  <c r="R34" i="22"/>
  <c r="N34" i="22"/>
  <c r="J34" i="22"/>
  <c r="F34" i="22"/>
  <c r="B34" i="22"/>
  <c r="AF33" i="22"/>
  <c r="AG33" i="22" s="1"/>
  <c r="AD33" i="22"/>
  <c r="R33" i="22"/>
  <c r="N33" i="22"/>
  <c r="J33" i="22"/>
  <c r="F33" i="22"/>
  <c r="B33" i="22"/>
  <c r="AF32" i="22"/>
  <c r="AG32" i="22" s="1"/>
  <c r="AD32" i="22"/>
  <c r="R32" i="22"/>
  <c r="N32" i="22"/>
  <c r="J32" i="22"/>
  <c r="F32" i="22"/>
  <c r="B32" i="22"/>
  <c r="AF31" i="22"/>
  <c r="AG31" i="22" s="1"/>
  <c r="AD31" i="22"/>
  <c r="R31" i="22"/>
  <c r="N31" i="22"/>
  <c r="J31" i="22"/>
  <c r="F31" i="22"/>
  <c r="B31" i="22"/>
  <c r="AF30" i="22"/>
  <c r="AG30" i="22" s="1"/>
  <c r="AD30" i="22"/>
  <c r="R30" i="22"/>
  <c r="N30" i="22"/>
  <c r="J30" i="22"/>
  <c r="F30" i="22"/>
  <c r="B30" i="22"/>
  <c r="AF29" i="22"/>
  <c r="AG29" i="22" s="1"/>
  <c r="AD29" i="22"/>
  <c r="R29" i="22"/>
  <c r="N29" i="22"/>
  <c r="J29" i="22"/>
  <c r="F29" i="22"/>
  <c r="B29" i="22"/>
  <c r="AF28" i="22"/>
  <c r="AG28" i="22" s="1"/>
  <c r="AD28" i="22"/>
  <c r="R28" i="22"/>
  <c r="N28" i="22"/>
  <c r="J28" i="22"/>
  <c r="F28" i="22"/>
  <c r="B28" i="22"/>
  <c r="AF27" i="22"/>
  <c r="AG27" i="22" s="1"/>
  <c r="AD27" i="22"/>
  <c r="R27" i="22"/>
  <c r="N27" i="22"/>
  <c r="J27" i="22"/>
  <c r="F27" i="22"/>
  <c r="B27" i="22"/>
  <c r="AF26" i="22"/>
  <c r="AG26" i="22" s="1"/>
  <c r="AD26" i="22"/>
  <c r="R26" i="22"/>
  <c r="N26" i="22"/>
  <c r="J26" i="22"/>
  <c r="F26" i="22"/>
  <c r="B26" i="22"/>
  <c r="AF25" i="22"/>
  <c r="AG25" i="22" s="1"/>
  <c r="AD25" i="22"/>
  <c r="R25" i="22"/>
  <c r="N25" i="22"/>
  <c r="J25" i="22"/>
  <c r="F25" i="22"/>
  <c r="B25" i="22"/>
  <c r="AD24" i="22"/>
  <c r="AF24" i="22" s="1"/>
  <c r="AG24" i="22" s="1"/>
  <c r="R24" i="22"/>
  <c r="N24" i="22"/>
  <c r="J24" i="22"/>
  <c r="F24" i="22"/>
  <c r="B24" i="22"/>
  <c r="AD23" i="22"/>
  <c r="AF23" i="22" s="1"/>
  <c r="AG23" i="22" s="1"/>
  <c r="R23" i="22"/>
  <c r="N23" i="22"/>
  <c r="J23" i="22"/>
  <c r="F23" i="22"/>
  <c r="B23" i="22"/>
  <c r="AD22" i="22"/>
  <c r="AF22" i="22" s="1"/>
  <c r="AG22" i="22" s="1"/>
  <c r="R22" i="22"/>
  <c r="N22" i="22"/>
  <c r="J22" i="22"/>
  <c r="F22" i="22"/>
  <c r="B22" i="22"/>
  <c r="AD21" i="22"/>
  <c r="AF21" i="22" s="1"/>
  <c r="AG21" i="22" s="1"/>
  <c r="R21" i="22"/>
  <c r="N21" i="22"/>
  <c r="J21" i="22"/>
  <c r="F21" i="22"/>
  <c r="B21" i="22"/>
  <c r="AD20" i="22"/>
  <c r="AF20" i="22" s="1"/>
  <c r="AG20" i="22" s="1"/>
  <c r="R20" i="22"/>
  <c r="N20" i="22"/>
  <c r="J20" i="22"/>
  <c r="F20" i="22"/>
  <c r="B20" i="22"/>
  <c r="AD19" i="22"/>
  <c r="AF19" i="22" s="1"/>
  <c r="AG19" i="22" s="1"/>
  <c r="R19" i="22"/>
  <c r="N19" i="22"/>
  <c r="J19" i="22"/>
  <c r="F19" i="22"/>
  <c r="B19" i="22"/>
  <c r="AK18" i="22"/>
  <c r="AL18" i="22" s="1"/>
  <c r="AD18" i="22"/>
  <c r="AF18" i="22" s="1"/>
  <c r="AG18" i="22" s="1"/>
  <c r="R18" i="22"/>
  <c r="N18" i="22"/>
  <c r="J18" i="22"/>
  <c r="F18" i="22"/>
  <c r="B18" i="22"/>
  <c r="AK17" i="22"/>
  <c r="AL17" i="22" s="1"/>
  <c r="AD17" i="22"/>
  <c r="AF17" i="22" s="1"/>
  <c r="AG17" i="22" s="1"/>
  <c r="R17" i="22"/>
  <c r="N17" i="22"/>
  <c r="J17" i="22"/>
  <c r="F17" i="22"/>
  <c r="B17" i="22"/>
  <c r="AK16" i="22"/>
  <c r="AL16" i="22" s="1"/>
  <c r="AD16" i="22"/>
  <c r="AF16" i="22" s="1"/>
  <c r="AG16" i="22" s="1"/>
  <c r="R16" i="22"/>
  <c r="N16" i="22"/>
  <c r="J16" i="22"/>
  <c r="F16" i="22"/>
  <c r="B16" i="22"/>
  <c r="AK15" i="22"/>
  <c r="AL15" i="22" s="1"/>
  <c r="AD15" i="22"/>
  <c r="AF15" i="22" s="1"/>
  <c r="AG15" i="22" s="1"/>
  <c r="R15" i="22"/>
  <c r="N15" i="22"/>
  <c r="J15" i="22"/>
  <c r="F15" i="22"/>
  <c r="B15" i="22"/>
  <c r="AK14" i="22"/>
  <c r="AL14" i="22" s="1"/>
  <c r="AD14" i="22"/>
  <c r="AF14" i="22" s="1"/>
  <c r="AG14" i="22" s="1"/>
  <c r="R14" i="22"/>
  <c r="N14" i="22"/>
  <c r="J14" i="22"/>
  <c r="F14" i="22"/>
  <c r="B14" i="22"/>
  <c r="AK13" i="22"/>
  <c r="AL13" i="22" s="1"/>
  <c r="AD13" i="22"/>
  <c r="AF13" i="22" s="1"/>
  <c r="AG13" i="22" s="1"/>
  <c r="R13" i="22"/>
  <c r="N13" i="22"/>
  <c r="J13" i="22"/>
  <c r="F13" i="22"/>
  <c r="B13" i="22"/>
  <c r="AK12" i="22"/>
  <c r="AL12" i="22" s="1"/>
  <c r="AD12" i="22"/>
  <c r="AF12" i="22" s="1"/>
  <c r="AG12" i="22" s="1"/>
  <c r="R12" i="22"/>
  <c r="N12" i="22"/>
  <c r="J12" i="22"/>
  <c r="F12" i="22"/>
  <c r="B12" i="22"/>
  <c r="AK11" i="22"/>
  <c r="AL11" i="22" s="1"/>
  <c r="AD11" i="22"/>
  <c r="AF11" i="22" s="1"/>
  <c r="AG11" i="22" s="1"/>
  <c r="R11" i="22"/>
  <c r="N11" i="22"/>
  <c r="J11" i="22"/>
  <c r="F11" i="22"/>
  <c r="B11" i="22"/>
  <c r="AK10" i="22"/>
  <c r="AL10" i="22" s="1"/>
  <c r="AD10" i="22"/>
  <c r="AF10" i="22" s="1"/>
  <c r="AG10" i="22" s="1"/>
  <c r="R10" i="22"/>
  <c r="N10" i="22"/>
  <c r="J10" i="22"/>
  <c r="F10" i="22"/>
  <c r="B10" i="22"/>
  <c r="AK9" i="22"/>
  <c r="AL9" i="22" s="1"/>
  <c r="AD9" i="22"/>
  <c r="AF9" i="22" s="1"/>
  <c r="AG9" i="22" s="1"/>
  <c r="R9" i="22"/>
  <c r="N9" i="22"/>
  <c r="J9" i="22"/>
  <c r="F9" i="22"/>
  <c r="B9" i="22"/>
  <c r="AK8" i="22"/>
  <c r="AL8" i="22" s="1"/>
  <c r="AD8" i="22"/>
  <c r="AF8" i="22" s="1"/>
  <c r="AG8" i="22" s="1"/>
  <c r="R8" i="22"/>
  <c r="N8" i="22"/>
  <c r="J8" i="22"/>
  <c r="F8" i="22"/>
  <c r="B8" i="22"/>
  <c r="AK7" i="22"/>
  <c r="AL7" i="22" s="1"/>
  <c r="AD7" i="22"/>
  <c r="AF7" i="22" s="1"/>
  <c r="AG7" i="22" s="1"/>
  <c r="R7" i="22"/>
  <c r="N7" i="22"/>
  <c r="J7" i="22"/>
  <c r="F7" i="22"/>
  <c r="B7" i="22"/>
  <c r="AK6" i="22"/>
  <c r="AL6" i="22" s="1"/>
  <c r="AD6" i="22"/>
  <c r="AF6" i="22" s="1"/>
  <c r="AG6" i="22" s="1"/>
  <c r="R6" i="22"/>
  <c r="N6" i="22"/>
  <c r="J6" i="22"/>
  <c r="F6" i="22"/>
  <c r="B6" i="22"/>
  <c r="AK5" i="22"/>
  <c r="AL5" i="22" s="1"/>
  <c r="AD5" i="22"/>
  <c r="AF5" i="22" s="1"/>
  <c r="AG5" i="22" s="1"/>
  <c r="R5" i="22"/>
  <c r="N5" i="22"/>
  <c r="J5" i="22"/>
  <c r="F5" i="22"/>
  <c r="B5" i="22"/>
  <c r="AM35" i="21"/>
  <c r="AJ35" i="21"/>
  <c r="AI35" i="21"/>
  <c r="AE35" i="21"/>
  <c r="AC35" i="21"/>
  <c r="AB35" i="21"/>
  <c r="AA35" i="21"/>
  <c r="Z35" i="21"/>
  <c r="Y35" i="21"/>
  <c r="X35" i="21"/>
  <c r="W35" i="21"/>
  <c r="V35" i="21"/>
  <c r="U35" i="21"/>
  <c r="T35" i="21"/>
  <c r="S35" i="21"/>
  <c r="Q35" i="21"/>
  <c r="P35" i="21"/>
  <c r="O35" i="21"/>
  <c r="M35" i="21"/>
  <c r="L35" i="21"/>
  <c r="K35" i="21"/>
  <c r="I35" i="21"/>
  <c r="H35" i="21"/>
  <c r="G35" i="21"/>
  <c r="E35" i="21"/>
  <c r="D35" i="21"/>
  <c r="C35" i="21"/>
  <c r="AF34" i="21"/>
  <c r="AG34" i="21" s="1"/>
  <c r="AD34" i="21"/>
  <c r="R34" i="21"/>
  <c r="N34" i="21"/>
  <c r="J34" i="21"/>
  <c r="F34" i="21"/>
  <c r="B34" i="21"/>
  <c r="AF33" i="21"/>
  <c r="AG33" i="21" s="1"/>
  <c r="AD33" i="21"/>
  <c r="R33" i="21"/>
  <c r="N33" i="21"/>
  <c r="J33" i="21"/>
  <c r="F33" i="21"/>
  <c r="B33" i="21"/>
  <c r="AF32" i="21"/>
  <c r="AG32" i="21" s="1"/>
  <c r="AD32" i="21"/>
  <c r="R32" i="21"/>
  <c r="N32" i="21"/>
  <c r="J32" i="21"/>
  <c r="F32" i="21"/>
  <c r="B32" i="21"/>
  <c r="AF31" i="21"/>
  <c r="AG31" i="21" s="1"/>
  <c r="AD31" i="21"/>
  <c r="R31" i="21"/>
  <c r="N31" i="21"/>
  <c r="J31" i="21"/>
  <c r="F31" i="21"/>
  <c r="B31" i="21"/>
  <c r="AF30" i="21"/>
  <c r="AG30" i="21" s="1"/>
  <c r="AD30" i="21"/>
  <c r="R30" i="21"/>
  <c r="N30" i="21"/>
  <c r="J30" i="21"/>
  <c r="F30" i="21"/>
  <c r="B30" i="21"/>
  <c r="AD29" i="21"/>
  <c r="AF29" i="21" s="1"/>
  <c r="AG29" i="21" s="1"/>
  <c r="R29" i="21"/>
  <c r="N29" i="21"/>
  <c r="J29" i="21"/>
  <c r="F29" i="21"/>
  <c r="B29" i="21"/>
  <c r="AD28" i="21"/>
  <c r="AF28" i="21" s="1"/>
  <c r="AG28" i="21" s="1"/>
  <c r="R28" i="21"/>
  <c r="N28" i="21"/>
  <c r="J28" i="21"/>
  <c r="F28" i="21"/>
  <c r="B28" i="21"/>
  <c r="AD27" i="21"/>
  <c r="AF27" i="21" s="1"/>
  <c r="AG27" i="21" s="1"/>
  <c r="R27" i="21"/>
  <c r="N27" i="21"/>
  <c r="J27" i="21"/>
  <c r="F27" i="21"/>
  <c r="B27" i="21"/>
  <c r="AD26" i="21"/>
  <c r="AF26" i="21" s="1"/>
  <c r="AG26" i="21" s="1"/>
  <c r="R26" i="21"/>
  <c r="N26" i="21"/>
  <c r="J26" i="21"/>
  <c r="F26" i="21"/>
  <c r="B26" i="21"/>
  <c r="AF25" i="21"/>
  <c r="AG25" i="21" s="1"/>
  <c r="AD25" i="21"/>
  <c r="R25" i="21"/>
  <c r="N25" i="21"/>
  <c r="J25" i="21"/>
  <c r="F25" i="21"/>
  <c r="B25" i="21"/>
  <c r="AD24" i="21"/>
  <c r="AF24" i="21" s="1"/>
  <c r="AG24" i="21" s="1"/>
  <c r="R24" i="21"/>
  <c r="N24" i="21"/>
  <c r="J24" i="21"/>
  <c r="F24" i="21"/>
  <c r="B24" i="21"/>
  <c r="AD23" i="21"/>
  <c r="AF23" i="21" s="1"/>
  <c r="AG23" i="21" s="1"/>
  <c r="R23" i="21"/>
  <c r="N23" i="21"/>
  <c r="J23" i="21"/>
  <c r="F23" i="21"/>
  <c r="B23" i="21"/>
  <c r="AD22" i="21"/>
  <c r="AF22" i="21" s="1"/>
  <c r="AG22" i="21" s="1"/>
  <c r="R22" i="21"/>
  <c r="N22" i="21"/>
  <c r="J22" i="21"/>
  <c r="F22" i="21"/>
  <c r="B22" i="21"/>
  <c r="AD21" i="21"/>
  <c r="AF21" i="21" s="1"/>
  <c r="AG21" i="21" s="1"/>
  <c r="R21" i="21"/>
  <c r="N21" i="21"/>
  <c r="J21" i="21"/>
  <c r="F21" i="21"/>
  <c r="B21" i="21"/>
  <c r="AD20" i="21"/>
  <c r="AF20" i="21" s="1"/>
  <c r="AG20" i="21" s="1"/>
  <c r="R20" i="21"/>
  <c r="N20" i="21"/>
  <c r="J20" i="21"/>
  <c r="F20" i="21"/>
  <c r="B20" i="21"/>
  <c r="AD19" i="21"/>
  <c r="AF19" i="21" s="1"/>
  <c r="AG19" i="21" s="1"/>
  <c r="R19" i="21"/>
  <c r="N19" i="21"/>
  <c r="J19" i="21"/>
  <c r="F19" i="21"/>
  <c r="B19" i="21"/>
  <c r="AD18" i="21"/>
  <c r="AF18" i="21" s="1"/>
  <c r="AG18" i="21" s="1"/>
  <c r="R18" i="21"/>
  <c r="N18" i="21"/>
  <c r="J18" i="21"/>
  <c r="F18" i="21"/>
  <c r="B18" i="21"/>
  <c r="AK17" i="21"/>
  <c r="AL17" i="21" s="1"/>
  <c r="AD17" i="21"/>
  <c r="AF17" i="21" s="1"/>
  <c r="AG17" i="21" s="1"/>
  <c r="R17" i="21"/>
  <c r="N17" i="21"/>
  <c r="J17" i="21"/>
  <c r="F17" i="21"/>
  <c r="B17" i="21"/>
  <c r="AK16" i="21"/>
  <c r="AL16" i="21" s="1"/>
  <c r="AD16" i="21"/>
  <c r="AF16" i="21" s="1"/>
  <c r="AG16" i="21" s="1"/>
  <c r="R16" i="21"/>
  <c r="N16" i="21"/>
  <c r="J16" i="21"/>
  <c r="F16" i="21"/>
  <c r="B16" i="21"/>
  <c r="AK15" i="21"/>
  <c r="AL15" i="21" s="1"/>
  <c r="AD15" i="21"/>
  <c r="AF15" i="21" s="1"/>
  <c r="AG15" i="21" s="1"/>
  <c r="R15" i="21"/>
  <c r="N15" i="21"/>
  <c r="J15" i="21"/>
  <c r="F15" i="21"/>
  <c r="B15" i="21"/>
  <c r="AK14" i="21"/>
  <c r="AL14" i="21" s="1"/>
  <c r="AD14" i="21"/>
  <c r="AF14" i="21" s="1"/>
  <c r="AG14" i="21" s="1"/>
  <c r="R14" i="21"/>
  <c r="N14" i="21"/>
  <c r="J14" i="21"/>
  <c r="F14" i="21"/>
  <c r="B14" i="21"/>
  <c r="AK13" i="21"/>
  <c r="AL13" i="21" s="1"/>
  <c r="AD13" i="21"/>
  <c r="AF13" i="21" s="1"/>
  <c r="AG13" i="21" s="1"/>
  <c r="R13" i="21"/>
  <c r="N13" i="21"/>
  <c r="J13" i="21"/>
  <c r="F13" i="21"/>
  <c r="B13" i="21"/>
  <c r="AK12" i="21"/>
  <c r="AL12" i="21" s="1"/>
  <c r="AD12" i="21"/>
  <c r="AF12" i="21" s="1"/>
  <c r="AG12" i="21" s="1"/>
  <c r="R12" i="21"/>
  <c r="N12" i="21"/>
  <c r="J12" i="21"/>
  <c r="F12" i="21"/>
  <c r="B12" i="21"/>
  <c r="AK11" i="21"/>
  <c r="AL11" i="21" s="1"/>
  <c r="AD11" i="21"/>
  <c r="AF11" i="21" s="1"/>
  <c r="AG11" i="21" s="1"/>
  <c r="R11" i="21"/>
  <c r="N11" i="21"/>
  <c r="J11" i="21"/>
  <c r="F11" i="21"/>
  <c r="B11" i="21"/>
  <c r="AK10" i="21"/>
  <c r="AL10" i="21" s="1"/>
  <c r="AD10" i="21"/>
  <c r="AF10" i="21" s="1"/>
  <c r="AG10" i="21" s="1"/>
  <c r="R10" i="21"/>
  <c r="N10" i="21"/>
  <c r="J10" i="21"/>
  <c r="F10" i="21"/>
  <c r="B10" i="21"/>
  <c r="AK9" i="21"/>
  <c r="AL9" i="21" s="1"/>
  <c r="AD9" i="21"/>
  <c r="AF9" i="21" s="1"/>
  <c r="AG9" i="21" s="1"/>
  <c r="R9" i="21"/>
  <c r="N9" i="21"/>
  <c r="J9" i="21"/>
  <c r="F9" i="21"/>
  <c r="B9" i="21"/>
  <c r="AK8" i="21"/>
  <c r="AL8" i="21" s="1"/>
  <c r="AD8" i="21"/>
  <c r="AF8" i="21" s="1"/>
  <c r="AG8" i="21" s="1"/>
  <c r="R8" i="21"/>
  <c r="N8" i="21"/>
  <c r="J8" i="21"/>
  <c r="F8" i="21"/>
  <c r="B8" i="21"/>
  <c r="AK7" i="21"/>
  <c r="AL7" i="21" s="1"/>
  <c r="AD7" i="21"/>
  <c r="AF7" i="21" s="1"/>
  <c r="AG7" i="21" s="1"/>
  <c r="R7" i="21"/>
  <c r="N7" i="21"/>
  <c r="J7" i="21"/>
  <c r="F7" i="21"/>
  <c r="B7" i="21"/>
  <c r="AK6" i="21"/>
  <c r="AL6" i="21" s="1"/>
  <c r="AD6" i="21"/>
  <c r="AF6" i="21" s="1"/>
  <c r="R6" i="21"/>
  <c r="N6" i="21"/>
  <c r="J6" i="21"/>
  <c r="F6" i="21"/>
  <c r="B6" i="21"/>
  <c r="AK5" i="21"/>
  <c r="AL5" i="21" s="1"/>
  <c r="AD5" i="21"/>
  <c r="AF5" i="21" s="1"/>
  <c r="AG5" i="21" s="1"/>
  <c r="R5" i="21"/>
  <c r="N5" i="21"/>
  <c r="J5" i="21"/>
  <c r="F5" i="21"/>
  <c r="B5" i="21"/>
  <c r="AM35" i="20"/>
  <c r="AJ35" i="20"/>
  <c r="AI35" i="20"/>
  <c r="AE35" i="20"/>
  <c r="AC35" i="20"/>
  <c r="AB35" i="20"/>
  <c r="AA35" i="20"/>
  <c r="Z35" i="20"/>
  <c r="Y35" i="20"/>
  <c r="X35" i="20"/>
  <c r="W35" i="20"/>
  <c r="V35" i="20"/>
  <c r="U35" i="20"/>
  <c r="T35" i="20"/>
  <c r="S35" i="20"/>
  <c r="Q35" i="20"/>
  <c r="P35" i="20"/>
  <c r="O35" i="20"/>
  <c r="M35" i="20"/>
  <c r="L35" i="20"/>
  <c r="K35" i="20"/>
  <c r="I35" i="20"/>
  <c r="H35" i="20"/>
  <c r="G35" i="20"/>
  <c r="E35" i="20"/>
  <c r="D35" i="20"/>
  <c r="C35" i="20"/>
  <c r="AF34" i="20"/>
  <c r="AG34" i="20" s="1"/>
  <c r="AD34" i="20"/>
  <c r="R34" i="20"/>
  <c r="N34" i="20"/>
  <c r="J34" i="20"/>
  <c r="F34" i="20"/>
  <c r="B34" i="20"/>
  <c r="AF33" i="20"/>
  <c r="AG33" i="20" s="1"/>
  <c r="AD33" i="20"/>
  <c r="R33" i="20"/>
  <c r="N33" i="20"/>
  <c r="J33" i="20"/>
  <c r="F33" i="20"/>
  <c r="B33" i="20"/>
  <c r="AF32" i="20"/>
  <c r="AG32" i="20" s="1"/>
  <c r="AD32" i="20"/>
  <c r="R32" i="20"/>
  <c r="N32" i="20"/>
  <c r="J32" i="20"/>
  <c r="F32" i="20"/>
  <c r="B32" i="20"/>
  <c r="AF31" i="20"/>
  <c r="AG31" i="20" s="1"/>
  <c r="AD31" i="20"/>
  <c r="R31" i="20"/>
  <c r="N31" i="20"/>
  <c r="J31" i="20"/>
  <c r="F31" i="20"/>
  <c r="B31" i="20"/>
  <c r="AF30" i="20"/>
  <c r="AG30" i="20" s="1"/>
  <c r="AD30" i="20"/>
  <c r="R30" i="20"/>
  <c r="N30" i="20"/>
  <c r="J30" i="20"/>
  <c r="F30" i="20"/>
  <c r="B30" i="20"/>
  <c r="AD29" i="20"/>
  <c r="AF29" i="20" s="1"/>
  <c r="AG29" i="20" s="1"/>
  <c r="R29" i="20"/>
  <c r="N29" i="20"/>
  <c r="J29" i="20"/>
  <c r="F29" i="20"/>
  <c r="B29" i="20"/>
  <c r="AD28" i="20"/>
  <c r="AF28" i="20" s="1"/>
  <c r="AG28" i="20" s="1"/>
  <c r="R28" i="20"/>
  <c r="N28" i="20"/>
  <c r="J28" i="20"/>
  <c r="F28" i="20"/>
  <c r="B28" i="20"/>
  <c r="AD27" i="20"/>
  <c r="AF27" i="20" s="1"/>
  <c r="AG27" i="20" s="1"/>
  <c r="R27" i="20"/>
  <c r="N27" i="20"/>
  <c r="J27" i="20"/>
  <c r="F27" i="20"/>
  <c r="B27" i="20"/>
  <c r="AD26" i="20"/>
  <c r="AF26" i="20" s="1"/>
  <c r="AG26" i="20" s="1"/>
  <c r="R26" i="20"/>
  <c r="N26" i="20"/>
  <c r="J26" i="20"/>
  <c r="F26" i="20"/>
  <c r="B26" i="20"/>
  <c r="AD25" i="20"/>
  <c r="AF25" i="20" s="1"/>
  <c r="AG25" i="20" s="1"/>
  <c r="R25" i="20"/>
  <c r="N25" i="20"/>
  <c r="J25" i="20"/>
  <c r="F25" i="20"/>
  <c r="B25" i="20"/>
  <c r="AD24" i="20"/>
  <c r="AF24" i="20" s="1"/>
  <c r="AG24" i="20" s="1"/>
  <c r="R24" i="20"/>
  <c r="N24" i="20"/>
  <c r="J24" i="20"/>
  <c r="F24" i="20"/>
  <c r="B24" i="20"/>
  <c r="AF23" i="20"/>
  <c r="AG23" i="20" s="1"/>
  <c r="AD23" i="20"/>
  <c r="R23" i="20"/>
  <c r="N23" i="20"/>
  <c r="J23" i="20"/>
  <c r="F23" i="20"/>
  <c r="B23" i="20"/>
  <c r="AD22" i="20"/>
  <c r="AF22" i="20" s="1"/>
  <c r="AG22" i="20" s="1"/>
  <c r="R22" i="20"/>
  <c r="N22" i="20"/>
  <c r="J22" i="20"/>
  <c r="F22" i="20"/>
  <c r="B22" i="20"/>
  <c r="AD21" i="20"/>
  <c r="AF21" i="20" s="1"/>
  <c r="AG21" i="20" s="1"/>
  <c r="R21" i="20"/>
  <c r="N21" i="20"/>
  <c r="J21" i="20"/>
  <c r="F21" i="20"/>
  <c r="B21" i="20"/>
  <c r="AD20" i="20"/>
  <c r="AF20" i="20" s="1"/>
  <c r="AG20" i="20" s="1"/>
  <c r="R20" i="20"/>
  <c r="N20" i="20"/>
  <c r="J20" i="20"/>
  <c r="F20" i="20"/>
  <c r="B20" i="20"/>
  <c r="AD19" i="20"/>
  <c r="AF19" i="20" s="1"/>
  <c r="AG19" i="20" s="1"/>
  <c r="R19" i="20"/>
  <c r="N19" i="20"/>
  <c r="J19" i="20"/>
  <c r="F19" i="20"/>
  <c r="B19" i="20"/>
  <c r="AK18" i="20"/>
  <c r="AL18" i="20" s="1"/>
  <c r="AD18" i="20"/>
  <c r="AF18" i="20" s="1"/>
  <c r="AG18" i="20" s="1"/>
  <c r="R18" i="20"/>
  <c r="N18" i="20"/>
  <c r="J18" i="20"/>
  <c r="F18" i="20"/>
  <c r="B18" i="20"/>
  <c r="AK17" i="20"/>
  <c r="AL17" i="20" s="1"/>
  <c r="AD17" i="20"/>
  <c r="AF17" i="20" s="1"/>
  <c r="AG17" i="20" s="1"/>
  <c r="R17" i="20"/>
  <c r="N17" i="20"/>
  <c r="J17" i="20"/>
  <c r="F17" i="20"/>
  <c r="B17" i="20"/>
  <c r="AK16" i="20"/>
  <c r="AL16" i="20" s="1"/>
  <c r="AD16" i="20"/>
  <c r="AF16" i="20" s="1"/>
  <c r="AG16" i="20" s="1"/>
  <c r="R16" i="20"/>
  <c r="N16" i="20"/>
  <c r="J16" i="20"/>
  <c r="F16" i="20"/>
  <c r="B16" i="20"/>
  <c r="AK15" i="20"/>
  <c r="AL15" i="20" s="1"/>
  <c r="AD15" i="20"/>
  <c r="AF15" i="20" s="1"/>
  <c r="AG15" i="20" s="1"/>
  <c r="R15" i="20"/>
  <c r="N15" i="20"/>
  <c r="J15" i="20"/>
  <c r="F15" i="20"/>
  <c r="B15" i="20"/>
  <c r="AK14" i="20"/>
  <c r="AL14" i="20" s="1"/>
  <c r="AD14" i="20"/>
  <c r="AF14" i="20" s="1"/>
  <c r="AG14" i="20" s="1"/>
  <c r="R14" i="20"/>
  <c r="N14" i="20"/>
  <c r="J14" i="20"/>
  <c r="F14" i="20"/>
  <c r="B14" i="20"/>
  <c r="AK13" i="20"/>
  <c r="AL13" i="20" s="1"/>
  <c r="AD13" i="20"/>
  <c r="AF13" i="20" s="1"/>
  <c r="AG13" i="20" s="1"/>
  <c r="R13" i="20"/>
  <c r="N13" i="20"/>
  <c r="J13" i="20"/>
  <c r="F13" i="20"/>
  <c r="B13" i="20"/>
  <c r="AK12" i="20"/>
  <c r="AL12" i="20" s="1"/>
  <c r="AD12" i="20"/>
  <c r="AF12" i="20" s="1"/>
  <c r="AG12" i="20" s="1"/>
  <c r="R12" i="20"/>
  <c r="N12" i="20"/>
  <c r="J12" i="20"/>
  <c r="F12" i="20"/>
  <c r="B12" i="20"/>
  <c r="AK11" i="20"/>
  <c r="AL11" i="20" s="1"/>
  <c r="AD11" i="20"/>
  <c r="AF11" i="20" s="1"/>
  <c r="AG11" i="20" s="1"/>
  <c r="R11" i="20"/>
  <c r="N11" i="20"/>
  <c r="J11" i="20"/>
  <c r="F11" i="20"/>
  <c r="B11" i="20"/>
  <c r="AK10" i="20"/>
  <c r="AL10" i="20" s="1"/>
  <c r="AD10" i="20"/>
  <c r="AF10" i="20" s="1"/>
  <c r="AG10" i="20" s="1"/>
  <c r="R10" i="20"/>
  <c r="N10" i="20"/>
  <c r="J10" i="20"/>
  <c r="F10" i="20"/>
  <c r="B10" i="20"/>
  <c r="AK9" i="20"/>
  <c r="AL9" i="20" s="1"/>
  <c r="AD9" i="20"/>
  <c r="AF9" i="20" s="1"/>
  <c r="AG9" i="20" s="1"/>
  <c r="R9" i="20"/>
  <c r="N9" i="20"/>
  <c r="J9" i="20"/>
  <c r="F9" i="20"/>
  <c r="B9" i="20"/>
  <c r="AK8" i="20"/>
  <c r="AL8" i="20" s="1"/>
  <c r="AD8" i="20"/>
  <c r="AF8" i="20" s="1"/>
  <c r="AG8" i="20" s="1"/>
  <c r="R8" i="20"/>
  <c r="N8" i="20"/>
  <c r="J8" i="20"/>
  <c r="F8" i="20"/>
  <c r="B8" i="20"/>
  <c r="AK7" i="20"/>
  <c r="AL7" i="20" s="1"/>
  <c r="AD7" i="20"/>
  <c r="AF7" i="20" s="1"/>
  <c r="AG7" i="20" s="1"/>
  <c r="R7" i="20"/>
  <c r="N7" i="20"/>
  <c r="J7" i="20"/>
  <c r="F7" i="20"/>
  <c r="B7" i="20"/>
  <c r="AK6" i="20"/>
  <c r="AL6" i="20" s="1"/>
  <c r="AD6" i="20"/>
  <c r="AF6" i="20" s="1"/>
  <c r="AG6" i="20" s="1"/>
  <c r="R6" i="20"/>
  <c r="N6" i="20"/>
  <c r="J6" i="20"/>
  <c r="F6" i="20"/>
  <c r="B6" i="20"/>
  <c r="AK5" i="20"/>
  <c r="AD5" i="20"/>
  <c r="AF5" i="20" s="1"/>
  <c r="R5" i="20"/>
  <c r="N5" i="20"/>
  <c r="J5" i="20"/>
  <c r="F5" i="20"/>
  <c r="B5" i="20"/>
  <c r="AM35" i="19"/>
  <c r="AJ35" i="19"/>
  <c r="AI35" i="19"/>
  <c r="AE35" i="19"/>
  <c r="AC35" i="19"/>
  <c r="AB35" i="19"/>
  <c r="AA35" i="19"/>
  <c r="Z35" i="19"/>
  <c r="Y35" i="19"/>
  <c r="X35" i="19"/>
  <c r="W35" i="19"/>
  <c r="V35" i="19"/>
  <c r="U35" i="19"/>
  <c r="T35" i="19"/>
  <c r="S35" i="19"/>
  <c r="Q35" i="19"/>
  <c r="P35" i="19"/>
  <c r="O35" i="19"/>
  <c r="M35" i="19"/>
  <c r="L35" i="19"/>
  <c r="K35" i="19"/>
  <c r="I35" i="19"/>
  <c r="H35" i="19"/>
  <c r="G35" i="19"/>
  <c r="E35" i="19"/>
  <c r="D35" i="19"/>
  <c r="C35" i="19"/>
  <c r="AF34" i="19"/>
  <c r="AG34" i="19" s="1"/>
  <c r="AD34" i="19"/>
  <c r="R34" i="19"/>
  <c r="N34" i="19"/>
  <c r="J34" i="19"/>
  <c r="F34" i="19"/>
  <c r="B34" i="19"/>
  <c r="AF33" i="19"/>
  <c r="AG33" i="19" s="1"/>
  <c r="AD33" i="19"/>
  <c r="R33" i="19"/>
  <c r="N33" i="19"/>
  <c r="J33" i="19"/>
  <c r="F33" i="19"/>
  <c r="B33" i="19"/>
  <c r="AF32" i="19"/>
  <c r="AG32" i="19" s="1"/>
  <c r="AD32" i="19"/>
  <c r="R32" i="19"/>
  <c r="N32" i="19"/>
  <c r="J32" i="19"/>
  <c r="F32" i="19"/>
  <c r="B32" i="19"/>
  <c r="AF31" i="19"/>
  <c r="AG31" i="19" s="1"/>
  <c r="AD31" i="19"/>
  <c r="R31" i="19"/>
  <c r="N31" i="19"/>
  <c r="J31" i="19"/>
  <c r="F31" i="19"/>
  <c r="B31" i="19"/>
  <c r="AF30" i="19"/>
  <c r="AG30" i="19" s="1"/>
  <c r="AD30" i="19"/>
  <c r="R30" i="19"/>
  <c r="N30" i="19"/>
  <c r="J30" i="19"/>
  <c r="F30" i="19"/>
  <c r="B30" i="19"/>
  <c r="AD29" i="19"/>
  <c r="AF29" i="19" s="1"/>
  <c r="AG29" i="19" s="1"/>
  <c r="R29" i="19"/>
  <c r="N29" i="19"/>
  <c r="J29" i="19"/>
  <c r="F29" i="19"/>
  <c r="B29" i="19"/>
  <c r="AD28" i="19"/>
  <c r="AF28" i="19" s="1"/>
  <c r="AG28" i="19" s="1"/>
  <c r="R28" i="19"/>
  <c r="N28" i="19"/>
  <c r="J28" i="19"/>
  <c r="F28" i="19"/>
  <c r="B28" i="19"/>
  <c r="AD27" i="19"/>
  <c r="AF27" i="19" s="1"/>
  <c r="AG27" i="19" s="1"/>
  <c r="R27" i="19"/>
  <c r="N27" i="19"/>
  <c r="J27" i="19"/>
  <c r="F27" i="19"/>
  <c r="B27" i="19"/>
  <c r="AD26" i="19"/>
  <c r="AF26" i="19" s="1"/>
  <c r="AG26" i="19" s="1"/>
  <c r="R26" i="19"/>
  <c r="N26" i="19"/>
  <c r="J26" i="19"/>
  <c r="F26" i="19"/>
  <c r="B26" i="19"/>
  <c r="AD25" i="19"/>
  <c r="AF25" i="19" s="1"/>
  <c r="AG25" i="19" s="1"/>
  <c r="R25" i="19"/>
  <c r="N25" i="19"/>
  <c r="J25" i="19"/>
  <c r="F25" i="19"/>
  <c r="B25" i="19"/>
  <c r="AD24" i="19"/>
  <c r="AF24" i="19" s="1"/>
  <c r="AG24" i="19" s="1"/>
  <c r="R24" i="19"/>
  <c r="N24" i="19"/>
  <c r="J24" i="19"/>
  <c r="F24" i="19"/>
  <c r="B24" i="19"/>
  <c r="AD23" i="19"/>
  <c r="AF23" i="19" s="1"/>
  <c r="AG23" i="19" s="1"/>
  <c r="R23" i="19"/>
  <c r="N23" i="19"/>
  <c r="J23" i="19"/>
  <c r="F23" i="19"/>
  <c r="B23" i="19"/>
  <c r="AD22" i="19"/>
  <c r="AF22" i="19" s="1"/>
  <c r="AG22" i="19" s="1"/>
  <c r="R22" i="19"/>
  <c r="N22" i="19"/>
  <c r="J22" i="19"/>
  <c r="F22" i="19"/>
  <c r="B22" i="19"/>
  <c r="AF21" i="19"/>
  <c r="AG21" i="19" s="1"/>
  <c r="AD21" i="19"/>
  <c r="R21" i="19"/>
  <c r="N21" i="19"/>
  <c r="J21" i="19"/>
  <c r="F21" i="19"/>
  <c r="B21" i="19"/>
  <c r="AD20" i="19"/>
  <c r="AF20" i="19" s="1"/>
  <c r="AG20" i="19" s="1"/>
  <c r="R20" i="19"/>
  <c r="N20" i="19"/>
  <c r="J20" i="19"/>
  <c r="F20" i="19"/>
  <c r="B20" i="19"/>
  <c r="AD19" i="19"/>
  <c r="AF19" i="19" s="1"/>
  <c r="AG19" i="19" s="1"/>
  <c r="R19" i="19"/>
  <c r="N19" i="19"/>
  <c r="J19" i="19"/>
  <c r="F19" i="19"/>
  <c r="B19" i="19"/>
  <c r="AD18" i="19"/>
  <c r="AF18" i="19" s="1"/>
  <c r="AG18" i="19" s="1"/>
  <c r="R18" i="19"/>
  <c r="N18" i="19"/>
  <c r="J18" i="19"/>
  <c r="F18" i="19"/>
  <c r="B18" i="19"/>
  <c r="AD17" i="19"/>
  <c r="AF17" i="19" s="1"/>
  <c r="AG17" i="19" s="1"/>
  <c r="R17" i="19"/>
  <c r="N17" i="19"/>
  <c r="J17" i="19"/>
  <c r="F17" i="19"/>
  <c r="B17" i="19"/>
  <c r="AD16" i="19"/>
  <c r="AF16" i="19" s="1"/>
  <c r="AG16" i="19" s="1"/>
  <c r="R16" i="19"/>
  <c r="N16" i="19"/>
  <c r="J16" i="19"/>
  <c r="F16" i="19"/>
  <c r="B16" i="19"/>
  <c r="AK15" i="19"/>
  <c r="AL15" i="19" s="1"/>
  <c r="AD15" i="19"/>
  <c r="AF15" i="19" s="1"/>
  <c r="AG15" i="19" s="1"/>
  <c r="R15" i="19"/>
  <c r="N15" i="19"/>
  <c r="J15" i="19"/>
  <c r="F15" i="19"/>
  <c r="B15" i="19"/>
  <c r="AK14" i="19"/>
  <c r="AL14" i="19" s="1"/>
  <c r="AD14" i="19"/>
  <c r="AF14" i="19" s="1"/>
  <c r="AG14" i="19" s="1"/>
  <c r="R14" i="19"/>
  <c r="N14" i="19"/>
  <c r="J14" i="19"/>
  <c r="F14" i="19"/>
  <c r="B14" i="19"/>
  <c r="AK13" i="19"/>
  <c r="AL13" i="19" s="1"/>
  <c r="AD13" i="19"/>
  <c r="AF13" i="19" s="1"/>
  <c r="AG13" i="19" s="1"/>
  <c r="R13" i="19"/>
  <c r="N13" i="19"/>
  <c r="J13" i="19"/>
  <c r="F13" i="19"/>
  <c r="B13" i="19"/>
  <c r="AK12" i="19"/>
  <c r="AL12" i="19" s="1"/>
  <c r="AD12" i="19"/>
  <c r="AF12" i="19" s="1"/>
  <c r="AG12" i="19" s="1"/>
  <c r="R12" i="19"/>
  <c r="N12" i="19"/>
  <c r="J12" i="19"/>
  <c r="F12" i="19"/>
  <c r="B12" i="19"/>
  <c r="AK11" i="19"/>
  <c r="AL11" i="19" s="1"/>
  <c r="AD11" i="19"/>
  <c r="AF11" i="19" s="1"/>
  <c r="AG11" i="19" s="1"/>
  <c r="R11" i="19"/>
  <c r="N11" i="19"/>
  <c r="J11" i="19"/>
  <c r="F11" i="19"/>
  <c r="B11" i="19"/>
  <c r="AK10" i="19"/>
  <c r="AL10" i="19" s="1"/>
  <c r="AD10" i="19"/>
  <c r="AF10" i="19" s="1"/>
  <c r="AG10" i="19" s="1"/>
  <c r="R10" i="19"/>
  <c r="N10" i="19"/>
  <c r="J10" i="19"/>
  <c r="F10" i="19"/>
  <c r="B10" i="19"/>
  <c r="AK9" i="19"/>
  <c r="AL9" i="19" s="1"/>
  <c r="AD9" i="19"/>
  <c r="AF9" i="19" s="1"/>
  <c r="AG9" i="19" s="1"/>
  <c r="R9" i="19"/>
  <c r="N9" i="19"/>
  <c r="J9" i="19"/>
  <c r="F9" i="19"/>
  <c r="B9" i="19"/>
  <c r="AK8" i="19"/>
  <c r="AL8" i="19" s="1"/>
  <c r="AD8" i="19"/>
  <c r="AF8" i="19" s="1"/>
  <c r="AG8" i="19" s="1"/>
  <c r="R8" i="19"/>
  <c r="N8" i="19"/>
  <c r="J8" i="19"/>
  <c r="F8" i="19"/>
  <c r="B8" i="19"/>
  <c r="AK7" i="19"/>
  <c r="AL7" i="19" s="1"/>
  <c r="AD7" i="19"/>
  <c r="AF7" i="19" s="1"/>
  <c r="AG7" i="19" s="1"/>
  <c r="R7" i="19"/>
  <c r="N7" i="19"/>
  <c r="J7" i="19"/>
  <c r="F7" i="19"/>
  <c r="B7" i="19"/>
  <c r="AK6" i="19"/>
  <c r="AL6" i="19" s="1"/>
  <c r="AD6" i="19"/>
  <c r="AF6" i="19" s="1"/>
  <c r="AG6" i="19" s="1"/>
  <c r="R6" i="19"/>
  <c r="N6" i="19"/>
  <c r="J6" i="19"/>
  <c r="F6" i="19"/>
  <c r="B6" i="19"/>
  <c r="AK5" i="19"/>
  <c r="AD5" i="19"/>
  <c r="AF5" i="19" s="1"/>
  <c r="AG5" i="19" s="1"/>
  <c r="R5" i="19"/>
  <c r="N5" i="19"/>
  <c r="J5" i="19"/>
  <c r="F5" i="19"/>
  <c r="B5" i="19"/>
  <c r="AM35" i="18"/>
  <c r="AJ35" i="18"/>
  <c r="AI35" i="18"/>
  <c r="AE35" i="18"/>
  <c r="AC35" i="18"/>
  <c r="AB35" i="18"/>
  <c r="AA35" i="18"/>
  <c r="Z35" i="18"/>
  <c r="Y35" i="18"/>
  <c r="X35" i="18"/>
  <c r="W35" i="18"/>
  <c r="V35" i="18"/>
  <c r="U35" i="18"/>
  <c r="T35" i="18"/>
  <c r="S35" i="18"/>
  <c r="Q35" i="18"/>
  <c r="P35" i="18"/>
  <c r="O35" i="18"/>
  <c r="M35" i="18"/>
  <c r="L35" i="18"/>
  <c r="K35" i="18"/>
  <c r="I35" i="18"/>
  <c r="H35" i="18"/>
  <c r="G35" i="18"/>
  <c r="E35" i="18"/>
  <c r="D35" i="18"/>
  <c r="C35" i="18"/>
  <c r="AF34" i="18"/>
  <c r="AG34" i="18" s="1"/>
  <c r="AD34" i="18"/>
  <c r="R34" i="18"/>
  <c r="N34" i="18"/>
  <c r="J34" i="18"/>
  <c r="F34" i="18"/>
  <c r="B34" i="18"/>
  <c r="AF33" i="18"/>
  <c r="AG33" i="18" s="1"/>
  <c r="AD33" i="18"/>
  <c r="R33" i="18"/>
  <c r="N33" i="18"/>
  <c r="J33" i="18"/>
  <c r="F33" i="18"/>
  <c r="B33" i="18"/>
  <c r="AF32" i="18"/>
  <c r="AG32" i="18" s="1"/>
  <c r="AD32" i="18"/>
  <c r="R32" i="18"/>
  <c r="N32" i="18"/>
  <c r="J32" i="18"/>
  <c r="F32" i="18"/>
  <c r="B32" i="18"/>
  <c r="AF31" i="18"/>
  <c r="AG31" i="18" s="1"/>
  <c r="AD31" i="18"/>
  <c r="R31" i="18"/>
  <c r="N31" i="18"/>
  <c r="J31" i="18"/>
  <c r="F31" i="18"/>
  <c r="B31" i="18"/>
  <c r="AF30" i="18"/>
  <c r="AG30" i="18" s="1"/>
  <c r="AD30" i="18"/>
  <c r="R30" i="18"/>
  <c r="N30" i="18"/>
  <c r="J30" i="18"/>
  <c r="F30" i="18"/>
  <c r="B30" i="18"/>
  <c r="AF29" i="18"/>
  <c r="AG29" i="18" s="1"/>
  <c r="AD29" i="18"/>
  <c r="R29" i="18"/>
  <c r="N29" i="18"/>
  <c r="J29" i="18"/>
  <c r="F29" i="18"/>
  <c r="B29" i="18"/>
  <c r="AF28" i="18"/>
  <c r="AG28" i="18" s="1"/>
  <c r="AD28" i="18"/>
  <c r="R28" i="18"/>
  <c r="N28" i="18"/>
  <c r="J28" i="18"/>
  <c r="F28" i="18"/>
  <c r="B28" i="18"/>
  <c r="AF27" i="18"/>
  <c r="AG27" i="18" s="1"/>
  <c r="AD27" i="18"/>
  <c r="R27" i="18"/>
  <c r="N27" i="18"/>
  <c r="J27" i="18"/>
  <c r="F27" i="18"/>
  <c r="B27" i="18"/>
  <c r="AF26" i="18"/>
  <c r="AG26" i="18" s="1"/>
  <c r="AD26" i="18"/>
  <c r="R26" i="18"/>
  <c r="N26" i="18"/>
  <c r="J26" i="18"/>
  <c r="F26" i="18"/>
  <c r="B26" i="18"/>
  <c r="AD25" i="18"/>
  <c r="AF25" i="18" s="1"/>
  <c r="AG25" i="18" s="1"/>
  <c r="R25" i="18"/>
  <c r="N25" i="18"/>
  <c r="J25" i="18"/>
  <c r="F25" i="18"/>
  <c r="B25" i="18"/>
  <c r="AD24" i="18"/>
  <c r="AF24" i="18" s="1"/>
  <c r="AG24" i="18" s="1"/>
  <c r="R24" i="18"/>
  <c r="N24" i="18"/>
  <c r="J24" i="18"/>
  <c r="F24" i="18"/>
  <c r="B24" i="18"/>
  <c r="AD23" i="18"/>
  <c r="AF23" i="18" s="1"/>
  <c r="AG23" i="18" s="1"/>
  <c r="R23" i="18"/>
  <c r="N23" i="18"/>
  <c r="J23" i="18"/>
  <c r="F23" i="18"/>
  <c r="B23" i="18"/>
  <c r="AD22" i="18"/>
  <c r="AF22" i="18" s="1"/>
  <c r="AG22" i="18" s="1"/>
  <c r="R22" i="18"/>
  <c r="N22" i="18"/>
  <c r="J22" i="18"/>
  <c r="F22" i="18"/>
  <c r="B22" i="18"/>
  <c r="AD21" i="18"/>
  <c r="AF21" i="18" s="1"/>
  <c r="AG21" i="18" s="1"/>
  <c r="R21" i="18"/>
  <c r="N21" i="18"/>
  <c r="J21" i="18"/>
  <c r="F21" i="18"/>
  <c r="B21" i="18"/>
  <c r="AD20" i="18"/>
  <c r="AF20" i="18" s="1"/>
  <c r="AG20" i="18" s="1"/>
  <c r="R20" i="18"/>
  <c r="N20" i="18"/>
  <c r="J20" i="18"/>
  <c r="F20" i="18"/>
  <c r="B20" i="18"/>
  <c r="AD19" i="18"/>
  <c r="AF19" i="18" s="1"/>
  <c r="AG19" i="18" s="1"/>
  <c r="R19" i="18"/>
  <c r="N19" i="18"/>
  <c r="J19" i="18"/>
  <c r="F19" i="18"/>
  <c r="B19" i="18"/>
  <c r="AD18" i="18"/>
  <c r="AF18" i="18" s="1"/>
  <c r="AG18" i="18" s="1"/>
  <c r="R18" i="18"/>
  <c r="N18" i="18"/>
  <c r="J18" i="18"/>
  <c r="F18" i="18"/>
  <c r="B18" i="18"/>
  <c r="AD17" i="18"/>
  <c r="AF17" i="18" s="1"/>
  <c r="AG17" i="18" s="1"/>
  <c r="R17" i="18"/>
  <c r="N17" i="18"/>
  <c r="J17" i="18"/>
  <c r="F17" i="18"/>
  <c r="B17" i="18"/>
  <c r="AD16" i="18"/>
  <c r="AF16" i="18" s="1"/>
  <c r="AG16" i="18" s="1"/>
  <c r="R16" i="18"/>
  <c r="N16" i="18"/>
  <c r="J16" i="18"/>
  <c r="F16" i="18"/>
  <c r="B16" i="18"/>
  <c r="AD15" i="18"/>
  <c r="AF15" i="18" s="1"/>
  <c r="AG15" i="18" s="1"/>
  <c r="R15" i="18"/>
  <c r="N15" i="18"/>
  <c r="J15" i="18"/>
  <c r="F15" i="18"/>
  <c r="B15" i="18"/>
  <c r="AD14" i="18"/>
  <c r="AF14" i="18" s="1"/>
  <c r="AG14" i="18" s="1"/>
  <c r="R14" i="18"/>
  <c r="N14" i="18"/>
  <c r="J14" i="18"/>
  <c r="F14" i="18"/>
  <c r="B14" i="18"/>
  <c r="AK13" i="18"/>
  <c r="AL13" i="18" s="1"/>
  <c r="AD13" i="18"/>
  <c r="AF13" i="18" s="1"/>
  <c r="AG13" i="18" s="1"/>
  <c r="R13" i="18"/>
  <c r="N13" i="18"/>
  <c r="J13" i="18"/>
  <c r="F13" i="18"/>
  <c r="B13" i="18"/>
  <c r="AK12" i="18"/>
  <c r="AL12" i="18" s="1"/>
  <c r="AD12" i="18"/>
  <c r="AF12" i="18" s="1"/>
  <c r="AG12" i="18" s="1"/>
  <c r="R12" i="18"/>
  <c r="N12" i="18"/>
  <c r="J12" i="18"/>
  <c r="F12" i="18"/>
  <c r="B12" i="18"/>
  <c r="AK11" i="18"/>
  <c r="AL11" i="18" s="1"/>
  <c r="AD11" i="18"/>
  <c r="AF11" i="18" s="1"/>
  <c r="AG11" i="18" s="1"/>
  <c r="R11" i="18"/>
  <c r="N11" i="18"/>
  <c r="J11" i="18"/>
  <c r="F11" i="18"/>
  <c r="B11" i="18"/>
  <c r="AK10" i="18"/>
  <c r="AL10" i="18" s="1"/>
  <c r="AD10" i="18"/>
  <c r="AF10" i="18" s="1"/>
  <c r="AG10" i="18" s="1"/>
  <c r="R10" i="18"/>
  <c r="N10" i="18"/>
  <c r="J10" i="18"/>
  <c r="F10" i="18"/>
  <c r="B10" i="18"/>
  <c r="AK9" i="18"/>
  <c r="AL9" i="18" s="1"/>
  <c r="AD9" i="18"/>
  <c r="AF9" i="18" s="1"/>
  <c r="AG9" i="18" s="1"/>
  <c r="R9" i="18"/>
  <c r="N9" i="18"/>
  <c r="J9" i="18"/>
  <c r="F9" i="18"/>
  <c r="B9" i="18"/>
  <c r="AK8" i="18"/>
  <c r="AL8" i="18" s="1"/>
  <c r="AD8" i="18"/>
  <c r="AF8" i="18" s="1"/>
  <c r="AG8" i="18" s="1"/>
  <c r="R8" i="18"/>
  <c r="N8" i="18"/>
  <c r="J8" i="18"/>
  <c r="F8" i="18"/>
  <c r="B8" i="18"/>
  <c r="AK7" i="18"/>
  <c r="AL7" i="18" s="1"/>
  <c r="AD7" i="18"/>
  <c r="AF7" i="18" s="1"/>
  <c r="AG7" i="18" s="1"/>
  <c r="R7" i="18"/>
  <c r="N7" i="18"/>
  <c r="J7" i="18"/>
  <c r="F7" i="18"/>
  <c r="B7" i="18"/>
  <c r="AK6" i="18"/>
  <c r="AL6" i="18" s="1"/>
  <c r="AD6" i="18"/>
  <c r="AF6" i="18" s="1"/>
  <c r="AG6" i="18" s="1"/>
  <c r="R6" i="18"/>
  <c r="N6" i="18"/>
  <c r="J6" i="18"/>
  <c r="F6" i="18"/>
  <c r="B6" i="18"/>
  <c r="AK5" i="18"/>
  <c r="AL5" i="18" s="1"/>
  <c r="AD5" i="18"/>
  <c r="AF5" i="18" s="1"/>
  <c r="AG5" i="18" s="1"/>
  <c r="R5" i="18"/>
  <c r="N5" i="18"/>
  <c r="J5" i="18"/>
  <c r="F5" i="18"/>
  <c r="B5" i="18"/>
  <c r="AM35" i="17"/>
  <c r="AJ35" i="17"/>
  <c r="AI35" i="17"/>
  <c r="AE35" i="17"/>
  <c r="AC35" i="17"/>
  <c r="AB35" i="17"/>
  <c r="AA35" i="17"/>
  <c r="Z35" i="17"/>
  <c r="Y35" i="17"/>
  <c r="X35" i="17"/>
  <c r="W35" i="17"/>
  <c r="V35" i="17"/>
  <c r="U35" i="17"/>
  <c r="T35" i="17"/>
  <c r="S35" i="17"/>
  <c r="Q35" i="17"/>
  <c r="P35" i="17"/>
  <c r="O35" i="17"/>
  <c r="M35" i="17"/>
  <c r="L35" i="17"/>
  <c r="K35" i="17"/>
  <c r="I35" i="17"/>
  <c r="H35" i="17"/>
  <c r="G35" i="17"/>
  <c r="E35" i="17"/>
  <c r="D35" i="17"/>
  <c r="C35" i="17"/>
  <c r="AF34" i="17"/>
  <c r="AG34" i="17" s="1"/>
  <c r="AD34" i="17"/>
  <c r="R34" i="17"/>
  <c r="N34" i="17"/>
  <c r="J34" i="17"/>
  <c r="F34" i="17"/>
  <c r="B34" i="17"/>
  <c r="AF33" i="17"/>
  <c r="AG33" i="17" s="1"/>
  <c r="AD33" i="17"/>
  <c r="R33" i="17"/>
  <c r="N33" i="17"/>
  <c r="J33" i="17"/>
  <c r="F33" i="17"/>
  <c r="B33" i="17"/>
  <c r="AF32" i="17"/>
  <c r="AG32" i="17" s="1"/>
  <c r="AD32" i="17"/>
  <c r="R32" i="17"/>
  <c r="N32" i="17"/>
  <c r="J32" i="17"/>
  <c r="F32" i="17"/>
  <c r="B32" i="17"/>
  <c r="AF31" i="17"/>
  <c r="AG31" i="17" s="1"/>
  <c r="AD31" i="17"/>
  <c r="R31" i="17"/>
  <c r="N31" i="17"/>
  <c r="J31" i="17"/>
  <c r="F31" i="17"/>
  <c r="B31" i="17"/>
  <c r="AF30" i="17"/>
  <c r="AG30" i="17" s="1"/>
  <c r="AD30" i="17"/>
  <c r="R30" i="17"/>
  <c r="N30" i="17"/>
  <c r="J30" i="17"/>
  <c r="F30" i="17"/>
  <c r="B30" i="17"/>
  <c r="AF29" i="17"/>
  <c r="AG29" i="17" s="1"/>
  <c r="AD29" i="17"/>
  <c r="R29" i="17"/>
  <c r="N29" i="17"/>
  <c r="J29" i="17"/>
  <c r="F29" i="17"/>
  <c r="B29" i="17"/>
  <c r="AF28" i="17"/>
  <c r="AG28" i="17" s="1"/>
  <c r="AD28" i="17"/>
  <c r="R28" i="17"/>
  <c r="N28" i="17"/>
  <c r="J28" i="17"/>
  <c r="F28" i="17"/>
  <c r="B28" i="17"/>
  <c r="AF27" i="17"/>
  <c r="AG27" i="17" s="1"/>
  <c r="AD27" i="17"/>
  <c r="R27" i="17"/>
  <c r="N27" i="17"/>
  <c r="J27" i="17"/>
  <c r="F27" i="17"/>
  <c r="B27" i="17"/>
  <c r="AF26" i="17"/>
  <c r="AG26" i="17" s="1"/>
  <c r="AD26" i="17"/>
  <c r="R26" i="17"/>
  <c r="N26" i="17"/>
  <c r="J26" i="17"/>
  <c r="F26" i="17"/>
  <c r="B26" i="17"/>
  <c r="AD25" i="17"/>
  <c r="AF25" i="17" s="1"/>
  <c r="AG25" i="17" s="1"/>
  <c r="R25" i="17"/>
  <c r="N25" i="17"/>
  <c r="J25" i="17"/>
  <c r="F25" i="17"/>
  <c r="B25" i="17"/>
  <c r="AD24" i="17"/>
  <c r="AF24" i="17" s="1"/>
  <c r="AG24" i="17" s="1"/>
  <c r="R24" i="17"/>
  <c r="N24" i="17"/>
  <c r="J24" i="17"/>
  <c r="F24" i="17"/>
  <c r="B24" i="17"/>
  <c r="AD23" i="17"/>
  <c r="AF23" i="17" s="1"/>
  <c r="AG23" i="17" s="1"/>
  <c r="R23" i="17"/>
  <c r="N23" i="17"/>
  <c r="J23" i="17"/>
  <c r="F23" i="17"/>
  <c r="B23" i="17"/>
  <c r="AD22" i="17"/>
  <c r="AF22" i="17" s="1"/>
  <c r="AG22" i="17" s="1"/>
  <c r="R22" i="17"/>
  <c r="N22" i="17"/>
  <c r="J22" i="17"/>
  <c r="F22" i="17"/>
  <c r="B22" i="17"/>
  <c r="AD21" i="17"/>
  <c r="AF21" i="17" s="1"/>
  <c r="AG21" i="17" s="1"/>
  <c r="R21" i="17"/>
  <c r="N21" i="17"/>
  <c r="J21" i="17"/>
  <c r="F21" i="17"/>
  <c r="B21" i="17"/>
  <c r="AD20" i="17"/>
  <c r="AF20" i="17" s="1"/>
  <c r="AG20" i="17" s="1"/>
  <c r="R20" i="17"/>
  <c r="N20" i="17"/>
  <c r="J20" i="17"/>
  <c r="F20" i="17"/>
  <c r="B20" i="17"/>
  <c r="AD19" i="17"/>
  <c r="AF19" i="17" s="1"/>
  <c r="AG19" i="17" s="1"/>
  <c r="R19" i="17"/>
  <c r="N19" i="17"/>
  <c r="J19" i="17"/>
  <c r="F19" i="17"/>
  <c r="B19" i="17"/>
  <c r="AD18" i="17"/>
  <c r="AF18" i="17" s="1"/>
  <c r="AG18" i="17" s="1"/>
  <c r="R18" i="17"/>
  <c r="N18" i="17"/>
  <c r="J18" i="17"/>
  <c r="F18" i="17"/>
  <c r="B18" i="17"/>
  <c r="AD17" i="17"/>
  <c r="AF17" i="17" s="1"/>
  <c r="AG17" i="17" s="1"/>
  <c r="R17" i="17"/>
  <c r="N17" i="17"/>
  <c r="J17" i="17"/>
  <c r="F17" i="17"/>
  <c r="B17" i="17"/>
  <c r="AD16" i="17"/>
  <c r="AF16" i="17" s="1"/>
  <c r="AG16" i="17" s="1"/>
  <c r="R16" i="17"/>
  <c r="N16" i="17"/>
  <c r="J16" i="17"/>
  <c r="F16" i="17"/>
  <c r="B16" i="17"/>
  <c r="AD15" i="17"/>
  <c r="AF15" i="17" s="1"/>
  <c r="AG15" i="17" s="1"/>
  <c r="R15" i="17"/>
  <c r="N15" i="17"/>
  <c r="J15" i="17"/>
  <c r="F15" i="17"/>
  <c r="B15" i="17"/>
  <c r="AD14" i="17"/>
  <c r="AF14" i="17" s="1"/>
  <c r="AG14" i="17" s="1"/>
  <c r="R14" i="17"/>
  <c r="N14" i="17"/>
  <c r="J14" i="17"/>
  <c r="F14" i="17"/>
  <c r="B14" i="17"/>
  <c r="AK13" i="17"/>
  <c r="AL13" i="17" s="1"/>
  <c r="AD13" i="17"/>
  <c r="AF13" i="17" s="1"/>
  <c r="AG13" i="17" s="1"/>
  <c r="R13" i="17"/>
  <c r="N13" i="17"/>
  <c r="J13" i="17"/>
  <c r="F13" i="17"/>
  <c r="B13" i="17"/>
  <c r="AK12" i="17"/>
  <c r="AL12" i="17" s="1"/>
  <c r="AD12" i="17"/>
  <c r="AF12" i="17" s="1"/>
  <c r="AG12" i="17" s="1"/>
  <c r="R12" i="17"/>
  <c r="N12" i="17"/>
  <c r="J12" i="17"/>
  <c r="F12" i="17"/>
  <c r="B12" i="17"/>
  <c r="AK11" i="17"/>
  <c r="AL11" i="17" s="1"/>
  <c r="AD11" i="17"/>
  <c r="AF11" i="17" s="1"/>
  <c r="AG11" i="17" s="1"/>
  <c r="R11" i="17"/>
  <c r="N11" i="17"/>
  <c r="J11" i="17"/>
  <c r="F11" i="17"/>
  <c r="B11" i="17"/>
  <c r="AK10" i="17"/>
  <c r="AL10" i="17" s="1"/>
  <c r="AD10" i="17"/>
  <c r="AF10" i="17" s="1"/>
  <c r="AG10" i="17" s="1"/>
  <c r="R10" i="17"/>
  <c r="N10" i="17"/>
  <c r="J10" i="17"/>
  <c r="F10" i="17"/>
  <c r="B10" i="17"/>
  <c r="AK9" i="17"/>
  <c r="AL9" i="17" s="1"/>
  <c r="AD9" i="17"/>
  <c r="AF9" i="17" s="1"/>
  <c r="AG9" i="17" s="1"/>
  <c r="R9" i="17"/>
  <c r="N9" i="17"/>
  <c r="J9" i="17"/>
  <c r="F9" i="17"/>
  <c r="B9" i="17"/>
  <c r="AK8" i="17"/>
  <c r="AL8" i="17" s="1"/>
  <c r="AD8" i="17"/>
  <c r="R8" i="17"/>
  <c r="N8" i="17"/>
  <c r="J8" i="17"/>
  <c r="F8" i="17"/>
  <c r="B8" i="17"/>
  <c r="AK7" i="17"/>
  <c r="AL7" i="17" s="1"/>
  <c r="AD7" i="17"/>
  <c r="AF7" i="17" s="1"/>
  <c r="AG7" i="17" s="1"/>
  <c r="R7" i="17"/>
  <c r="N7" i="17"/>
  <c r="J7" i="17"/>
  <c r="F7" i="17"/>
  <c r="B7" i="17"/>
  <c r="AK6" i="17"/>
  <c r="AL6" i="17" s="1"/>
  <c r="AD6" i="17"/>
  <c r="AF6" i="17" s="1"/>
  <c r="AG6" i="17" s="1"/>
  <c r="R6" i="17"/>
  <c r="N6" i="17"/>
  <c r="J6" i="17"/>
  <c r="F6" i="17"/>
  <c r="B6" i="17"/>
  <c r="AK5" i="17"/>
  <c r="AL5" i="17" s="1"/>
  <c r="AD5" i="17"/>
  <c r="AF5" i="17" s="1"/>
  <c r="R5" i="17"/>
  <c r="N5" i="17"/>
  <c r="J5" i="17"/>
  <c r="F5" i="17"/>
  <c r="B5" i="17"/>
  <c r="AM34" i="16"/>
  <c r="AJ34" i="16"/>
  <c r="AI34" i="16"/>
  <c r="AE34" i="16"/>
  <c r="AC34" i="16"/>
  <c r="AB34" i="16"/>
  <c r="AA34" i="16"/>
  <c r="Z34" i="16"/>
  <c r="Y34" i="16"/>
  <c r="X34" i="16"/>
  <c r="W34" i="16"/>
  <c r="V34" i="16"/>
  <c r="U34" i="16"/>
  <c r="T34" i="16"/>
  <c r="S34" i="16"/>
  <c r="Q34" i="16"/>
  <c r="P34" i="16"/>
  <c r="O34" i="16"/>
  <c r="M34" i="16"/>
  <c r="L34" i="16"/>
  <c r="K34" i="16"/>
  <c r="I34" i="16"/>
  <c r="H34" i="16"/>
  <c r="G34" i="16"/>
  <c r="E34" i="16"/>
  <c r="D34" i="16"/>
  <c r="C34" i="16"/>
  <c r="AF33" i="16"/>
  <c r="AG33" i="16" s="1"/>
  <c r="AD33" i="16"/>
  <c r="R33" i="16"/>
  <c r="N33" i="16"/>
  <c r="J33" i="16"/>
  <c r="F33" i="16"/>
  <c r="B33" i="16"/>
  <c r="AF32" i="16"/>
  <c r="AG32" i="16" s="1"/>
  <c r="AD32" i="16"/>
  <c r="R32" i="16"/>
  <c r="N32" i="16"/>
  <c r="J32" i="16"/>
  <c r="F32" i="16"/>
  <c r="B32" i="16"/>
  <c r="AF31" i="16"/>
  <c r="AG31" i="16" s="1"/>
  <c r="AD31" i="16"/>
  <c r="R31" i="16"/>
  <c r="N31" i="16"/>
  <c r="J31" i="16"/>
  <c r="F31" i="16"/>
  <c r="B31" i="16"/>
  <c r="AF30" i="16"/>
  <c r="AG30" i="16" s="1"/>
  <c r="AD30" i="16"/>
  <c r="R30" i="16"/>
  <c r="N30" i="16"/>
  <c r="J30" i="16"/>
  <c r="F30" i="16"/>
  <c r="B30" i="16"/>
  <c r="AF29" i="16"/>
  <c r="AG29" i="16" s="1"/>
  <c r="AD29" i="16"/>
  <c r="R29" i="16"/>
  <c r="N29" i="16"/>
  <c r="J29" i="16"/>
  <c r="F29" i="16"/>
  <c r="B29" i="16"/>
  <c r="AF28" i="16"/>
  <c r="AG28" i="16" s="1"/>
  <c r="AD28" i="16"/>
  <c r="R28" i="16"/>
  <c r="N28" i="16"/>
  <c r="J28" i="16"/>
  <c r="F28" i="16"/>
  <c r="B28" i="16"/>
  <c r="AF27" i="16"/>
  <c r="AG27" i="16" s="1"/>
  <c r="AD27" i="16"/>
  <c r="R27" i="16"/>
  <c r="N27" i="16"/>
  <c r="J27" i="16"/>
  <c r="F27" i="16"/>
  <c r="B27" i="16"/>
  <c r="AF26" i="16"/>
  <c r="AG26" i="16" s="1"/>
  <c r="AD26" i="16"/>
  <c r="R26" i="16"/>
  <c r="N26" i="16"/>
  <c r="J26" i="16"/>
  <c r="F26" i="16"/>
  <c r="B26" i="16"/>
  <c r="AD25" i="16"/>
  <c r="AF25" i="16" s="1"/>
  <c r="AG25" i="16" s="1"/>
  <c r="R25" i="16"/>
  <c r="N25" i="16"/>
  <c r="J25" i="16"/>
  <c r="F25" i="16"/>
  <c r="B25" i="16"/>
  <c r="AD24" i="16"/>
  <c r="AF24" i="16" s="1"/>
  <c r="AG24" i="16" s="1"/>
  <c r="R24" i="16"/>
  <c r="N24" i="16"/>
  <c r="J24" i="16"/>
  <c r="F24" i="16"/>
  <c r="B24" i="16"/>
  <c r="AD23" i="16"/>
  <c r="AF23" i="16" s="1"/>
  <c r="AG23" i="16" s="1"/>
  <c r="R23" i="16"/>
  <c r="N23" i="16"/>
  <c r="J23" i="16"/>
  <c r="F23" i="16"/>
  <c r="B23" i="16"/>
  <c r="AD22" i="16"/>
  <c r="AF22" i="16" s="1"/>
  <c r="AG22" i="16" s="1"/>
  <c r="R22" i="16"/>
  <c r="N22" i="16"/>
  <c r="J22" i="16"/>
  <c r="F22" i="16"/>
  <c r="B22" i="16"/>
  <c r="AD21" i="16"/>
  <c r="AF21" i="16" s="1"/>
  <c r="AG21" i="16" s="1"/>
  <c r="R21" i="16"/>
  <c r="N21" i="16"/>
  <c r="J21" i="16"/>
  <c r="F21" i="16"/>
  <c r="B21" i="16"/>
  <c r="AD20" i="16"/>
  <c r="AF20" i="16" s="1"/>
  <c r="AG20" i="16" s="1"/>
  <c r="R20" i="16"/>
  <c r="N20" i="16"/>
  <c r="J20" i="16"/>
  <c r="F20" i="16"/>
  <c r="B20" i="16"/>
  <c r="AD19" i="16"/>
  <c r="AF19" i="16" s="1"/>
  <c r="AG19" i="16" s="1"/>
  <c r="R19" i="16"/>
  <c r="N19" i="16"/>
  <c r="J19" i="16"/>
  <c r="F19" i="16"/>
  <c r="B19" i="16"/>
  <c r="AD18" i="16"/>
  <c r="AF18" i="16" s="1"/>
  <c r="AG18" i="16" s="1"/>
  <c r="R18" i="16"/>
  <c r="N18" i="16"/>
  <c r="J18" i="16"/>
  <c r="F18" i="16"/>
  <c r="B18" i="16"/>
  <c r="AD17" i="16"/>
  <c r="AF17" i="16" s="1"/>
  <c r="AG17" i="16" s="1"/>
  <c r="R17" i="16"/>
  <c r="N17" i="16"/>
  <c r="J17" i="16"/>
  <c r="F17" i="16"/>
  <c r="B17" i="16"/>
  <c r="AD16" i="16"/>
  <c r="AF16" i="16" s="1"/>
  <c r="AG16" i="16" s="1"/>
  <c r="R16" i="16"/>
  <c r="N16" i="16"/>
  <c r="J16" i="16"/>
  <c r="F16" i="16"/>
  <c r="B16" i="16"/>
  <c r="AD15" i="16"/>
  <c r="AF15" i="16" s="1"/>
  <c r="AG15" i="16" s="1"/>
  <c r="R15" i="16"/>
  <c r="N15" i="16"/>
  <c r="J15" i="16"/>
  <c r="F15" i="16"/>
  <c r="B15" i="16"/>
  <c r="AL14" i="16"/>
  <c r="AD14" i="16"/>
  <c r="AF14" i="16" s="1"/>
  <c r="AG14" i="16" s="1"/>
  <c r="R14" i="16"/>
  <c r="N14" i="16"/>
  <c r="J14" i="16"/>
  <c r="F14" i="16"/>
  <c r="B14" i="16"/>
  <c r="AK13" i="16"/>
  <c r="AL13" i="16" s="1"/>
  <c r="AD13" i="16"/>
  <c r="AF13" i="16" s="1"/>
  <c r="AG13" i="16" s="1"/>
  <c r="R13" i="16"/>
  <c r="N13" i="16"/>
  <c r="J13" i="16"/>
  <c r="F13" i="16"/>
  <c r="B13" i="16"/>
  <c r="AK12" i="16"/>
  <c r="AL12" i="16" s="1"/>
  <c r="AD12" i="16"/>
  <c r="AF12" i="16" s="1"/>
  <c r="AG12" i="16" s="1"/>
  <c r="R12" i="16"/>
  <c r="N12" i="16"/>
  <c r="J12" i="16"/>
  <c r="F12" i="16"/>
  <c r="B12" i="16"/>
  <c r="AK11" i="16"/>
  <c r="AL11" i="16" s="1"/>
  <c r="AD11" i="16"/>
  <c r="AF11" i="16" s="1"/>
  <c r="AG11" i="16" s="1"/>
  <c r="R11" i="16"/>
  <c r="N11" i="16"/>
  <c r="J11" i="16"/>
  <c r="F11" i="16"/>
  <c r="B11" i="16"/>
  <c r="AK10" i="16"/>
  <c r="AL10" i="16" s="1"/>
  <c r="AD10" i="16"/>
  <c r="AF10" i="16" s="1"/>
  <c r="AG10" i="16" s="1"/>
  <c r="R10" i="16"/>
  <c r="N10" i="16"/>
  <c r="J10" i="16"/>
  <c r="F10" i="16"/>
  <c r="B10" i="16"/>
  <c r="AK9" i="16"/>
  <c r="AL9" i="16" s="1"/>
  <c r="AD9" i="16"/>
  <c r="AF9" i="16" s="1"/>
  <c r="AG9" i="16" s="1"/>
  <c r="R9" i="16"/>
  <c r="N9" i="16"/>
  <c r="J9" i="16"/>
  <c r="F9" i="16"/>
  <c r="B9" i="16"/>
  <c r="AK8" i="16"/>
  <c r="AL8" i="16" s="1"/>
  <c r="AD8" i="16"/>
  <c r="AF8" i="16" s="1"/>
  <c r="AG8" i="16" s="1"/>
  <c r="R8" i="16"/>
  <c r="N8" i="16"/>
  <c r="J8" i="16"/>
  <c r="F8" i="16"/>
  <c r="B8" i="16"/>
  <c r="AK7" i="16"/>
  <c r="AL7" i="16" s="1"/>
  <c r="AD7" i="16"/>
  <c r="AF7" i="16" s="1"/>
  <c r="AG7" i="16" s="1"/>
  <c r="R7" i="16"/>
  <c r="N7" i="16"/>
  <c r="J7" i="16"/>
  <c r="F7" i="16"/>
  <c r="B7" i="16"/>
  <c r="AK6" i="16"/>
  <c r="AL6" i="16" s="1"/>
  <c r="AD6" i="16"/>
  <c r="AF6" i="16" s="1"/>
  <c r="AG6" i="16" s="1"/>
  <c r="R6" i="16"/>
  <c r="N6" i="16"/>
  <c r="J6" i="16"/>
  <c r="F6" i="16"/>
  <c r="B6" i="16"/>
  <c r="AK5" i="16"/>
  <c r="AL5" i="16" s="1"/>
  <c r="AD5" i="16"/>
  <c r="AF5" i="16" s="1"/>
  <c r="AG5" i="16" s="1"/>
  <c r="R5" i="16"/>
  <c r="N5" i="16"/>
  <c r="J5" i="16"/>
  <c r="F5" i="16"/>
  <c r="B5" i="16"/>
  <c r="AM35" i="15"/>
  <c r="AJ35" i="15"/>
  <c r="AI35" i="15"/>
  <c r="AE35" i="15"/>
  <c r="AC35" i="15"/>
  <c r="AB35" i="15"/>
  <c r="AA35" i="15"/>
  <c r="Z35" i="15"/>
  <c r="Y35" i="15"/>
  <c r="X35" i="15"/>
  <c r="W35" i="15"/>
  <c r="V35" i="15"/>
  <c r="U35" i="15"/>
  <c r="T35" i="15"/>
  <c r="S35" i="15"/>
  <c r="Q35" i="15"/>
  <c r="P35" i="15"/>
  <c r="O35" i="15"/>
  <c r="M35" i="15"/>
  <c r="L35" i="15"/>
  <c r="K35" i="15"/>
  <c r="I35" i="15"/>
  <c r="H35" i="15"/>
  <c r="G35" i="15"/>
  <c r="E35" i="15"/>
  <c r="D35" i="15"/>
  <c r="C35" i="15"/>
  <c r="AF34" i="15"/>
  <c r="AG34" i="15" s="1"/>
  <c r="AD34" i="15"/>
  <c r="R34" i="15"/>
  <c r="N34" i="15"/>
  <c r="J34" i="15"/>
  <c r="F34" i="15"/>
  <c r="B34" i="15"/>
  <c r="AF33" i="15"/>
  <c r="AG33" i="15" s="1"/>
  <c r="AD33" i="15"/>
  <c r="R33" i="15"/>
  <c r="N33" i="15"/>
  <c r="J33" i="15"/>
  <c r="F33" i="15"/>
  <c r="B33" i="15"/>
  <c r="AF32" i="15"/>
  <c r="AG32" i="15" s="1"/>
  <c r="AD32" i="15"/>
  <c r="R32" i="15"/>
  <c r="N32" i="15"/>
  <c r="J32" i="15"/>
  <c r="F32" i="15"/>
  <c r="B32" i="15"/>
  <c r="AF31" i="15"/>
  <c r="AG31" i="15" s="1"/>
  <c r="AD31" i="15"/>
  <c r="R31" i="15"/>
  <c r="N31" i="15"/>
  <c r="J31" i="15"/>
  <c r="F31" i="15"/>
  <c r="B31" i="15"/>
  <c r="AF30" i="15"/>
  <c r="AG30" i="15" s="1"/>
  <c r="AD30" i="15"/>
  <c r="R30" i="15"/>
  <c r="N30" i="15"/>
  <c r="J30" i="15"/>
  <c r="F30" i="15"/>
  <c r="B30" i="15"/>
  <c r="AF29" i="15"/>
  <c r="AG29" i="15" s="1"/>
  <c r="AD29" i="15"/>
  <c r="R29" i="15"/>
  <c r="N29" i="15"/>
  <c r="J29" i="15"/>
  <c r="F29" i="15"/>
  <c r="B29" i="15"/>
  <c r="AD28" i="15"/>
  <c r="AF28" i="15" s="1"/>
  <c r="AG28" i="15" s="1"/>
  <c r="R28" i="15"/>
  <c r="N28" i="15"/>
  <c r="J28" i="15"/>
  <c r="F28" i="15"/>
  <c r="B28" i="15"/>
  <c r="AD27" i="15"/>
  <c r="AF27" i="15" s="1"/>
  <c r="AG27" i="15" s="1"/>
  <c r="R27" i="15"/>
  <c r="N27" i="15"/>
  <c r="J27" i="15"/>
  <c r="F27" i="15"/>
  <c r="B27" i="15"/>
  <c r="AD26" i="15"/>
  <c r="AF26" i="15" s="1"/>
  <c r="AG26" i="15" s="1"/>
  <c r="R26" i="15"/>
  <c r="N26" i="15"/>
  <c r="J26" i="15"/>
  <c r="F26" i="15"/>
  <c r="B26" i="15"/>
  <c r="AD25" i="15"/>
  <c r="AF25" i="15" s="1"/>
  <c r="AG25" i="15" s="1"/>
  <c r="R25" i="15"/>
  <c r="N25" i="15"/>
  <c r="J25" i="15"/>
  <c r="F25" i="15"/>
  <c r="B25" i="15"/>
  <c r="AD24" i="15"/>
  <c r="AF24" i="15" s="1"/>
  <c r="AG24" i="15" s="1"/>
  <c r="R24" i="15"/>
  <c r="N24" i="15"/>
  <c r="J24" i="15"/>
  <c r="F24" i="15"/>
  <c r="B24" i="15"/>
  <c r="AD23" i="15"/>
  <c r="AF23" i="15" s="1"/>
  <c r="AG23" i="15" s="1"/>
  <c r="R23" i="15"/>
  <c r="N23" i="15"/>
  <c r="J23" i="15"/>
  <c r="F23" i="15"/>
  <c r="B23" i="15"/>
  <c r="AD22" i="15"/>
  <c r="AF22" i="15" s="1"/>
  <c r="AG22" i="15" s="1"/>
  <c r="R22" i="15"/>
  <c r="N22" i="15"/>
  <c r="J22" i="15"/>
  <c r="F22" i="15"/>
  <c r="B22" i="15"/>
  <c r="AD21" i="15"/>
  <c r="AF21" i="15" s="1"/>
  <c r="AG21" i="15" s="1"/>
  <c r="R21" i="15"/>
  <c r="N21" i="15"/>
  <c r="J21" i="15"/>
  <c r="F21" i="15"/>
  <c r="B21" i="15"/>
  <c r="AD20" i="15"/>
  <c r="AF20" i="15" s="1"/>
  <c r="AG20" i="15" s="1"/>
  <c r="R20" i="15"/>
  <c r="N20" i="15"/>
  <c r="J20" i="15"/>
  <c r="F20" i="15"/>
  <c r="B20" i="15"/>
  <c r="AD19" i="15"/>
  <c r="AF19" i="15" s="1"/>
  <c r="AG19" i="15" s="1"/>
  <c r="R19" i="15"/>
  <c r="N19" i="15"/>
  <c r="J19" i="15"/>
  <c r="F19" i="15"/>
  <c r="B19" i="15"/>
  <c r="AK18" i="15"/>
  <c r="AL18" i="15" s="1"/>
  <c r="AD18" i="15"/>
  <c r="AF18" i="15" s="1"/>
  <c r="AG18" i="15" s="1"/>
  <c r="R18" i="15"/>
  <c r="N18" i="15"/>
  <c r="J18" i="15"/>
  <c r="F18" i="15"/>
  <c r="B18" i="15"/>
  <c r="AK17" i="15"/>
  <c r="AL17" i="15" s="1"/>
  <c r="AD17" i="15"/>
  <c r="AF17" i="15" s="1"/>
  <c r="AG17" i="15" s="1"/>
  <c r="R17" i="15"/>
  <c r="N17" i="15"/>
  <c r="J17" i="15"/>
  <c r="F17" i="15"/>
  <c r="B17" i="15"/>
  <c r="AK16" i="15"/>
  <c r="AL16" i="15" s="1"/>
  <c r="AD16" i="15"/>
  <c r="AF16" i="15" s="1"/>
  <c r="AG16" i="15" s="1"/>
  <c r="R16" i="15"/>
  <c r="N16" i="15"/>
  <c r="J16" i="15"/>
  <c r="F16" i="15"/>
  <c r="B16" i="15"/>
  <c r="AK15" i="15"/>
  <c r="AL15" i="15" s="1"/>
  <c r="AD15" i="15"/>
  <c r="AF15" i="15" s="1"/>
  <c r="AG15" i="15" s="1"/>
  <c r="R15" i="15"/>
  <c r="N15" i="15"/>
  <c r="J15" i="15"/>
  <c r="F15" i="15"/>
  <c r="B15" i="15"/>
  <c r="AK14" i="15"/>
  <c r="AL14" i="15" s="1"/>
  <c r="AD14" i="15"/>
  <c r="AF14" i="15" s="1"/>
  <c r="AG14" i="15" s="1"/>
  <c r="R14" i="15"/>
  <c r="N14" i="15"/>
  <c r="J14" i="15"/>
  <c r="F14" i="15"/>
  <c r="B14" i="15"/>
  <c r="AK13" i="15"/>
  <c r="AL13" i="15" s="1"/>
  <c r="AD13" i="15"/>
  <c r="AF13" i="15" s="1"/>
  <c r="AG13" i="15" s="1"/>
  <c r="R13" i="15"/>
  <c r="N13" i="15"/>
  <c r="J13" i="15"/>
  <c r="F13" i="15"/>
  <c r="B13" i="15"/>
  <c r="AK12" i="15"/>
  <c r="AL12" i="15" s="1"/>
  <c r="AD12" i="15"/>
  <c r="AF12" i="15" s="1"/>
  <c r="AG12" i="15" s="1"/>
  <c r="R12" i="15"/>
  <c r="N12" i="15"/>
  <c r="J12" i="15"/>
  <c r="F12" i="15"/>
  <c r="B12" i="15"/>
  <c r="AK11" i="15"/>
  <c r="AL11" i="15" s="1"/>
  <c r="AD11" i="15"/>
  <c r="AF11" i="15" s="1"/>
  <c r="AG11" i="15" s="1"/>
  <c r="R11" i="15"/>
  <c r="N11" i="15"/>
  <c r="J11" i="15"/>
  <c r="F11" i="15"/>
  <c r="B11" i="15"/>
  <c r="AK10" i="15"/>
  <c r="AL10" i="15" s="1"/>
  <c r="AD10" i="15"/>
  <c r="AF10" i="15" s="1"/>
  <c r="AG10" i="15" s="1"/>
  <c r="R10" i="15"/>
  <c r="N10" i="15"/>
  <c r="J10" i="15"/>
  <c r="F10" i="15"/>
  <c r="B10" i="15"/>
  <c r="AK9" i="15"/>
  <c r="AL9" i="15" s="1"/>
  <c r="AD9" i="15"/>
  <c r="AF9" i="15" s="1"/>
  <c r="AG9" i="15" s="1"/>
  <c r="R9" i="15"/>
  <c r="N9" i="15"/>
  <c r="J9" i="15"/>
  <c r="F9" i="15"/>
  <c r="B9" i="15"/>
  <c r="AL8" i="15"/>
  <c r="AD8" i="15"/>
  <c r="AF8" i="15" s="1"/>
  <c r="AG8" i="15" s="1"/>
  <c r="R8" i="15"/>
  <c r="N8" i="15"/>
  <c r="J8" i="15"/>
  <c r="F8" i="15"/>
  <c r="B8" i="15"/>
  <c r="AK7" i="15"/>
  <c r="AL7" i="15" s="1"/>
  <c r="AD7" i="15"/>
  <c r="AF7" i="15" s="1"/>
  <c r="AG7" i="15" s="1"/>
  <c r="R7" i="15"/>
  <c r="N7" i="15"/>
  <c r="J7" i="15"/>
  <c r="F7" i="15"/>
  <c r="B7" i="15"/>
  <c r="AK6" i="15"/>
  <c r="AL6" i="15" s="1"/>
  <c r="AD6" i="15"/>
  <c r="AF6" i="15" s="1"/>
  <c r="AG6" i="15" s="1"/>
  <c r="R6" i="15"/>
  <c r="N6" i="15"/>
  <c r="J6" i="15"/>
  <c r="F6" i="15"/>
  <c r="B6" i="15"/>
  <c r="AK5" i="15"/>
  <c r="AD5" i="15"/>
  <c r="AF5" i="15" s="1"/>
  <c r="AG5" i="15" s="1"/>
  <c r="R5" i="15"/>
  <c r="N5" i="15"/>
  <c r="J5" i="15"/>
  <c r="F5" i="15"/>
  <c r="B5" i="15"/>
  <c r="AM36" i="14"/>
  <c r="AJ36" i="14"/>
  <c r="AI36" i="14"/>
  <c r="AE36" i="14"/>
  <c r="AC36" i="14"/>
  <c r="AB36" i="14"/>
  <c r="AA36" i="14"/>
  <c r="Z36" i="14"/>
  <c r="Y36" i="14"/>
  <c r="X36" i="14"/>
  <c r="W36" i="14"/>
  <c r="V36" i="14"/>
  <c r="U36" i="14"/>
  <c r="T36" i="14"/>
  <c r="S36" i="14"/>
  <c r="Q36" i="14"/>
  <c r="P36" i="14"/>
  <c r="O36" i="14"/>
  <c r="M36" i="14"/>
  <c r="L36" i="14"/>
  <c r="K36" i="14"/>
  <c r="I36" i="14"/>
  <c r="H36" i="14"/>
  <c r="G36" i="14"/>
  <c r="E36" i="14"/>
  <c r="D36" i="14"/>
  <c r="C36" i="14"/>
  <c r="AD35" i="14"/>
  <c r="AF35" i="14" s="1"/>
  <c r="AG35" i="14" s="1"/>
  <c r="R35" i="14"/>
  <c r="N35" i="14"/>
  <c r="J35" i="14"/>
  <c r="F35" i="14"/>
  <c r="B35" i="14"/>
  <c r="AD33" i="14"/>
  <c r="AF33" i="14" s="1"/>
  <c r="AG33" i="14" s="1"/>
  <c r="R33" i="14"/>
  <c r="N33" i="14"/>
  <c r="J33" i="14"/>
  <c r="F33" i="14"/>
  <c r="B33" i="14"/>
  <c r="AD32" i="14"/>
  <c r="AF32" i="14" s="1"/>
  <c r="AG32" i="14" s="1"/>
  <c r="R32" i="14"/>
  <c r="N32" i="14"/>
  <c r="J32" i="14"/>
  <c r="F32" i="14"/>
  <c r="B32" i="14"/>
  <c r="AD31" i="14"/>
  <c r="AF31" i="14" s="1"/>
  <c r="AG31" i="14" s="1"/>
  <c r="R31" i="14"/>
  <c r="N31" i="14"/>
  <c r="J31" i="14"/>
  <c r="F31" i="14"/>
  <c r="B31" i="14"/>
  <c r="AD30" i="14"/>
  <c r="AF30" i="14" s="1"/>
  <c r="AG30" i="14" s="1"/>
  <c r="R30" i="14"/>
  <c r="N30" i="14"/>
  <c r="J30" i="14"/>
  <c r="F30" i="14"/>
  <c r="B30" i="14"/>
  <c r="AD29" i="14"/>
  <c r="AF29" i="14" s="1"/>
  <c r="AG29" i="14" s="1"/>
  <c r="R29" i="14"/>
  <c r="N29" i="14"/>
  <c r="J29" i="14"/>
  <c r="F29" i="14"/>
  <c r="B29" i="14"/>
  <c r="AD28" i="14"/>
  <c r="AF28" i="14" s="1"/>
  <c r="AG28" i="14" s="1"/>
  <c r="R28" i="14"/>
  <c r="N28" i="14"/>
  <c r="J28" i="14"/>
  <c r="F28" i="14"/>
  <c r="B28" i="14"/>
  <c r="AD27" i="14"/>
  <c r="AF27" i="14" s="1"/>
  <c r="AG27" i="14" s="1"/>
  <c r="R27" i="14"/>
  <c r="N27" i="14"/>
  <c r="J27" i="14"/>
  <c r="F27" i="14"/>
  <c r="B27" i="14"/>
  <c r="AD26" i="14"/>
  <c r="AF26" i="14" s="1"/>
  <c r="AG26" i="14" s="1"/>
  <c r="R26" i="14"/>
  <c r="N26" i="14"/>
  <c r="J26" i="14"/>
  <c r="F26" i="14"/>
  <c r="B26" i="14"/>
  <c r="AD25" i="14"/>
  <c r="AF25" i="14" s="1"/>
  <c r="AG25" i="14" s="1"/>
  <c r="R25" i="14"/>
  <c r="N25" i="14"/>
  <c r="J25" i="14"/>
  <c r="F25" i="14"/>
  <c r="B25" i="14"/>
  <c r="AD24" i="14"/>
  <c r="AF24" i="14" s="1"/>
  <c r="AG24" i="14" s="1"/>
  <c r="R24" i="14"/>
  <c r="N24" i="14"/>
  <c r="J24" i="14"/>
  <c r="F24" i="14"/>
  <c r="B24" i="14"/>
  <c r="AD23" i="14"/>
  <c r="AF23" i="14" s="1"/>
  <c r="AG23" i="14" s="1"/>
  <c r="R23" i="14"/>
  <c r="N23" i="14"/>
  <c r="J23" i="14"/>
  <c r="F23" i="14"/>
  <c r="B23" i="14"/>
  <c r="AD22" i="14"/>
  <c r="AF22" i="14" s="1"/>
  <c r="AG22" i="14" s="1"/>
  <c r="R22" i="14"/>
  <c r="N22" i="14"/>
  <c r="J22" i="14"/>
  <c r="F22" i="14"/>
  <c r="B22" i="14"/>
  <c r="AD21" i="14"/>
  <c r="AF21" i="14" s="1"/>
  <c r="AG21" i="14" s="1"/>
  <c r="R21" i="14"/>
  <c r="N21" i="14"/>
  <c r="J21" i="14"/>
  <c r="F21" i="14"/>
  <c r="B21" i="14"/>
  <c r="AD20" i="14"/>
  <c r="AF20" i="14" s="1"/>
  <c r="AG20" i="14" s="1"/>
  <c r="R20" i="14"/>
  <c r="N20" i="14"/>
  <c r="J20" i="14"/>
  <c r="F20" i="14"/>
  <c r="B20" i="14"/>
  <c r="AD19" i="14"/>
  <c r="AF19" i="14" s="1"/>
  <c r="AG19" i="14" s="1"/>
  <c r="R19" i="14"/>
  <c r="N19" i="14"/>
  <c r="J19" i="14"/>
  <c r="F19" i="14"/>
  <c r="B19" i="14"/>
  <c r="AK18" i="14"/>
  <c r="AL18" i="14" s="1"/>
  <c r="AD18" i="14"/>
  <c r="AF18" i="14" s="1"/>
  <c r="AG18" i="14" s="1"/>
  <c r="R18" i="14"/>
  <c r="N18" i="14"/>
  <c r="J18" i="14"/>
  <c r="F18" i="14"/>
  <c r="B18" i="14"/>
  <c r="AK17" i="14"/>
  <c r="AL17" i="14" s="1"/>
  <c r="AD17" i="14"/>
  <c r="AF17" i="14" s="1"/>
  <c r="AG17" i="14" s="1"/>
  <c r="R17" i="14"/>
  <c r="N17" i="14"/>
  <c r="J17" i="14"/>
  <c r="F17" i="14"/>
  <c r="B17" i="14"/>
  <c r="AK16" i="14"/>
  <c r="AL16" i="14" s="1"/>
  <c r="AD16" i="14"/>
  <c r="AF16" i="14" s="1"/>
  <c r="AG16" i="14" s="1"/>
  <c r="R16" i="14"/>
  <c r="N16" i="14"/>
  <c r="J16" i="14"/>
  <c r="F16" i="14"/>
  <c r="B16" i="14"/>
  <c r="AK15" i="14"/>
  <c r="AL15" i="14" s="1"/>
  <c r="AD15" i="14"/>
  <c r="AF15" i="14" s="1"/>
  <c r="AG15" i="14" s="1"/>
  <c r="R15" i="14"/>
  <c r="N15" i="14"/>
  <c r="J15" i="14"/>
  <c r="F15" i="14"/>
  <c r="B15" i="14"/>
  <c r="AK14" i="14"/>
  <c r="AL14" i="14" s="1"/>
  <c r="AD14" i="14"/>
  <c r="AF14" i="14" s="1"/>
  <c r="AG14" i="14" s="1"/>
  <c r="R14" i="14"/>
  <c r="N14" i="14"/>
  <c r="J14" i="14"/>
  <c r="F14" i="14"/>
  <c r="B14" i="14"/>
  <c r="AK13" i="14"/>
  <c r="AL13" i="14" s="1"/>
  <c r="AD13" i="14"/>
  <c r="AF13" i="14" s="1"/>
  <c r="AG13" i="14" s="1"/>
  <c r="R13" i="14"/>
  <c r="N13" i="14"/>
  <c r="J13" i="14"/>
  <c r="F13" i="14"/>
  <c r="B13" i="14"/>
  <c r="AK12" i="14"/>
  <c r="AL12" i="14" s="1"/>
  <c r="AD12" i="14"/>
  <c r="AF12" i="14" s="1"/>
  <c r="AG12" i="14" s="1"/>
  <c r="R12" i="14"/>
  <c r="N12" i="14"/>
  <c r="J12" i="14"/>
  <c r="F12" i="14"/>
  <c r="B12" i="14"/>
  <c r="AK11" i="14"/>
  <c r="AL11" i="14" s="1"/>
  <c r="AD11" i="14"/>
  <c r="AF11" i="14" s="1"/>
  <c r="AG11" i="14" s="1"/>
  <c r="R11" i="14"/>
  <c r="N11" i="14"/>
  <c r="J11" i="14"/>
  <c r="F11" i="14"/>
  <c r="B11" i="14"/>
  <c r="AK10" i="14"/>
  <c r="AL10" i="14" s="1"/>
  <c r="AD10" i="14"/>
  <c r="AF10" i="14" s="1"/>
  <c r="AG10" i="14" s="1"/>
  <c r="R10" i="14"/>
  <c r="N10" i="14"/>
  <c r="J10" i="14"/>
  <c r="F10" i="14"/>
  <c r="B10" i="14"/>
  <c r="AK9" i="14"/>
  <c r="AL9" i="14" s="1"/>
  <c r="AD9" i="14"/>
  <c r="AF9" i="14" s="1"/>
  <c r="AG9" i="14" s="1"/>
  <c r="R9" i="14"/>
  <c r="N9" i="14"/>
  <c r="J9" i="14"/>
  <c r="F9" i="14"/>
  <c r="B9" i="14"/>
  <c r="AK8" i="14"/>
  <c r="AL8" i="14" s="1"/>
  <c r="AD8" i="14"/>
  <c r="AF8" i="14" s="1"/>
  <c r="AG8" i="14" s="1"/>
  <c r="R8" i="14"/>
  <c r="N8" i="14"/>
  <c r="J8" i="14"/>
  <c r="F8" i="14"/>
  <c r="B8" i="14"/>
  <c r="AK7" i="14"/>
  <c r="AL7" i="14" s="1"/>
  <c r="AD7" i="14"/>
  <c r="AF7" i="14" s="1"/>
  <c r="AG7" i="14" s="1"/>
  <c r="R7" i="14"/>
  <c r="N7" i="14"/>
  <c r="J7" i="14"/>
  <c r="F7" i="14"/>
  <c r="B7" i="14"/>
  <c r="AK6" i="14"/>
  <c r="AL6" i="14" s="1"/>
  <c r="AD6" i="14"/>
  <c r="AF6" i="14" s="1"/>
  <c r="AG6" i="14" s="1"/>
  <c r="R6" i="14"/>
  <c r="N6" i="14"/>
  <c r="J6" i="14"/>
  <c r="F6" i="14"/>
  <c r="B6" i="14"/>
  <c r="AK5" i="14"/>
  <c r="AL5" i="14" s="1"/>
  <c r="AD5" i="14"/>
  <c r="AF5" i="14" s="1"/>
  <c r="AG5" i="14" s="1"/>
  <c r="R5" i="14"/>
  <c r="N5" i="14"/>
  <c r="J5" i="14"/>
  <c r="F5" i="14"/>
  <c r="B5" i="14"/>
  <c r="AM35" i="13"/>
  <c r="AJ35" i="13"/>
  <c r="AI35" i="13"/>
  <c r="AE35" i="13"/>
  <c r="AC35" i="13"/>
  <c r="AB35" i="13"/>
  <c r="AA35" i="13"/>
  <c r="Z35" i="13"/>
  <c r="Y35" i="13"/>
  <c r="X35" i="13"/>
  <c r="W35" i="13"/>
  <c r="V35" i="13"/>
  <c r="U35" i="13"/>
  <c r="T35" i="13"/>
  <c r="S35" i="13"/>
  <c r="Q35" i="13"/>
  <c r="P35" i="13"/>
  <c r="O35" i="13"/>
  <c r="M35" i="13"/>
  <c r="L35" i="13"/>
  <c r="K35" i="13"/>
  <c r="I35" i="13"/>
  <c r="H35" i="13"/>
  <c r="G35" i="13"/>
  <c r="E35" i="13"/>
  <c r="D35" i="13"/>
  <c r="C35" i="13"/>
  <c r="AF34" i="13"/>
  <c r="AG34" i="13" s="1"/>
  <c r="AD34" i="13"/>
  <c r="R34" i="13"/>
  <c r="N34" i="13"/>
  <c r="J34" i="13"/>
  <c r="F34" i="13"/>
  <c r="B34" i="13"/>
  <c r="AF33" i="13"/>
  <c r="AG33" i="13" s="1"/>
  <c r="AD33" i="13"/>
  <c r="R33" i="13"/>
  <c r="N33" i="13"/>
  <c r="J33" i="13"/>
  <c r="F33" i="13"/>
  <c r="B33" i="13"/>
  <c r="AF32" i="13"/>
  <c r="AG32" i="13" s="1"/>
  <c r="AD32" i="13"/>
  <c r="R32" i="13"/>
  <c r="N32" i="13"/>
  <c r="J32" i="13"/>
  <c r="F32" i="13"/>
  <c r="B32" i="13"/>
  <c r="AF31" i="13"/>
  <c r="AG31" i="13" s="1"/>
  <c r="AD31" i="13"/>
  <c r="R31" i="13"/>
  <c r="N31" i="13"/>
  <c r="J31" i="13"/>
  <c r="F31" i="13"/>
  <c r="B31" i="13"/>
  <c r="AF30" i="13"/>
  <c r="AG30" i="13" s="1"/>
  <c r="AD30" i="13"/>
  <c r="R30" i="13"/>
  <c r="N30" i="13"/>
  <c r="J30" i="13"/>
  <c r="F30" i="13"/>
  <c r="B30" i="13"/>
  <c r="AF29" i="13"/>
  <c r="AG29" i="13" s="1"/>
  <c r="AD29" i="13"/>
  <c r="R29" i="13"/>
  <c r="N29" i="13"/>
  <c r="J29" i="13"/>
  <c r="F29" i="13"/>
  <c r="B29" i="13"/>
  <c r="AF28" i="13"/>
  <c r="AG28" i="13" s="1"/>
  <c r="AD28" i="13"/>
  <c r="R28" i="13"/>
  <c r="N28" i="13"/>
  <c r="J28" i="13"/>
  <c r="F28" i="13"/>
  <c r="B28" i="13"/>
  <c r="AD27" i="13"/>
  <c r="AF27" i="13" s="1"/>
  <c r="AG27" i="13" s="1"/>
  <c r="R27" i="13"/>
  <c r="N27" i="13"/>
  <c r="J27" i="13"/>
  <c r="F27" i="13"/>
  <c r="B27" i="13"/>
  <c r="AD26" i="13"/>
  <c r="AF26" i="13" s="1"/>
  <c r="AG26" i="13" s="1"/>
  <c r="R26" i="13"/>
  <c r="N26" i="13"/>
  <c r="J26" i="13"/>
  <c r="F26" i="13"/>
  <c r="B26" i="13"/>
  <c r="AD25" i="13"/>
  <c r="AF25" i="13" s="1"/>
  <c r="AG25" i="13" s="1"/>
  <c r="R25" i="13"/>
  <c r="N25" i="13"/>
  <c r="J25" i="13"/>
  <c r="F25" i="13"/>
  <c r="B25" i="13"/>
  <c r="AD24" i="13"/>
  <c r="AF24" i="13" s="1"/>
  <c r="AG24" i="13" s="1"/>
  <c r="R24" i="13"/>
  <c r="N24" i="13"/>
  <c r="J24" i="13"/>
  <c r="F24" i="13"/>
  <c r="B24" i="13"/>
  <c r="AD23" i="13"/>
  <c r="AF23" i="13" s="1"/>
  <c r="AG23" i="13" s="1"/>
  <c r="R23" i="13"/>
  <c r="N23" i="13"/>
  <c r="J23" i="13"/>
  <c r="F23" i="13"/>
  <c r="B23" i="13"/>
  <c r="AD22" i="13"/>
  <c r="AF22" i="13" s="1"/>
  <c r="AG22" i="13" s="1"/>
  <c r="R22" i="13"/>
  <c r="N22" i="13"/>
  <c r="J22" i="13"/>
  <c r="F22" i="13"/>
  <c r="B22" i="13"/>
  <c r="AD21" i="13"/>
  <c r="AF21" i="13" s="1"/>
  <c r="AG21" i="13" s="1"/>
  <c r="R21" i="13"/>
  <c r="N21" i="13"/>
  <c r="J21" i="13"/>
  <c r="F21" i="13"/>
  <c r="B21" i="13"/>
  <c r="AD20" i="13"/>
  <c r="AF20" i="13" s="1"/>
  <c r="AG20" i="13" s="1"/>
  <c r="R20" i="13"/>
  <c r="N20" i="13"/>
  <c r="J20" i="13"/>
  <c r="F20" i="13"/>
  <c r="B20" i="13"/>
  <c r="AD19" i="13"/>
  <c r="AF19" i="13" s="1"/>
  <c r="AG19" i="13" s="1"/>
  <c r="R19" i="13"/>
  <c r="N19" i="13"/>
  <c r="J19" i="13"/>
  <c r="F19" i="13"/>
  <c r="B19" i="13"/>
  <c r="AD18" i="13"/>
  <c r="AF18" i="13" s="1"/>
  <c r="AG18" i="13" s="1"/>
  <c r="R18" i="13"/>
  <c r="N18" i="13"/>
  <c r="J18" i="13"/>
  <c r="F18" i="13"/>
  <c r="B18" i="13"/>
  <c r="AD17" i="13"/>
  <c r="AF17" i="13" s="1"/>
  <c r="AG17" i="13" s="1"/>
  <c r="R17" i="13"/>
  <c r="N17" i="13"/>
  <c r="J17" i="13"/>
  <c r="F17" i="13"/>
  <c r="B17" i="13"/>
  <c r="AD16" i="13"/>
  <c r="AF16" i="13" s="1"/>
  <c r="AG16" i="13" s="1"/>
  <c r="R16" i="13"/>
  <c r="N16" i="13"/>
  <c r="J16" i="13"/>
  <c r="F16" i="13"/>
  <c r="B16" i="13"/>
  <c r="AD15" i="13"/>
  <c r="AF15" i="13" s="1"/>
  <c r="AG15" i="13" s="1"/>
  <c r="R15" i="13"/>
  <c r="N15" i="13"/>
  <c r="J15" i="13"/>
  <c r="F15" i="13"/>
  <c r="B15" i="13"/>
  <c r="AD14" i="13"/>
  <c r="AF14" i="13" s="1"/>
  <c r="AG14" i="13" s="1"/>
  <c r="R14" i="13"/>
  <c r="N14" i="13"/>
  <c r="J14" i="13"/>
  <c r="F14" i="13"/>
  <c r="B14" i="13"/>
  <c r="AD13" i="13"/>
  <c r="AF13" i="13" s="1"/>
  <c r="AG13" i="13" s="1"/>
  <c r="R13" i="13"/>
  <c r="N13" i="13"/>
  <c r="J13" i="13"/>
  <c r="F13" i="13"/>
  <c r="B13" i="13"/>
  <c r="AD12" i="13"/>
  <c r="AF12" i="13" s="1"/>
  <c r="AG12" i="13" s="1"/>
  <c r="R12" i="13"/>
  <c r="N12" i="13"/>
  <c r="J12" i="13"/>
  <c r="F12" i="13"/>
  <c r="B12" i="13"/>
  <c r="AD11" i="13"/>
  <c r="AF11" i="13" s="1"/>
  <c r="AG11" i="13" s="1"/>
  <c r="R11" i="13"/>
  <c r="N11" i="13"/>
  <c r="J11" i="13"/>
  <c r="F11" i="13"/>
  <c r="B11" i="13"/>
  <c r="AK10" i="13"/>
  <c r="AL10" i="13" s="1"/>
  <c r="AD10" i="13"/>
  <c r="AF10" i="13" s="1"/>
  <c r="AG10" i="13" s="1"/>
  <c r="R10" i="13"/>
  <c r="N10" i="13"/>
  <c r="J10" i="13"/>
  <c r="F10" i="13"/>
  <c r="B10" i="13"/>
  <c r="AK9" i="13"/>
  <c r="AL9" i="13" s="1"/>
  <c r="AD9" i="13"/>
  <c r="AF9" i="13" s="1"/>
  <c r="AG9" i="13" s="1"/>
  <c r="R9" i="13"/>
  <c r="N9" i="13"/>
  <c r="J9" i="13"/>
  <c r="F9" i="13"/>
  <c r="B9" i="13"/>
  <c r="AK8" i="13"/>
  <c r="AL8" i="13" s="1"/>
  <c r="AD8" i="13"/>
  <c r="AF8" i="13" s="1"/>
  <c r="AG8" i="13" s="1"/>
  <c r="R8" i="13"/>
  <c r="N8" i="13"/>
  <c r="J8" i="13"/>
  <c r="F8" i="13"/>
  <c r="B8" i="13"/>
  <c r="AK7" i="13"/>
  <c r="AL7" i="13" s="1"/>
  <c r="AD7" i="13"/>
  <c r="AF7" i="13" s="1"/>
  <c r="AG7" i="13" s="1"/>
  <c r="R7" i="13"/>
  <c r="N7" i="13"/>
  <c r="J7" i="13"/>
  <c r="F7" i="13"/>
  <c r="B7" i="13"/>
  <c r="AK6" i="13"/>
  <c r="AL6" i="13" s="1"/>
  <c r="AD6" i="13"/>
  <c r="AF6" i="13" s="1"/>
  <c r="AG6" i="13" s="1"/>
  <c r="R6" i="13"/>
  <c r="N6" i="13"/>
  <c r="J6" i="13"/>
  <c r="F6" i="13"/>
  <c r="B6" i="13"/>
  <c r="AK5" i="13"/>
  <c r="AD5" i="13"/>
  <c r="AF5" i="13" s="1"/>
  <c r="R5" i="13"/>
  <c r="N5" i="13"/>
  <c r="J5" i="13"/>
  <c r="F5" i="13"/>
  <c r="B5" i="13"/>
  <c r="AM35" i="12"/>
  <c r="AJ35" i="12"/>
  <c r="AI35" i="12"/>
  <c r="AE35" i="12"/>
  <c r="AC35" i="12"/>
  <c r="AB35" i="12"/>
  <c r="AA35" i="12"/>
  <c r="Z35" i="12"/>
  <c r="Y35" i="12"/>
  <c r="X35" i="12"/>
  <c r="W35" i="12"/>
  <c r="V35" i="12"/>
  <c r="U35" i="12"/>
  <c r="T35" i="12"/>
  <c r="S35" i="12"/>
  <c r="Q35" i="12"/>
  <c r="P35" i="12"/>
  <c r="O35" i="12"/>
  <c r="M35" i="12"/>
  <c r="L35" i="12"/>
  <c r="K35" i="12"/>
  <c r="I35" i="12"/>
  <c r="H35" i="12"/>
  <c r="G35" i="12"/>
  <c r="E35" i="12"/>
  <c r="D35" i="12"/>
  <c r="C35" i="12"/>
  <c r="AF34" i="12"/>
  <c r="AG34" i="12" s="1"/>
  <c r="AD34" i="12"/>
  <c r="R34" i="12"/>
  <c r="N34" i="12"/>
  <c r="J34" i="12"/>
  <c r="F34" i="12"/>
  <c r="B34" i="12"/>
  <c r="AF33" i="12"/>
  <c r="AG33" i="12" s="1"/>
  <c r="AD33" i="12"/>
  <c r="R33" i="12"/>
  <c r="N33" i="12"/>
  <c r="J33" i="12"/>
  <c r="F33" i="12"/>
  <c r="B33" i="12"/>
  <c r="AF32" i="12"/>
  <c r="AG32" i="12" s="1"/>
  <c r="AD32" i="12"/>
  <c r="R32" i="12"/>
  <c r="N32" i="12"/>
  <c r="J32" i="12"/>
  <c r="F32" i="12"/>
  <c r="B32" i="12"/>
  <c r="AD31" i="12"/>
  <c r="AF31" i="12" s="1"/>
  <c r="AG31" i="12" s="1"/>
  <c r="R31" i="12"/>
  <c r="N31" i="12"/>
  <c r="J31" i="12"/>
  <c r="F31" i="12"/>
  <c r="B31" i="12"/>
  <c r="AD30" i="12"/>
  <c r="AF30" i="12" s="1"/>
  <c r="AG30" i="12" s="1"/>
  <c r="R30" i="12"/>
  <c r="N30" i="12"/>
  <c r="J30" i="12"/>
  <c r="F30" i="12"/>
  <c r="B30" i="12"/>
  <c r="AD29" i="12"/>
  <c r="AF29" i="12" s="1"/>
  <c r="AG29" i="12" s="1"/>
  <c r="R29" i="12"/>
  <c r="N29" i="12"/>
  <c r="J29" i="12"/>
  <c r="F29" i="12"/>
  <c r="B29" i="12"/>
  <c r="AD28" i="12"/>
  <c r="AF28" i="12" s="1"/>
  <c r="AG28" i="12" s="1"/>
  <c r="R28" i="12"/>
  <c r="N28" i="12"/>
  <c r="J28" i="12"/>
  <c r="F28" i="12"/>
  <c r="B28" i="12"/>
  <c r="AD27" i="12"/>
  <c r="AF27" i="12" s="1"/>
  <c r="AG27" i="12" s="1"/>
  <c r="R27" i="12"/>
  <c r="N27" i="12"/>
  <c r="J27" i="12"/>
  <c r="F27" i="12"/>
  <c r="B27" i="12"/>
  <c r="AD26" i="12"/>
  <c r="AF26" i="12" s="1"/>
  <c r="AG26" i="12" s="1"/>
  <c r="R26" i="12"/>
  <c r="N26" i="12"/>
  <c r="J26" i="12"/>
  <c r="F26" i="12"/>
  <c r="B26" i="12"/>
  <c r="AD25" i="12"/>
  <c r="AF25" i="12" s="1"/>
  <c r="AG25" i="12" s="1"/>
  <c r="R25" i="12"/>
  <c r="N25" i="12"/>
  <c r="J25" i="12"/>
  <c r="F25" i="12"/>
  <c r="B25" i="12"/>
  <c r="AD24" i="12"/>
  <c r="AF24" i="12" s="1"/>
  <c r="AG24" i="12" s="1"/>
  <c r="R24" i="12"/>
  <c r="N24" i="12"/>
  <c r="J24" i="12"/>
  <c r="F24" i="12"/>
  <c r="B24" i="12"/>
  <c r="AD23" i="12"/>
  <c r="AF23" i="12" s="1"/>
  <c r="AG23" i="12" s="1"/>
  <c r="R23" i="12"/>
  <c r="N23" i="12"/>
  <c r="J23" i="12"/>
  <c r="F23" i="12"/>
  <c r="B23" i="12"/>
  <c r="AD22" i="12"/>
  <c r="AF22" i="12" s="1"/>
  <c r="AG22" i="12" s="1"/>
  <c r="R22" i="12"/>
  <c r="N22" i="12"/>
  <c r="J22" i="12"/>
  <c r="F22" i="12"/>
  <c r="B22" i="12"/>
  <c r="AD21" i="12"/>
  <c r="AF21" i="12" s="1"/>
  <c r="AG21" i="12" s="1"/>
  <c r="R21" i="12"/>
  <c r="N21" i="12"/>
  <c r="J21" i="12"/>
  <c r="F21" i="12"/>
  <c r="B21" i="12"/>
  <c r="AD20" i="12"/>
  <c r="AF20" i="12" s="1"/>
  <c r="AG20" i="12" s="1"/>
  <c r="R20" i="12"/>
  <c r="N20" i="12"/>
  <c r="J20" i="12"/>
  <c r="F20" i="12"/>
  <c r="B20" i="12"/>
  <c r="AD19" i="12"/>
  <c r="AF19" i="12" s="1"/>
  <c r="AG19" i="12" s="1"/>
  <c r="R19" i="12"/>
  <c r="N19" i="12"/>
  <c r="J19" i="12"/>
  <c r="F19" i="12"/>
  <c r="B19" i="12"/>
  <c r="AD18" i="12"/>
  <c r="AF18" i="12" s="1"/>
  <c r="AG18" i="12" s="1"/>
  <c r="R18" i="12"/>
  <c r="N18" i="12"/>
  <c r="J18" i="12"/>
  <c r="F18" i="12"/>
  <c r="B18" i="12"/>
  <c r="AK17" i="12"/>
  <c r="AL17" i="12" s="1"/>
  <c r="AD17" i="12"/>
  <c r="AF17" i="12" s="1"/>
  <c r="AG17" i="12" s="1"/>
  <c r="R17" i="12"/>
  <c r="N17" i="12"/>
  <c r="J17" i="12"/>
  <c r="F17" i="12"/>
  <c r="B17" i="12"/>
  <c r="AK16" i="12"/>
  <c r="AL16" i="12" s="1"/>
  <c r="AD16" i="12"/>
  <c r="AF16" i="12" s="1"/>
  <c r="AG16" i="12" s="1"/>
  <c r="R16" i="12"/>
  <c r="N16" i="12"/>
  <c r="J16" i="12"/>
  <c r="F16" i="12"/>
  <c r="B16" i="12"/>
  <c r="AK15" i="12"/>
  <c r="AL15" i="12" s="1"/>
  <c r="AD15" i="12"/>
  <c r="AF15" i="12" s="1"/>
  <c r="AG15" i="12" s="1"/>
  <c r="R15" i="12"/>
  <c r="N15" i="12"/>
  <c r="J15" i="12"/>
  <c r="F15" i="12"/>
  <c r="B15" i="12"/>
  <c r="AK14" i="12"/>
  <c r="AL14" i="12" s="1"/>
  <c r="AD14" i="12"/>
  <c r="AF14" i="12" s="1"/>
  <c r="AG14" i="12" s="1"/>
  <c r="R14" i="12"/>
  <c r="N14" i="12"/>
  <c r="J14" i="12"/>
  <c r="F14" i="12"/>
  <c r="B14" i="12"/>
  <c r="AK13" i="12"/>
  <c r="AL13" i="12" s="1"/>
  <c r="AD13" i="12"/>
  <c r="AF13" i="12" s="1"/>
  <c r="AG13" i="12" s="1"/>
  <c r="R13" i="12"/>
  <c r="N13" i="12"/>
  <c r="J13" i="12"/>
  <c r="F13" i="12"/>
  <c r="B13" i="12"/>
  <c r="AD12" i="12"/>
  <c r="AF12" i="12" s="1"/>
  <c r="AG12" i="12" s="1"/>
  <c r="R12" i="12"/>
  <c r="N12" i="12"/>
  <c r="J12" i="12"/>
  <c r="F12" i="12"/>
  <c r="B12" i="12"/>
  <c r="AK11" i="12"/>
  <c r="AL11" i="12" s="1"/>
  <c r="AD11" i="12"/>
  <c r="AF11" i="12" s="1"/>
  <c r="AG11" i="12" s="1"/>
  <c r="R11" i="12"/>
  <c r="N11" i="12"/>
  <c r="J11" i="12"/>
  <c r="F11" i="12"/>
  <c r="B11" i="12"/>
  <c r="AK10" i="12"/>
  <c r="AL10" i="12" s="1"/>
  <c r="AD10" i="12"/>
  <c r="AF10" i="12" s="1"/>
  <c r="AG10" i="12" s="1"/>
  <c r="R10" i="12"/>
  <c r="N10" i="12"/>
  <c r="J10" i="12"/>
  <c r="F10" i="12"/>
  <c r="B10" i="12"/>
  <c r="AK9" i="12"/>
  <c r="AL9" i="12" s="1"/>
  <c r="AD9" i="12"/>
  <c r="AF9" i="12" s="1"/>
  <c r="AG9" i="12" s="1"/>
  <c r="R9" i="12"/>
  <c r="N9" i="12"/>
  <c r="J9" i="12"/>
  <c r="F9" i="12"/>
  <c r="B9" i="12"/>
  <c r="AK8" i="12"/>
  <c r="AL8" i="12" s="1"/>
  <c r="AD8" i="12"/>
  <c r="AF8" i="12" s="1"/>
  <c r="AG8" i="12" s="1"/>
  <c r="R8" i="12"/>
  <c r="N8" i="12"/>
  <c r="J8" i="12"/>
  <c r="F8" i="12"/>
  <c r="B8" i="12"/>
  <c r="AK7" i="12"/>
  <c r="AL7" i="12" s="1"/>
  <c r="AD7" i="12"/>
  <c r="AF7" i="12" s="1"/>
  <c r="AG7" i="12" s="1"/>
  <c r="R7" i="12"/>
  <c r="N7" i="12"/>
  <c r="J7" i="12"/>
  <c r="F7" i="12"/>
  <c r="B7" i="12"/>
  <c r="AK6" i="12"/>
  <c r="AL6" i="12" s="1"/>
  <c r="AD6" i="12"/>
  <c r="AF6" i="12" s="1"/>
  <c r="AG6" i="12" s="1"/>
  <c r="R6" i="12"/>
  <c r="N6" i="12"/>
  <c r="J6" i="12"/>
  <c r="F6" i="12"/>
  <c r="B6" i="12"/>
  <c r="AK5" i="12"/>
  <c r="AD5" i="12"/>
  <c r="AF5" i="12" s="1"/>
  <c r="R5" i="12"/>
  <c r="N5" i="12"/>
  <c r="J5" i="12"/>
  <c r="F5" i="12"/>
  <c r="B5" i="12"/>
  <c r="AM35" i="11"/>
  <c r="AJ35" i="11"/>
  <c r="AI35" i="11"/>
  <c r="AE35" i="11"/>
  <c r="AC35" i="11"/>
  <c r="AB35" i="11"/>
  <c r="AA35" i="11"/>
  <c r="Z35" i="11"/>
  <c r="Y35" i="11"/>
  <c r="X35" i="11"/>
  <c r="W35" i="11"/>
  <c r="V35" i="11"/>
  <c r="U35" i="11"/>
  <c r="T35" i="11"/>
  <c r="S35" i="11"/>
  <c r="Q35" i="11"/>
  <c r="P35" i="11"/>
  <c r="O35" i="11"/>
  <c r="M35" i="11"/>
  <c r="L35" i="11"/>
  <c r="K35" i="11"/>
  <c r="I35" i="11"/>
  <c r="H35" i="11"/>
  <c r="G35" i="11"/>
  <c r="E35" i="11"/>
  <c r="D35" i="11"/>
  <c r="C35" i="11"/>
  <c r="AF34" i="11"/>
  <c r="AG34" i="11" s="1"/>
  <c r="AD34" i="11"/>
  <c r="R34" i="11"/>
  <c r="N34" i="11"/>
  <c r="J34" i="11"/>
  <c r="F34" i="11"/>
  <c r="B34" i="11"/>
  <c r="AF33" i="11"/>
  <c r="AG33" i="11" s="1"/>
  <c r="AD33" i="11"/>
  <c r="R33" i="11"/>
  <c r="N33" i="11"/>
  <c r="J33" i="11"/>
  <c r="F33" i="11"/>
  <c r="B33" i="11"/>
  <c r="AF32" i="11"/>
  <c r="AG32" i="11" s="1"/>
  <c r="AD32" i="11"/>
  <c r="R32" i="11"/>
  <c r="N32" i="11"/>
  <c r="J32" i="11"/>
  <c r="F32" i="11"/>
  <c r="B32" i="11"/>
  <c r="AF31" i="11"/>
  <c r="AG31" i="11" s="1"/>
  <c r="AD31" i="11"/>
  <c r="R31" i="11"/>
  <c r="N31" i="11"/>
  <c r="J31" i="11"/>
  <c r="F31" i="11"/>
  <c r="B31" i="11"/>
  <c r="AF30" i="11"/>
  <c r="AG30" i="11" s="1"/>
  <c r="AD30" i="11"/>
  <c r="R30" i="11"/>
  <c r="N30" i="11"/>
  <c r="J30" i="11"/>
  <c r="F30" i="11"/>
  <c r="B30" i="11"/>
  <c r="AF29" i="11"/>
  <c r="AG29" i="11" s="1"/>
  <c r="AD29" i="11"/>
  <c r="R29" i="11"/>
  <c r="N29" i="11"/>
  <c r="J29" i="11"/>
  <c r="F29" i="11"/>
  <c r="B29" i="11"/>
  <c r="AF28" i="11"/>
  <c r="AG28" i="11" s="1"/>
  <c r="AD28" i="11"/>
  <c r="R28" i="11"/>
  <c r="N28" i="11"/>
  <c r="J28" i="11"/>
  <c r="F28" i="11"/>
  <c r="B28" i="11"/>
  <c r="AF27" i="11"/>
  <c r="AG27" i="11" s="1"/>
  <c r="AD27" i="11"/>
  <c r="R27" i="11"/>
  <c r="N27" i="11"/>
  <c r="J27" i="11"/>
  <c r="F27" i="11"/>
  <c r="B27" i="11"/>
  <c r="AF26" i="11"/>
  <c r="AG26" i="11" s="1"/>
  <c r="AD26" i="11"/>
  <c r="R26" i="11"/>
  <c r="N26" i="11"/>
  <c r="J26" i="11"/>
  <c r="F26" i="11"/>
  <c r="B26" i="11"/>
  <c r="AD25" i="11"/>
  <c r="AF25" i="11" s="1"/>
  <c r="AG25" i="11" s="1"/>
  <c r="R25" i="11"/>
  <c r="N25" i="11"/>
  <c r="J25" i="11"/>
  <c r="F25" i="11"/>
  <c r="B25" i="11"/>
  <c r="AD24" i="11"/>
  <c r="AF24" i="11" s="1"/>
  <c r="AG24" i="11" s="1"/>
  <c r="R24" i="11"/>
  <c r="N24" i="11"/>
  <c r="J24" i="11"/>
  <c r="F24" i="11"/>
  <c r="B24" i="11"/>
  <c r="AD23" i="11"/>
  <c r="AF23" i="11" s="1"/>
  <c r="AG23" i="11" s="1"/>
  <c r="R23" i="11"/>
  <c r="N23" i="11"/>
  <c r="J23" i="11"/>
  <c r="F23" i="11"/>
  <c r="B23" i="11"/>
  <c r="AD22" i="11"/>
  <c r="AF22" i="11" s="1"/>
  <c r="AG22" i="11" s="1"/>
  <c r="R22" i="11"/>
  <c r="N22" i="11"/>
  <c r="J22" i="11"/>
  <c r="F22" i="11"/>
  <c r="B22" i="11"/>
  <c r="AD21" i="11"/>
  <c r="AF21" i="11" s="1"/>
  <c r="AG21" i="11" s="1"/>
  <c r="R21" i="11"/>
  <c r="N21" i="11"/>
  <c r="J21" i="11"/>
  <c r="F21" i="11"/>
  <c r="B21" i="11"/>
  <c r="AD20" i="11"/>
  <c r="AF20" i="11" s="1"/>
  <c r="AG20" i="11" s="1"/>
  <c r="R20" i="11"/>
  <c r="N20" i="11"/>
  <c r="J20" i="11"/>
  <c r="F20" i="11"/>
  <c r="B20" i="11"/>
  <c r="AD19" i="11"/>
  <c r="AF19" i="11" s="1"/>
  <c r="AG19" i="11" s="1"/>
  <c r="R19" i="11"/>
  <c r="N19" i="11"/>
  <c r="J19" i="11"/>
  <c r="F19" i="11"/>
  <c r="B19" i="11"/>
  <c r="AK18" i="11"/>
  <c r="AL18" i="11" s="1"/>
  <c r="AD18" i="11"/>
  <c r="AF18" i="11" s="1"/>
  <c r="AG18" i="11" s="1"/>
  <c r="R18" i="11"/>
  <c r="N18" i="11"/>
  <c r="J18" i="11"/>
  <c r="F18" i="11"/>
  <c r="B18" i="11"/>
  <c r="AK17" i="11"/>
  <c r="AL17" i="11" s="1"/>
  <c r="AD17" i="11"/>
  <c r="AF17" i="11" s="1"/>
  <c r="AG17" i="11" s="1"/>
  <c r="R17" i="11"/>
  <c r="N17" i="11"/>
  <c r="J17" i="11"/>
  <c r="F17" i="11"/>
  <c r="B17" i="11"/>
  <c r="AK16" i="11"/>
  <c r="AL16" i="11" s="1"/>
  <c r="AD16" i="11"/>
  <c r="AF16" i="11" s="1"/>
  <c r="AG16" i="11" s="1"/>
  <c r="R16" i="11"/>
  <c r="N16" i="11"/>
  <c r="J16" i="11"/>
  <c r="F16" i="11"/>
  <c r="B16" i="11"/>
  <c r="AK15" i="11"/>
  <c r="AL15" i="11" s="1"/>
  <c r="AD15" i="11"/>
  <c r="AF15" i="11" s="1"/>
  <c r="AG15" i="11" s="1"/>
  <c r="R15" i="11"/>
  <c r="N15" i="11"/>
  <c r="J15" i="11"/>
  <c r="F15" i="11"/>
  <c r="B15" i="11"/>
  <c r="AK14" i="11"/>
  <c r="AL14" i="11" s="1"/>
  <c r="AD14" i="11"/>
  <c r="AF14" i="11" s="1"/>
  <c r="AG14" i="11" s="1"/>
  <c r="R14" i="11"/>
  <c r="N14" i="11"/>
  <c r="J14" i="11"/>
  <c r="F14" i="11"/>
  <c r="B14" i="11"/>
  <c r="AK13" i="11"/>
  <c r="AL13" i="11" s="1"/>
  <c r="AD13" i="11"/>
  <c r="AF13" i="11" s="1"/>
  <c r="AG13" i="11" s="1"/>
  <c r="R13" i="11"/>
  <c r="N13" i="11"/>
  <c r="J13" i="11"/>
  <c r="F13" i="11"/>
  <c r="B13" i="11"/>
  <c r="AK12" i="11"/>
  <c r="AL12" i="11" s="1"/>
  <c r="AD12" i="11"/>
  <c r="AF12" i="11" s="1"/>
  <c r="AG12" i="11" s="1"/>
  <c r="R12" i="11"/>
  <c r="N12" i="11"/>
  <c r="J12" i="11"/>
  <c r="F12" i="11"/>
  <c r="B12" i="11"/>
  <c r="AK11" i="11"/>
  <c r="AL11" i="11" s="1"/>
  <c r="AD11" i="11"/>
  <c r="AF11" i="11" s="1"/>
  <c r="AG11" i="11" s="1"/>
  <c r="R11" i="11"/>
  <c r="N11" i="11"/>
  <c r="J11" i="11"/>
  <c r="F11" i="11"/>
  <c r="B11" i="11"/>
  <c r="AK10" i="11"/>
  <c r="AL10" i="11" s="1"/>
  <c r="AD10" i="11"/>
  <c r="AF10" i="11" s="1"/>
  <c r="AG10" i="11" s="1"/>
  <c r="R10" i="11"/>
  <c r="N10" i="11"/>
  <c r="J10" i="11"/>
  <c r="F10" i="11"/>
  <c r="B10" i="11"/>
  <c r="AK9" i="11"/>
  <c r="AL9" i="11" s="1"/>
  <c r="AD9" i="11"/>
  <c r="AF9" i="11" s="1"/>
  <c r="AG9" i="11" s="1"/>
  <c r="R9" i="11"/>
  <c r="N9" i="11"/>
  <c r="J9" i="11"/>
  <c r="F9" i="11"/>
  <c r="B9" i="11"/>
  <c r="AK8" i="11"/>
  <c r="AL8" i="11" s="1"/>
  <c r="AD8" i="11"/>
  <c r="AF8" i="11" s="1"/>
  <c r="AG8" i="11" s="1"/>
  <c r="R8" i="11"/>
  <c r="N8" i="11"/>
  <c r="J8" i="11"/>
  <c r="F8" i="11"/>
  <c r="B8" i="11"/>
  <c r="AK7" i="11"/>
  <c r="AL7" i="11" s="1"/>
  <c r="AD7" i="11"/>
  <c r="AF7" i="11" s="1"/>
  <c r="AG7" i="11" s="1"/>
  <c r="R7" i="11"/>
  <c r="N7" i="11"/>
  <c r="J7" i="11"/>
  <c r="F7" i="11"/>
  <c r="B7" i="11"/>
  <c r="AK6" i="11"/>
  <c r="AL6" i="11" s="1"/>
  <c r="AD6" i="11"/>
  <c r="AF6" i="11" s="1"/>
  <c r="AG6" i="11" s="1"/>
  <c r="R6" i="11"/>
  <c r="N6" i="11"/>
  <c r="J6" i="11"/>
  <c r="F6" i="11"/>
  <c r="B6" i="11"/>
  <c r="AK5" i="11"/>
  <c r="AL5" i="11" s="1"/>
  <c r="AD5" i="11"/>
  <c r="AF5" i="11" s="1"/>
  <c r="R5" i="11"/>
  <c r="N5" i="11"/>
  <c r="J5" i="11"/>
  <c r="F5" i="11"/>
  <c r="B5" i="11"/>
  <c r="AM35" i="10"/>
  <c r="AJ35" i="10"/>
  <c r="AI35" i="10"/>
  <c r="AE35" i="10"/>
  <c r="AC35" i="10"/>
  <c r="AB35" i="10"/>
  <c r="AA35" i="10"/>
  <c r="Z35" i="10"/>
  <c r="Y35" i="10"/>
  <c r="X35" i="10"/>
  <c r="W35" i="10"/>
  <c r="V35" i="10"/>
  <c r="U35" i="10"/>
  <c r="T35" i="10"/>
  <c r="S35" i="10"/>
  <c r="Q35" i="10"/>
  <c r="P35" i="10"/>
  <c r="O35" i="10"/>
  <c r="M35" i="10"/>
  <c r="L35" i="10"/>
  <c r="K35" i="10"/>
  <c r="I35" i="10"/>
  <c r="H35" i="10"/>
  <c r="G35" i="10"/>
  <c r="E35" i="10"/>
  <c r="D35" i="10"/>
  <c r="C35" i="10"/>
  <c r="AF34" i="10"/>
  <c r="AG34" i="10" s="1"/>
  <c r="AD34" i="10"/>
  <c r="R34" i="10"/>
  <c r="N34" i="10"/>
  <c r="J34" i="10"/>
  <c r="F34" i="10"/>
  <c r="B34" i="10"/>
  <c r="AF33" i="10"/>
  <c r="AG33" i="10" s="1"/>
  <c r="AD33" i="10"/>
  <c r="R33" i="10"/>
  <c r="N33" i="10"/>
  <c r="J33" i="10"/>
  <c r="F33" i="10"/>
  <c r="B33" i="10"/>
  <c r="AF32" i="10"/>
  <c r="AG32" i="10" s="1"/>
  <c r="AD32" i="10"/>
  <c r="R32" i="10"/>
  <c r="N32" i="10"/>
  <c r="J32" i="10"/>
  <c r="F32" i="10"/>
  <c r="B32" i="10"/>
  <c r="AF31" i="10"/>
  <c r="AG31" i="10" s="1"/>
  <c r="AD31" i="10"/>
  <c r="R31" i="10"/>
  <c r="N31" i="10"/>
  <c r="J31" i="10"/>
  <c r="F31" i="10"/>
  <c r="B31" i="10"/>
  <c r="AF30" i="10"/>
  <c r="AG30" i="10" s="1"/>
  <c r="AD30" i="10"/>
  <c r="R30" i="10"/>
  <c r="N30" i="10"/>
  <c r="J30" i="10"/>
  <c r="F30" i="10"/>
  <c r="B30" i="10"/>
  <c r="AF29" i="10"/>
  <c r="AG29" i="10" s="1"/>
  <c r="AD29" i="10"/>
  <c r="R29" i="10"/>
  <c r="N29" i="10"/>
  <c r="J29" i="10"/>
  <c r="F29" i="10"/>
  <c r="B29" i="10"/>
  <c r="AF28" i="10"/>
  <c r="AG28" i="10" s="1"/>
  <c r="AD28" i="10"/>
  <c r="R28" i="10"/>
  <c r="N28" i="10"/>
  <c r="J28" i="10"/>
  <c r="F28" i="10"/>
  <c r="B28" i="10"/>
  <c r="AF27" i="10"/>
  <c r="AG27" i="10" s="1"/>
  <c r="AD27" i="10"/>
  <c r="R27" i="10"/>
  <c r="N27" i="10"/>
  <c r="J27" i="10"/>
  <c r="F27" i="10"/>
  <c r="B27" i="10"/>
  <c r="AD26" i="10"/>
  <c r="AF26" i="10" s="1"/>
  <c r="AG26" i="10" s="1"/>
  <c r="R26" i="10"/>
  <c r="N26" i="10"/>
  <c r="J26" i="10"/>
  <c r="F26" i="10"/>
  <c r="B26" i="10"/>
  <c r="AD25" i="10"/>
  <c r="AF25" i="10" s="1"/>
  <c r="AG25" i="10" s="1"/>
  <c r="R25" i="10"/>
  <c r="N25" i="10"/>
  <c r="J25" i="10"/>
  <c r="F25" i="10"/>
  <c r="B25" i="10"/>
  <c r="AD24" i="10"/>
  <c r="AF24" i="10" s="1"/>
  <c r="AG24" i="10" s="1"/>
  <c r="R24" i="10"/>
  <c r="N24" i="10"/>
  <c r="J24" i="10"/>
  <c r="F24" i="10"/>
  <c r="B24" i="10"/>
  <c r="AD23" i="10"/>
  <c r="AF23" i="10" s="1"/>
  <c r="AG23" i="10" s="1"/>
  <c r="R23" i="10"/>
  <c r="N23" i="10"/>
  <c r="J23" i="10"/>
  <c r="F23" i="10"/>
  <c r="B23" i="10"/>
  <c r="AD22" i="10"/>
  <c r="AF22" i="10" s="1"/>
  <c r="AG22" i="10" s="1"/>
  <c r="R22" i="10"/>
  <c r="N22" i="10"/>
  <c r="J22" i="10"/>
  <c r="F22" i="10"/>
  <c r="B22" i="10"/>
  <c r="AD21" i="10"/>
  <c r="AF21" i="10" s="1"/>
  <c r="AG21" i="10" s="1"/>
  <c r="R21" i="10"/>
  <c r="N21" i="10"/>
  <c r="J21" i="10"/>
  <c r="F21" i="10"/>
  <c r="B21" i="10"/>
  <c r="AD20" i="10"/>
  <c r="AF20" i="10" s="1"/>
  <c r="AG20" i="10" s="1"/>
  <c r="R20" i="10"/>
  <c r="N20" i="10"/>
  <c r="J20" i="10"/>
  <c r="F20" i="10"/>
  <c r="B20" i="10"/>
  <c r="AD19" i="10"/>
  <c r="AF19" i="10" s="1"/>
  <c r="AG19" i="10" s="1"/>
  <c r="R19" i="10"/>
  <c r="N19" i="10"/>
  <c r="J19" i="10"/>
  <c r="F19" i="10"/>
  <c r="B19" i="10"/>
  <c r="AD18" i="10"/>
  <c r="AF18" i="10" s="1"/>
  <c r="AG18" i="10" s="1"/>
  <c r="R18" i="10"/>
  <c r="N18" i="10"/>
  <c r="J18" i="10"/>
  <c r="F18" i="10"/>
  <c r="B18" i="10"/>
  <c r="AD17" i="10"/>
  <c r="AF17" i="10" s="1"/>
  <c r="AG17" i="10" s="1"/>
  <c r="R17" i="10"/>
  <c r="N17" i="10"/>
  <c r="J17" i="10"/>
  <c r="F17" i="10"/>
  <c r="B17" i="10"/>
  <c r="AD16" i="10"/>
  <c r="AF16" i="10" s="1"/>
  <c r="AG16" i="10" s="1"/>
  <c r="R16" i="10"/>
  <c r="N16" i="10"/>
  <c r="J16" i="10"/>
  <c r="F16" i="10"/>
  <c r="B16" i="10"/>
  <c r="AD15" i="10"/>
  <c r="AF15" i="10" s="1"/>
  <c r="AG15" i="10" s="1"/>
  <c r="R15" i="10"/>
  <c r="N15" i="10"/>
  <c r="J15" i="10"/>
  <c r="F15" i="10"/>
  <c r="B15" i="10"/>
  <c r="AD14" i="10"/>
  <c r="AF14" i="10" s="1"/>
  <c r="AG14" i="10" s="1"/>
  <c r="R14" i="10"/>
  <c r="N14" i="10"/>
  <c r="J14" i="10"/>
  <c r="F14" i="10"/>
  <c r="B14" i="10"/>
  <c r="AK13" i="10"/>
  <c r="AL13" i="10" s="1"/>
  <c r="AD13" i="10"/>
  <c r="AF13" i="10" s="1"/>
  <c r="AG13" i="10" s="1"/>
  <c r="R13" i="10"/>
  <c r="N13" i="10"/>
  <c r="J13" i="10"/>
  <c r="F13" i="10"/>
  <c r="B13" i="10"/>
  <c r="AK12" i="10"/>
  <c r="AL12" i="10" s="1"/>
  <c r="AD12" i="10"/>
  <c r="AF12" i="10" s="1"/>
  <c r="AG12" i="10" s="1"/>
  <c r="R12" i="10"/>
  <c r="N12" i="10"/>
  <c r="J12" i="10"/>
  <c r="F12" i="10"/>
  <c r="B12" i="10"/>
  <c r="AK11" i="10"/>
  <c r="AL11" i="10" s="1"/>
  <c r="AD11" i="10"/>
  <c r="AF11" i="10" s="1"/>
  <c r="AG11" i="10" s="1"/>
  <c r="R11" i="10"/>
  <c r="N11" i="10"/>
  <c r="J11" i="10"/>
  <c r="F11" i="10"/>
  <c r="B11" i="10"/>
  <c r="AK10" i="10"/>
  <c r="AL10" i="10" s="1"/>
  <c r="AD10" i="10"/>
  <c r="AF10" i="10" s="1"/>
  <c r="AG10" i="10" s="1"/>
  <c r="R10" i="10"/>
  <c r="N10" i="10"/>
  <c r="J10" i="10"/>
  <c r="F10" i="10"/>
  <c r="B10" i="10"/>
  <c r="AK9" i="10"/>
  <c r="AL9" i="10" s="1"/>
  <c r="AD9" i="10"/>
  <c r="AF9" i="10" s="1"/>
  <c r="AG9" i="10" s="1"/>
  <c r="R9" i="10"/>
  <c r="N9" i="10"/>
  <c r="J9" i="10"/>
  <c r="F9" i="10"/>
  <c r="B9" i="10"/>
  <c r="AK8" i="10"/>
  <c r="AL8" i="10" s="1"/>
  <c r="AD8" i="10"/>
  <c r="AF8" i="10" s="1"/>
  <c r="AG8" i="10" s="1"/>
  <c r="R8" i="10"/>
  <c r="N8" i="10"/>
  <c r="J8" i="10"/>
  <c r="F8" i="10"/>
  <c r="B8" i="10"/>
  <c r="AK7" i="10"/>
  <c r="AL7" i="10" s="1"/>
  <c r="AD7" i="10"/>
  <c r="AF7" i="10" s="1"/>
  <c r="AG7" i="10" s="1"/>
  <c r="R7" i="10"/>
  <c r="N7" i="10"/>
  <c r="J7" i="10"/>
  <c r="F7" i="10"/>
  <c r="B7" i="10"/>
  <c r="AK6" i="10"/>
  <c r="AL6" i="10" s="1"/>
  <c r="AD6" i="10"/>
  <c r="AF6" i="10" s="1"/>
  <c r="AG6" i="10" s="1"/>
  <c r="R6" i="10"/>
  <c r="N6" i="10"/>
  <c r="J6" i="10"/>
  <c r="F6" i="10"/>
  <c r="B6" i="10"/>
  <c r="AK5" i="10"/>
  <c r="AL5" i="10" s="1"/>
  <c r="AD5" i="10"/>
  <c r="AF5" i="10" s="1"/>
  <c r="R5" i="10"/>
  <c r="N5" i="10"/>
  <c r="J5" i="10"/>
  <c r="F5" i="10"/>
  <c r="B5" i="10"/>
  <c r="AM35" i="9"/>
  <c r="AJ35" i="9"/>
  <c r="AI35" i="9"/>
  <c r="AE35" i="9"/>
  <c r="AC35" i="9"/>
  <c r="AB35" i="9"/>
  <c r="AA35" i="9"/>
  <c r="Z35" i="9"/>
  <c r="Y35" i="9"/>
  <c r="X35" i="9"/>
  <c r="W35" i="9"/>
  <c r="V35" i="9"/>
  <c r="U35" i="9"/>
  <c r="T35" i="9"/>
  <c r="S35" i="9"/>
  <c r="Q35" i="9"/>
  <c r="P35" i="9"/>
  <c r="O35" i="9"/>
  <c r="M35" i="9"/>
  <c r="L35" i="9"/>
  <c r="K35" i="9"/>
  <c r="I35" i="9"/>
  <c r="H35" i="9"/>
  <c r="G35" i="9"/>
  <c r="E35" i="9"/>
  <c r="D35" i="9"/>
  <c r="C35" i="9"/>
  <c r="AF34" i="9"/>
  <c r="AG34" i="9" s="1"/>
  <c r="AD34" i="9"/>
  <c r="R34" i="9"/>
  <c r="N34" i="9"/>
  <c r="J34" i="9"/>
  <c r="F34" i="9"/>
  <c r="B34" i="9"/>
  <c r="AF33" i="9"/>
  <c r="AG33" i="9" s="1"/>
  <c r="AD33" i="9"/>
  <c r="R33" i="9"/>
  <c r="N33" i="9"/>
  <c r="J33" i="9"/>
  <c r="F33" i="9"/>
  <c r="B33" i="9"/>
  <c r="AF32" i="9"/>
  <c r="AG32" i="9" s="1"/>
  <c r="AD32" i="9"/>
  <c r="R32" i="9"/>
  <c r="N32" i="9"/>
  <c r="J32" i="9"/>
  <c r="F32" i="9"/>
  <c r="B32" i="9"/>
  <c r="AF31" i="9"/>
  <c r="AG31" i="9" s="1"/>
  <c r="AD31" i="9"/>
  <c r="R31" i="9"/>
  <c r="N31" i="9"/>
  <c r="J31" i="9"/>
  <c r="F31" i="9"/>
  <c r="B31" i="9"/>
  <c r="AF30" i="9"/>
  <c r="AG30" i="9" s="1"/>
  <c r="AD30" i="9"/>
  <c r="R30" i="9"/>
  <c r="N30" i="9"/>
  <c r="J30" i="9"/>
  <c r="F30" i="9"/>
  <c r="B30" i="9"/>
  <c r="AF29" i="9"/>
  <c r="AG29" i="9" s="1"/>
  <c r="AD29" i="9"/>
  <c r="R29" i="9"/>
  <c r="N29" i="9"/>
  <c r="J29" i="9"/>
  <c r="F29" i="9"/>
  <c r="B29" i="9"/>
  <c r="AF28" i="9"/>
  <c r="AG28" i="9" s="1"/>
  <c r="AD28" i="9"/>
  <c r="R28" i="9"/>
  <c r="N28" i="9"/>
  <c r="J28" i="9"/>
  <c r="F28" i="9"/>
  <c r="B28" i="9"/>
  <c r="AF27" i="9"/>
  <c r="AG27" i="9" s="1"/>
  <c r="AD27" i="9"/>
  <c r="R27" i="9"/>
  <c r="N27" i="9"/>
  <c r="J27" i="9"/>
  <c r="F27" i="9"/>
  <c r="B27" i="9"/>
  <c r="AD26" i="9"/>
  <c r="AF26" i="9" s="1"/>
  <c r="AG26" i="9" s="1"/>
  <c r="R26" i="9"/>
  <c r="N26" i="9"/>
  <c r="J26" i="9"/>
  <c r="F26" i="9"/>
  <c r="B26" i="9"/>
  <c r="AD25" i="9"/>
  <c r="AF25" i="9" s="1"/>
  <c r="AG25" i="9" s="1"/>
  <c r="R25" i="9"/>
  <c r="N25" i="9"/>
  <c r="J25" i="9"/>
  <c r="F25" i="9"/>
  <c r="B25" i="9"/>
  <c r="AD24" i="9"/>
  <c r="AF24" i="9" s="1"/>
  <c r="AG24" i="9" s="1"/>
  <c r="R24" i="9"/>
  <c r="N24" i="9"/>
  <c r="J24" i="9"/>
  <c r="F24" i="9"/>
  <c r="B24" i="9"/>
  <c r="AD23" i="9"/>
  <c r="AF23" i="9" s="1"/>
  <c r="AG23" i="9" s="1"/>
  <c r="R23" i="9"/>
  <c r="N23" i="9"/>
  <c r="J23" i="9"/>
  <c r="F23" i="9"/>
  <c r="B23" i="9"/>
  <c r="AD22" i="9"/>
  <c r="AF22" i="9" s="1"/>
  <c r="AG22" i="9" s="1"/>
  <c r="R22" i="9"/>
  <c r="N22" i="9"/>
  <c r="J22" i="9"/>
  <c r="F22" i="9"/>
  <c r="B22" i="9"/>
  <c r="AD21" i="9"/>
  <c r="AF21" i="9" s="1"/>
  <c r="AG21" i="9" s="1"/>
  <c r="R21" i="9"/>
  <c r="N21" i="9"/>
  <c r="J21" i="9"/>
  <c r="F21" i="9"/>
  <c r="B21" i="9"/>
  <c r="AD20" i="9"/>
  <c r="AF20" i="9" s="1"/>
  <c r="AG20" i="9" s="1"/>
  <c r="R20" i="9"/>
  <c r="N20" i="9"/>
  <c r="J20" i="9"/>
  <c r="F20" i="9"/>
  <c r="B20" i="9"/>
  <c r="AD19" i="9"/>
  <c r="AF19" i="9" s="1"/>
  <c r="AG19" i="9" s="1"/>
  <c r="R19" i="9"/>
  <c r="N19" i="9"/>
  <c r="J19" i="9"/>
  <c r="F19" i="9"/>
  <c r="B19" i="9"/>
  <c r="AD18" i="9"/>
  <c r="AF18" i="9" s="1"/>
  <c r="AG18" i="9" s="1"/>
  <c r="R18" i="9"/>
  <c r="N18" i="9"/>
  <c r="J18" i="9"/>
  <c r="F18" i="9"/>
  <c r="B18" i="9"/>
  <c r="AD17" i="9"/>
  <c r="AF17" i="9" s="1"/>
  <c r="AG17" i="9" s="1"/>
  <c r="R17" i="9"/>
  <c r="N17" i="9"/>
  <c r="J17" i="9"/>
  <c r="F17" i="9"/>
  <c r="B17" i="9"/>
  <c r="AD16" i="9"/>
  <c r="AF16" i="9" s="1"/>
  <c r="AG16" i="9" s="1"/>
  <c r="R16" i="9"/>
  <c r="N16" i="9"/>
  <c r="J16" i="9"/>
  <c r="F16" i="9"/>
  <c r="B16" i="9"/>
  <c r="AD15" i="9"/>
  <c r="AF15" i="9" s="1"/>
  <c r="AG15" i="9" s="1"/>
  <c r="R15" i="9"/>
  <c r="N15" i="9"/>
  <c r="J15" i="9"/>
  <c r="F15" i="9"/>
  <c r="B15" i="9"/>
  <c r="AK14" i="9"/>
  <c r="AL14" i="9" s="1"/>
  <c r="AD14" i="9"/>
  <c r="AF14" i="9" s="1"/>
  <c r="AG14" i="9" s="1"/>
  <c r="R14" i="9"/>
  <c r="N14" i="9"/>
  <c r="J14" i="9"/>
  <c r="F14" i="9"/>
  <c r="B14" i="9"/>
  <c r="AK13" i="9"/>
  <c r="AL13" i="9" s="1"/>
  <c r="AD13" i="9"/>
  <c r="AF13" i="9" s="1"/>
  <c r="AG13" i="9" s="1"/>
  <c r="R13" i="9"/>
  <c r="N13" i="9"/>
  <c r="J13" i="9"/>
  <c r="F13" i="9"/>
  <c r="B13" i="9"/>
  <c r="AK12" i="9"/>
  <c r="AL12" i="9" s="1"/>
  <c r="AD12" i="9"/>
  <c r="AF12" i="9" s="1"/>
  <c r="AG12" i="9" s="1"/>
  <c r="R12" i="9"/>
  <c r="N12" i="9"/>
  <c r="J12" i="9"/>
  <c r="F12" i="9"/>
  <c r="B12" i="9"/>
  <c r="AK11" i="9"/>
  <c r="AL11" i="9" s="1"/>
  <c r="AD11" i="9"/>
  <c r="AF11" i="9" s="1"/>
  <c r="AG11" i="9" s="1"/>
  <c r="R11" i="9"/>
  <c r="N11" i="9"/>
  <c r="J11" i="9"/>
  <c r="F11" i="9"/>
  <c r="B11" i="9"/>
  <c r="AK10" i="9"/>
  <c r="AL10" i="9" s="1"/>
  <c r="AD10" i="9"/>
  <c r="AF10" i="9" s="1"/>
  <c r="AG10" i="9" s="1"/>
  <c r="R10" i="9"/>
  <c r="N10" i="9"/>
  <c r="J10" i="9"/>
  <c r="F10" i="9"/>
  <c r="B10" i="9"/>
  <c r="AK9" i="9"/>
  <c r="AL9" i="9" s="1"/>
  <c r="AD9" i="9"/>
  <c r="AF9" i="9" s="1"/>
  <c r="AG9" i="9" s="1"/>
  <c r="R9" i="9"/>
  <c r="N9" i="9"/>
  <c r="J9" i="9"/>
  <c r="F9" i="9"/>
  <c r="B9" i="9"/>
  <c r="AK8" i="9"/>
  <c r="AL8" i="9" s="1"/>
  <c r="AD8" i="9"/>
  <c r="AF8" i="9" s="1"/>
  <c r="AG8" i="9" s="1"/>
  <c r="R8" i="9"/>
  <c r="N8" i="9"/>
  <c r="J8" i="9"/>
  <c r="F8" i="9"/>
  <c r="B8" i="9"/>
  <c r="AK7" i="9"/>
  <c r="AL7" i="9" s="1"/>
  <c r="AD7" i="9"/>
  <c r="AF7" i="9" s="1"/>
  <c r="AG7" i="9" s="1"/>
  <c r="R7" i="9"/>
  <c r="N7" i="9"/>
  <c r="J7" i="9"/>
  <c r="F7" i="9"/>
  <c r="B7" i="9"/>
  <c r="AK6" i="9"/>
  <c r="AL6" i="9" s="1"/>
  <c r="AD6" i="9"/>
  <c r="AF6" i="9" s="1"/>
  <c r="AG6" i="9" s="1"/>
  <c r="R6" i="9"/>
  <c r="N6" i="9"/>
  <c r="J6" i="9"/>
  <c r="F6" i="9"/>
  <c r="B6" i="9"/>
  <c r="AK5" i="9"/>
  <c r="AL5" i="9" s="1"/>
  <c r="AD5" i="9"/>
  <c r="AF5" i="9" s="1"/>
  <c r="R5" i="9"/>
  <c r="N5" i="9"/>
  <c r="J5" i="9"/>
  <c r="F5" i="9"/>
  <c r="B5" i="9"/>
  <c r="AM35" i="8"/>
  <c r="AJ35" i="8"/>
  <c r="AI35" i="8"/>
  <c r="AE35" i="8"/>
  <c r="AC35" i="8"/>
  <c r="AB35" i="8"/>
  <c r="AA35" i="8"/>
  <c r="Z35" i="8"/>
  <c r="Y35" i="8"/>
  <c r="X35" i="8"/>
  <c r="W35" i="8"/>
  <c r="V35" i="8"/>
  <c r="U35" i="8"/>
  <c r="T35" i="8"/>
  <c r="S35" i="8"/>
  <c r="Q35" i="8"/>
  <c r="P35" i="8"/>
  <c r="O35" i="8"/>
  <c r="M35" i="8"/>
  <c r="L35" i="8"/>
  <c r="K35" i="8"/>
  <c r="I35" i="8"/>
  <c r="H35" i="8"/>
  <c r="G35" i="8"/>
  <c r="E35" i="8"/>
  <c r="D35" i="8"/>
  <c r="C35" i="8"/>
  <c r="AF34" i="8"/>
  <c r="AG34" i="8" s="1"/>
  <c r="AD34" i="8"/>
  <c r="R34" i="8"/>
  <c r="N34" i="8"/>
  <c r="J34" i="8"/>
  <c r="F34" i="8"/>
  <c r="B34" i="8"/>
  <c r="AF33" i="8"/>
  <c r="AG33" i="8" s="1"/>
  <c r="AD33" i="8"/>
  <c r="R33" i="8"/>
  <c r="N33" i="8"/>
  <c r="J33" i="8"/>
  <c r="F33" i="8"/>
  <c r="B33" i="8"/>
  <c r="AF32" i="8"/>
  <c r="AG32" i="8" s="1"/>
  <c r="AD32" i="8"/>
  <c r="R32" i="8"/>
  <c r="N32" i="8"/>
  <c r="J32" i="8"/>
  <c r="F32" i="8"/>
  <c r="B32" i="8"/>
  <c r="AF31" i="8"/>
  <c r="AG31" i="8" s="1"/>
  <c r="AD31" i="8"/>
  <c r="R31" i="8"/>
  <c r="N31" i="8"/>
  <c r="J31" i="8"/>
  <c r="F31" i="8"/>
  <c r="B31" i="8"/>
  <c r="AF30" i="8"/>
  <c r="AG30" i="8" s="1"/>
  <c r="AD30" i="8"/>
  <c r="R30" i="8"/>
  <c r="N30" i="8"/>
  <c r="J30" i="8"/>
  <c r="F30" i="8"/>
  <c r="B30" i="8"/>
  <c r="AF29" i="8"/>
  <c r="AG29" i="8" s="1"/>
  <c r="AD29" i="8"/>
  <c r="R29" i="8"/>
  <c r="N29" i="8"/>
  <c r="J29" i="8"/>
  <c r="F29" i="8"/>
  <c r="B29" i="8"/>
  <c r="AD28" i="8"/>
  <c r="AF28" i="8" s="1"/>
  <c r="AG28" i="8" s="1"/>
  <c r="R28" i="8"/>
  <c r="N28" i="8"/>
  <c r="J28" i="8"/>
  <c r="F28" i="8"/>
  <c r="B28" i="8"/>
  <c r="AD27" i="8"/>
  <c r="AF27" i="8" s="1"/>
  <c r="AG27" i="8" s="1"/>
  <c r="R27" i="8"/>
  <c r="N27" i="8"/>
  <c r="J27" i="8"/>
  <c r="F27" i="8"/>
  <c r="B27" i="8"/>
  <c r="AD26" i="8"/>
  <c r="AF26" i="8" s="1"/>
  <c r="AG26" i="8" s="1"/>
  <c r="R26" i="8"/>
  <c r="N26" i="8"/>
  <c r="J26" i="8"/>
  <c r="F26" i="8"/>
  <c r="B26" i="8"/>
  <c r="AD25" i="8"/>
  <c r="AF25" i="8" s="1"/>
  <c r="AG25" i="8" s="1"/>
  <c r="R25" i="8"/>
  <c r="N25" i="8"/>
  <c r="J25" i="8"/>
  <c r="F25" i="8"/>
  <c r="B25" i="8"/>
  <c r="AD24" i="8"/>
  <c r="AF24" i="8" s="1"/>
  <c r="AG24" i="8" s="1"/>
  <c r="R24" i="8"/>
  <c r="N24" i="8"/>
  <c r="J24" i="8"/>
  <c r="F24" i="8"/>
  <c r="B24" i="8"/>
  <c r="AD23" i="8"/>
  <c r="AF23" i="8" s="1"/>
  <c r="AG23" i="8" s="1"/>
  <c r="R23" i="8"/>
  <c r="N23" i="8"/>
  <c r="J23" i="8"/>
  <c r="F23" i="8"/>
  <c r="B23" i="8"/>
  <c r="AD22" i="8"/>
  <c r="AF22" i="8" s="1"/>
  <c r="AG22" i="8" s="1"/>
  <c r="R22" i="8"/>
  <c r="N22" i="8"/>
  <c r="J22" i="8"/>
  <c r="F22" i="8"/>
  <c r="B22" i="8"/>
  <c r="AD21" i="8"/>
  <c r="AF21" i="8" s="1"/>
  <c r="AG21" i="8" s="1"/>
  <c r="R21" i="8"/>
  <c r="N21" i="8"/>
  <c r="J21" i="8"/>
  <c r="F21" i="8"/>
  <c r="B21" i="8"/>
  <c r="AD20" i="8"/>
  <c r="AF20" i="8" s="1"/>
  <c r="AG20" i="8" s="1"/>
  <c r="R20" i="8"/>
  <c r="N20" i="8"/>
  <c r="J20" i="8"/>
  <c r="F20" i="8"/>
  <c r="B20" i="8"/>
  <c r="AD19" i="8"/>
  <c r="AF19" i="8" s="1"/>
  <c r="AG19" i="8" s="1"/>
  <c r="R19" i="8"/>
  <c r="N19" i="8"/>
  <c r="J19" i="8"/>
  <c r="F19" i="8"/>
  <c r="B19" i="8"/>
  <c r="AK18" i="8"/>
  <c r="AL18" i="8" s="1"/>
  <c r="AD18" i="8"/>
  <c r="AF18" i="8" s="1"/>
  <c r="AG18" i="8" s="1"/>
  <c r="R18" i="8"/>
  <c r="N18" i="8"/>
  <c r="J18" i="8"/>
  <c r="F18" i="8"/>
  <c r="B18" i="8"/>
  <c r="AK17" i="8"/>
  <c r="AL17" i="8" s="1"/>
  <c r="AD17" i="8"/>
  <c r="AF17" i="8" s="1"/>
  <c r="AG17" i="8" s="1"/>
  <c r="R17" i="8"/>
  <c r="N17" i="8"/>
  <c r="J17" i="8"/>
  <c r="F17" i="8"/>
  <c r="B17" i="8"/>
  <c r="AK16" i="8"/>
  <c r="AL16" i="8" s="1"/>
  <c r="AD16" i="8"/>
  <c r="AF16" i="8" s="1"/>
  <c r="AG16" i="8" s="1"/>
  <c r="R16" i="8"/>
  <c r="N16" i="8"/>
  <c r="J16" i="8"/>
  <c r="F16" i="8"/>
  <c r="B16" i="8"/>
  <c r="AK15" i="8"/>
  <c r="AL15" i="8" s="1"/>
  <c r="AD15" i="8"/>
  <c r="AF15" i="8" s="1"/>
  <c r="AG15" i="8" s="1"/>
  <c r="R15" i="8"/>
  <c r="N15" i="8"/>
  <c r="J15" i="8"/>
  <c r="F15" i="8"/>
  <c r="B15" i="8"/>
  <c r="AK14" i="8"/>
  <c r="AL14" i="8" s="1"/>
  <c r="AD14" i="8"/>
  <c r="AF14" i="8" s="1"/>
  <c r="AG14" i="8" s="1"/>
  <c r="R14" i="8"/>
  <c r="N14" i="8"/>
  <c r="J14" i="8"/>
  <c r="F14" i="8"/>
  <c r="B14" i="8"/>
  <c r="AK13" i="8"/>
  <c r="AL13" i="8" s="1"/>
  <c r="AD13" i="8"/>
  <c r="AF13" i="8" s="1"/>
  <c r="AG13" i="8" s="1"/>
  <c r="R13" i="8"/>
  <c r="N13" i="8"/>
  <c r="J13" i="8"/>
  <c r="F13" i="8"/>
  <c r="B13" i="8"/>
  <c r="AK12" i="8"/>
  <c r="AL12" i="8" s="1"/>
  <c r="AD12" i="8"/>
  <c r="AF12" i="8" s="1"/>
  <c r="AG12" i="8" s="1"/>
  <c r="R12" i="8"/>
  <c r="N12" i="8"/>
  <c r="J12" i="8"/>
  <c r="F12" i="8"/>
  <c r="B12" i="8"/>
  <c r="AK11" i="8"/>
  <c r="AL11" i="8" s="1"/>
  <c r="AD11" i="8"/>
  <c r="AF11" i="8" s="1"/>
  <c r="AG11" i="8" s="1"/>
  <c r="R11" i="8"/>
  <c r="N11" i="8"/>
  <c r="J11" i="8"/>
  <c r="F11" i="8"/>
  <c r="B11" i="8"/>
  <c r="AK10" i="8"/>
  <c r="AL10" i="8" s="1"/>
  <c r="AD10" i="8"/>
  <c r="AF10" i="8" s="1"/>
  <c r="AG10" i="8" s="1"/>
  <c r="R10" i="8"/>
  <c r="N10" i="8"/>
  <c r="J10" i="8"/>
  <c r="F10" i="8"/>
  <c r="B10" i="8"/>
  <c r="AK9" i="8"/>
  <c r="AL9" i="8" s="1"/>
  <c r="AD9" i="8"/>
  <c r="AF9" i="8" s="1"/>
  <c r="AG9" i="8" s="1"/>
  <c r="R9" i="8"/>
  <c r="N9" i="8"/>
  <c r="J9" i="8"/>
  <c r="F9" i="8"/>
  <c r="B9" i="8"/>
  <c r="AK8" i="8"/>
  <c r="AL8" i="8" s="1"/>
  <c r="AD8" i="8"/>
  <c r="AF8" i="8" s="1"/>
  <c r="AG8" i="8" s="1"/>
  <c r="R8" i="8"/>
  <c r="N8" i="8"/>
  <c r="J8" i="8"/>
  <c r="F8" i="8"/>
  <c r="B8" i="8"/>
  <c r="AK7" i="8"/>
  <c r="AL7" i="8" s="1"/>
  <c r="AD7" i="8"/>
  <c r="AF7" i="8" s="1"/>
  <c r="AG7" i="8" s="1"/>
  <c r="R7" i="8"/>
  <c r="N7" i="8"/>
  <c r="J7" i="8"/>
  <c r="F7" i="8"/>
  <c r="B7" i="8"/>
  <c r="AK6" i="8"/>
  <c r="AL6" i="8" s="1"/>
  <c r="AD6" i="8"/>
  <c r="AF6" i="8" s="1"/>
  <c r="AG6" i="8" s="1"/>
  <c r="R6" i="8"/>
  <c r="N6" i="8"/>
  <c r="J6" i="8"/>
  <c r="F6" i="8"/>
  <c r="B6" i="8"/>
  <c r="AK5" i="8"/>
  <c r="AL5" i="8" s="1"/>
  <c r="AD5" i="8"/>
  <c r="AF5" i="8" s="1"/>
  <c r="R5" i="8"/>
  <c r="N5" i="8"/>
  <c r="J5" i="8"/>
  <c r="F5" i="8"/>
  <c r="B5" i="8"/>
  <c r="AM37" i="7"/>
  <c r="AJ37" i="7"/>
  <c r="AI37" i="7"/>
  <c r="AE37" i="7"/>
  <c r="AC37" i="7"/>
  <c r="AB37" i="7"/>
  <c r="AA37" i="7"/>
  <c r="Z37" i="7"/>
  <c r="Y37" i="7"/>
  <c r="X37" i="7"/>
  <c r="W37" i="7"/>
  <c r="V37" i="7"/>
  <c r="U37" i="7"/>
  <c r="T37" i="7"/>
  <c r="S37" i="7"/>
  <c r="Q37" i="7"/>
  <c r="P37" i="7"/>
  <c r="O37" i="7"/>
  <c r="M37" i="7"/>
  <c r="L37" i="7"/>
  <c r="K37" i="7"/>
  <c r="I37" i="7"/>
  <c r="H37" i="7"/>
  <c r="G37" i="7"/>
  <c r="E37" i="7"/>
  <c r="D37" i="7"/>
  <c r="C37" i="7"/>
  <c r="AD36" i="7"/>
  <c r="AF36" i="7" s="1"/>
  <c r="AG36" i="7" s="1"/>
  <c r="R36" i="7"/>
  <c r="N36" i="7"/>
  <c r="J36" i="7"/>
  <c r="F36" i="7"/>
  <c r="B36" i="7"/>
  <c r="AD33" i="7"/>
  <c r="AF33" i="7" s="1"/>
  <c r="AG33" i="7" s="1"/>
  <c r="R33" i="7"/>
  <c r="N33" i="7"/>
  <c r="J33" i="7"/>
  <c r="F33" i="7"/>
  <c r="B33" i="7"/>
  <c r="AD32" i="7"/>
  <c r="AF32" i="7" s="1"/>
  <c r="AG32" i="7" s="1"/>
  <c r="R32" i="7"/>
  <c r="N32" i="7"/>
  <c r="J32" i="7"/>
  <c r="F32" i="7"/>
  <c r="B32" i="7"/>
  <c r="AD31" i="7"/>
  <c r="AF31" i="7" s="1"/>
  <c r="AG31" i="7" s="1"/>
  <c r="R31" i="7"/>
  <c r="N31" i="7"/>
  <c r="J31" i="7"/>
  <c r="F31" i="7"/>
  <c r="B31" i="7"/>
  <c r="AD30" i="7"/>
  <c r="AF30" i="7" s="1"/>
  <c r="AG30" i="7" s="1"/>
  <c r="R30" i="7"/>
  <c r="N30" i="7"/>
  <c r="J30" i="7"/>
  <c r="F30" i="7"/>
  <c r="B30" i="7"/>
  <c r="AD29" i="7"/>
  <c r="AF29" i="7" s="1"/>
  <c r="AG29" i="7" s="1"/>
  <c r="R29" i="7"/>
  <c r="N29" i="7"/>
  <c r="J29" i="7"/>
  <c r="F29" i="7"/>
  <c r="B29" i="7"/>
  <c r="AD28" i="7"/>
  <c r="AF28" i="7" s="1"/>
  <c r="AG28" i="7" s="1"/>
  <c r="R28" i="7"/>
  <c r="N28" i="7"/>
  <c r="J28" i="7"/>
  <c r="F28" i="7"/>
  <c r="B28" i="7"/>
  <c r="AD27" i="7"/>
  <c r="AF27" i="7" s="1"/>
  <c r="AG27" i="7" s="1"/>
  <c r="R27" i="7"/>
  <c r="N27" i="7"/>
  <c r="J27" i="7"/>
  <c r="F27" i="7"/>
  <c r="B27" i="7"/>
  <c r="AD26" i="7"/>
  <c r="AF26" i="7" s="1"/>
  <c r="AG26" i="7" s="1"/>
  <c r="R26" i="7"/>
  <c r="N26" i="7"/>
  <c r="J26" i="7"/>
  <c r="F26" i="7"/>
  <c r="B26" i="7"/>
  <c r="AD25" i="7"/>
  <c r="AF25" i="7" s="1"/>
  <c r="AG25" i="7" s="1"/>
  <c r="R25" i="7"/>
  <c r="N25" i="7"/>
  <c r="J25" i="7"/>
  <c r="F25" i="7"/>
  <c r="B25" i="7"/>
  <c r="AD24" i="7"/>
  <c r="AF24" i="7" s="1"/>
  <c r="AG24" i="7" s="1"/>
  <c r="R24" i="7"/>
  <c r="N24" i="7"/>
  <c r="J24" i="7"/>
  <c r="F24" i="7"/>
  <c r="B24" i="7"/>
  <c r="AD23" i="7"/>
  <c r="AF23" i="7" s="1"/>
  <c r="AG23" i="7" s="1"/>
  <c r="R23" i="7"/>
  <c r="N23" i="7"/>
  <c r="J23" i="7"/>
  <c r="F23" i="7"/>
  <c r="B23" i="7"/>
  <c r="AD22" i="7"/>
  <c r="AF22" i="7" s="1"/>
  <c r="AG22" i="7" s="1"/>
  <c r="R22" i="7"/>
  <c r="N22" i="7"/>
  <c r="J22" i="7"/>
  <c r="F22" i="7"/>
  <c r="B22" i="7"/>
  <c r="AD21" i="7"/>
  <c r="AF21" i="7" s="1"/>
  <c r="AG21" i="7" s="1"/>
  <c r="R21" i="7"/>
  <c r="N21" i="7"/>
  <c r="J21" i="7"/>
  <c r="F21" i="7"/>
  <c r="B21" i="7"/>
  <c r="AD20" i="7"/>
  <c r="AF20" i="7" s="1"/>
  <c r="AG20" i="7" s="1"/>
  <c r="R20" i="7"/>
  <c r="N20" i="7"/>
  <c r="J20" i="7"/>
  <c r="F20" i="7"/>
  <c r="B20" i="7"/>
  <c r="AD19" i="7"/>
  <c r="AF19" i="7" s="1"/>
  <c r="AG19" i="7" s="1"/>
  <c r="R19" i="7"/>
  <c r="N19" i="7"/>
  <c r="J19" i="7"/>
  <c r="F19" i="7"/>
  <c r="B19" i="7"/>
  <c r="AK18" i="7"/>
  <c r="AL18" i="7" s="1"/>
  <c r="AD18" i="7"/>
  <c r="AF18" i="7" s="1"/>
  <c r="AG18" i="7" s="1"/>
  <c r="R18" i="7"/>
  <c r="N18" i="7"/>
  <c r="J18" i="7"/>
  <c r="F18" i="7"/>
  <c r="B18" i="7"/>
  <c r="AK17" i="7"/>
  <c r="AL17" i="7" s="1"/>
  <c r="AD17" i="7"/>
  <c r="AF17" i="7" s="1"/>
  <c r="AG17" i="7" s="1"/>
  <c r="R17" i="7"/>
  <c r="N17" i="7"/>
  <c r="J17" i="7"/>
  <c r="F17" i="7"/>
  <c r="B17" i="7"/>
  <c r="AK16" i="7"/>
  <c r="AL16" i="7" s="1"/>
  <c r="AD16" i="7"/>
  <c r="AF16" i="7" s="1"/>
  <c r="AG16" i="7" s="1"/>
  <c r="R16" i="7"/>
  <c r="N16" i="7"/>
  <c r="J16" i="7"/>
  <c r="F16" i="7"/>
  <c r="B16" i="7"/>
  <c r="AK15" i="7"/>
  <c r="AL15" i="7" s="1"/>
  <c r="AD15" i="7"/>
  <c r="AF15" i="7" s="1"/>
  <c r="AG15" i="7" s="1"/>
  <c r="R15" i="7"/>
  <c r="N15" i="7"/>
  <c r="J15" i="7"/>
  <c r="F15" i="7"/>
  <c r="B15" i="7"/>
  <c r="AK14" i="7"/>
  <c r="AL14" i="7" s="1"/>
  <c r="AD14" i="7"/>
  <c r="AF14" i="7" s="1"/>
  <c r="AG14" i="7" s="1"/>
  <c r="R14" i="7"/>
  <c r="N14" i="7"/>
  <c r="J14" i="7"/>
  <c r="F14" i="7"/>
  <c r="B14" i="7"/>
  <c r="AK13" i="7"/>
  <c r="AL13" i="7" s="1"/>
  <c r="AD13" i="7"/>
  <c r="AF13" i="7" s="1"/>
  <c r="AG13" i="7" s="1"/>
  <c r="R13" i="7"/>
  <c r="N13" i="7"/>
  <c r="J13" i="7"/>
  <c r="F13" i="7"/>
  <c r="B13" i="7"/>
  <c r="AK12" i="7"/>
  <c r="AL12" i="7" s="1"/>
  <c r="AD12" i="7"/>
  <c r="AF12" i="7" s="1"/>
  <c r="AG12" i="7" s="1"/>
  <c r="R12" i="7"/>
  <c r="N12" i="7"/>
  <c r="J12" i="7"/>
  <c r="F12" i="7"/>
  <c r="B12" i="7"/>
  <c r="AK11" i="7"/>
  <c r="AL11" i="7" s="1"/>
  <c r="AD11" i="7"/>
  <c r="AF11" i="7" s="1"/>
  <c r="AG11" i="7" s="1"/>
  <c r="R11" i="7"/>
  <c r="N11" i="7"/>
  <c r="J11" i="7"/>
  <c r="F11" i="7"/>
  <c r="B11" i="7"/>
  <c r="AK10" i="7"/>
  <c r="AL10" i="7" s="1"/>
  <c r="AD10" i="7"/>
  <c r="AF10" i="7" s="1"/>
  <c r="AG10" i="7" s="1"/>
  <c r="R10" i="7"/>
  <c r="N10" i="7"/>
  <c r="J10" i="7"/>
  <c r="F10" i="7"/>
  <c r="B10" i="7"/>
  <c r="AK9" i="7"/>
  <c r="AL9" i="7" s="1"/>
  <c r="AD9" i="7"/>
  <c r="AF9" i="7" s="1"/>
  <c r="AG9" i="7" s="1"/>
  <c r="R9" i="7"/>
  <c r="N9" i="7"/>
  <c r="J9" i="7"/>
  <c r="F9" i="7"/>
  <c r="B9" i="7"/>
  <c r="AK8" i="7"/>
  <c r="AL8" i="7" s="1"/>
  <c r="AD8" i="7"/>
  <c r="AF8" i="7" s="1"/>
  <c r="AG8" i="7" s="1"/>
  <c r="R8" i="7"/>
  <c r="N8" i="7"/>
  <c r="J8" i="7"/>
  <c r="F8" i="7"/>
  <c r="B8" i="7"/>
  <c r="AK7" i="7"/>
  <c r="AL7" i="7" s="1"/>
  <c r="AD7" i="7"/>
  <c r="AF7" i="7" s="1"/>
  <c r="AG7" i="7" s="1"/>
  <c r="R7" i="7"/>
  <c r="N7" i="7"/>
  <c r="J7" i="7"/>
  <c r="F7" i="7"/>
  <c r="B7" i="7"/>
  <c r="AK6" i="7"/>
  <c r="AL6" i="7" s="1"/>
  <c r="AD6" i="7"/>
  <c r="AF6" i="7" s="1"/>
  <c r="AG6" i="7" s="1"/>
  <c r="R6" i="7"/>
  <c r="N6" i="7"/>
  <c r="J6" i="7"/>
  <c r="F6" i="7"/>
  <c r="B6" i="7"/>
  <c r="AK5" i="7"/>
  <c r="AL5" i="7" s="1"/>
  <c r="AD5" i="7"/>
  <c r="AF5" i="7" s="1"/>
  <c r="R5" i="7"/>
  <c r="N5" i="7"/>
  <c r="J5" i="7"/>
  <c r="F5" i="7"/>
  <c r="B5" i="7"/>
  <c r="AM37" i="6"/>
  <c r="AJ37" i="6"/>
  <c r="AI37" i="6"/>
  <c r="AE37" i="6"/>
  <c r="AC37" i="6"/>
  <c r="AB37" i="6"/>
  <c r="AA37" i="6"/>
  <c r="Z37" i="6"/>
  <c r="Y37" i="6"/>
  <c r="X37" i="6"/>
  <c r="W37" i="6"/>
  <c r="V37" i="6"/>
  <c r="U37" i="6"/>
  <c r="T37" i="6"/>
  <c r="S37" i="6"/>
  <c r="Q37" i="6"/>
  <c r="P37" i="6"/>
  <c r="O37" i="6"/>
  <c r="M37" i="6"/>
  <c r="L37" i="6"/>
  <c r="K37" i="6"/>
  <c r="I37" i="6"/>
  <c r="H37" i="6"/>
  <c r="G37" i="6"/>
  <c r="E37" i="6"/>
  <c r="D37" i="6"/>
  <c r="C37" i="6"/>
  <c r="AD36" i="6"/>
  <c r="AF36" i="6" s="1"/>
  <c r="AG36" i="6" s="1"/>
  <c r="R36" i="6"/>
  <c r="N36" i="6"/>
  <c r="J36" i="6"/>
  <c r="F36" i="6"/>
  <c r="B36" i="6"/>
  <c r="AD35" i="6"/>
  <c r="AF35" i="6" s="1"/>
  <c r="AG35" i="6" s="1"/>
  <c r="R35" i="6"/>
  <c r="N35" i="6"/>
  <c r="J35" i="6"/>
  <c r="F35" i="6"/>
  <c r="B35" i="6"/>
  <c r="AD32" i="6"/>
  <c r="AF32" i="6" s="1"/>
  <c r="AG32" i="6" s="1"/>
  <c r="R32" i="6"/>
  <c r="N32" i="6"/>
  <c r="J32" i="6"/>
  <c r="F32" i="6"/>
  <c r="B32" i="6"/>
  <c r="AD31" i="6"/>
  <c r="AF31" i="6" s="1"/>
  <c r="AG31" i="6" s="1"/>
  <c r="R31" i="6"/>
  <c r="N31" i="6"/>
  <c r="J31" i="6"/>
  <c r="F31" i="6"/>
  <c r="B31" i="6"/>
  <c r="AD30" i="6"/>
  <c r="AF30" i="6" s="1"/>
  <c r="AG30" i="6" s="1"/>
  <c r="R30" i="6"/>
  <c r="N30" i="6"/>
  <c r="J30" i="6"/>
  <c r="F30" i="6"/>
  <c r="B30" i="6"/>
  <c r="AD29" i="6"/>
  <c r="AF29" i="6" s="1"/>
  <c r="AG29" i="6" s="1"/>
  <c r="R29" i="6"/>
  <c r="N29" i="6"/>
  <c r="J29" i="6"/>
  <c r="F29" i="6"/>
  <c r="B29" i="6"/>
  <c r="AD28" i="6"/>
  <c r="AF28" i="6" s="1"/>
  <c r="AG28" i="6" s="1"/>
  <c r="R28" i="6"/>
  <c r="N28" i="6"/>
  <c r="J28" i="6"/>
  <c r="F28" i="6"/>
  <c r="B28" i="6"/>
  <c r="AD27" i="6"/>
  <c r="AF27" i="6" s="1"/>
  <c r="AG27" i="6" s="1"/>
  <c r="R27" i="6"/>
  <c r="N27" i="6"/>
  <c r="J27" i="6"/>
  <c r="F27" i="6"/>
  <c r="B27" i="6"/>
  <c r="AD26" i="6"/>
  <c r="AF26" i="6" s="1"/>
  <c r="AG26" i="6" s="1"/>
  <c r="R26" i="6"/>
  <c r="N26" i="6"/>
  <c r="J26" i="6"/>
  <c r="F26" i="6"/>
  <c r="B26" i="6"/>
  <c r="AD25" i="6"/>
  <c r="AF25" i="6" s="1"/>
  <c r="AG25" i="6" s="1"/>
  <c r="R25" i="6"/>
  <c r="N25" i="6"/>
  <c r="J25" i="6"/>
  <c r="F25" i="6"/>
  <c r="B25" i="6"/>
  <c r="AD24" i="6"/>
  <c r="AF24" i="6" s="1"/>
  <c r="AG24" i="6" s="1"/>
  <c r="R24" i="6"/>
  <c r="N24" i="6"/>
  <c r="J24" i="6"/>
  <c r="F24" i="6"/>
  <c r="B24" i="6"/>
  <c r="AD23" i="6"/>
  <c r="AF23" i="6" s="1"/>
  <c r="AG23" i="6" s="1"/>
  <c r="R23" i="6"/>
  <c r="N23" i="6"/>
  <c r="J23" i="6"/>
  <c r="F23" i="6"/>
  <c r="B23" i="6"/>
  <c r="AD22" i="6"/>
  <c r="AF22" i="6" s="1"/>
  <c r="AG22" i="6" s="1"/>
  <c r="R22" i="6"/>
  <c r="N22" i="6"/>
  <c r="J22" i="6"/>
  <c r="F22" i="6"/>
  <c r="B22" i="6"/>
  <c r="AD21" i="6"/>
  <c r="AF21" i="6" s="1"/>
  <c r="AG21" i="6" s="1"/>
  <c r="R21" i="6"/>
  <c r="N21" i="6"/>
  <c r="J21" i="6"/>
  <c r="F21" i="6"/>
  <c r="B21" i="6"/>
  <c r="AD20" i="6"/>
  <c r="AF20" i="6" s="1"/>
  <c r="AG20" i="6" s="1"/>
  <c r="R20" i="6"/>
  <c r="N20" i="6"/>
  <c r="J20" i="6"/>
  <c r="F20" i="6"/>
  <c r="B20" i="6"/>
  <c r="AD19" i="6"/>
  <c r="AF19" i="6" s="1"/>
  <c r="AG19" i="6" s="1"/>
  <c r="R19" i="6"/>
  <c r="N19" i="6"/>
  <c r="J19" i="6"/>
  <c r="F19" i="6"/>
  <c r="B19" i="6"/>
  <c r="AK18" i="6"/>
  <c r="AL18" i="6" s="1"/>
  <c r="AD18" i="6"/>
  <c r="AF18" i="6" s="1"/>
  <c r="AG18" i="6" s="1"/>
  <c r="R18" i="6"/>
  <c r="N18" i="6"/>
  <c r="J18" i="6"/>
  <c r="F18" i="6"/>
  <c r="B18" i="6"/>
  <c r="AK17" i="6"/>
  <c r="AL17" i="6" s="1"/>
  <c r="AD17" i="6"/>
  <c r="AF17" i="6" s="1"/>
  <c r="AG17" i="6" s="1"/>
  <c r="R17" i="6"/>
  <c r="N17" i="6"/>
  <c r="J17" i="6"/>
  <c r="F17" i="6"/>
  <c r="B17" i="6"/>
  <c r="AK16" i="6"/>
  <c r="AL16" i="6" s="1"/>
  <c r="AD16" i="6"/>
  <c r="AF16" i="6" s="1"/>
  <c r="AG16" i="6" s="1"/>
  <c r="R16" i="6"/>
  <c r="N16" i="6"/>
  <c r="J16" i="6"/>
  <c r="F16" i="6"/>
  <c r="B16" i="6"/>
  <c r="AK15" i="6"/>
  <c r="AL15" i="6" s="1"/>
  <c r="AD15" i="6"/>
  <c r="AF15" i="6" s="1"/>
  <c r="AG15" i="6" s="1"/>
  <c r="R15" i="6"/>
  <c r="N15" i="6"/>
  <c r="J15" i="6"/>
  <c r="F15" i="6"/>
  <c r="B15" i="6"/>
  <c r="AK14" i="6"/>
  <c r="AL14" i="6" s="1"/>
  <c r="AD14" i="6"/>
  <c r="AF14" i="6" s="1"/>
  <c r="AG14" i="6" s="1"/>
  <c r="R14" i="6"/>
  <c r="N14" i="6"/>
  <c r="J14" i="6"/>
  <c r="F14" i="6"/>
  <c r="B14" i="6"/>
  <c r="AK13" i="6"/>
  <c r="AL13" i="6" s="1"/>
  <c r="AD13" i="6"/>
  <c r="AF13" i="6" s="1"/>
  <c r="AG13" i="6" s="1"/>
  <c r="R13" i="6"/>
  <c r="N13" i="6"/>
  <c r="J13" i="6"/>
  <c r="F13" i="6"/>
  <c r="B13" i="6"/>
  <c r="AK12" i="6"/>
  <c r="AL12" i="6" s="1"/>
  <c r="AD12" i="6"/>
  <c r="AF12" i="6" s="1"/>
  <c r="AG12" i="6" s="1"/>
  <c r="R12" i="6"/>
  <c r="N12" i="6"/>
  <c r="J12" i="6"/>
  <c r="F12" i="6"/>
  <c r="B12" i="6"/>
  <c r="AK11" i="6"/>
  <c r="AL11" i="6" s="1"/>
  <c r="AD11" i="6"/>
  <c r="AF11" i="6" s="1"/>
  <c r="AG11" i="6" s="1"/>
  <c r="R11" i="6"/>
  <c r="N11" i="6"/>
  <c r="J11" i="6"/>
  <c r="F11" i="6"/>
  <c r="B11" i="6"/>
  <c r="AK10" i="6"/>
  <c r="AL10" i="6" s="1"/>
  <c r="AD10" i="6"/>
  <c r="AF10" i="6" s="1"/>
  <c r="AG10" i="6" s="1"/>
  <c r="R10" i="6"/>
  <c r="N10" i="6"/>
  <c r="J10" i="6"/>
  <c r="F10" i="6"/>
  <c r="B10" i="6"/>
  <c r="AK9" i="6"/>
  <c r="AL9" i="6" s="1"/>
  <c r="AD9" i="6"/>
  <c r="AF9" i="6" s="1"/>
  <c r="AG9" i="6" s="1"/>
  <c r="R9" i="6"/>
  <c r="N9" i="6"/>
  <c r="J9" i="6"/>
  <c r="F9" i="6"/>
  <c r="B9" i="6"/>
  <c r="AK8" i="6"/>
  <c r="AL8" i="6" s="1"/>
  <c r="AD8" i="6"/>
  <c r="AF8" i="6" s="1"/>
  <c r="AG8" i="6" s="1"/>
  <c r="R8" i="6"/>
  <c r="N8" i="6"/>
  <c r="J8" i="6"/>
  <c r="F8" i="6"/>
  <c r="B8" i="6"/>
  <c r="AK7" i="6"/>
  <c r="AL7" i="6" s="1"/>
  <c r="AD7" i="6"/>
  <c r="AF7" i="6" s="1"/>
  <c r="AG7" i="6" s="1"/>
  <c r="R7" i="6"/>
  <c r="N7" i="6"/>
  <c r="J7" i="6"/>
  <c r="F7" i="6"/>
  <c r="B7" i="6"/>
  <c r="AK6" i="6"/>
  <c r="AL6" i="6" s="1"/>
  <c r="AD6" i="6"/>
  <c r="AF6" i="6" s="1"/>
  <c r="AG6" i="6" s="1"/>
  <c r="R6" i="6"/>
  <c r="N6" i="6"/>
  <c r="J6" i="6"/>
  <c r="F6" i="6"/>
  <c r="B6" i="6"/>
  <c r="AK5" i="6"/>
  <c r="AD5" i="6"/>
  <c r="AF5" i="6" s="1"/>
  <c r="R5" i="6"/>
  <c r="N5" i="6"/>
  <c r="J5" i="6"/>
  <c r="F5" i="6"/>
  <c r="B5" i="6"/>
  <c r="AM36" i="5"/>
  <c r="AJ36" i="5"/>
  <c r="AI36" i="5"/>
  <c r="AE36" i="5"/>
  <c r="AC36" i="5"/>
  <c r="AB36" i="5"/>
  <c r="AA36" i="5"/>
  <c r="Z36" i="5"/>
  <c r="Y36" i="5"/>
  <c r="X36" i="5"/>
  <c r="W36" i="5"/>
  <c r="V36" i="5"/>
  <c r="U36" i="5"/>
  <c r="T36" i="5"/>
  <c r="S36" i="5"/>
  <c r="Q36" i="5"/>
  <c r="P36" i="5"/>
  <c r="O36" i="5"/>
  <c r="M36" i="5"/>
  <c r="L36" i="5"/>
  <c r="K36" i="5"/>
  <c r="I36" i="5"/>
  <c r="H36" i="5"/>
  <c r="G36" i="5"/>
  <c r="E36" i="5"/>
  <c r="D36" i="5"/>
  <c r="C36" i="5"/>
  <c r="AD35" i="5"/>
  <c r="AF35" i="5" s="1"/>
  <c r="AG35" i="5" s="1"/>
  <c r="R35" i="5"/>
  <c r="N35" i="5"/>
  <c r="J35" i="5"/>
  <c r="F35" i="5"/>
  <c r="B35" i="5"/>
  <c r="AD33" i="5"/>
  <c r="AF33" i="5" s="1"/>
  <c r="AG33" i="5" s="1"/>
  <c r="R33" i="5"/>
  <c r="N33" i="5"/>
  <c r="J33" i="5"/>
  <c r="F33" i="5"/>
  <c r="B33" i="5"/>
  <c r="AD32" i="5"/>
  <c r="AF32" i="5" s="1"/>
  <c r="AG32" i="5" s="1"/>
  <c r="R32" i="5"/>
  <c r="N32" i="5"/>
  <c r="J32" i="5"/>
  <c r="F32" i="5"/>
  <c r="B32" i="5"/>
  <c r="AD31" i="5"/>
  <c r="AF31" i="5" s="1"/>
  <c r="AG31" i="5" s="1"/>
  <c r="R31" i="5"/>
  <c r="N31" i="5"/>
  <c r="J31" i="5"/>
  <c r="F31" i="5"/>
  <c r="B31" i="5"/>
  <c r="AD30" i="5"/>
  <c r="AF30" i="5" s="1"/>
  <c r="AG30" i="5" s="1"/>
  <c r="R30" i="5"/>
  <c r="N30" i="5"/>
  <c r="J30" i="5"/>
  <c r="F30" i="5"/>
  <c r="B30" i="5"/>
  <c r="AD29" i="5"/>
  <c r="AF29" i="5" s="1"/>
  <c r="AG29" i="5" s="1"/>
  <c r="R29" i="5"/>
  <c r="N29" i="5"/>
  <c r="J29" i="5"/>
  <c r="F29" i="5"/>
  <c r="B29" i="5"/>
  <c r="AD28" i="5"/>
  <c r="AF28" i="5" s="1"/>
  <c r="AG28" i="5" s="1"/>
  <c r="R28" i="5"/>
  <c r="N28" i="5"/>
  <c r="J28" i="5"/>
  <c r="F28" i="5"/>
  <c r="B28" i="5"/>
  <c r="AD27" i="5"/>
  <c r="AF27" i="5" s="1"/>
  <c r="AG27" i="5" s="1"/>
  <c r="R27" i="5"/>
  <c r="N27" i="5"/>
  <c r="J27" i="5"/>
  <c r="F27" i="5"/>
  <c r="B27" i="5"/>
  <c r="AD26" i="5"/>
  <c r="AF26" i="5" s="1"/>
  <c r="AG26" i="5" s="1"/>
  <c r="R26" i="5"/>
  <c r="N26" i="5"/>
  <c r="J26" i="5"/>
  <c r="F26" i="5"/>
  <c r="B26" i="5"/>
  <c r="AD25" i="5"/>
  <c r="AF25" i="5" s="1"/>
  <c r="AG25" i="5" s="1"/>
  <c r="R25" i="5"/>
  <c r="N25" i="5"/>
  <c r="J25" i="5"/>
  <c r="F25" i="5"/>
  <c r="B25" i="5"/>
  <c r="AD24" i="5"/>
  <c r="AF24" i="5" s="1"/>
  <c r="AG24" i="5" s="1"/>
  <c r="R24" i="5"/>
  <c r="N24" i="5"/>
  <c r="J24" i="5"/>
  <c r="F24" i="5"/>
  <c r="B24" i="5"/>
  <c r="AD23" i="5"/>
  <c r="AF23" i="5" s="1"/>
  <c r="AG23" i="5" s="1"/>
  <c r="R23" i="5"/>
  <c r="N23" i="5"/>
  <c r="J23" i="5"/>
  <c r="F23" i="5"/>
  <c r="B23" i="5"/>
  <c r="AD22" i="5"/>
  <c r="AF22" i="5" s="1"/>
  <c r="AG22" i="5" s="1"/>
  <c r="R22" i="5"/>
  <c r="N22" i="5"/>
  <c r="J22" i="5"/>
  <c r="F22" i="5"/>
  <c r="B22" i="5"/>
  <c r="AD21" i="5"/>
  <c r="AF21" i="5" s="1"/>
  <c r="AG21" i="5" s="1"/>
  <c r="R21" i="5"/>
  <c r="N21" i="5"/>
  <c r="J21" i="5"/>
  <c r="F21" i="5"/>
  <c r="B21" i="5"/>
  <c r="AD20" i="5"/>
  <c r="AF20" i="5" s="1"/>
  <c r="AG20" i="5" s="1"/>
  <c r="R20" i="5"/>
  <c r="N20" i="5"/>
  <c r="J20" i="5"/>
  <c r="F20" i="5"/>
  <c r="B20" i="5"/>
  <c r="AD19" i="5"/>
  <c r="AF19" i="5" s="1"/>
  <c r="AG19" i="5" s="1"/>
  <c r="R19" i="5"/>
  <c r="N19" i="5"/>
  <c r="J19" i="5"/>
  <c r="F19" i="5"/>
  <c r="B19" i="5"/>
  <c r="AL18" i="5"/>
  <c r="AD18" i="5"/>
  <c r="AF18" i="5" s="1"/>
  <c r="AG18" i="5" s="1"/>
  <c r="R18" i="5"/>
  <c r="N18" i="5"/>
  <c r="J18" i="5"/>
  <c r="F18" i="5"/>
  <c r="B18" i="5"/>
  <c r="AL17" i="5"/>
  <c r="AD17" i="5"/>
  <c r="AF17" i="5" s="1"/>
  <c r="AG17" i="5" s="1"/>
  <c r="R17" i="5"/>
  <c r="N17" i="5"/>
  <c r="J17" i="5"/>
  <c r="F17" i="5"/>
  <c r="B17" i="5"/>
  <c r="AK16" i="5"/>
  <c r="AL16" i="5" s="1"/>
  <c r="AD16" i="5"/>
  <c r="AF16" i="5" s="1"/>
  <c r="AG16" i="5" s="1"/>
  <c r="R16" i="5"/>
  <c r="N16" i="5"/>
  <c r="J16" i="5"/>
  <c r="F16" i="5"/>
  <c r="B16" i="5"/>
  <c r="AK15" i="5"/>
  <c r="AL15" i="5" s="1"/>
  <c r="AD15" i="5"/>
  <c r="AF15" i="5" s="1"/>
  <c r="AG15" i="5" s="1"/>
  <c r="R15" i="5"/>
  <c r="N15" i="5"/>
  <c r="J15" i="5"/>
  <c r="F15" i="5"/>
  <c r="B15" i="5"/>
  <c r="AK14" i="5"/>
  <c r="AL14" i="5" s="1"/>
  <c r="AD14" i="5"/>
  <c r="AF14" i="5" s="1"/>
  <c r="AG14" i="5" s="1"/>
  <c r="R14" i="5"/>
  <c r="N14" i="5"/>
  <c r="J14" i="5"/>
  <c r="F14" i="5"/>
  <c r="B14" i="5"/>
  <c r="AK13" i="5"/>
  <c r="AL13" i="5" s="1"/>
  <c r="AD13" i="5"/>
  <c r="AF13" i="5" s="1"/>
  <c r="AG13" i="5" s="1"/>
  <c r="R13" i="5"/>
  <c r="N13" i="5"/>
  <c r="J13" i="5"/>
  <c r="F13" i="5"/>
  <c r="B13" i="5"/>
  <c r="AK12" i="5"/>
  <c r="AL12" i="5" s="1"/>
  <c r="AD12" i="5"/>
  <c r="AF12" i="5" s="1"/>
  <c r="AG12" i="5" s="1"/>
  <c r="R12" i="5"/>
  <c r="N12" i="5"/>
  <c r="J12" i="5"/>
  <c r="F12" i="5"/>
  <c r="B12" i="5"/>
  <c r="AK11" i="5"/>
  <c r="AL11" i="5" s="1"/>
  <c r="AD11" i="5"/>
  <c r="AF11" i="5" s="1"/>
  <c r="AG11" i="5" s="1"/>
  <c r="R11" i="5"/>
  <c r="N11" i="5"/>
  <c r="J11" i="5"/>
  <c r="F11" i="5"/>
  <c r="B11" i="5"/>
  <c r="AK10" i="5"/>
  <c r="AL10" i="5" s="1"/>
  <c r="AD10" i="5"/>
  <c r="AF10" i="5" s="1"/>
  <c r="AG10" i="5" s="1"/>
  <c r="R10" i="5"/>
  <c r="N10" i="5"/>
  <c r="J10" i="5"/>
  <c r="F10" i="5"/>
  <c r="B10" i="5"/>
  <c r="AK9" i="5"/>
  <c r="AL9" i="5" s="1"/>
  <c r="AD9" i="5"/>
  <c r="AF9" i="5" s="1"/>
  <c r="AG9" i="5" s="1"/>
  <c r="R9" i="5"/>
  <c r="N9" i="5"/>
  <c r="J9" i="5"/>
  <c r="F9" i="5"/>
  <c r="B9" i="5"/>
  <c r="AK8" i="5"/>
  <c r="AL8" i="5" s="1"/>
  <c r="AD8" i="5"/>
  <c r="AF8" i="5" s="1"/>
  <c r="AG8" i="5" s="1"/>
  <c r="R8" i="5"/>
  <c r="N8" i="5"/>
  <c r="J8" i="5"/>
  <c r="F8" i="5"/>
  <c r="B8" i="5"/>
  <c r="AK7" i="5"/>
  <c r="AL7" i="5" s="1"/>
  <c r="AD7" i="5"/>
  <c r="AF7" i="5" s="1"/>
  <c r="AG7" i="5" s="1"/>
  <c r="R7" i="5"/>
  <c r="N7" i="5"/>
  <c r="J7" i="5"/>
  <c r="F7" i="5"/>
  <c r="B7" i="5"/>
  <c r="AK6" i="5"/>
  <c r="AL6" i="5" s="1"/>
  <c r="AD6" i="5"/>
  <c r="AF6" i="5" s="1"/>
  <c r="AG6" i="5" s="1"/>
  <c r="R6" i="5"/>
  <c r="N6" i="5"/>
  <c r="J6" i="5"/>
  <c r="F6" i="5"/>
  <c r="B6" i="5"/>
  <c r="AK5" i="5"/>
  <c r="AD5" i="5"/>
  <c r="AF5" i="5" s="1"/>
  <c r="R5" i="5"/>
  <c r="N5" i="5"/>
  <c r="J5" i="5"/>
  <c r="F5" i="5"/>
  <c r="A2" i="4"/>
  <c r="A2" i="5" s="1"/>
  <c r="A2" i="6" s="1"/>
  <c r="A2" i="7" s="1"/>
  <c r="A2" i="8" s="1"/>
  <c r="A2" i="9" s="1"/>
  <c r="A2" i="10" s="1"/>
  <c r="A2" i="11" s="1"/>
  <c r="A2" i="12" s="1"/>
  <c r="A2" i="13" s="1"/>
  <c r="A2" i="14" s="1"/>
  <c r="A2" i="15" s="1"/>
  <c r="A2" i="16" s="1"/>
  <c r="A2" i="17" s="1"/>
  <c r="A2" i="18" s="1"/>
  <c r="A2" i="19" s="1"/>
  <c r="A2" i="20" s="1"/>
  <c r="A2" i="21" s="1"/>
  <c r="A2" i="22" s="1"/>
  <c r="A2" i="23" s="1"/>
  <c r="A2" i="24" s="1"/>
  <c r="A2" i="25" s="1"/>
  <c r="A2" i="26" s="1"/>
  <c r="A2" i="27" s="1"/>
  <c r="A2" i="28" s="1"/>
  <c r="A2" i="29" s="1"/>
  <c r="A2" i="30" s="1"/>
  <c r="A2" i="31" s="1"/>
  <c r="A2" i="32" s="1"/>
  <c r="A2" i="33" s="1"/>
  <c r="AM35" i="4"/>
  <c r="AJ35" i="4"/>
  <c r="Q7" i="3" s="1"/>
  <c r="AI35" i="4"/>
  <c r="P7" i="3" s="1"/>
  <c r="AE35" i="4"/>
  <c r="L7" i="3" s="1"/>
  <c r="AC35" i="4"/>
  <c r="AB35" i="4"/>
  <c r="AA35" i="4"/>
  <c r="Z35" i="4"/>
  <c r="Y35" i="4"/>
  <c r="X35" i="4"/>
  <c r="W35" i="4"/>
  <c r="V35" i="4"/>
  <c r="U35" i="4"/>
  <c r="T35" i="4"/>
  <c r="S35" i="4"/>
  <c r="Q35" i="4"/>
  <c r="P35" i="4"/>
  <c r="O35" i="4"/>
  <c r="M35" i="4"/>
  <c r="L35" i="4"/>
  <c r="K35" i="4"/>
  <c r="I35" i="4"/>
  <c r="H35" i="4"/>
  <c r="G35" i="4"/>
  <c r="E35" i="4"/>
  <c r="D35" i="4"/>
  <c r="C35" i="4"/>
  <c r="AF34" i="4"/>
  <c r="AG34" i="4" s="1"/>
  <c r="AD34" i="4"/>
  <c r="R34" i="4"/>
  <c r="N34" i="4"/>
  <c r="J34" i="4"/>
  <c r="F34" i="4"/>
  <c r="B34" i="4"/>
  <c r="AF33" i="4"/>
  <c r="AG33" i="4" s="1"/>
  <c r="AD33" i="4"/>
  <c r="R33" i="4"/>
  <c r="N33" i="4"/>
  <c r="J33" i="4"/>
  <c r="F33" i="4"/>
  <c r="B33" i="4"/>
  <c r="AF32" i="4"/>
  <c r="AG32" i="4" s="1"/>
  <c r="AD32" i="4"/>
  <c r="R32" i="4"/>
  <c r="N32" i="4"/>
  <c r="J32" i="4"/>
  <c r="F32" i="4"/>
  <c r="B32" i="4"/>
  <c r="AF31" i="4"/>
  <c r="AG31" i="4" s="1"/>
  <c r="AD31" i="4"/>
  <c r="R31" i="4"/>
  <c r="N31" i="4"/>
  <c r="J31" i="4"/>
  <c r="F31" i="4"/>
  <c r="B31" i="4"/>
  <c r="AF30" i="4"/>
  <c r="AG30" i="4" s="1"/>
  <c r="AD30" i="4"/>
  <c r="R30" i="4"/>
  <c r="N30" i="4"/>
  <c r="J30" i="4"/>
  <c r="F30" i="4"/>
  <c r="B30" i="4"/>
  <c r="AD29" i="4"/>
  <c r="AF29" i="4" s="1"/>
  <c r="AG29" i="4" s="1"/>
  <c r="R29" i="4"/>
  <c r="N29" i="4"/>
  <c r="J29" i="4"/>
  <c r="F29" i="4"/>
  <c r="B29" i="4"/>
  <c r="AD28" i="4"/>
  <c r="AF28" i="4" s="1"/>
  <c r="AG28" i="4" s="1"/>
  <c r="R28" i="4"/>
  <c r="N28" i="4"/>
  <c r="J28" i="4"/>
  <c r="F28" i="4"/>
  <c r="B28" i="4"/>
  <c r="AD27" i="4"/>
  <c r="AF27" i="4" s="1"/>
  <c r="AG27" i="4" s="1"/>
  <c r="R27" i="4"/>
  <c r="N27" i="4"/>
  <c r="J27" i="4"/>
  <c r="F27" i="4"/>
  <c r="B27" i="4"/>
  <c r="AD26" i="4"/>
  <c r="AF26" i="4" s="1"/>
  <c r="AG26" i="4" s="1"/>
  <c r="R26" i="4"/>
  <c r="N26" i="4"/>
  <c r="J26" i="4"/>
  <c r="F26" i="4"/>
  <c r="B26" i="4"/>
  <c r="AD25" i="4"/>
  <c r="AF25" i="4" s="1"/>
  <c r="AG25" i="4" s="1"/>
  <c r="R25" i="4"/>
  <c r="N25" i="4"/>
  <c r="J25" i="4"/>
  <c r="F25" i="4"/>
  <c r="B25" i="4"/>
  <c r="AD24" i="4"/>
  <c r="AF24" i="4" s="1"/>
  <c r="AG24" i="4" s="1"/>
  <c r="R24" i="4"/>
  <c r="N24" i="4"/>
  <c r="J24" i="4"/>
  <c r="F24" i="4"/>
  <c r="B24" i="4"/>
  <c r="AD23" i="4"/>
  <c r="AF23" i="4" s="1"/>
  <c r="AG23" i="4" s="1"/>
  <c r="R23" i="4"/>
  <c r="N23" i="4"/>
  <c r="J23" i="4"/>
  <c r="F23" i="4"/>
  <c r="B23" i="4"/>
  <c r="AD22" i="4"/>
  <c r="AF22" i="4" s="1"/>
  <c r="AG22" i="4" s="1"/>
  <c r="R22" i="4"/>
  <c r="N22" i="4"/>
  <c r="J22" i="4"/>
  <c r="F22" i="4"/>
  <c r="B22" i="4"/>
  <c r="AD21" i="4"/>
  <c r="AF21" i="4" s="1"/>
  <c r="AG21" i="4" s="1"/>
  <c r="R21" i="4"/>
  <c r="N21" i="4"/>
  <c r="J21" i="4"/>
  <c r="F21" i="4"/>
  <c r="B21" i="4"/>
  <c r="AD20" i="4"/>
  <c r="AF20" i="4" s="1"/>
  <c r="AG20" i="4" s="1"/>
  <c r="R20" i="4"/>
  <c r="N20" i="4"/>
  <c r="J20" i="4"/>
  <c r="F20" i="4"/>
  <c r="B20" i="4"/>
  <c r="AD19" i="4"/>
  <c r="AF19" i="4" s="1"/>
  <c r="AG19" i="4" s="1"/>
  <c r="R19" i="4"/>
  <c r="N19" i="4"/>
  <c r="J19" i="4"/>
  <c r="F19" i="4"/>
  <c r="B19" i="4"/>
  <c r="AK18" i="4"/>
  <c r="AL18" i="4" s="1"/>
  <c r="AD18" i="4"/>
  <c r="AF18" i="4" s="1"/>
  <c r="AG18" i="4" s="1"/>
  <c r="R18" i="4"/>
  <c r="N18" i="4"/>
  <c r="J18" i="4"/>
  <c r="F18" i="4"/>
  <c r="B18" i="4"/>
  <c r="AK17" i="4"/>
  <c r="AL17" i="4" s="1"/>
  <c r="AD17" i="4"/>
  <c r="AF17" i="4" s="1"/>
  <c r="AG17" i="4" s="1"/>
  <c r="R17" i="4"/>
  <c r="N17" i="4"/>
  <c r="J17" i="4"/>
  <c r="F17" i="4"/>
  <c r="B17" i="4"/>
  <c r="AK16" i="4"/>
  <c r="AL16" i="4" s="1"/>
  <c r="AD16" i="4"/>
  <c r="AF16" i="4" s="1"/>
  <c r="AG16" i="4" s="1"/>
  <c r="R16" i="4"/>
  <c r="N16" i="4"/>
  <c r="J16" i="4"/>
  <c r="F16" i="4"/>
  <c r="B16" i="4"/>
  <c r="AK15" i="4"/>
  <c r="AL15" i="4" s="1"/>
  <c r="AD15" i="4"/>
  <c r="AF15" i="4" s="1"/>
  <c r="AG15" i="4" s="1"/>
  <c r="R15" i="4"/>
  <c r="N15" i="4"/>
  <c r="J15" i="4"/>
  <c r="F15" i="4"/>
  <c r="B15" i="4"/>
  <c r="AK14" i="4"/>
  <c r="AL14" i="4" s="1"/>
  <c r="AD14" i="4"/>
  <c r="AF14" i="4" s="1"/>
  <c r="AG14" i="4" s="1"/>
  <c r="R14" i="4"/>
  <c r="N14" i="4"/>
  <c r="J14" i="4"/>
  <c r="F14" i="4"/>
  <c r="B14" i="4"/>
  <c r="AK13" i="4"/>
  <c r="AL13" i="4" s="1"/>
  <c r="AD13" i="4"/>
  <c r="AF13" i="4" s="1"/>
  <c r="AG13" i="4" s="1"/>
  <c r="R13" i="4"/>
  <c r="N13" i="4"/>
  <c r="J13" i="4"/>
  <c r="F13" i="4"/>
  <c r="B13" i="4"/>
  <c r="AK12" i="4"/>
  <c r="AL12" i="4" s="1"/>
  <c r="AD12" i="4"/>
  <c r="AF12" i="4" s="1"/>
  <c r="AG12" i="4" s="1"/>
  <c r="R12" i="4"/>
  <c r="N12" i="4"/>
  <c r="J12" i="4"/>
  <c r="F12" i="4"/>
  <c r="B12" i="4"/>
  <c r="AK11" i="4"/>
  <c r="AL11" i="4" s="1"/>
  <c r="AD11" i="4"/>
  <c r="AF11" i="4" s="1"/>
  <c r="AG11" i="4" s="1"/>
  <c r="R11" i="4"/>
  <c r="N11" i="4"/>
  <c r="J11" i="4"/>
  <c r="F11" i="4"/>
  <c r="B11" i="4"/>
  <c r="AK10" i="4"/>
  <c r="AL10" i="4" s="1"/>
  <c r="AD10" i="4"/>
  <c r="AF10" i="4" s="1"/>
  <c r="AG10" i="4" s="1"/>
  <c r="R10" i="4"/>
  <c r="N10" i="4"/>
  <c r="J10" i="4"/>
  <c r="F10" i="4"/>
  <c r="B10" i="4"/>
  <c r="AK9" i="4"/>
  <c r="AL9" i="4" s="1"/>
  <c r="AD9" i="4"/>
  <c r="AF9" i="4" s="1"/>
  <c r="AG9" i="4" s="1"/>
  <c r="R9" i="4"/>
  <c r="N9" i="4"/>
  <c r="J9" i="4"/>
  <c r="F9" i="4"/>
  <c r="B9" i="4"/>
  <c r="AK8" i="4"/>
  <c r="AL8" i="4" s="1"/>
  <c r="AD8" i="4"/>
  <c r="AF8" i="4" s="1"/>
  <c r="AG8" i="4" s="1"/>
  <c r="R8" i="4"/>
  <c r="N8" i="4"/>
  <c r="J8" i="4"/>
  <c r="F8" i="4"/>
  <c r="B8" i="4"/>
  <c r="AK7" i="4"/>
  <c r="AL7" i="4" s="1"/>
  <c r="AD7" i="4"/>
  <c r="AF7" i="4" s="1"/>
  <c r="AG7" i="4" s="1"/>
  <c r="R7" i="4"/>
  <c r="N7" i="4"/>
  <c r="J7" i="4"/>
  <c r="F7" i="4"/>
  <c r="B7" i="4"/>
  <c r="AK6" i="4"/>
  <c r="AL6" i="4" s="1"/>
  <c r="AD6" i="4"/>
  <c r="AF6" i="4" s="1"/>
  <c r="AG6" i="4" s="1"/>
  <c r="R6" i="4"/>
  <c r="N6" i="4"/>
  <c r="J6" i="4"/>
  <c r="F6" i="4"/>
  <c r="B6" i="4"/>
  <c r="AK5" i="4"/>
  <c r="AD5" i="4"/>
  <c r="AF5" i="4" s="1"/>
  <c r="AG5" i="4" s="1"/>
  <c r="R5" i="4"/>
  <c r="N5" i="4"/>
  <c r="J5" i="4"/>
  <c r="F5" i="4"/>
  <c r="B5" i="4"/>
  <c r="AK8" i="1"/>
  <c r="AL8" i="1" s="1"/>
  <c r="AF34" i="1"/>
  <c r="AG34" i="1" s="1"/>
  <c r="AF33" i="1"/>
  <c r="AG33" i="1" s="1"/>
  <c r="AF32" i="1"/>
  <c r="AG32" i="1" s="1"/>
  <c r="AF31" i="1"/>
  <c r="AG31" i="1" s="1"/>
  <c r="AF30" i="1"/>
  <c r="AG30" i="1" s="1"/>
  <c r="AD34" i="1"/>
  <c r="AD33" i="1"/>
  <c r="AD32" i="1"/>
  <c r="AD31" i="1"/>
  <c r="AD30" i="1"/>
  <c r="AD29" i="1"/>
  <c r="AF29" i="1" s="1"/>
  <c r="AG29" i="1" s="1"/>
  <c r="AD28" i="1"/>
  <c r="AF28" i="1" s="1"/>
  <c r="AG28" i="1" s="1"/>
  <c r="AD27" i="1"/>
  <c r="AF27" i="1" s="1"/>
  <c r="AG27" i="1" s="1"/>
  <c r="AD26" i="1"/>
  <c r="AF26" i="1" s="1"/>
  <c r="AG26" i="1" s="1"/>
  <c r="AD25" i="1"/>
  <c r="AF25" i="1" s="1"/>
  <c r="AG25" i="1" s="1"/>
  <c r="AD24" i="1"/>
  <c r="AF24" i="1" s="1"/>
  <c r="AG24" i="1" s="1"/>
  <c r="AD23" i="1"/>
  <c r="AF23" i="1" s="1"/>
  <c r="AG23" i="1" s="1"/>
  <c r="AD22" i="1"/>
  <c r="AF22" i="1" s="1"/>
  <c r="AG22" i="1" s="1"/>
  <c r="AD21" i="1"/>
  <c r="AF21" i="1" s="1"/>
  <c r="AG21" i="1" s="1"/>
  <c r="AD20" i="1"/>
  <c r="AF20" i="1" s="1"/>
  <c r="AG20" i="1" s="1"/>
  <c r="AD19" i="1"/>
  <c r="AF19" i="1" s="1"/>
  <c r="AG19" i="1" s="1"/>
  <c r="AD18" i="1"/>
  <c r="AF18" i="1" s="1"/>
  <c r="AG18" i="1" s="1"/>
  <c r="AD17" i="1"/>
  <c r="AD16" i="1"/>
  <c r="AF16" i="1" s="1"/>
  <c r="AG16" i="1" s="1"/>
  <c r="AD15" i="1"/>
  <c r="AF15" i="1" s="1"/>
  <c r="AG15" i="1" s="1"/>
  <c r="AD14" i="1"/>
  <c r="AF14" i="1" s="1"/>
  <c r="AG14" i="1" s="1"/>
  <c r="AD13" i="1"/>
  <c r="AF13" i="1" s="1"/>
  <c r="AG13" i="1" s="1"/>
  <c r="AD12" i="1"/>
  <c r="AF12" i="1" s="1"/>
  <c r="AG12" i="1" s="1"/>
  <c r="AD11" i="1"/>
  <c r="AF11" i="1" s="1"/>
  <c r="AG11" i="1" s="1"/>
  <c r="AD10" i="1"/>
  <c r="AF10" i="1" s="1"/>
  <c r="AG10" i="1" s="1"/>
  <c r="AD9" i="1"/>
  <c r="AD8" i="1"/>
  <c r="AF8" i="1" s="1"/>
  <c r="AG8" i="1" s="1"/>
  <c r="AD7" i="1"/>
  <c r="AF7" i="1" s="1"/>
  <c r="AG7" i="1" s="1"/>
  <c r="AD6" i="1"/>
  <c r="AD5" i="1"/>
  <c r="AF5" i="1" s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5" i="1"/>
  <c r="S36" i="3"/>
  <c r="K36" i="3"/>
  <c r="U36" i="3" s="1"/>
  <c r="S35" i="3"/>
  <c r="K35" i="3"/>
  <c r="U35" i="3" s="1"/>
  <c r="S34" i="3"/>
  <c r="K34" i="3"/>
  <c r="U34" i="3" s="1"/>
  <c r="S33" i="3"/>
  <c r="K33" i="3"/>
  <c r="U33" i="3" s="1"/>
  <c r="S32" i="3"/>
  <c r="K32" i="3"/>
  <c r="U32" i="3" s="1"/>
  <c r="S31" i="3"/>
  <c r="K31" i="3"/>
  <c r="U31" i="3" s="1"/>
  <c r="S30" i="3"/>
  <c r="K30" i="3"/>
  <c r="U30" i="3" s="1"/>
  <c r="S29" i="3"/>
  <c r="K29" i="3"/>
  <c r="U29" i="3" s="1"/>
  <c r="S28" i="3"/>
  <c r="K28" i="3"/>
  <c r="U28" i="3" s="1"/>
  <c r="S27" i="3"/>
  <c r="K27" i="3"/>
  <c r="U27" i="3" s="1"/>
  <c r="S26" i="3"/>
  <c r="K26" i="3"/>
  <c r="U26" i="3" s="1"/>
  <c r="S25" i="3"/>
  <c r="K25" i="3"/>
  <c r="U25" i="3" s="1"/>
  <c r="S24" i="3"/>
  <c r="K24" i="3"/>
  <c r="U24" i="3" s="1"/>
  <c r="S23" i="3"/>
  <c r="K23" i="3"/>
  <c r="U23" i="3" s="1"/>
  <c r="S22" i="3"/>
  <c r="K22" i="3"/>
  <c r="U22" i="3" s="1"/>
  <c r="S21" i="3"/>
  <c r="K21" i="3"/>
  <c r="U21" i="3" s="1"/>
  <c r="S20" i="3"/>
  <c r="K20" i="3"/>
  <c r="U20" i="3" s="1"/>
  <c r="S19" i="3"/>
  <c r="K19" i="3"/>
  <c r="U19" i="3" s="1"/>
  <c r="S18" i="3"/>
  <c r="K18" i="3"/>
  <c r="U18" i="3" s="1"/>
  <c r="S17" i="3"/>
  <c r="K17" i="3"/>
  <c r="U17" i="3" s="1"/>
  <c r="S16" i="3"/>
  <c r="K16" i="3"/>
  <c r="U16" i="3" s="1"/>
  <c r="S15" i="3"/>
  <c r="K15" i="3"/>
  <c r="U15" i="3" s="1"/>
  <c r="S14" i="3"/>
  <c r="K14" i="3"/>
  <c r="U14" i="3" s="1"/>
  <c r="S13" i="3"/>
  <c r="K13" i="3"/>
  <c r="U13" i="3" s="1"/>
  <c r="S12" i="3"/>
  <c r="K12" i="3"/>
  <c r="U12" i="3" s="1"/>
  <c r="S11" i="3"/>
  <c r="K11" i="3"/>
  <c r="U11" i="3" s="1"/>
  <c r="S10" i="3"/>
  <c r="K10" i="3"/>
  <c r="U10" i="3" s="1"/>
  <c r="S9" i="3"/>
  <c r="K9" i="3"/>
  <c r="U9" i="3" s="1"/>
  <c r="S8" i="3"/>
  <c r="C6" i="3"/>
  <c r="F5" i="1"/>
  <c r="AM35" i="1"/>
  <c r="AK5" i="1"/>
  <c r="AL5" i="1" s="1"/>
  <c r="AK6" i="1"/>
  <c r="AK7" i="1"/>
  <c r="AL7" i="1" s="1"/>
  <c r="AK18" i="1"/>
  <c r="AL18" i="1" s="1"/>
  <c r="AK17" i="1"/>
  <c r="AL17" i="1" s="1"/>
  <c r="AK16" i="1"/>
  <c r="AL16" i="1" s="1"/>
  <c r="AK15" i="1"/>
  <c r="AL15" i="1" s="1"/>
  <c r="AK14" i="1"/>
  <c r="AL14" i="1" s="1"/>
  <c r="AK13" i="1"/>
  <c r="AL13" i="1" s="1"/>
  <c r="AK12" i="1"/>
  <c r="AL12" i="1" s="1"/>
  <c r="AK11" i="1"/>
  <c r="AL11" i="1" s="1"/>
  <c r="AK10" i="1"/>
  <c r="AL10" i="1" s="1"/>
  <c r="AK9" i="1"/>
  <c r="AL9" i="1" s="1"/>
  <c r="AJ35" i="1"/>
  <c r="Q6" i="3" s="1"/>
  <c r="AI35" i="1"/>
  <c r="P6" i="3" s="1"/>
  <c r="AF6" i="1"/>
  <c r="AG6" i="1" s="1"/>
  <c r="AF17" i="1"/>
  <c r="AG17" i="1" s="1"/>
  <c r="AF9" i="1"/>
  <c r="AG9" i="1" s="1"/>
  <c r="AE35" i="1"/>
  <c r="AC35" i="1"/>
  <c r="AB35" i="1"/>
  <c r="AA35" i="1"/>
  <c r="Z35" i="1"/>
  <c r="Y35" i="1"/>
  <c r="X35" i="1"/>
  <c r="W35" i="1"/>
  <c r="V35" i="1"/>
  <c r="U35" i="1"/>
  <c r="T35" i="1"/>
  <c r="S35" i="1"/>
  <c r="Q35" i="1"/>
  <c r="P35" i="1"/>
  <c r="O35" i="1"/>
  <c r="M35" i="1"/>
  <c r="L35" i="1"/>
  <c r="K35" i="1"/>
  <c r="I35" i="1"/>
  <c r="H35" i="1"/>
  <c r="G35" i="1"/>
  <c r="E35" i="1"/>
  <c r="D35" i="1"/>
  <c r="C35" i="1"/>
  <c r="B6" i="1"/>
  <c r="AK35" i="19" l="1"/>
  <c r="AF8" i="17"/>
  <c r="AG8" i="17" s="1"/>
  <c r="AD35" i="17"/>
  <c r="AL35" i="32"/>
  <c r="AL35" i="29"/>
  <c r="AL35" i="31"/>
  <c r="R37" i="7"/>
  <c r="R35" i="28"/>
  <c r="N37" i="6"/>
  <c r="F35" i="26"/>
  <c r="AD35" i="26"/>
  <c r="J36" i="5"/>
  <c r="F8" i="3" s="1"/>
  <c r="J37" i="6"/>
  <c r="AF37" i="6"/>
  <c r="N35" i="17"/>
  <c r="R35" i="18"/>
  <c r="J35" i="20"/>
  <c r="AF35" i="20"/>
  <c r="R35" i="21"/>
  <c r="J35" i="9"/>
  <c r="AF35" i="9"/>
  <c r="F35" i="9"/>
  <c r="AD35" i="9"/>
  <c r="F35" i="15"/>
  <c r="AD35" i="15"/>
  <c r="AL35" i="18"/>
  <c r="R35" i="23"/>
  <c r="R35" i="27"/>
  <c r="J35" i="12"/>
  <c r="R36" i="14"/>
  <c r="J35" i="15"/>
  <c r="AL35" i="26"/>
  <c r="AF36" i="5"/>
  <c r="J35" i="11"/>
  <c r="F36" i="5"/>
  <c r="E8" i="3" s="1"/>
  <c r="AD36" i="5"/>
  <c r="I8" i="3" s="1"/>
  <c r="R35" i="8"/>
  <c r="R35" i="9"/>
  <c r="F35" i="8"/>
  <c r="AD35" i="8"/>
  <c r="F35" i="11"/>
  <c r="AD35" i="11"/>
  <c r="N35" i="12"/>
  <c r="R35" i="13"/>
  <c r="N35" i="15"/>
  <c r="R34" i="16"/>
  <c r="R35" i="17"/>
  <c r="J35" i="19"/>
  <c r="J35" i="23"/>
  <c r="N35" i="24"/>
  <c r="J35" i="24"/>
  <c r="R35" i="24"/>
  <c r="J35" i="28"/>
  <c r="J35" i="29"/>
  <c r="J35" i="31"/>
  <c r="N36" i="5"/>
  <c r="G8" i="3" s="1"/>
  <c r="R37" i="6"/>
  <c r="J35" i="8"/>
  <c r="AF35" i="8"/>
  <c r="N35" i="9"/>
  <c r="AL35" i="9"/>
  <c r="J35" i="10"/>
  <c r="R35" i="12"/>
  <c r="J36" i="14"/>
  <c r="R35" i="15"/>
  <c r="AK35" i="15"/>
  <c r="F35" i="17"/>
  <c r="AL35" i="17"/>
  <c r="J35" i="18"/>
  <c r="R35" i="22"/>
  <c r="R35" i="29"/>
  <c r="R35" i="32"/>
  <c r="R35" i="33"/>
  <c r="AL35" i="33"/>
  <c r="R36" i="5"/>
  <c r="H8" i="3" s="1"/>
  <c r="F37" i="6"/>
  <c r="AD37" i="6"/>
  <c r="J37" i="7"/>
  <c r="F35" i="12"/>
  <c r="AD35" i="12"/>
  <c r="AL35" i="12"/>
  <c r="J35" i="13"/>
  <c r="AF35" i="13"/>
  <c r="J35" i="17"/>
  <c r="R35" i="19"/>
  <c r="F35" i="20"/>
  <c r="AD35" i="20"/>
  <c r="R35" i="20"/>
  <c r="J35" i="21"/>
  <c r="J35" i="22"/>
  <c r="N35" i="25"/>
  <c r="J35" i="25"/>
  <c r="J35" i="27"/>
  <c r="S7" i="3"/>
  <c r="J35" i="4"/>
  <c r="F7" i="3" s="1"/>
  <c r="AK35" i="4"/>
  <c r="Q37" i="3"/>
  <c r="P37" i="3"/>
  <c r="AL5" i="4"/>
  <c r="AF35" i="4"/>
  <c r="AF37" i="7"/>
  <c r="F37" i="7"/>
  <c r="AD37" i="7"/>
  <c r="AF35" i="11"/>
  <c r="AG5" i="11"/>
  <c r="N35" i="4"/>
  <c r="G7" i="3" s="1"/>
  <c r="AG5" i="5"/>
  <c r="AG5" i="6"/>
  <c r="N37" i="7"/>
  <c r="AG5" i="7"/>
  <c r="N35" i="8"/>
  <c r="AG5" i="8"/>
  <c r="AG5" i="9"/>
  <c r="AF35" i="10"/>
  <c r="AG5" i="10"/>
  <c r="AK35" i="12"/>
  <c r="AL5" i="12"/>
  <c r="R35" i="4"/>
  <c r="H7" i="3" s="1"/>
  <c r="AK36" i="5"/>
  <c r="AK37" i="6"/>
  <c r="AK35" i="9"/>
  <c r="AK35" i="10"/>
  <c r="R35" i="11"/>
  <c r="R35" i="1"/>
  <c r="H6" i="3" s="1"/>
  <c r="F35" i="4"/>
  <c r="E7" i="3" s="1"/>
  <c r="AD35" i="4"/>
  <c r="I7" i="3" s="1"/>
  <c r="AL35" i="4"/>
  <c r="AL5" i="5"/>
  <c r="AL36" i="5"/>
  <c r="AL5" i="6"/>
  <c r="AL37" i="6"/>
  <c r="AL37" i="7"/>
  <c r="AL35" i="8"/>
  <c r="R35" i="10"/>
  <c r="N35" i="10"/>
  <c r="F35" i="10"/>
  <c r="AD35" i="10"/>
  <c r="AL35" i="10"/>
  <c r="AL35" i="11"/>
  <c r="N35" i="13"/>
  <c r="AG5" i="13"/>
  <c r="F35" i="13"/>
  <c r="AD35" i="13"/>
  <c r="AL35" i="13"/>
  <c r="AL36" i="14"/>
  <c r="AL5" i="15"/>
  <c r="N34" i="16"/>
  <c r="AF35" i="12"/>
  <c r="AK35" i="13"/>
  <c r="AF36" i="14"/>
  <c r="F36" i="14"/>
  <c r="AD36" i="14"/>
  <c r="AF35" i="15"/>
  <c r="N35" i="11"/>
  <c r="AG5" i="12"/>
  <c r="AL5" i="13"/>
  <c r="N36" i="14"/>
  <c r="AF35" i="17"/>
  <c r="AG5" i="17"/>
  <c r="J34" i="16"/>
  <c r="AL35" i="15"/>
  <c r="AF34" i="16"/>
  <c r="F34" i="16"/>
  <c r="AD34" i="16"/>
  <c r="N35" i="18"/>
  <c r="N35" i="19"/>
  <c r="F35" i="19"/>
  <c r="AD35" i="19"/>
  <c r="AL35" i="19"/>
  <c r="N35" i="23"/>
  <c r="AF35" i="23"/>
  <c r="AL5" i="19"/>
  <c r="N35" i="20"/>
  <c r="AG5" i="20"/>
  <c r="N35" i="21"/>
  <c r="AF35" i="21"/>
  <c r="R35" i="25"/>
  <c r="J35" i="26"/>
  <c r="AL34" i="16"/>
  <c r="AK35" i="17"/>
  <c r="AF35" i="18"/>
  <c r="F35" i="18"/>
  <c r="AD35" i="18"/>
  <c r="AF35" i="19"/>
  <c r="AK35" i="20"/>
  <c r="N35" i="22"/>
  <c r="AF35" i="31"/>
  <c r="AG5" i="31"/>
  <c r="AL35" i="20"/>
  <c r="AL35" i="21"/>
  <c r="AL35" i="22"/>
  <c r="N35" i="26"/>
  <c r="AF35" i="27"/>
  <c r="AG5" i="27"/>
  <c r="R35" i="30"/>
  <c r="F35" i="21"/>
  <c r="AD35" i="21"/>
  <c r="AF35" i="22"/>
  <c r="F35" i="22"/>
  <c r="AD35" i="22"/>
  <c r="F35" i="23"/>
  <c r="AD35" i="23"/>
  <c r="AF35" i="24"/>
  <c r="F35" i="24"/>
  <c r="AD35" i="24"/>
  <c r="R35" i="26"/>
  <c r="AK35" i="26"/>
  <c r="AL5" i="26"/>
  <c r="N35" i="28"/>
  <c r="F35" i="32"/>
  <c r="AD35" i="32"/>
  <c r="F35" i="33"/>
  <c r="AD35" i="33"/>
  <c r="N35" i="29"/>
  <c r="J35" i="30"/>
  <c r="AF35" i="30"/>
  <c r="AG5" i="30"/>
  <c r="F35" i="31"/>
  <c r="AD35" i="31"/>
  <c r="AL35" i="23"/>
  <c r="AL35" i="24"/>
  <c r="AL35" i="25"/>
  <c r="N35" i="27"/>
  <c r="F35" i="27"/>
  <c r="AD35" i="27"/>
  <c r="AL35" i="27"/>
  <c r="AL35" i="28"/>
  <c r="AK35" i="30"/>
  <c r="N35" i="31"/>
  <c r="J35" i="32"/>
  <c r="AF35" i="32"/>
  <c r="AG5" i="32"/>
  <c r="J35" i="33"/>
  <c r="AF35" i="33"/>
  <c r="AG5" i="33"/>
  <c r="AF35" i="25"/>
  <c r="F35" i="25"/>
  <c r="AD35" i="25"/>
  <c r="AF35" i="26"/>
  <c r="AK35" i="27"/>
  <c r="AF35" i="28"/>
  <c r="F35" i="28"/>
  <c r="AD35" i="28"/>
  <c r="AF35" i="29"/>
  <c r="F35" i="29"/>
  <c r="AD35" i="29"/>
  <c r="AL5" i="30"/>
  <c r="R35" i="31"/>
  <c r="AK35" i="31"/>
  <c r="AL5" i="31"/>
  <c r="N35" i="30"/>
  <c r="F35" i="30"/>
  <c r="AD35" i="30"/>
  <c r="AL35" i="30"/>
  <c r="N35" i="32"/>
  <c r="N35" i="33"/>
  <c r="AL35" i="1"/>
  <c r="L6" i="3"/>
  <c r="L37" i="3" s="1"/>
  <c r="AK35" i="33"/>
  <c r="AK35" i="32"/>
  <c r="AK35" i="29"/>
  <c r="AK35" i="28"/>
  <c r="AK35" i="25"/>
  <c r="AK35" i="24"/>
  <c r="AK35" i="23"/>
  <c r="AG6" i="23"/>
  <c r="AK35" i="22"/>
  <c r="AK35" i="21"/>
  <c r="AG6" i="21"/>
  <c r="AL5" i="20"/>
  <c r="AK35" i="18"/>
  <c r="AK34" i="16"/>
  <c r="AK36" i="14"/>
  <c r="AK35" i="11"/>
  <c r="AK35" i="8"/>
  <c r="AK37" i="7"/>
  <c r="N18" i="3"/>
  <c r="N20" i="3"/>
  <c r="N21" i="3"/>
  <c r="N23" i="3"/>
  <c r="N34" i="3"/>
  <c r="N36" i="3"/>
  <c r="N9" i="3"/>
  <c r="N11" i="3"/>
  <c r="N22" i="3"/>
  <c r="N24" i="3"/>
  <c r="N25" i="3"/>
  <c r="N27" i="3"/>
  <c r="N10" i="3"/>
  <c r="N12" i="3"/>
  <c r="N13" i="3"/>
  <c r="N15" i="3"/>
  <c r="N26" i="3"/>
  <c r="N28" i="3"/>
  <c r="N29" i="3"/>
  <c r="N31" i="3"/>
  <c r="N14" i="3"/>
  <c r="N16" i="3"/>
  <c r="N17" i="3"/>
  <c r="N19" i="3"/>
  <c r="N30" i="3"/>
  <c r="N32" i="3"/>
  <c r="N33" i="3"/>
  <c r="N35" i="3"/>
  <c r="B7" i="3"/>
  <c r="S6" i="3"/>
  <c r="J35" i="1"/>
  <c r="F6" i="3" s="1"/>
  <c r="N35" i="1"/>
  <c r="G6" i="3" s="1"/>
  <c r="F35" i="1"/>
  <c r="E6" i="3" s="1"/>
  <c r="AK35" i="1"/>
  <c r="AL6" i="1"/>
  <c r="AG5" i="1"/>
  <c r="AF35" i="1"/>
  <c r="AD35" i="1"/>
  <c r="I6" i="3" s="1"/>
  <c r="G37" i="3" l="1"/>
  <c r="H37" i="3"/>
  <c r="K8" i="3"/>
  <c r="U8" i="3" s="1"/>
  <c r="S37" i="3"/>
  <c r="F37" i="3"/>
  <c r="E37" i="3"/>
  <c r="I37" i="3"/>
  <c r="K7" i="3"/>
  <c r="U7" i="3" s="1"/>
  <c r="K6" i="3"/>
  <c r="U6" i="3" s="1"/>
  <c r="C7" i="3"/>
  <c r="B8" i="3"/>
  <c r="N8" i="3" l="1"/>
  <c r="N7" i="3"/>
  <c r="U37" i="3"/>
  <c r="K37" i="3"/>
  <c r="N6" i="3"/>
  <c r="B9" i="3"/>
  <c r="C8" i="3"/>
  <c r="N37" i="3" l="1"/>
  <c r="B10" i="3"/>
  <c r="C9" i="3"/>
  <c r="C10" i="3" l="1"/>
  <c r="B11" i="3"/>
  <c r="C11" i="3" l="1"/>
  <c r="B12" i="3"/>
  <c r="B13" i="3" l="1"/>
  <c r="C12" i="3"/>
  <c r="B14" i="3" l="1"/>
  <c r="C13" i="3"/>
  <c r="C14" i="3" l="1"/>
  <c r="B15" i="3"/>
  <c r="C15" i="3" l="1"/>
  <c r="B16" i="3"/>
  <c r="B17" i="3" l="1"/>
  <c r="C16" i="3"/>
  <c r="B18" i="3" l="1"/>
  <c r="C17" i="3"/>
  <c r="C18" i="3" l="1"/>
  <c r="B19" i="3"/>
  <c r="C19" i="3" l="1"/>
  <c r="B20" i="3"/>
  <c r="B21" i="3" l="1"/>
  <c r="C20" i="3"/>
  <c r="B22" i="3" l="1"/>
  <c r="C21" i="3"/>
  <c r="C22" i="3" l="1"/>
  <c r="B23" i="3"/>
  <c r="C23" i="3" l="1"/>
  <c r="B24" i="3"/>
  <c r="B25" i="3" l="1"/>
  <c r="C24" i="3"/>
  <c r="B26" i="3" l="1"/>
  <c r="C25" i="3"/>
  <c r="C26" i="3" l="1"/>
  <c r="B27" i="3"/>
  <c r="C27" i="3" l="1"/>
  <c r="B28" i="3"/>
  <c r="B29" i="3" l="1"/>
  <c r="C28" i="3"/>
  <c r="B30" i="3" l="1"/>
  <c r="C29" i="3"/>
  <c r="C30" i="3" l="1"/>
  <c r="B31" i="3"/>
  <c r="C31" i="3" l="1"/>
  <c r="B32" i="3"/>
  <c r="B33" i="3" l="1"/>
  <c r="C32" i="3"/>
  <c r="B34" i="3" l="1"/>
  <c r="C33" i="3"/>
  <c r="C34" i="3" l="1"/>
  <c r="B35" i="3"/>
  <c r="C35" i="3" l="1"/>
  <c r="B36" i="3"/>
  <c r="C36" i="3" s="1"/>
</calcChain>
</file>

<file path=xl/sharedStrings.xml><?xml version="1.0" encoding="utf-8"?>
<sst xmlns="http://schemas.openxmlformats.org/spreadsheetml/2006/main" count="1909" uniqueCount="315">
  <si>
    <t>Employee Details</t>
  </si>
  <si>
    <t>Fifth Collection (Closing Cash)</t>
  </si>
  <si>
    <t>Date</t>
  </si>
  <si>
    <t>Emp ID</t>
  </si>
  <si>
    <t>Employee Name</t>
  </si>
  <si>
    <t>5000</t>
  </si>
  <si>
    <t>1000</t>
  </si>
  <si>
    <t>500</t>
  </si>
  <si>
    <t>100</t>
  </si>
  <si>
    <t>75</t>
  </si>
  <si>
    <t>50</t>
  </si>
  <si>
    <t>20</t>
  </si>
  <si>
    <t>10</t>
  </si>
  <si>
    <t>5</t>
  </si>
  <si>
    <t>2</t>
  </si>
  <si>
    <t>1</t>
  </si>
  <si>
    <t>Total Closing Cash</t>
  </si>
  <si>
    <t>System Total Sale</t>
  </si>
  <si>
    <t>Collection Difference</t>
  </si>
  <si>
    <t>Audit Status</t>
  </si>
  <si>
    <t>Remarks</t>
  </si>
  <si>
    <t>Settlement Report (Bank)</t>
  </si>
  <si>
    <t>Card Difference</t>
  </si>
  <si>
    <t>Card Status</t>
  </si>
  <si>
    <t>-</t>
  </si>
  <si>
    <t>Employee ID</t>
  </si>
  <si>
    <t>Usman</t>
  </si>
  <si>
    <t>Waseem Raza</t>
  </si>
  <si>
    <t>Asghar Ali</t>
  </si>
  <si>
    <t>Mehmood Ahmed</t>
  </si>
  <si>
    <t>Asif Abbas</t>
  </si>
  <si>
    <t>Riaz</t>
  </si>
  <si>
    <t>Waseem</t>
  </si>
  <si>
    <t>Hussnain Ashfaq</t>
  </si>
  <si>
    <t>Hafiz Fahad Bhatti</t>
  </si>
  <si>
    <t>Allah Rakha</t>
  </si>
  <si>
    <t>Shahzaib</t>
  </si>
  <si>
    <t>Raza Ali</t>
  </si>
  <si>
    <t>M Binyameen</t>
  </si>
  <si>
    <t>Faisal Abbasi</t>
  </si>
  <si>
    <t>Shahbaz hayat</t>
  </si>
  <si>
    <t>M Imran</t>
  </si>
  <si>
    <t>Iffat Sultan</t>
  </si>
  <si>
    <t>Amanat ali</t>
  </si>
  <si>
    <t>Shama</t>
  </si>
  <si>
    <t>Saddiqa Maryam</t>
  </si>
  <si>
    <t>Ali Hamza</t>
  </si>
  <si>
    <t>Rizwan</t>
  </si>
  <si>
    <t>Aftab Ali</t>
  </si>
  <si>
    <t>Hafsa</t>
  </si>
  <si>
    <t>Maham</t>
  </si>
  <si>
    <t>Waheed</t>
  </si>
  <si>
    <t>M Faisal</t>
  </si>
  <si>
    <t>Jawad Aziz</t>
  </si>
  <si>
    <t>Hanan Javaid</t>
  </si>
  <si>
    <t>M Fiaz</t>
  </si>
  <si>
    <t>M Arbaz</t>
  </si>
  <si>
    <t>Hassan Raza</t>
  </si>
  <si>
    <t>Zain Ali</t>
  </si>
  <si>
    <t>Ali Ahmad</t>
  </si>
  <si>
    <t>M Harris</t>
  </si>
  <si>
    <t>Adnan</t>
  </si>
  <si>
    <t>M Noman</t>
  </si>
  <si>
    <t>M Azeem</t>
  </si>
  <si>
    <t>Hamza Riaz</t>
  </si>
  <si>
    <t>Abdul kareem</t>
  </si>
  <si>
    <t>Taha Ashraf</t>
  </si>
  <si>
    <t>Inam ullah</t>
  </si>
  <si>
    <t>Muhammad Shahbaz</t>
  </si>
  <si>
    <t>Amir Khan</t>
  </si>
  <si>
    <t>M Arslan</t>
  </si>
  <si>
    <t>Hafiz Hafeez Ur Rehman</t>
  </si>
  <si>
    <t>M usman</t>
  </si>
  <si>
    <t>Abdul Hafeez</t>
  </si>
  <si>
    <t>Ali Imran</t>
  </si>
  <si>
    <t>M Nafees</t>
  </si>
  <si>
    <t>M Yaqoob</t>
  </si>
  <si>
    <t>Abu Bakar</t>
  </si>
  <si>
    <t>Saaim</t>
  </si>
  <si>
    <t>M Shajee</t>
  </si>
  <si>
    <t>Asma</t>
  </si>
  <si>
    <t>Imran Waqar</t>
  </si>
  <si>
    <t>Abdullah Ali</t>
  </si>
  <si>
    <t>Zubair</t>
  </si>
  <si>
    <t>M Husnain</t>
  </si>
  <si>
    <t>Shoaib Akhtar</t>
  </si>
  <si>
    <t>Hamad Mughal</t>
  </si>
  <si>
    <t>Sajawal</t>
  </si>
  <si>
    <t>Amir</t>
  </si>
  <si>
    <t>Qasir Ali</t>
  </si>
  <si>
    <t>Zuhaib</t>
  </si>
  <si>
    <t>Ahmad Raza</t>
  </si>
  <si>
    <t>Total</t>
  </si>
  <si>
    <t>1st Collection</t>
  </si>
  <si>
    <t>2nd Collection</t>
  </si>
  <si>
    <t>3rd Collection</t>
  </si>
  <si>
    <t>4th Collection</t>
  </si>
  <si>
    <t>Closing</t>
  </si>
  <si>
    <t>Settlemnet Report</t>
  </si>
  <si>
    <t>ivend Settle (POS)</t>
  </si>
  <si>
    <t>Remaks</t>
  </si>
  <si>
    <t>Cash Sales</t>
  </si>
  <si>
    <t>Credit Sales</t>
  </si>
  <si>
    <t>Total Sales</t>
  </si>
  <si>
    <t>Day</t>
  </si>
  <si>
    <t>1st</t>
  </si>
  <si>
    <t>2nd</t>
  </si>
  <si>
    <t>3rd</t>
  </si>
  <si>
    <t>4th</t>
  </si>
  <si>
    <t>Sum of Cash</t>
  </si>
  <si>
    <t>X-Tape</t>
  </si>
  <si>
    <t>Day Wise Shortage</t>
  </si>
  <si>
    <t>POS Cr.Sale</t>
  </si>
  <si>
    <t>Settle Cr.Sale</t>
  </si>
  <si>
    <t>Close</t>
  </si>
  <si>
    <t>3</t>
  </si>
  <si>
    <t>4</t>
  </si>
  <si>
    <t>6</t>
  </si>
  <si>
    <t>7</t>
  </si>
  <si>
    <t>8</t>
  </si>
  <si>
    <t>9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</si>
  <si>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</si>
  <si>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</si>
  <si>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</si>
  <si>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</si>
  <si>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</si>
  <si>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</si>
  <si>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</si>
  <si>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</si>
  <si>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</si>
  <si>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='10'!J58</t>
  </si>
  <si>
    <t>='10'!T58</t>
  </si>
  <si>
    <t>='10'!AD58</t>
  </si>
  <si>
    <t>='10'!AN58</t>
  </si>
  <si>
    <t>='10'!BO58</t>
  </si>
  <si>
    <t>='10'!BS58</t>
  </si>
  <si>
    <t>='10'!CD58</t>
  </si>
  <si>
    <t>='10'!CH58</t>
  </si>
  <si>
    <t>='11'!J58</t>
  </si>
  <si>
    <t>='11'!T58</t>
  </si>
  <si>
    <t>='11'!AD58</t>
  </si>
  <si>
    <t>='11'!AN58</t>
  </si>
  <si>
    <t>='11'!BO58</t>
  </si>
  <si>
    <t>='11'!BS58</t>
  </si>
  <si>
    <t>='11'!CD58</t>
  </si>
  <si>
    <t>='11'!CH58</t>
  </si>
  <si>
    <t>='12'!J58</t>
  </si>
  <si>
    <t>='12'!T58</t>
  </si>
  <si>
    <t>='12'!AD58</t>
  </si>
  <si>
    <t>='12'!AN58</t>
  </si>
  <si>
    <t>='12'!BO58</t>
  </si>
  <si>
    <t>='12'!BS58</t>
  </si>
  <si>
    <t>='12'!CD58</t>
  </si>
  <si>
    <t>='12'!CH58</t>
  </si>
  <si>
    <t>='13'!J58</t>
  </si>
  <si>
    <t>='13'!T58</t>
  </si>
  <si>
    <t>='13'!AD58</t>
  </si>
  <si>
    <t>='13'!AN58</t>
  </si>
  <si>
    <t>='13'!BO58</t>
  </si>
  <si>
    <t>='13'!BS58</t>
  </si>
  <si>
    <t>='13'!CD58</t>
  </si>
  <si>
    <t>='13'!CH58</t>
  </si>
  <si>
    <t>='14'!J58</t>
  </si>
  <si>
    <t>='14'!T58</t>
  </si>
  <si>
    <t>='14'!AD58</t>
  </si>
  <si>
    <t>='14'!AN58</t>
  </si>
  <si>
    <t>='14'!BO58</t>
  </si>
  <si>
    <t>='14'!BS58</t>
  </si>
  <si>
    <t>='14'!CD58</t>
  </si>
  <si>
    <t>='14'!CH58</t>
  </si>
  <si>
    <t>='15'!J58</t>
  </si>
  <si>
    <t>='15'!T58</t>
  </si>
  <si>
    <t>='15'!AD58</t>
  </si>
  <si>
    <t>='15'!AN58</t>
  </si>
  <si>
    <t>='15'!BO58</t>
  </si>
  <si>
    <t>='15'!BS58</t>
  </si>
  <si>
    <t>='15'!CD58</t>
  </si>
  <si>
    <t>='15'!CH58</t>
  </si>
  <si>
    <t>='16'!J58</t>
  </si>
  <si>
    <t>='16'!T58</t>
  </si>
  <si>
    <t>='16'!AD58</t>
  </si>
  <si>
    <t>='16'!AN58</t>
  </si>
  <si>
    <t>='16'!BO58</t>
  </si>
  <si>
    <t>='16'!BS58</t>
  </si>
  <si>
    <t>='16'!CD58</t>
  </si>
  <si>
    <t>='16'!CH58</t>
  </si>
  <si>
    <t>='17'!J58</t>
  </si>
  <si>
    <t>='17'!T58</t>
  </si>
  <si>
    <t>='17'!AD58</t>
  </si>
  <si>
    <t>='17'!AN58</t>
  </si>
  <si>
    <t>='17'!BO58</t>
  </si>
  <si>
    <t>='17'!BS58</t>
  </si>
  <si>
    <t>='17'!CD58</t>
  </si>
  <si>
    <t>='17'!CH58</t>
  </si>
  <si>
    <t>='18'!J58</t>
  </si>
  <si>
    <t>='18'!T58</t>
  </si>
  <si>
    <t>='18'!AD58</t>
  </si>
  <si>
    <t>='18'!AN58</t>
  </si>
  <si>
    <t>='18'!BO58</t>
  </si>
  <si>
    <t>='18'!BS58</t>
  </si>
  <si>
    <t>='18'!CD58</t>
  </si>
  <si>
    <t>='18'!CH58</t>
  </si>
  <si>
    <t>='19'!J58</t>
  </si>
  <si>
    <t>='19'!T58</t>
  </si>
  <si>
    <t>='19'!AD58</t>
  </si>
  <si>
    <t>='19'!AN58</t>
  </si>
  <si>
    <t>='19'!BO58</t>
  </si>
  <si>
    <t>='19'!BS58</t>
  </si>
  <si>
    <t>='19'!CD58</t>
  </si>
  <si>
    <t>='19'!CH58</t>
  </si>
  <si>
    <t>='20'!J58</t>
  </si>
  <si>
    <t>='20'!T58</t>
  </si>
  <si>
    <t>='20'!AD58</t>
  </si>
  <si>
    <t>='20'!AN58</t>
  </si>
  <si>
    <t>='20'!BO58</t>
  </si>
  <si>
    <t>='20'!BS58</t>
  </si>
  <si>
    <t>='20'!CD58</t>
  </si>
  <si>
    <t>='20'!CH58</t>
  </si>
  <si>
    <t>='21'!J58</t>
  </si>
  <si>
    <t>='21'!T58</t>
  </si>
  <si>
    <t>='21'!AD58</t>
  </si>
  <si>
    <t>='21'!AN58</t>
  </si>
  <si>
    <t>='21'!BO58</t>
  </si>
  <si>
    <t>='21'!BS58</t>
  </si>
  <si>
    <t>='21'!CD58</t>
  </si>
  <si>
    <t>='21'!CH58</t>
  </si>
  <si>
    <t>='22'!J58</t>
  </si>
  <si>
    <t>='22'!T58</t>
  </si>
  <si>
    <t>='22'!AD58</t>
  </si>
  <si>
    <t>='22'!AN58</t>
  </si>
  <si>
    <t>='22'!BO58</t>
  </si>
  <si>
    <t>='22'!BS58</t>
  </si>
  <si>
    <t>='22'!CD58</t>
  </si>
  <si>
    <t>='22'!CH58</t>
  </si>
  <si>
    <t>='23'!J58</t>
  </si>
  <si>
    <t>='23'!T58</t>
  </si>
  <si>
    <t>='23'!AD58</t>
  </si>
  <si>
    <t>='23'!AN58</t>
  </si>
  <si>
    <t>='23'!BO58</t>
  </si>
  <si>
    <t>='23'!BS58</t>
  </si>
  <si>
    <t>='23'!CD58</t>
  </si>
  <si>
    <t>='23'!CH58</t>
  </si>
  <si>
    <t>='24'!J58</t>
  </si>
  <si>
    <t>='24'!T58</t>
  </si>
  <si>
    <t>='24'!AD58</t>
  </si>
  <si>
    <t>='24'!AN58</t>
  </si>
  <si>
    <t>='24'!BO58</t>
  </si>
  <si>
    <t>='24'!BS58</t>
  </si>
  <si>
    <t>='24'!CD58</t>
  </si>
  <si>
    <t>='24'!CH58</t>
  </si>
  <si>
    <t>='25'!J58</t>
  </si>
  <si>
    <t>='25'!T58</t>
  </si>
  <si>
    <t>='25'!AD58</t>
  </si>
  <si>
    <t>='25'!AN58</t>
  </si>
  <si>
    <t>='25'!BO58</t>
  </si>
  <si>
    <t>='25'!BS58</t>
  </si>
  <si>
    <t>='25'!CD58</t>
  </si>
  <si>
    <t>='25'!CH58</t>
  </si>
  <si>
    <t>='26'!J58</t>
  </si>
  <si>
    <t>='26'!T58</t>
  </si>
  <si>
    <t>='26'!AD58</t>
  </si>
  <si>
    <t>='26'!AN58</t>
  </si>
  <si>
    <t>='26'!BO58</t>
  </si>
  <si>
    <t>='26'!BS58</t>
  </si>
  <si>
    <t>='26'!CD58</t>
  </si>
  <si>
    <t>='26'!CH58</t>
  </si>
  <si>
    <t>='27'!J58</t>
  </si>
  <si>
    <t>='27'!T58</t>
  </si>
  <si>
    <t>='27'!AD58</t>
  </si>
  <si>
    <t>='27'!AN58</t>
  </si>
  <si>
    <t>='27'!BO58</t>
  </si>
  <si>
    <t>='27'!BS58</t>
  </si>
  <si>
    <t>='27'!CD58</t>
  </si>
  <si>
    <t>='27'!CH58</t>
  </si>
  <si>
    <t>='28'!J58</t>
  </si>
  <si>
    <t>='28'!T58</t>
  </si>
  <si>
    <t>='28'!AD58</t>
  </si>
  <si>
    <t>='28'!AN58</t>
  </si>
  <si>
    <t>='28'!BO58</t>
  </si>
  <si>
    <t>='28'!BS58</t>
  </si>
  <si>
    <t>='28'!CD58</t>
  </si>
  <si>
    <t>='28'!CH58</t>
  </si>
  <si>
    <t>='29'!J58</t>
  </si>
  <si>
    <t>='29'!T58</t>
  </si>
  <si>
    <t>='29'!AD58</t>
  </si>
  <si>
    <t>='29'!AN58</t>
  </si>
  <si>
    <t>='29'!BO58</t>
  </si>
  <si>
    <t>='29'!BS58</t>
  </si>
  <si>
    <t>='29'!CD58</t>
  </si>
  <si>
    <t>='29'!CH58</t>
  </si>
  <si>
    <t>='30'!J58</t>
  </si>
  <si>
    <t>='30'!T58</t>
  </si>
  <si>
    <t>='30'!AD58</t>
  </si>
  <si>
    <t>='30'!AN58</t>
  </si>
  <si>
    <t>='30'!BO58</t>
  </si>
  <si>
    <t>='30'!BS58</t>
  </si>
  <si>
    <t>='30'!CD58</t>
  </si>
  <si>
    <t>='30'!CH58</t>
  </si>
  <si>
    <t>='31'!J58</t>
  </si>
  <si>
    <t>='31'!T58</t>
  </si>
  <si>
    <t>='31'!AD58</t>
  </si>
  <si>
    <t>='31'!AN58</t>
  </si>
  <si>
    <t>='31'!BO58</t>
  </si>
  <si>
    <t>='31'!BS58</t>
  </si>
  <si>
    <t>='31'!CD58</t>
  </si>
  <si>
    <t>='31'!CH58</t>
  </si>
  <si>
    <t>Daily Cash Collection - Lahore-4</t>
  </si>
  <si>
    <t>Hammad Mughal</t>
  </si>
  <si>
    <t>`</t>
  </si>
  <si>
    <t>1500 excess</t>
  </si>
  <si>
    <t>.</t>
  </si>
  <si>
    <t>Actual Short</t>
  </si>
  <si>
    <t>Testing</t>
  </si>
  <si>
    <t>Zubair Abbas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</si>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</sst>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[$-409]d\-mmm\-yy;@"/>
    <numFmt numFmtId="166" formatCode="_(* #,##0_);_(* \(#,##0\);_(* &quot;-&quot;??_);_(@_)"/>
  </numFmts>
  <fonts count="1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0"/>
      <color rgb="FFFFFFFF"/>
      <name val="Calibri"/>
      <family val="2"/>
    </font>
    <font>
      <b/>
      <sz val="11"/>
      <color theme="1"/>
      <name val="Calibri"/>
      <family val="2"/>
      <scheme val="minor"/>
    </font>
    <font>
      <b/>
      <sz val="10"/>
      <color rgb="FFFFFFFF"/>
      <name val="Calibri"/>
      <family val="2"/>
    </font>
    <font>
      <b/>
      <sz val="11"/>
      <color rgb="FFFFFFFF"/>
      <name val="Calibri"/>
      <family val="2"/>
    </font>
    <font>
      <sz val="10"/>
      <color theme="1"/>
      <name val="Trebuchet MS"/>
      <family val="2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rebuchet MS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name val="Times New Roman"/>
      <family val="1"/>
    </font>
    <font>
      <b/>
      <sz val="11"/>
      <color theme="1"/>
      <name val="Times New Roman"/>
      <family val="1"/>
    </font>
  </fonts>
  <fills count="11">
    <fill>
      <patternFill patternType="none"/>
    </fill>
    <fill>
      <patternFill patternType="gray125"/>
    </fill>
    <fill>
      <patternFill patternType="solid">
        <fgColor rgb="FF1B365D"/>
        <bgColor rgb="FF1B365D"/>
      </patternFill>
    </fill>
    <fill>
      <patternFill patternType="solid">
        <fgColor rgb="FF34495E"/>
        <bgColor rgb="FF34495E"/>
      </patternFill>
    </fill>
    <fill>
      <patternFill patternType="solid">
        <fgColor rgb="FFEAF2F8"/>
        <bgColor rgb="FFEAF2F8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rgb="FFEAF2F8"/>
      </patternFill>
    </fill>
    <fill>
      <patternFill patternType="solid">
        <fgColor rgb="FF99FF99"/>
        <bgColor rgb="FFEAF2F8"/>
      </patternFill>
    </fill>
  </fills>
  <borders count="1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 style="dashed">
        <color theme="0" tint="-0.24994659260841701"/>
      </right>
      <top/>
      <bottom style="dashed">
        <color theme="0" tint="-0.24994659260841701"/>
      </bottom>
      <diagonal/>
    </border>
    <border>
      <left style="dashed">
        <color theme="0" tint="-0.24994659260841701"/>
      </left>
      <right style="medium">
        <color indexed="64"/>
      </right>
      <top/>
      <bottom style="dashed">
        <color theme="0" tint="-0.24994659260841701"/>
      </bottom>
      <diagonal/>
    </border>
    <border>
      <left style="medium">
        <color indexed="64"/>
      </left>
      <right style="medium">
        <color indexed="64"/>
      </right>
      <top style="dashed">
        <color theme="1" tint="0.499984740745262"/>
      </top>
      <bottom style="dashed">
        <color theme="1" tint="0.499984740745262"/>
      </bottom>
      <diagonal/>
    </border>
    <border>
      <left style="medium">
        <color indexed="64"/>
      </left>
      <right style="medium">
        <color indexed="64"/>
      </right>
      <top/>
      <bottom style="dashed">
        <color theme="1" tint="0.499984740745262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3">
    <xf numFmtId="0" fontId="0" fillId="0" borderId="0"/>
    <xf numFmtId="0" fontId="6" fillId="0" borderId="0"/>
    <xf numFmtId="164" fontId="6" fillId="0" borderId="0" applyFont="0" applyFill="0" applyBorder="0" applyAlignment="0" applyProtection="0"/>
  </cellStyleXfs>
  <cellXfs count="52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4" fillId="3" borderId="1" xfId="0" applyFont="1" applyFill="1" applyBorder="1" applyAlignment="1">
      <alignment horizontal="center" vertical="center" wrapText="1"/>
    </xf>
    <xf numFmtId="0" fontId="7" fillId="0" borderId="0" xfId="1" applyFont="1"/>
    <xf numFmtId="0" fontId="8" fillId="5" borderId="0" xfId="1" applyFont="1" applyFill="1" applyAlignment="1">
      <alignment horizontal="center"/>
    </xf>
    <xf numFmtId="0" fontId="9" fillId="0" borderId="0" xfId="1" applyFont="1"/>
    <xf numFmtId="0" fontId="10" fillId="0" borderId="0" xfId="1" applyFont="1" applyAlignment="1">
      <alignment horizontal="center"/>
    </xf>
    <xf numFmtId="0" fontId="11" fillId="0" borderId="0" xfId="1" applyFont="1"/>
    <xf numFmtId="0" fontId="10" fillId="0" borderId="0" xfId="1" applyFont="1" applyAlignment="1">
      <alignment horizontal="center" vertical="center" wrapText="1"/>
    </xf>
    <xf numFmtId="0" fontId="10" fillId="0" borderId="0" xfId="1" applyFont="1" applyAlignment="1">
      <alignment vertical="center" wrapText="1"/>
    </xf>
    <xf numFmtId="0" fontId="6" fillId="0" borderId="0" xfId="1"/>
    <xf numFmtId="14" fontId="11" fillId="0" borderId="3" xfId="1" applyNumberFormat="1" applyFont="1" applyBorder="1" applyAlignment="1">
      <alignment horizontal="center" vertical="center"/>
    </xf>
    <xf numFmtId="14" fontId="11" fillId="0" borderId="0" xfId="1" applyNumberFormat="1" applyFont="1" applyAlignment="1">
      <alignment horizontal="center" vertical="center"/>
    </xf>
    <xf numFmtId="166" fontId="11" fillId="0" borderId="4" xfId="2" applyNumberFormat="1" applyFont="1" applyBorder="1" applyAlignment="1">
      <alignment horizontal="center" vertical="center"/>
    </xf>
    <xf numFmtId="166" fontId="11" fillId="0" borderId="5" xfId="2" applyNumberFormat="1" applyFont="1" applyBorder="1" applyAlignment="1">
      <alignment horizontal="center" vertical="center"/>
    </xf>
    <xf numFmtId="166" fontId="11" fillId="0" borderId="6" xfId="2" applyNumberFormat="1" applyFont="1" applyBorder="1" applyAlignment="1">
      <alignment horizontal="center" vertical="center"/>
    </xf>
    <xf numFmtId="166" fontId="11" fillId="0" borderId="0" xfId="2" applyNumberFormat="1" applyFont="1" applyBorder="1" applyAlignment="1">
      <alignment horizontal="center" vertical="center"/>
    </xf>
    <xf numFmtId="166" fontId="11" fillId="0" borderId="3" xfId="2" applyNumberFormat="1" applyFont="1" applyBorder="1" applyAlignment="1">
      <alignment horizontal="center" vertical="center"/>
    </xf>
    <xf numFmtId="166" fontId="11" fillId="0" borderId="0" xfId="2" applyNumberFormat="1" applyFont="1" applyAlignment="1">
      <alignment horizontal="center" vertical="center"/>
    </xf>
    <xf numFmtId="4" fontId="6" fillId="0" borderId="0" xfId="1" applyNumberFormat="1"/>
    <xf numFmtId="0" fontId="11" fillId="0" borderId="0" xfId="1" applyFont="1" applyAlignment="1">
      <alignment horizontal="center" vertical="center"/>
    </xf>
    <xf numFmtId="166" fontId="10" fillId="0" borderId="0" xfId="1" applyNumberFormat="1" applyFont="1" applyAlignment="1">
      <alignment horizontal="center" vertical="center"/>
    </xf>
    <xf numFmtId="38" fontId="12" fillId="0" borderId="1" xfId="0" applyNumberFormat="1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3" fontId="12" fillId="0" borderId="1" xfId="0" applyNumberFormat="1" applyFont="1" applyBorder="1" applyAlignment="1">
      <alignment horizontal="center"/>
    </xf>
    <xf numFmtId="0" fontId="12" fillId="4" borderId="1" xfId="0" applyFont="1" applyFill="1" applyBorder="1" applyAlignment="1">
      <alignment horizontal="center"/>
    </xf>
    <xf numFmtId="3" fontId="12" fillId="4" borderId="1" xfId="0" applyNumberFormat="1" applyFont="1" applyFill="1" applyBorder="1" applyAlignment="1">
      <alignment horizontal="center"/>
    </xf>
    <xf numFmtId="38" fontId="12" fillId="4" borderId="1" xfId="0" applyNumberFormat="1" applyFont="1" applyFill="1" applyBorder="1" applyAlignment="1">
      <alignment horizontal="center"/>
    </xf>
    <xf numFmtId="165" fontId="3" fillId="0" borderId="0" xfId="0" applyNumberFormat="1" applyFont="1"/>
    <xf numFmtId="0" fontId="11" fillId="0" borderId="7" xfId="0" applyFont="1" applyBorder="1" applyAlignment="1" applyProtection="1">
      <alignment horizontal="center"/>
      <protection locked="0"/>
    </xf>
    <xf numFmtId="0" fontId="11" fillId="0" borderId="8" xfId="0" applyFont="1" applyBorder="1" applyAlignment="1">
      <alignment horizontal="left"/>
    </xf>
    <xf numFmtId="3" fontId="10" fillId="6" borderId="10" xfId="0" applyNumberFormat="1" applyFont="1" applyFill="1" applyBorder="1" applyAlignment="1" applyProtection="1">
      <alignment horizontal="center"/>
      <protection locked="0"/>
    </xf>
    <xf numFmtId="3" fontId="10" fillId="7" borderId="10" xfId="0" applyNumberFormat="1" applyFont="1" applyFill="1" applyBorder="1" applyAlignment="1">
      <alignment horizontal="center"/>
    </xf>
    <xf numFmtId="0" fontId="11" fillId="8" borderId="10" xfId="0" applyFont="1" applyFill="1" applyBorder="1" applyAlignment="1">
      <alignment horizontal="center"/>
    </xf>
    <xf numFmtId="4" fontId="11" fillId="0" borderId="11" xfId="0" applyNumberFormat="1" applyFont="1" applyBorder="1" applyAlignment="1" applyProtection="1">
      <alignment horizontal="center"/>
      <protection locked="0"/>
    </xf>
    <xf numFmtId="4" fontId="10" fillId="0" borderId="12" xfId="0" applyNumberFormat="1" applyFont="1" applyBorder="1" applyAlignment="1" applyProtection="1">
      <alignment horizontal="center"/>
      <protection locked="0"/>
    </xf>
    <xf numFmtId="0" fontId="11" fillId="0" borderId="0" xfId="0" applyFont="1" applyProtection="1">
      <protection locked="0"/>
    </xf>
    <xf numFmtId="3" fontId="10" fillId="7" borderId="9" xfId="0" applyNumberFormat="1" applyFont="1" applyFill="1" applyBorder="1" applyAlignment="1">
      <alignment horizontal="center"/>
    </xf>
    <xf numFmtId="3" fontId="12" fillId="9" borderId="1" xfId="0" applyNumberFormat="1" applyFont="1" applyFill="1" applyBorder="1" applyAlignment="1">
      <alignment horizontal="center"/>
    </xf>
    <xf numFmtId="3" fontId="12" fillId="10" borderId="1" xfId="0" applyNumberFormat="1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0" fontId="11" fillId="0" borderId="0" xfId="0" applyFont="1"/>
    <xf numFmtId="0" fontId="0" fillId="0" borderId="0" xfId="0" applyAlignment="1" applyProtection="1">
      <alignment horizontal="center"/>
      <protection locked="0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5" fillId="2" borderId="0" xfId="0" applyFont="1" applyFill="1" applyAlignment="1">
      <alignment horizontal="center" vertical="center"/>
    </xf>
    <xf numFmtId="0" fontId="13" fillId="0" borderId="0" xfId="0" applyFont="1" applyAlignment="1" applyProtection="1">
      <alignment horizontal="left"/>
      <protection locked="0"/>
    </xf>
    <xf numFmtId="0" fontId="5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8" fillId="5" borderId="0" xfId="1" applyFont="1" applyFill="1" applyAlignment="1">
      <alignment horizontal="center"/>
    </xf>
  </cellXfs>
  <cellStyles count="3">
    <cellStyle name="Comma 2" xfId="2" xr:uid="{00000000-0005-0000-0000-000000000000}"/>
    <cellStyle name="Normal" xfId="0" builtinId="0"/>
    <cellStyle name="Normal 2" xfId="1" xr:uid="{00000000-0005-0000-0000-000002000000}"/>
  </cellStyles>
  <dxfs count="251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scheme val="none"/>
      </font>
      <numFmt numFmtId="166" formatCode="_(* #,##0_);_(* \(#,##0\);_(* &quot;-&quot;??_);_(@_)"/>
      <alignment horizontal="center" vertical="center" textRotation="0" wrapText="0" indent="0" justifyLastLine="0" shrinkToFit="0" readingOrder="0"/>
      <border diagonalUp="0" diagonalDown="0" outline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scheme val="none"/>
      </font>
      <numFmt numFmtId="166" formatCode="_(* #,##0_);_(* \(#,##0\);_(* &quot;-&quot;??_);_(@_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scheme val="none"/>
      </font>
      <numFmt numFmtId="166" formatCode="_(* #,##0_);_(* \(#,##0\);_(* &quot;-&quot;??_);_(@_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scheme val="none"/>
      </font>
      <numFmt numFmtId="166" formatCode="_(* #,##0_);_(* \(#,##0\);_(* &quot;-&quot;??_);_(@_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scheme val="none"/>
      </font>
      <numFmt numFmtId="166" formatCode="_(* #,##0_);_(* \(#,##0\);_(* &quot;-&quot;??_);_(@_)"/>
      <alignment horizontal="center" vertical="center" textRotation="0" wrapText="0" indent="0" justifyLastLine="0" shrinkToFit="0" readingOrder="0"/>
      <border diagonalUp="0" diagonalDown="0" outline="0">
        <left style="thin">
          <color theme="0" tint="-0.24994659260841701"/>
        </left>
        <right/>
        <top style="thin">
          <color theme="0" tint="-0.24994659260841701"/>
        </top>
        <bottom style="thin">
          <color theme="0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scheme val="none"/>
      </font>
      <numFmt numFmtId="166" formatCode="_(* #,##0_);_(* \(#,##0\);_(* &quot;-&quot;??_);_(@_)"/>
      <alignment horizontal="center" vertical="center" textRotation="0" wrapText="0" indent="0" justifyLastLine="0" shrinkToFit="0" readingOrder="0"/>
      <border diagonalUp="0" diagonalDown="0" outline="0">
        <left/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scheme val="none"/>
      </font>
      <numFmt numFmtId="166" formatCode="_(* #,##0_);_(* \(#,##0\);_(* &quot;-&quot;??_);_(@_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scheme val="none"/>
      </font>
      <numFmt numFmtId="166" formatCode="_(* #,##0_);_(* \(#,##0\);_(* &quot;-&quot;??_);_(@_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scheme val="none"/>
      </font>
      <numFmt numFmtId="166" formatCode="_(* #,##0_);_(* \(#,##0\);_(* &quot;-&quot;??_);_(@_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scheme val="none"/>
      </font>
      <numFmt numFmtId="166" formatCode="_(* #,##0_);_(* \(#,##0\);_(* &quot;-&quot;??_);_(@_)"/>
      <alignment horizontal="center" vertical="center" textRotation="0" wrapText="0" indent="0" justifyLastLine="0" shrinkToFit="0" readingOrder="0"/>
      <border diagonalUp="0" diagonalDown="0" outline="0">
        <left style="thin">
          <color theme="0" tint="-0.24994659260841701"/>
        </left>
        <right/>
        <top style="thin">
          <color theme="0" tint="-0.24994659260841701"/>
        </top>
        <bottom style="thin">
          <color theme="0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scheme val="none"/>
      </font>
      <numFmt numFmtId="166" formatCode="_(* #,##0_);_(* \(#,##0\);_(* &quot;-&quot;??_);_(@_)"/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0" tint="-0.24994659260841701"/>
        </top>
        <bottom style="thin">
          <color theme="0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scheme val="none"/>
      </font>
      <numFmt numFmtId="166" formatCode="_(* #,##0_);_(* \(#,##0\);_(* &quot;-&quot;??_);_(@_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scheme val="none"/>
      </font>
      <numFmt numFmtId="166" formatCode="_(* #,##0_);_(* \(#,##0\);_(* &quot;-&quot;??_);_(@_)"/>
      <alignment horizontal="center" vertical="center" textRotation="0" wrapText="0" indent="0" justifyLastLine="0" shrinkToFit="0" readingOrder="0"/>
      <border diagonalUp="0" diagonalDown="0" outline="0">
        <left style="thin">
          <color theme="0" tint="-0.24994659260841701"/>
        </left>
        <right/>
        <top style="thin">
          <color theme="0" tint="-0.24994659260841701"/>
        </top>
        <bottom style="thin">
          <color theme="0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scheme val="none"/>
      </font>
      <numFmt numFmtId="166" formatCode="_(* #,##0_);_(* \(#,##0\);_(* &quot;-&quot;??_);_(@_)"/>
      <alignment horizontal="center" vertical="center" textRotation="0" wrapText="0" indent="0" justifyLastLine="0" shrinkToFit="0" readingOrder="0"/>
      <border diagonalUp="0" diagonalDown="0" outline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scheme val="none"/>
      </font>
      <numFmt numFmtId="166" formatCode="_(* #,##0_);_(* \(#,##0\);_(* &quot;-&quot;??_);_(@_)"/>
      <alignment horizontal="center" vertical="center" textRotation="0" wrapText="0" indent="0" justifyLastLine="0" shrinkToFit="0" readingOrder="0"/>
      <border diagonalUp="0" diagonalDown="0" outline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scheme val="none"/>
      </font>
      <numFmt numFmtId="166" formatCode="_(* #,##0_);_(* \(#,##0\);_(* &quot;-&quot;??_);_(@_)"/>
      <alignment horizontal="center" vertical="center" textRotation="0" wrapText="0" indent="0" justifyLastLine="0" shrinkToFit="0" readingOrder="0"/>
      <border diagonalUp="0" diagonalDown="0" outline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scheme val="none"/>
      </font>
      <numFmt numFmtId="166" formatCode="_(* #,##0_);_(* \(#,##0\);_(* &quot;-&quot;??_);_(@_)"/>
      <alignment horizontal="center" vertical="center" textRotation="0" wrapText="0" indent="0" justifyLastLine="0" shrinkToFit="0" readingOrder="0"/>
      <border diagonalUp="0" diagonalDown="0" outline="0">
        <left/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font>
        <strike val="0"/>
        <outline val="0"/>
        <shadow val="0"/>
        <u val="none"/>
        <vertAlign val="baseline"/>
        <color theme="1"/>
        <name val="Times New Roman"/>
        <scheme val="none"/>
      </font>
      <numFmt numFmtId="167" formatCode="m/d/yyyy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Times New Roman"/>
        <scheme val="none"/>
      </font>
      <numFmt numFmtId="167" formatCode="m/d/yyyy"/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0" tint="-0.24994659260841701"/>
        </top>
        <bottom style="thin">
          <color theme="0" tint="-0.24994659260841701"/>
        </bottom>
      </border>
    </dxf>
    <dxf>
      <font>
        <strike val="0"/>
        <outline val="0"/>
        <shadow val="0"/>
        <u val="none"/>
        <vertAlign val="baseline"/>
        <color theme="1"/>
        <name val="Times New Roman"/>
        <scheme val="none"/>
      </font>
      <numFmt numFmtId="167" formatCode="m/d/yyyy"/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0" tint="-0.24994659260841701"/>
        </top>
        <bottom style="thin">
          <color theme="0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colors>
    <mruColors>
      <color rgb="FF99FF99"/>
      <color rgb="FFC0C0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2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145676</xdr:colOff>
      <xdr:row>0</xdr:row>
      <xdr:rowOff>19050</xdr:rowOff>
    </xdr:from>
    <xdr:to>
      <xdr:col>1</xdr:col>
      <xdr:colOff>739588</xdr:colOff>
      <xdr:row>0</xdr:row>
      <xdr:rowOff>394585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8116757-B1FD-4496-97F3-1FD5B60D0D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5676" y="19050"/>
          <a:ext cx="1389530" cy="37553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145676</xdr:colOff>
      <xdr:row>0</xdr:row>
      <xdr:rowOff>19050</xdr:rowOff>
    </xdr:from>
    <xdr:to>
      <xdr:col>1</xdr:col>
      <xdr:colOff>739588</xdr:colOff>
      <xdr:row>0</xdr:row>
      <xdr:rowOff>394585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A5A6EF8-1A52-443E-A44B-D170452D5B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5676" y="19050"/>
          <a:ext cx="1384487" cy="37553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145676</xdr:colOff>
      <xdr:row>0</xdr:row>
      <xdr:rowOff>19050</xdr:rowOff>
    </xdr:from>
    <xdr:to>
      <xdr:col>1</xdr:col>
      <xdr:colOff>739588</xdr:colOff>
      <xdr:row>0</xdr:row>
      <xdr:rowOff>394585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9930DCA-453F-40E6-B136-E15699977D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5676" y="19050"/>
          <a:ext cx="1384487" cy="37553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145676</xdr:colOff>
      <xdr:row>0</xdr:row>
      <xdr:rowOff>19050</xdr:rowOff>
    </xdr:from>
    <xdr:to>
      <xdr:col>1</xdr:col>
      <xdr:colOff>739588</xdr:colOff>
      <xdr:row>0</xdr:row>
      <xdr:rowOff>394585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E646610-87A2-4337-82BA-A266C8F497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5676" y="19050"/>
          <a:ext cx="1384487" cy="37553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145676</xdr:colOff>
      <xdr:row>0</xdr:row>
      <xdr:rowOff>19050</xdr:rowOff>
    </xdr:from>
    <xdr:to>
      <xdr:col>1</xdr:col>
      <xdr:colOff>739588</xdr:colOff>
      <xdr:row>0</xdr:row>
      <xdr:rowOff>394585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BEED76-6485-4949-814F-DC994A3455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5676" y="19050"/>
          <a:ext cx="1384487" cy="37553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145676</xdr:colOff>
      <xdr:row>0</xdr:row>
      <xdr:rowOff>19050</xdr:rowOff>
    </xdr:from>
    <xdr:to>
      <xdr:col>1</xdr:col>
      <xdr:colOff>739588</xdr:colOff>
      <xdr:row>0</xdr:row>
      <xdr:rowOff>394585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483A87-9EB6-4820-8D71-85BE39135A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5676" y="19050"/>
          <a:ext cx="1384487" cy="37553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145676</xdr:colOff>
      <xdr:row>0</xdr:row>
      <xdr:rowOff>19050</xdr:rowOff>
    </xdr:from>
    <xdr:to>
      <xdr:col>1</xdr:col>
      <xdr:colOff>739588</xdr:colOff>
      <xdr:row>0</xdr:row>
      <xdr:rowOff>394585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910E71F-BA05-4647-A57D-D36452DB70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5676" y="19050"/>
          <a:ext cx="1384487" cy="37553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145676</xdr:colOff>
      <xdr:row>0</xdr:row>
      <xdr:rowOff>19050</xdr:rowOff>
    </xdr:from>
    <xdr:to>
      <xdr:col>1</xdr:col>
      <xdr:colOff>739588</xdr:colOff>
      <xdr:row>0</xdr:row>
      <xdr:rowOff>394585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FA45D30-5AE1-4545-9997-546ED85CA0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5676" y="19050"/>
          <a:ext cx="1384487" cy="37553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145676</xdr:colOff>
      <xdr:row>0</xdr:row>
      <xdr:rowOff>19050</xdr:rowOff>
    </xdr:from>
    <xdr:to>
      <xdr:col>1</xdr:col>
      <xdr:colOff>739588</xdr:colOff>
      <xdr:row>0</xdr:row>
      <xdr:rowOff>394585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A567C8C-6E99-4033-81FB-58597C00D3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5676" y="19050"/>
          <a:ext cx="1384487" cy="37553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145676</xdr:colOff>
      <xdr:row>0</xdr:row>
      <xdr:rowOff>19050</xdr:rowOff>
    </xdr:from>
    <xdr:to>
      <xdr:col>1</xdr:col>
      <xdr:colOff>739588</xdr:colOff>
      <xdr:row>0</xdr:row>
      <xdr:rowOff>394585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0D036BF-8CF4-4B19-94AC-EB8DF6B7CC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5676" y="19050"/>
          <a:ext cx="1384487" cy="37553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145676</xdr:colOff>
      <xdr:row>0</xdr:row>
      <xdr:rowOff>19050</xdr:rowOff>
    </xdr:from>
    <xdr:to>
      <xdr:col>1</xdr:col>
      <xdr:colOff>739588</xdr:colOff>
      <xdr:row>0</xdr:row>
      <xdr:rowOff>394585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8266BA-36EB-4001-B0E1-63B4BCA139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5676" y="19050"/>
          <a:ext cx="1384487" cy="37553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145676</xdr:colOff>
      <xdr:row>0</xdr:row>
      <xdr:rowOff>19050</xdr:rowOff>
    </xdr:from>
    <xdr:to>
      <xdr:col>1</xdr:col>
      <xdr:colOff>739588</xdr:colOff>
      <xdr:row>0</xdr:row>
      <xdr:rowOff>394585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17AA075-D06B-4D9B-B6BE-8C116C5AB5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5676" y="19050"/>
          <a:ext cx="1384487" cy="375535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145676</xdr:colOff>
      <xdr:row>0</xdr:row>
      <xdr:rowOff>19050</xdr:rowOff>
    </xdr:from>
    <xdr:to>
      <xdr:col>1</xdr:col>
      <xdr:colOff>739588</xdr:colOff>
      <xdr:row>0</xdr:row>
      <xdr:rowOff>394585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D7E48E7-2154-44D1-97E0-96FB60AF71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5676" y="19050"/>
          <a:ext cx="1384487" cy="375535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145676</xdr:colOff>
      <xdr:row>0</xdr:row>
      <xdr:rowOff>19050</xdr:rowOff>
    </xdr:from>
    <xdr:to>
      <xdr:col>1</xdr:col>
      <xdr:colOff>739588</xdr:colOff>
      <xdr:row>0</xdr:row>
      <xdr:rowOff>394585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2750433-1048-45EB-A726-5AC4320330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5676" y="19050"/>
          <a:ext cx="1384487" cy="375535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145676</xdr:colOff>
      <xdr:row>0</xdr:row>
      <xdr:rowOff>19050</xdr:rowOff>
    </xdr:from>
    <xdr:to>
      <xdr:col>1</xdr:col>
      <xdr:colOff>739588</xdr:colOff>
      <xdr:row>0</xdr:row>
      <xdr:rowOff>394585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07F9367-8007-4041-97D7-D1B72D4744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5676" y="19050"/>
          <a:ext cx="1384487" cy="375535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145676</xdr:colOff>
      <xdr:row>0</xdr:row>
      <xdr:rowOff>19050</xdr:rowOff>
    </xdr:from>
    <xdr:to>
      <xdr:col>1</xdr:col>
      <xdr:colOff>739588</xdr:colOff>
      <xdr:row>0</xdr:row>
      <xdr:rowOff>394585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F14A0EF-CE17-4016-BB8C-848F7ED298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5676" y="19050"/>
          <a:ext cx="1384487" cy="375535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145676</xdr:colOff>
      <xdr:row>0</xdr:row>
      <xdr:rowOff>19050</xdr:rowOff>
    </xdr:from>
    <xdr:to>
      <xdr:col>1</xdr:col>
      <xdr:colOff>739588</xdr:colOff>
      <xdr:row>0</xdr:row>
      <xdr:rowOff>394585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58BA8B2-B673-464C-906D-91C72068C2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5676" y="19050"/>
          <a:ext cx="1384487" cy="375535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145676</xdr:colOff>
      <xdr:row>0</xdr:row>
      <xdr:rowOff>19050</xdr:rowOff>
    </xdr:from>
    <xdr:to>
      <xdr:col>1</xdr:col>
      <xdr:colOff>739588</xdr:colOff>
      <xdr:row>0</xdr:row>
      <xdr:rowOff>394585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5C88C3D-334F-4F4F-B7AA-1D69352F13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5676" y="19050"/>
          <a:ext cx="1384487" cy="375535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145676</xdr:colOff>
      <xdr:row>0</xdr:row>
      <xdr:rowOff>19050</xdr:rowOff>
    </xdr:from>
    <xdr:to>
      <xdr:col>1</xdr:col>
      <xdr:colOff>739588</xdr:colOff>
      <xdr:row>0</xdr:row>
      <xdr:rowOff>394585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16673C4-58DE-4FF2-87AC-EC9E619FAD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5676" y="19050"/>
          <a:ext cx="1384487" cy="375535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145676</xdr:colOff>
      <xdr:row>0</xdr:row>
      <xdr:rowOff>19050</xdr:rowOff>
    </xdr:from>
    <xdr:to>
      <xdr:col>1</xdr:col>
      <xdr:colOff>739588</xdr:colOff>
      <xdr:row>0</xdr:row>
      <xdr:rowOff>394585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251F5E7-5EE1-46A6-BA9B-BCB589E42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5676" y="19050"/>
          <a:ext cx="1384487" cy="375535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145676</xdr:colOff>
      <xdr:row>0</xdr:row>
      <xdr:rowOff>19050</xdr:rowOff>
    </xdr:from>
    <xdr:to>
      <xdr:col>1</xdr:col>
      <xdr:colOff>739588</xdr:colOff>
      <xdr:row>0</xdr:row>
      <xdr:rowOff>394585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0349D9C-D5A6-4127-934C-11633C9C34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5676" y="19050"/>
          <a:ext cx="1384487" cy="375535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145676</xdr:colOff>
      <xdr:row>0</xdr:row>
      <xdr:rowOff>19050</xdr:rowOff>
    </xdr:from>
    <xdr:to>
      <xdr:col>1</xdr:col>
      <xdr:colOff>739588</xdr:colOff>
      <xdr:row>0</xdr:row>
      <xdr:rowOff>394585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625BA5C-4BF5-4033-9224-027F13C700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5676" y="19050"/>
          <a:ext cx="1384487" cy="375535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145676</xdr:colOff>
      <xdr:row>0</xdr:row>
      <xdr:rowOff>19050</xdr:rowOff>
    </xdr:from>
    <xdr:to>
      <xdr:col>1</xdr:col>
      <xdr:colOff>739588</xdr:colOff>
      <xdr:row>0</xdr:row>
      <xdr:rowOff>394585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4A88C14-95C0-4A44-BD5B-DCC91DE89A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5676" y="19050"/>
          <a:ext cx="1384487" cy="375535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145676</xdr:colOff>
      <xdr:row>0</xdr:row>
      <xdr:rowOff>19050</xdr:rowOff>
    </xdr:from>
    <xdr:to>
      <xdr:col>1</xdr:col>
      <xdr:colOff>739588</xdr:colOff>
      <xdr:row>0</xdr:row>
      <xdr:rowOff>394585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5127292-1386-4957-84D1-EAFB441ED6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5676" y="19050"/>
          <a:ext cx="1384487" cy="375535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145676</xdr:colOff>
      <xdr:row>0</xdr:row>
      <xdr:rowOff>19050</xdr:rowOff>
    </xdr:from>
    <xdr:to>
      <xdr:col>1</xdr:col>
      <xdr:colOff>739588</xdr:colOff>
      <xdr:row>0</xdr:row>
      <xdr:rowOff>394585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453AD27-EC08-46F0-8146-4A18F55335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5676" y="19050"/>
          <a:ext cx="1384487" cy="375535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145676</xdr:colOff>
      <xdr:row>0</xdr:row>
      <xdr:rowOff>19050</xdr:rowOff>
    </xdr:from>
    <xdr:to>
      <xdr:col>1</xdr:col>
      <xdr:colOff>739588</xdr:colOff>
      <xdr:row>0</xdr:row>
      <xdr:rowOff>394585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58A9465-28B7-4DD8-96A4-BCCD5334B8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5676" y="19050"/>
          <a:ext cx="1384487" cy="375535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145676</xdr:colOff>
      <xdr:row>0</xdr:row>
      <xdr:rowOff>19050</xdr:rowOff>
    </xdr:from>
    <xdr:to>
      <xdr:col>1</xdr:col>
      <xdr:colOff>739588</xdr:colOff>
      <xdr:row>0</xdr:row>
      <xdr:rowOff>394585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7A8224C-BC1C-4917-AABA-4CF37DADF1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5676" y="19050"/>
          <a:ext cx="1384487" cy="375535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145676</xdr:colOff>
      <xdr:row>0</xdr:row>
      <xdr:rowOff>19050</xdr:rowOff>
    </xdr:from>
    <xdr:to>
      <xdr:col>1</xdr:col>
      <xdr:colOff>739588</xdr:colOff>
      <xdr:row>0</xdr:row>
      <xdr:rowOff>394585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D974F67-BD15-41BA-B863-48F6DCC5BF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5676" y="19050"/>
          <a:ext cx="1384487" cy="375535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145676</xdr:colOff>
      <xdr:row>0</xdr:row>
      <xdr:rowOff>19050</xdr:rowOff>
    </xdr:from>
    <xdr:to>
      <xdr:col>1</xdr:col>
      <xdr:colOff>739588</xdr:colOff>
      <xdr:row>0</xdr:row>
      <xdr:rowOff>394585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75C13BA-AFBC-4B8F-9BD8-71E79E19F0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5676" y="19050"/>
          <a:ext cx="1384487" cy="375535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145676</xdr:colOff>
      <xdr:row>0</xdr:row>
      <xdr:rowOff>19050</xdr:rowOff>
    </xdr:from>
    <xdr:to>
      <xdr:col>1</xdr:col>
      <xdr:colOff>739588</xdr:colOff>
      <xdr:row>0</xdr:row>
      <xdr:rowOff>394585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181FC00-8B4C-47F7-895A-4FD0AF0305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5676" y="19050"/>
          <a:ext cx="1384487" cy="375535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145676</xdr:colOff>
      <xdr:row>0</xdr:row>
      <xdr:rowOff>19050</xdr:rowOff>
    </xdr:from>
    <xdr:to>
      <xdr:col>1</xdr:col>
      <xdr:colOff>739588</xdr:colOff>
      <xdr:row>0</xdr:row>
      <xdr:rowOff>394585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15E796-8344-4281-A896-69F6412DB5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5676" y="19050"/>
          <a:ext cx="1384487" cy="3755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56.144\Rahat%20HC%20L-4\Users\accounts.btl\AppData\Local\Microsoft\Windows\INetCache\Content.Outlook\P7ZZZJN0\LHR%20WH%20Petty%20Cash%20Expenses%2006-05-2026%20(002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56.144\Rahat%20HC%20L-4\Users\hcaccounts.btl\AppData\Local\Microsoft\Windows\INetCache\Content.Outlook\55YN3WLT\Cash+Credit%20Collection%20L-4%20(June%20-26%20)_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Sheet"/>
      <sheetName val="Dashboard"/>
      <sheetName val="Summary"/>
      <sheetName val="Entry"/>
      <sheetName val="HeadCash"/>
      <sheetName val="Pendings"/>
    </sheetNames>
    <sheetDataSet>
      <sheetData sheetId="0">
        <row r="2">
          <cell r="M2" t="str">
            <v>Administration Services-HO</v>
          </cell>
          <cell r="N2">
            <v>1101010101</v>
          </cell>
        </row>
        <row r="3">
          <cell r="M3" t="str">
            <v>Security Services-HO</v>
          </cell>
          <cell r="N3">
            <v>1101010102</v>
          </cell>
        </row>
        <row r="4">
          <cell r="M4" t="str">
            <v>Projects-HO</v>
          </cell>
          <cell r="N4">
            <v>1101010201</v>
          </cell>
        </row>
        <row r="5">
          <cell r="M5" t="str">
            <v>Chairman-HO</v>
          </cell>
          <cell r="N5">
            <v>1101010301</v>
          </cell>
        </row>
        <row r="6">
          <cell r="M6" t="str">
            <v>Director 1-HO</v>
          </cell>
          <cell r="N6">
            <v>1101010302</v>
          </cell>
        </row>
        <row r="7">
          <cell r="M7" t="str">
            <v>Director 2-HO</v>
          </cell>
          <cell r="N7">
            <v>1101010303</v>
          </cell>
        </row>
        <row r="8">
          <cell r="M8" t="str">
            <v>CAD-HO</v>
          </cell>
          <cell r="N8">
            <v>1101010401</v>
          </cell>
        </row>
        <row r="9">
          <cell r="M9" t="str">
            <v>FMCG 1-HO</v>
          </cell>
          <cell r="N9">
            <v>1101010402</v>
          </cell>
        </row>
        <row r="10">
          <cell r="M10" t="str">
            <v>FMCG 2-HO</v>
          </cell>
          <cell r="N10">
            <v>1101010403</v>
          </cell>
        </row>
        <row r="11">
          <cell r="M11" t="str">
            <v>Non Food Hard-HO</v>
          </cell>
          <cell r="N11">
            <v>1101010404</v>
          </cell>
        </row>
        <row r="12">
          <cell r="M12" t="str">
            <v>Fashion Good and Accessories-HO</v>
          </cell>
          <cell r="N12">
            <v>1101010405</v>
          </cell>
        </row>
        <row r="13">
          <cell r="M13" t="str">
            <v>Pharmacy-HO</v>
          </cell>
          <cell r="N13">
            <v>1101010406</v>
          </cell>
        </row>
        <row r="14">
          <cell r="M14" t="str">
            <v>Household-HO</v>
          </cell>
          <cell r="N14">
            <v>1101010407</v>
          </cell>
        </row>
        <row r="15">
          <cell r="M15" t="str">
            <v>Consumer Electronics-HO</v>
          </cell>
          <cell r="N15">
            <v>1101010408</v>
          </cell>
        </row>
        <row r="16">
          <cell r="M16" t="str">
            <v>Commodities-HO</v>
          </cell>
          <cell r="N16">
            <v>1101010409</v>
          </cell>
        </row>
        <row r="17">
          <cell r="M17" t="str">
            <v>Cuisine-HO</v>
          </cell>
          <cell r="N17">
            <v>1101010410</v>
          </cell>
        </row>
        <row r="18">
          <cell r="M18" t="str">
            <v>Imports-HO</v>
          </cell>
          <cell r="N18">
            <v>1101010411</v>
          </cell>
        </row>
        <row r="19">
          <cell r="M19" t="str">
            <v>Common CC Commercial-HO</v>
          </cell>
          <cell r="N19">
            <v>1101010412</v>
          </cell>
        </row>
        <row r="20">
          <cell r="M20" t="str">
            <v>Meat-HO</v>
          </cell>
          <cell r="N20">
            <v>1101010413</v>
          </cell>
        </row>
        <row r="21">
          <cell r="M21" t="str">
            <v>CMS Centralized Income</v>
          </cell>
          <cell r="N21">
            <v>1101010414</v>
          </cell>
        </row>
        <row r="22">
          <cell r="M22" t="str">
            <v>Common Cost Center-HO</v>
          </cell>
          <cell r="N22">
            <v>1101010501</v>
          </cell>
        </row>
        <row r="23">
          <cell r="M23" t="str">
            <v>Corporate Sales-HO</v>
          </cell>
          <cell r="N23">
            <v>1101010601</v>
          </cell>
        </row>
        <row r="24">
          <cell r="M24" t="str">
            <v>E-Commerce-HO</v>
          </cell>
          <cell r="N24">
            <v>1101010701</v>
          </cell>
        </row>
        <row r="25">
          <cell r="M25" t="str">
            <v>EHS-HO</v>
          </cell>
          <cell r="N25">
            <v>1101010801</v>
          </cell>
        </row>
        <row r="26">
          <cell r="M26" t="str">
            <v>Repair &amp; Maintenance-HO</v>
          </cell>
          <cell r="N26">
            <v>1101010802</v>
          </cell>
        </row>
        <row r="27">
          <cell r="M27" t="str">
            <v>Financial Reporting &amp; Acc-HO</v>
          </cell>
          <cell r="N27">
            <v>1101010901</v>
          </cell>
        </row>
        <row r="28">
          <cell r="M28" t="str">
            <v>Financial Planning &amp; Budg.-HO</v>
          </cell>
          <cell r="N28">
            <v>1101010903</v>
          </cell>
        </row>
        <row r="29">
          <cell r="M29" t="str">
            <v>Inventory &amp; CMS-HO</v>
          </cell>
          <cell r="N29">
            <v>1101010904</v>
          </cell>
        </row>
        <row r="30">
          <cell r="M30" t="str">
            <v>Common CC Finance-HO</v>
          </cell>
          <cell r="N30">
            <v>1101010905</v>
          </cell>
        </row>
        <row r="31">
          <cell r="M31" t="str">
            <v>HR Operations-HO</v>
          </cell>
          <cell r="N31">
            <v>1101011001</v>
          </cell>
        </row>
        <row r="32">
          <cell r="M32" t="str">
            <v>Compensation &amp; Benefits-HO</v>
          </cell>
          <cell r="N32">
            <v>1101011002</v>
          </cell>
        </row>
        <row r="33">
          <cell r="M33" t="str">
            <v>Learning &amp; OD-HO</v>
          </cell>
          <cell r="N33">
            <v>1101011003</v>
          </cell>
        </row>
        <row r="34">
          <cell r="M34" t="str">
            <v>Talent Acquisition-HO</v>
          </cell>
          <cell r="N34">
            <v>1101011004</v>
          </cell>
        </row>
        <row r="35">
          <cell r="M35" t="str">
            <v>Common CC HR-HO</v>
          </cell>
          <cell r="N35">
            <v>1101011005</v>
          </cell>
        </row>
        <row r="36">
          <cell r="M36" t="str">
            <v>Infrastructure Technology-HO</v>
          </cell>
          <cell r="N36">
            <v>1101011101</v>
          </cell>
        </row>
        <row r="37">
          <cell r="M37" t="str">
            <v>Business Technology-HO</v>
          </cell>
          <cell r="N37">
            <v>1101011102</v>
          </cell>
        </row>
        <row r="38">
          <cell r="M38" t="str">
            <v>System Development-HO</v>
          </cell>
          <cell r="N38">
            <v>1101011103</v>
          </cell>
        </row>
        <row r="39">
          <cell r="M39" t="str">
            <v>Common CC IT-HO</v>
          </cell>
          <cell r="N39">
            <v>1101011104</v>
          </cell>
        </row>
        <row r="40">
          <cell r="M40" t="str">
            <v>Internal Audit-HO</v>
          </cell>
          <cell r="N40">
            <v>1101011201</v>
          </cell>
        </row>
        <row r="41">
          <cell r="M41" t="str">
            <v>Legal Affairs-HO</v>
          </cell>
          <cell r="N41">
            <v>1101011301</v>
          </cell>
        </row>
        <row r="42">
          <cell r="M42" t="str">
            <v>Consultancy-HO</v>
          </cell>
          <cell r="N42">
            <v>1101011302</v>
          </cell>
        </row>
        <row r="43">
          <cell r="M43" t="str">
            <v>SC Planning &amp; Management-HO</v>
          </cell>
          <cell r="N43">
            <v>1101011403</v>
          </cell>
        </row>
        <row r="44">
          <cell r="M44" t="str">
            <v>Marketing &amp; Promotions-HO</v>
          </cell>
          <cell r="N44">
            <v>1101011501</v>
          </cell>
        </row>
        <row r="45">
          <cell r="M45" t="str">
            <v>Customer Care Center-HO</v>
          </cell>
          <cell r="N45">
            <v>1101011502</v>
          </cell>
        </row>
        <row r="46">
          <cell r="M46" t="str">
            <v>Store Operations -HO</v>
          </cell>
          <cell r="N46">
            <v>1101011703</v>
          </cell>
        </row>
        <row r="47">
          <cell r="M47" t="str">
            <v>Proc-HO</v>
          </cell>
          <cell r="N47">
            <v>1101011801</v>
          </cell>
        </row>
        <row r="48">
          <cell r="M48" t="str">
            <v>Sales &amp; Ops Planning-HO</v>
          </cell>
          <cell r="N48">
            <v>1101011901</v>
          </cell>
        </row>
        <row r="49">
          <cell r="M49" t="str">
            <v>Administration Services-BHD</v>
          </cell>
          <cell r="N49">
            <v>1101020101</v>
          </cell>
        </row>
        <row r="50">
          <cell r="M50" t="str">
            <v>Security Services-BHD</v>
          </cell>
          <cell r="N50">
            <v>1101020102</v>
          </cell>
        </row>
        <row r="51">
          <cell r="M51" t="str">
            <v>Projects-BHD</v>
          </cell>
          <cell r="N51">
            <v>1101020201</v>
          </cell>
        </row>
        <row r="52">
          <cell r="M52" t="str">
            <v>Common Cost Center-BHD</v>
          </cell>
          <cell r="N52">
            <v>1101020501</v>
          </cell>
        </row>
        <row r="53">
          <cell r="M53" t="str">
            <v>EHS-BHD</v>
          </cell>
          <cell r="N53">
            <v>1101020801</v>
          </cell>
        </row>
        <row r="54">
          <cell r="M54" t="str">
            <v>Repair &amp; Maintenance-BHD</v>
          </cell>
          <cell r="N54">
            <v>1101020802</v>
          </cell>
        </row>
        <row r="55">
          <cell r="M55" t="str">
            <v>Financial Reporting &amp; Acc-BHD</v>
          </cell>
          <cell r="N55">
            <v>1101020901</v>
          </cell>
        </row>
        <row r="56">
          <cell r="M56" t="str">
            <v>HR Operations-BHD</v>
          </cell>
          <cell r="N56">
            <v>1101021001</v>
          </cell>
        </row>
        <row r="57">
          <cell r="M57" t="str">
            <v>Infrastructure Technology-BHD</v>
          </cell>
          <cell r="N57">
            <v>1101021101</v>
          </cell>
        </row>
        <row r="58">
          <cell r="M58" t="str">
            <v>Legal Affairs-BHD</v>
          </cell>
          <cell r="N58">
            <v>1101021301</v>
          </cell>
        </row>
        <row r="59">
          <cell r="M59" t="str">
            <v>Marketing &amp; Promotions-BHD</v>
          </cell>
          <cell r="N59">
            <v>1101021501</v>
          </cell>
        </row>
        <row r="60">
          <cell r="M60" t="str">
            <v>Front of House-BHD</v>
          </cell>
          <cell r="N60">
            <v>1101021701</v>
          </cell>
        </row>
        <row r="61">
          <cell r="M61" t="str">
            <v>Logistics &amp; Warehousing (D-WH)-BHD</v>
          </cell>
          <cell r="N61">
            <v>1101021702</v>
          </cell>
        </row>
        <row r="62">
          <cell r="M62" t="str">
            <v>Store Operations -BHD</v>
          </cell>
          <cell r="N62">
            <v>1101021703</v>
          </cell>
        </row>
        <row r="63">
          <cell r="M63" t="str">
            <v>Wastage &amp; Shrinkage -BHD</v>
          </cell>
          <cell r="N63">
            <v>1101021704</v>
          </cell>
        </row>
        <row r="64">
          <cell r="M64" t="str">
            <v>Administration Services-AWM</v>
          </cell>
          <cell r="N64">
            <v>1101030101</v>
          </cell>
        </row>
        <row r="65">
          <cell r="M65" t="str">
            <v>Security Services-AWM</v>
          </cell>
          <cell r="N65">
            <v>1101030102</v>
          </cell>
        </row>
        <row r="66">
          <cell r="M66" t="str">
            <v>Projects-AWM</v>
          </cell>
          <cell r="N66">
            <v>1101030201</v>
          </cell>
        </row>
        <row r="67">
          <cell r="M67" t="str">
            <v>Common Cost Center-AWM</v>
          </cell>
          <cell r="N67">
            <v>1101030501</v>
          </cell>
        </row>
        <row r="68">
          <cell r="M68" t="str">
            <v>EHS-AWM</v>
          </cell>
          <cell r="N68">
            <v>1101030801</v>
          </cell>
        </row>
        <row r="69">
          <cell r="M69" t="str">
            <v>Repair &amp; Maintenance-AWM</v>
          </cell>
          <cell r="N69">
            <v>1101030802</v>
          </cell>
        </row>
        <row r="70">
          <cell r="M70" t="str">
            <v>Financial Reporting &amp; Acc-AWM</v>
          </cell>
          <cell r="N70">
            <v>1101030901</v>
          </cell>
        </row>
        <row r="71">
          <cell r="M71" t="str">
            <v>HR Operations-AWM</v>
          </cell>
          <cell r="N71">
            <v>1101031001</v>
          </cell>
        </row>
        <row r="72">
          <cell r="M72" t="str">
            <v>Infrastructure Technology-AWM</v>
          </cell>
          <cell r="N72">
            <v>1101031101</v>
          </cell>
        </row>
        <row r="73">
          <cell r="M73" t="str">
            <v>Legal Affairs-AWM</v>
          </cell>
          <cell r="N73">
            <v>1101031301</v>
          </cell>
        </row>
        <row r="74">
          <cell r="M74" t="str">
            <v>Marketing &amp; Promotions-AWM</v>
          </cell>
          <cell r="N74">
            <v>1101031501</v>
          </cell>
        </row>
        <row r="75">
          <cell r="M75" t="str">
            <v>Front of House-AWM</v>
          </cell>
          <cell r="N75">
            <v>1101031701</v>
          </cell>
        </row>
        <row r="76">
          <cell r="M76" t="str">
            <v>Logistics &amp; Warehousing (D-WH)-AWM</v>
          </cell>
          <cell r="N76">
            <v>1101031702</v>
          </cell>
        </row>
        <row r="77">
          <cell r="M77" t="str">
            <v>Store Operations -AWM</v>
          </cell>
          <cell r="N77">
            <v>1101031703</v>
          </cell>
        </row>
        <row r="78">
          <cell r="M78" t="str">
            <v>Wastage &amp; Shrinkage -AWM</v>
          </cell>
          <cell r="N78">
            <v>1101031704</v>
          </cell>
        </row>
        <row r="79">
          <cell r="M79" t="str">
            <v>Administration Services-NZM</v>
          </cell>
          <cell r="N79">
            <v>1101040101</v>
          </cell>
        </row>
        <row r="80">
          <cell r="M80" t="str">
            <v>Security Services-NZM</v>
          </cell>
          <cell r="N80">
            <v>1101040102</v>
          </cell>
        </row>
        <row r="81">
          <cell r="M81" t="str">
            <v>Projects-NZM</v>
          </cell>
          <cell r="N81">
            <v>1101040201</v>
          </cell>
        </row>
        <row r="82">
          <cell r="M82" t="str">
            <v>Common Cost Center-NZM</v>
          </cell>
          <cell r="N82">
            <v>1101040501</v>
          </cell>
        </row>
        <row r="83">
          <cell r="M83" t="str">
            <v>EHS-NZM</v>
          </cell>
          <cell r="N83">
            <v>1101040801</v>
          </cell>
        </row>
        <row r="84">
          <cell r="M84" t="str">
            <v>Repair &amp; Maintenance-NZM</v>
          </cell>
          <cell r="N84">
            <v>1101040802</v>
          </cell>
        </row>
        <row r="85">
          <cell r="M85" t="str">
            <v>Financial Reporting &amp; Acc-NZM</v>
          </cell>
          <cell r="N85">
            <v>1101040901</v>
          </cell>
        </row>
        <row r="86">
          <cell r="M86" t="str">
            <v>HR Operations-NZM</v>
          </cell>
          <cell r="N86">
            <v>1101041001</v>
          </cell>
        </row>
        <row r="87">
          <cell r="M87" t="str">
            <v>Infrastructure Technology-NZM</v>
          </cell>
          <cell r="N87">
            <v>1101041101</v>
          </cell>
        </row>
        <row r="88">
          <cell r="M88" t="str">
            <v>Legal Affairs-NZM</v>
          </cell>
          <cell r="N88">
            <v>1101041301</v>
          </cell>
        </row>
        <row r="89">
          <cell r="M89" t="str">
            <v>Marketing &amp; Promotions-NZM</v>
          </cell>
          <cell r="N89">
            <v>1101041501</v>
          </cell>
        </row>
        <row r="90">
          <cell r="M90" t="str">
            <v>Front of House-NZM</v>
          </cell>
          <cell r="N90">
            <v>1101041701</v>
          </cell>
        </row>
        <row r="91">
          <cell r="M91" t="str">
            <v>Logistics &amp; Warehousing (D-WH)-NZM</v>
          </cell>
          <cell r="N91">
            <v>1101041702</v>
          </cell>
        </row>
        <row r="92">
          <cell r="M92" t="str">
            <v>Store Operations -NZM</v>
          </cell>
          <cell r="N92">
            <v>1101041703</v>
          </cell>
        </row>
        <row r="93">
          <cell r="M93" t="str">
            <v>Wastage &amp; Shrinkage -NZM</v>
          </cell>
          <cell r="N93">
            <v>1101041704</v>
          </cell>
        </row>
        <row r="94">
          <cell r="M94" t="str">
            <v>Administration Services-DHA</v>
          </cell>
          <cell r="N94">
            <v>1101050101</v>
          </cell>
        </row>
        <row r="95">
          <cell r="M95" t="str">
            <v>Security Services-DHA</v>
          </cell>
          <cell r="N95">
            <v>1101050102</v>
          </cell>
        </row>
        <row r="96">
          <cell r="M96" t="str">
            <v>Projects-DHA</v>
          </cell>
          <cell r="N96">
            <v>1101050201</v>
          </cell>
        </row>
        <row r="97">
          <cell r="M97" t="str">
            <v>Common Cost Center-DHA</v>
          </cell>
          <cell r="N97">
            <v>1101050501</v>
          </cell>
        </row>
        <row r="98">
          <cell r="M98" t="str">
            <v>EHS-DHA</v>
          </cell>
          <cell r="N98">
            <v>1101050801</v>
          </cell>
        </row>
        <row r="99">
          <cell r="M99" t="str">
            <v>Repair &amp; Maintenance-DHA</v>
          </cell>
          <cell r="N99">
            <v>1101050802</v>
          </cell>
        </row>
        <row r="100">
          <cell r="M100" t="str">
            <v>Financial Reporting &amp; Acc-DHA</v>
          </cell>
          <cell r="N100">
            <v>1101050901</v>
          </cell>
        </row>
        <row r="101">
          <cell r="M101" t="str">
            <v>HR Operations-DHA</v>
          </cell>
          <cell r="N101">
            <v>1101051001</v>
          </cell>
        </row>
        <row r="102">
          <cell r="M102" t="str">
            <v>Infrastructure Technology-DHA</v>
          </cell>
          <cell r="N102">
            <v>1101051101</v>
          </cell>
        </row>
        <row r="103">
          <cell r="M103" t="str">
            <v>Legal Affairs-DHA</v>
          </cell>
          <cell r="N103">
            <v>1101051301</v>
          </cell>
        </row>
        <row r="104">
          <cell r="M104" t="str">
            <v>Marketing &amp; Promotions-DHA</v>
          </cell>
          <cell r="N104">
            <v>1101051501</v>
          </cell>
        </row>
        <row r="105">
          <cell r="M105" t="str">
            <v>Front of House-DHA</v>
          </cell>
          <cell r="N105">
            <v>1101051701</v>
          </cell>
        </row>
        <row r="106">
          <cell r="M106" t="str">
            <v>Logistics &amp; Warehousing (D-WH)-DHA</v>
          </cell>
          <cell r="N106">
            <v>1101051702</v>
          </cell>
        </row>
        <row r="107">
          <cell r="M107" t="str">
            <v>Store Operations -DHA</v>
          </cell>
          <cell r="N107">
            <v>1101051703</v>
          </cell>
        </row>
        <row r="108">
          <cell r="M108" t="str">
            <v>Wastage &amp; Shrinkage -DHA</v>
          </cell>
          <cell r="N108">
            <v>1101051704</v>
          </cell>
        </row>
        <row r="109">
          <cell r="M109" t="str">
            <v>Administration Services-Gul</v>
          </cell>
          <cell r="N109">
            <v>1101060101</v>
          </cell>
        </row>
        <row r="110">
          <cell r="M110" t="str">
            <v>Security Services-Gul</v>
          </cell>
          <cell r="N110">
            <v>1101060102</v>
          </cell>
        </row>
        <row r="111">
          <cell r="M111" t="str">
            <v>Projects-Gul</v>
          </cell>
          <cell r="N111">
            <v>1101060201</v>
          </cell>
        </row>
        <row r="112">
          <cell r="M112" t="str">
            <v>Common Cost Center-Gul</v>
          </cell>
          <cell r="N112">
            <v>1101060501</v>
          </cell>
        </row>
        <row r="113">
          <cell r="M113" t="str">
            <v>EHS-Gul</v>
          </cell>
          <cell r="N113">
            <v>1101060801</v>
          </cell>
        </row>
        <row r="114">
          <cell r="M114" t="str">
            <v>Repair &amp; Maintenance-Gul</v>
          </cell>
          <cell r="N114">
            <v>1101060802</v>
          </cell>
        </row>
        <row r="115">
          <cell r="M115" t="str">
            <v>Financial Reporting &amp; Acc-Gul</v>
          </cell>
          <cell r="N115">
            <v>1101060901</v>
          </cell>
        </row>
        <row r="116">
          <cell r="M116" t="str">
            <v>HR Operations-Gul</v>
          </cell>
          <cell r="N116">
            <v>1101061001</v>
          </cell>
        </row>
        <row r="117">
          <cell r="M117" t="str">
            <v>Infrastructure Technology-Gul</v>
          </cell>
          <cell r="N117">
            <v>1101061101</v>
          </cell>
        </row>
        <row r="118">
          <cell r="M118" t="str">
            <v>Legal Affairs-Gul</v>
          </cell>
          <cell r="N118">
            <v>1101061301</v>
          </cell>
        </row>
        <row r="119">
          <cell r="M119" t="str">
            <v>Marketing &amp; Promotions-Gul</v>
          </cell>
          <cell r="N119">
            <v>1101061501</v>
          </cell>
        </row>
        <row r="120">
          <cell r="M120" t="str">
            <v>Front of House-Gul</v>
          </cell>
          <cell r="N120">
            <v>1101061701</v>
          </cell>
        </row>
        <row r="121">
          <cell r="M121" t="str">
            <v>Logistics &amp; Warehousing (D-WH)-Gul</v>
          </cell>
          <cell r="N121">
            <v>1101061702</v>
          </cell>
        </row>
        <row r="122">
          <cell r="M122" t="str">
            <v>Store Operations -Gul</v>
          </cell>
          <cell r="N122">
            <v>1101061703</v>
          </cell>
        </row>
        <row r="123">
          <cell r="M123" t="str">
            <v>Wastage &amp; Shrinkage -Gul</v>
          </cell>
          <cell r="N123">
            <v>1101061704</v>
          </cell>
        </row>
        <row r="124">
          <cell r="M124" t="str">
            <v>Administration Services-MCK</v>
          </cell>
          <cell r="N124">
            <v>1101070101</v>
          </cell>
        </row>
        <row r="125">
          <cell r="M125" t="str">
            <v>Security Services-MCK</v>
          </cell>
          <cell r="N125">
            <v>1101070102</v>
          </cell>
        </row>
        <row r="126">
          <cell r="M126" t="str">
            <v>Projects-MCK</v>
          </cell>
          <cell r="N126">
            <v>1101070201</v>
          </cell>
        </row>
        <row r="127">
          <cell r="M127" t="str">
            <v>Common Cost Center-MCK</v>
          </cell>
          <cell r="N127">
            <v>1101070501</v>
          </cell>
        </row>
        <row r="128">
          <cell r="M128" t="str">
            <v>EHS-MCK</v>
          </cell>
          <cell r="N128">
            <v>1101070801</v>
          </cell>
        </row>
        <row r="129">
          <cell r="M129" t="str">
            <v>Repair &amp; Maintenance-MCK</v>
          </cell>
          <cell r="N129">
            <v>1101070802</v>
          </cell>
        </row>
        <row r="130">
          <cell r="M130" t="str">
            <v>Financial Reporting &amp; Acc-MCK</v>
          </cell>
          <cell r="N130">
            <v>1101070901</v>
          </cell>
        </row>
        <row r="131">
          <cell r="M131" t="str">
            <v>HR Operations-MCK</v>
          </cell>
          <cell r="N131">
            <v>1101071001</v>
          </cell>
        </row>
        <row r="132">
          <cell r="M132" t="str">
            <v>Infrastructure Technology-MCK</v>
          </cell>
          <cell r="N132">
            <v>1101071101</v>
          </cell>
        </row>
        <row r="133">
          <cell r="M133" t="str">
            <v>Legal Affairs-MCK</v>
          </cell>
          <cell r="N133">
            <v>1101071301</v>
          </cell>
        </row>
        <row r="134">
          <cell r="M134" t="str">
            <v>Marketing &amp; Promotions-MCK</v>
          </cell>
          <cell r="N134">
            <v>1101071501</v>
          </cell>
        </row>
        <row r="135">
          <cell r="M135" t="str">
            <v>Front of House-MCK</v>
          </cell>
          <cell r="N135">
            <v>1101071701</v>
          </cell>
        </row>
        <row r="136">
          <cell r="M136" t="str">
            <v>Logistics &amp; Warehousing (D-WH)-MCK</v>
          </cell>
          <cell r="N136">
            <v>1101071702</v>
          </cell>
        </row>
        <row r="137">
          <cell r="M137" t="str">
            <v>Store Operations -MCK</v>
          </cell>
          <cell r="N137">
            <v>1101071703</v>
          </cell>
        </row>
        <row r="138">
          <cell r="M138" t="str">
            <v>Wastage &amp; Shrinkage -MCK</v>
          </cell>
          <cell r="N138">
            <v>1101071704</v>
          </cell>
        </row>
        <row r="139">
          <cell r="M139" t="str">
            <v>Administration Services-TST</v>
          </cell>
          <cell r="N139">
            <v>1101080101</v>
          </cell>
        </row>
        <row r="140">
          <cell r="M140" t="str">
            <v>Security Services-TST</v>
          </cell>
          <cell r="N140">
            <v>1101080102</v>
          </cell>
        </row>
        <row r="141">
          <cell r="M141" t="str">
            <v>Projects-TST</v>
          </cell>
          <cell r="N141">
            <v>1101080201</v>
          </cell>
        </row>
        <row r="142">
          <cell r="M142" t="str">
            <v>Common Cost Center-TST</v>
          </cell>
          <cell r="N142">
            <v>1101080501</v>
          </cell>
        </row>
        <row r="143">
          <cell r="M143" t="str">
            <v>EHS-TST</v>
          </cell>
          <cell r="N143">
            <v>1101080801</v>
          </cell>
        </row>
        <row r="144">
          <cell r="M144" t="str">
            <v>Repair &amp; Maintenance-TST</v>
          </cell>
          <cell r="N144">
            <v>1101080802</v>
          </cell>
        </row>
        <row r="145">
          <cell r="M145" t="str">
            <v>Financial Reporting &amp; Acc-TST</v>
          </cell>
          <cell r="N145">
            <v>1101080901</v>
          </cell>
        </row>
        <row r="146">
          <cell r="M146" t="str">
            <v>HR Operations-TST</v>
          </cell>
          <cell r="N146">
            <v>1101081001</v>
          </cell>
        </row>
        <row r="147">
          <cell r="M147" t="str">
            <v>Infrastructure Technology-TST</v>
          </cell>
          <cell r="N147">
            <v>1101081101</v>
          </cell>
        </row>
        <row r="148">
          <cell r="M148" t="str">
            <v>Legal Affairs-TST</v>
          </cell>
          <cell r="N148">
            <v>1101081301</v>
          </cell>
        </row>
        <row r="149">
          <cell r="M149" t="str">
            <v>Marketing &amp; Promotions-TST</v>
          </cell>
          <cell r="N149">
            <v>1101081501</v>
          </cell>
        </row>
        <row r="150">
          <cell r="M150" t="str">
            <v>Front of House-TST</v>
          </cell>
          <cell r="N150">
            <v>1101081701</v>
          </cell>
        </row>
        <row r="151">
          <cell r="M151" t="str">
            <v>Logistics &amp; Warehousing (D-WH)-TST</v>
          </cell>
          <cell r="N151">
            <v>1101081702</v>
          </cell>
        </row>
        <row r="152">
          <cell r="M152" t="str">
            <v>Store Operations -TST</v>
          </cell>
          <cell r="N152">
            <v>1101081703</v>
          </cell>
        </row>
        <row r="153">
          <cell r="M153" t="str">
            <v>Wastage &amp; Shrinkage -TST</v>
          </cell>
          <cell r="N153">
            <v>1101081704</v>
          </cell>
        </row>
        <row r="154">
          <cell r="M154" t="str">
            <v>Administration Services-EXP01</v>
          </cell>
          <cell r="N154">
            <v>1101090101</v>
          </cell>
        </row>
        <row r="155">
          <cell r="M155" t="str">
            <v>Security Services-EXP01</v>
          </cell>
          <cell r="N155">
            <v>1101090102</v>
          </cell>
        </row>
        <row r="156">
          <cell r="M156" t="str">
            <v>Projects-EXP01</v>
          </cell>
          <cell r="N156">
            <v>1101090201</v>
          </cell>
        </row>
        <row r="157">
          <cell r="M157" t="str">
            <v>Common Cost Center-EXP01</v>
          </cell>
          <cell r="N157">
            <v>1101090501</v>
          </cell>
        </row>
        <row r="158">
          <cell r="M158" t="str">
            <v>EHS-EXP01</v>
          </cell>
          <cell r="N158">
            <v>1101090801</v>
          </cell>
        </row>
        <row r="159">
          <cell r="M159" t="str">
            <v>Repair &amp; Maintenance-EXP01</v>
          </cell>
          <cell r="N159">
            <v>1101090802</v>
          </cell>
        </row>
        <row r="160">
          <cell r="M160" t="str">
            <v>Financial Reporting &amp; Acc-EXP01</v>
          </cell>
          <cell r="N160">
            <v>1101090901</v>
          </cell>
        </row>
        <row r="161">
          <cell r="M161" t="str">
            <v>HR Operations-EXP01</v>
          </cell>
          <cell r="N161">
            <v>1101091001</v>
          </cell>
        </row>
        <row r="162">
          <cell r="M162" t="str">
            <v>Infrastructure Technology-EXP01</v>
          </cell>
          <cell r="N162">
            <v>1101091101</v>
          </cell>
        </row>
        <row r="163">
          <cell r="M163" t="str">
            <v>Legal Affairs-EXP01</v>
          </cell>
          <cell r="N163">
            <v>1101091301</v>
          </cell>
        </row>
        <row r="164">
          <cell r="M164" t="str">
            <v>Marketing &amp; Promotions-EXP01</v>
          </cell>
          <cell r="N164">
            <v>1101091501</v>
          </cell>
        </row>
        <row r="165">
          <cell r="M165" t="str">
            <v>Front of House-EXP01</v>
          </cell>
          <cell r="N165">
            <v>1101091701</v>
          </cell>
        </row>
        <row r="166">
          <cell r="M166" t="str">
            <v>Logistics &amp; Warehousing (D-WH)-EXP01</v>
          </cell>
          <cell r="N166">
            <v>1101091702</v>
          </cell>
        </row>
        <row r="167">
          <cell r="M167" t="str">
            <v>Store Operations -EXP01</v>
          </cell>
          <cell r="N167">
            <v>1101091703</v>
          </cell>
        </row>
        <row r="168">
          <cell r="M168" t="str">
            <v>Wastage &amp; Shrinkage -EXP01</v>
          </cell>
          <cell r="N168">
            <v>1101091704</v>
          </cell>
        </row>
        <row r="169">
          <cell r="M169" t="str">
            <v>Administration Services-SCC</v>
          </cell>
          <cell r="N169">
            <v>1101100101</v>
          </cell>
        </row>
        <row r="170">
          <cell r="M170" t="str">
            <v>Security Services-SCC</v>
          </cell>
          <cell r="N170">
            <v>1101100102</v>
          </cell>
        </row>
        <row r="171">
          <cell r="M171" t="str">
            <v>Projects-SCC</v>
          </cell>
          <cell r="N171">
            <v>1101100201</v>
          </cell>
        </row>
        <row r="172">
          <cell r="M172" t="str">
            <v>Common Cost Center-SCC</v>
          </cell>
          <cell r="N172">
            <v>1101100501</v>
          </cell>
        </row>
        <row r="173">
          <cell r="M173" t="str">
            <v>EHS-SCC</v>
          </cell>
          <cell r="N173">
            <v>1101100801</v>
          </cell>
        </row>
        <row r="174">
          <cell r="M174" t="str">
            <v>Repair &amp; Maintenance-SCC</v>
          </cell>
          <cell r="N174">
            <v>1101100802</v>
          </cell>
        </row>
        <row r="175">
          <cell r="M175" t="str">
            <v>Financial Reporting &amp; Acc-SCC</v>
          </cell>
          <cell r="N175">
            <v>1101100901</v>
          </cell>
        </row>
        <row r="176">
          <cell r="M176" t="str">
            <v>HR Operations-SCC</v>
          </cell>
          <cell r="N176">
            <v>1101101001</v>
          </cell>
        </row>
        <row r="177">
          <cell r="M177" t="str">
            <v>Infrastructure Technology-SCC</v>
          </cell>
          <cell r="N177">
            <v>1101101101</v>
          </cell>
        </row>
        <row r="178">
          <cell r="M178" t="str">
            <v>Legal Affairs-SCC</v>
          </cell>
          <cell r="N178">
            <v>1101101301</v>
          </cell>
        </row>
        <row r="179">
          <cell r="M179" t="str">
            <v>Marketing &amp; Promotions-SCC</v>
          </cell>
          <cell r="N179">
            <v>1101101501</v>
          </cell>
        </row>
        <row r="180">
          <cell r="M180" t="str">
            <v>Front of House-SCC</v>
          </cell>
          <cell r="N180">
            <v>1101101701</v>
          </cell>
        </row>
        <row r="181">
          <cell r="M181" t="str">
            <v>Logistics &amp; Warehousing (D-WH)-SCC</v>
          </cell>
          <cell r="N181">
            <v>1101101702</v>
          </cell>
        </row>
        <row r="182">
          <cell r="M182" t="str">
            <v>Store Operations -SCC</v>
          </cell>
          <cell r="N182">
            <v>1101101703</v>
          </cell>
        </row>
        <row r="183">
          <cell r="M183" t="str">
            <v>Wastage &amp; Shrinkage -SCC</v>
          </cell>
          <cell r="N183">
            <v>1101101704</v>
          </cell>
        </row>
        <row r="184">
          <cell r="M184" t="str">
            <v>Administration Services-ZZS</v>
          </cell>
          <cell r="N184">
            <v>1101110101</v>
          </cell>
        </row>
        <row r="185">
          <cell r="M185" t="str">
            <v>Security Services-ZZS</v>
          </cell>
          <cell r="N185">
            <v>1101110102</v>
          </cell>
        </row>
        <row r="186">
          <cell r="M186" t="str">
            <v>Projects-ZZS</v>
          </cell>
          <cell r="N186">
            <v>1101110201</v>
          </cell>
        </row>
        <row r="187">
          <cell r="M187" t="str">
            <v>Common Cost Center-ZZS</v>
          </cell>
          <cell r="N187">
            <v>1101110501</v>
          </cell>
        </row>
        <row r="188">
          <cell r="M188" t="str">
            <v>EHS-ZZS</v>
          </cell>
          <cell r="N188">
            <v>1101110801</v>
          </cell>
        </row>
        <row r="189">
          <cell r="M189" t="str">
            <v>Repair &amp; Maintenance-ZZS</v>
          </cell>
          <cell r="N189">
            <v>1101110802</v>
          </cell>
        </row>
        <row r="190">
          <cell r="M190" t="str">
            <v>Financial Reporting &amp; Acc-ZZS</v>
          </cell>
          <cell r="N190">
            <v>1101110901</v>
          </cell>
        </row>
        <row r="191">
          <cell r="M191" t="str">
            <v>HR Operations-ZZS</v>
          </cell>
          <cell r="N191">
            <v>1101111001</v>
          </cell>
        </row>
        <row r="192">
          <cell r="M192" t="str">
            <v>Infrastructure Technology-ZZS</v>
          </cell>
          <cell r="N192">
            <v>1101111101</v>
          </cell>
        </row>
        <row r="193">
          <cell r="M193" t="str">
            <v>Legal Affairs-ZZS</v>
          </cell>
          <cell r="N193">
            <v>1101111301</v>
          </cell>
        </row>
        <row r="194">
          <cell r="M194" t="str">
            <v>Marketing &amp; Promotions-ZZS</v>
          </cell>
          <cell r="N194">
            <v>1101111501</v>
          </cell>
        </row>
        <row r="195">
          <cell r="M195" t="str">
            <v>Front of House-ZZS</v>
          </cell>
          <cell r="N195">
            <v>1101111701</v>
          </cell>
        </row>
        <row r="196">
          <cell r="M196" t="str">
            <v>Logistics &amp; Warehousing (D-WH)-ZZS</v>
          </cell>
          <cell r="N196">
            <v>1101111702</v>
          </cell>
        </row>
        <row r="197">
          <cell r="M197" t="str">
            <v>Store Operations -ZZS</v>
          </cell>
          <cell r="N197">
            <v>1101111703</v>
          </cell>
        </row>
        <row r="198">
          <cell r="M198" t="str">
            <v>Wastage &amp; Shrinkage -ZZS</v>
          </cell>
          <cell r="N198">
            <v>1101111704</v>
          </cell>
        </row>
        <row r="199">
          <cell r="M199" t="str">
            <v>Administration Services-BTK</v>
          </cell>
          <cell r="N199">
            <v>1101120101</v>
          </cell>
        </row>
        <row r="200">
          <cell r="M200" t="str">
            <v>Security Services-BTK</v>
          </cell>
          <cell r="N200">
            <v>1101120102</v>
          </cell>
        </row>
        <row r="201">
          <cell r="M201" t="str">
            <v>Projects-BTK</v>
          </cell>
          <cell r="N201">
            <v>1101120201</v>
          </cell>
        </row>
        <row r="202">
          <cell r="M202" t="str">
            <v>Common Cost Center-BTK</v>
          </cell>
          <cell r="N202">
            <v>1101120501</v>
          </cell>
        </row>
        <row r="203">
          <cell r="M203" t="str">
            <v>EHS-BTK</v>
          </cell>
          <cell r="N203">
            <v>1101120801</v>
          </cell>
        </row>
        <row r="204">
          <cell r="M204" t="str">
            <v>Repair &amp; Maintenance-BTK</v>
          </cell>
          <cell r="N204">
            <v>1101120802</v>
          </cell>
        </row>
        <row r="205">
          <cell r="M205" t="str">
            <v>Financial Reporting &amp; Acc-BTK</v>
          </cell>
          <cell r="N205">
            <v>1101120901</v>
          </cell>
        </row>
        <row r="206">
          <cell r="M206" t="str">
            <v>HR Operations-BTK</v>
          </cell>
          <cell r="N206">
            <v>1101121001</v>
          </cell>
        </row>
        <row r="207">
          <cell r="M207" t="str">
            <v>Infrastructure Technology-BTK</v>
          </cell>
          <cell r="N207">
            <v>1101121101</v>
          </cell>
        </row>
        <row r="208">
          <cell r="M208" t="str">
            <v>Legal Affairs-BTK</v>
          </cell>
          <cell r="N208">
            <v>1101121301</v>
          </cell>
        </row>
        <row r="209">
          <cell r="M209" t="str">
            <v>Marketing &amp; Promotions-BTK</v>
          </cell>
          <cell r="N209">
            <v>1101121501</v>
          </cell>
        </row>
        <row r="210">
          <cell r="M210" t="str">
            <v>Front of House-BTK</v>
          </cell>
          <cell r="N210">
            <v>1101121701</v>
          </cell>
        </row>
        <row r="211">
          <cell r="M211" t="str">
            <v>Logistics &amp; Warehousing (D-WH)-BTK</v>
          </cell>
          <cell r="N211">
            <v>1101121702</v>
          </cell>
        </row>
        <row r="212">
          <cell r="M212" t="str">
            <v>Store Operations -BTK</v>
          </cell>
          <cell r="N212">
            <v>1101121703</v>
          </cell>
        </row>
        <row r="213">
          <cell r="M213" t="str">
            <v>Wastage &amp; Shrinkage -BTK</v>
          </cell>
          <cell r="N213">
            <v>1101121704</v>
          </cell>
        </row>
        <row r="214">
          <cell r="M214" t="str">
            <v>Administration Services-TPK</v>
          </cell>
          <cell r="N214">
            <v>1101130101</v>
          </cell>
        </row>
        <row r="215">
          <cell r="M215" t="str">
            <v>Security Services-TPK</v>
          </cell>
          <cell r="N215">
            <v>1101130102</v>
          </cell>
        </row>
        <row r="216">
          <cell r="M216" t="str">
            <v>Projects-TPK</v>
          </cell>
          <cell r="N216">
            <v>1101130201</v>
          </cell>
        </row>
        <row r="217">
          <cell r="M217" t="str">
            <v>Common Cost Center-TPK</v>
          </cell>
          <cell r="N217">
            <v>1101130501</v>
          </cell>
        </row>
        <row r="218">
          <cell r="M218" t="str">
            <v>EHS-TPK</v>
          </cell>
          <cell r="N218">
            <v>1101130801</v>
          </cell>
        </row>
        <row r="219">
          <cell r="M219" t="str">
            <v>Repair &amp; Maintenance-TPK</v>
          </cell>
          <cell r="N219">
            <v>1101130802</v>
          </cell>
        </row>
        <row r="220">
          <cell r="M220" t="str">
            <v>Financial Reporting &amp; Acc-TPK</v>
          </cell>
          <cell r="N220">
            <v>1101130901</v>
          </cell>
        </row>
        <row r="221">
          <cell r="M221" t="str">
            <v>HR Operations-TPK</v>
          </cell>
          <cell r="N221">
            <v>1101131001</v>
          </cell>
        </row>
        <row r="222">
          <cell r="M222" t="str">
            <v>Infrastructure Technology-TPK</v>
          </cell>
          <cell r="N222">
            <v>1101131101</v>
          </cell>
        </row>
        <row r="223">
          <cell r="M223" t="str">
            <v>Legal Affairs-TPK</v>
          </cell>
          <cell r="N223">
            <v>1101131301</v>
          </cell>
        </row>
        <row r="224">
          <cell r="M224" t="str">
            <v>Marketing &amp; Promotions-TPK</v>
          </cell>
          <cell r="N224">
            <v>1101131501</v>
          </cell>
        </row>
        <row r="225">
          <cell r="M225" t="str">
            <v>Front of House-TPK</v>
          </cell>
          <cell r="N225">
            <v>1101131701</v>
          </cell>
        </row>
        <row r="226">
          <cell r="M226" t="str">
            <v>Logistics &amp; Warehousing (D-WH)-TPK</v>
          </cell>
          <cell r="N226">
            <v>1101131702</v>
          </cell>
        </row>
        <row r="227">
          <cell r="M227" t="str">
            <v>Store Operations -TPK</v>
          </cell>
          <cell r="N227">
            <v>1101131703</v>
          </cell>
        </row>
        <row r="228">
          <cell r="M228" t="str">
            <v>Wastage &amp; Shrinkage -TPK</v>
          </cell>
          <cell r="N228">
            <v>1101131704</v>
          </cell>
        </row>
        <row r="229">
          <cell r="M229" t="str">
            <v>Administration Services-KOR</v>
          </cell>
          <cell r="N229">
            <v>1101140101</v>
          </cell>
        </row>
        <row r="230">
          <cell r="M230" t="str">
            <v>Security Services-KOR</v>
          </cell>
          <cell r="N230">
            <v>1101140102</v>
          </cell>
        </row>
        <row r="231">
          <cell r="M231" t="str">
            <v>Projects-KOR</v>
          </cell>
          <cell r="N231">
            <v>1101140201</v>
          </cell>
        </row>
        <row r="232">
          <cell r="M232" t="str">
            <v>Common CC-Korangi</v>
          </cell>
          <cell r="N232">
            <v>1101140501</v>
          </cell>
        </row>
        <row r="233">
          <cell r="M233" t="str">
            <v>Repair &amp; Maintenance-KOR</v>
          </cell>
          <cell r="N233">
            <v>1101140802</v>
          </cell>
        </row>
        <row r="234">
          <cell r="M234" t="str">
            <v>EHS-KOR</v>
          </cell>
          <cell r="N234">
            <v>1101140801</v>
          </cell>
        </row>
        <row r="235">
          <cell r="M235" t="str">
            <v>Financial Reporting &amp; Acc-KOR</v>
          </cell>
          <cell r="N235">
            <v>1101140901</v>
          </cell>
        </row>
        <row r="236">
          <cell r="M236" t="str">
            <v>HR Operations-KOR</v>
          </cell>
          <cell r="N236">
            <v>1101141001</v>
          </cell>
        </row>
        <row r="237">
          <cell r="M237" t="str">
            <v>Infrastructure Technology-KOR</v>
          </cell>
          <cell r="N237">
            <v>1101141101</v>
          </cell>
        </row>
        <row r="238">
          <cell r="M238" t="str">
            <v>Legal Affairs-KOR</v>
          </cell>
          <cell r="N238">
            <v>1101141301</v>
          </cell>
        </row>
        <row r="239">
          <cell r="M239" t="str">
            <v>Marketing &amp; Promotions-KOR</v>
          </cell>
          <cell r="N239">
            <v>1101141501</v>
          </cell>
        </row>
        <row r="240">
          <cell r="M240" t="str">
            <v>Wastage &amp; Shrinkage -KOR</v>
          </cell>
          <cell r="N240">
            <v>1101141704</v>
          </cell>
        </row>
        <row r="241">
          <cell r="M241" t="str">
            <v>Store Operations -KOR</v>
          </cell>
          <cell r="N241">
            <v>1101141703</v>
          </cell>
        </row>
        <row r="242">
          <cell r="M242" t="str">
            <v>Logistics &amp; Warehousing (D-WH)-KOR</v>
          </cell>
          <cell r="N242">
            <v>1101141702</v>
          </cell>
        </row>
        <row r="243">
          <cell r="M243" t="str">
            <v>Front of House-KOR</v>
          </cell>
          <cell r="N243">
            <v>1101141701</v>
          </cell>
        </row>
        <row r="244">
          <cell r="M244" t="str">
            <v>Store Ops - KHI Saddar</v>
          </cell>
          <cell r="N244">
            <v>1101151703</v>
          </cell>
        </row>
        <row r="245">
          <cell r="M245" t="str">
            <v>Common Cost Center - Saddar</v>
          </cell>
          <cell r="N245">
            <v>1101150501</v>
          </cell>
        </row>
        <row r="246">
          <cell r="M246" t="str">
            <v>Common Cost Center-KMCHS</v>
          </cell>
          <cell r="N246">
            <v>1101160501</v>
          </cell>
        </row>
        <row r="247">
          <cell r="M247" t="str">
            <v>Administration Services-CWK</v>
          </cell>
          <cell r="N247">
            <v>1101400101</v>
          </cell>
        </row>
        <row r="248">
          <cell r="M248" t="str">
            <v>Security Services-CWK</v>
          </cell>
          <cell r="N248">
            <v>1101400102</v>
          </cell>
        </row>
        <row r="249">
          <cell r="M249" t="str">
            <v>Common Cost Center-CWK</v>
          </cell>
          <cell r="N249">
            <v>1101400501</v>
          </cell>
        </row>
        <row r="250">
          <cell r="M250" t="str">
            <v>EHS-CWK</v>
          </cell>
          <cell r="N250">
            <v>1101400801</v>
          </cell>
        </row>
        <row r="251">
          <cell r="M251" t="str">
            <v>Repair &amp; Maintenance-CWK</v>
          </cell>
          <cell r="N251">
            <v>1101400802</v>
          </cell>
        </row>
        <row r="252">
          <cell r="M252" t="str">
            <v>Financial Reporting &amp; Acc-CWK</v>
          </cell>
          <cell r="N252">
            <v>1101400901</v>
          </cell>
        </row>
        <row r="253">
          <cell r="M253" t="str">
            <v>HR Operations-CWK</v>
          </cell>
          <cell r="N253">
            <v>1101401001</v>
          </cell>
        </row>
        <row r="254">
          <cell r="M254" t="str">
            <v>Infrastructure Technology-CWK</v>
          </cell>
          <cell r="N254">
            <v>1101401101</v>
          </cell>
        </row>
        <row r="255">
          <cell r="M255" t="str">
            <v>Legal Affairs-CWK</v>
          </cell>
          <cell r="N255">
            <v>1101401301</v>
          </cell>
        </row>
        <row r="256">
          <cell r="M256" t="str">
            <v>Warehousing Operations-CWK</v>
          </cell>
          <cell r="N256">
            <v>1101401401</v>
          </cell>
        </row>
        <row r="257">
          <cell r="M257" t="str">
            <v>Logistics Operations-CWK</v>
          </cell>
          <cell r="N257">
            <v>1101401402</v>
          </cell>
        </row>
        <row r="258">
          <cell r="M258" t="str">
            <v>SC Planning &amp; Management-CWK</v>
          </cell>
          <cell r="N258">
            <v>1101401403</v>
          </cell>
        </row>
        <row r="259">
          <cell r="M259" t="str">
            <v>Quality Assurance-CWK</v>
          </cell>
          <cell r="N259">
            <v>1101401404</v>
          </cell>
        </row>
        <row r="260">
          <cell r="M260" t="str">
            <v>Wastage &amp; Shrinkage-CWK</v>
          </cell>
          <cell r="N260">
            <v>1101401405</v>
          </cell>
        </row>
        <row r="261">
          <cell r="M261" t="str">
            <v>Administration Services-NRL</v>
          </cell>
          <cell r="N261">
            <v>1101410101</v>
          </cell>
        </row>
        <row r="262">
          <cell r="M262" t="str">
            <v>Security Services-NRL</v>
          </cell>
          <cell r="N262">
            <v>1101410102</v>
          </cell>
        </row>
        <row r="263">
          <cell r="M263" t="str">
            <v>Common Cost Center-NRL</v>
          </cell>
          <cell r="N263">
            <v>1101410501</v>
          </cell>
        </row>
        <row r="264">
          <cell r="M264" t="str">
            <v>EHS-NRL</v>
          </cell>
          <cell r="N264">
            <v>1101410801</v>
          </cell>
        </row>
        <row r="265">
          <cell r="M265" t="str">
            <v>Repair &amp; Maintenance-NRL</v>
          </cell>
          <cell r="N265">
            <v>1101410802</v>
          </cell>
        </row>
        <row r="266">
          <cell r="M266" t="str">
            <v>Financial Reporting &amp; Acc-NRL</v>
          </cell>
          <cell r="N266">
            <v>1101410901</v>
          </cell>
        </row>
        <row r="267">
          <cell r="M267" t="str">
            <v>HR Operations-NRL</v>
          </cell>
          <cell r="N267">
            <v>1101411001</v>
          </cell>
        </row>
        <row r="268">
          <cell r="M268" t="str">
            <v>Infrastructure Technology-NRL</v>
          </cell>
          <cell r="N268">
            <v>1101411101</v>
          </cell>
        </row>
        <row r="269">
          <cell r="M269" t="str">
            <v>Legal Affairs-NRL</v>
          </cell>
          <cell r="N269">
            <v>1101411301</v>
          </cell>
        </row>
        <row r="270">
          <cell r="M270" t="str">
            <v>Warehousing Operations-NRL</v>
          </cell>
          <cell r="N270">
            <v>1101411401</v>
          </cell>
        </row>
        <row r="271">
          <cell r="M271" t="str">
            <v>Logistics Operations-NRL</v>
          </cell>
          <cell r="N271">
            <v>1101411402</v>
          </cell>
        </row>
        <row r="272">
          <cell r="M272" t="str">
            <v>SC Planning &amp; Management-NRL</v>
          </cell>
          <cell r="N272">
            <v>1101411403</v>
          </cell>
        </row>
        <row r="273">
          <cell r="M273" t="str">
            <v>Quality Assurance-NRL</v>
          </cell>
          <cell r="N273">
            <v>1101411404</v>
          </cell>
        </row>
        <row r="274">
          <cell r="M274" t="str">
            <v>Wastage &amp; Shrinkage-NRL</v>
          </cell>
          <cell r="N274">
            <v>1101411405</v>
          </cell>
        </row>
        <row r="275">
          <cell r="M275" t="str">
            <v>Administration Services-Fashion</v>
          </cell>
          <cell r="N275">
            <v>1101420101</v>
          </cell>
        </row>
        <row r="276">
          <cell r="M276" t="str">
            <v>Security Services-Fashion</v>
          </cell>
          <cell r="N276">
            <v>1101420102</v>
          </cell>
        </row>
        <row r="277">
          <cell r="M277" t="str">
            <v>Common Cost Center-Fashion</v>
          </cell>
          <cell r="N277">
            <v>1101420501</v>
          </cell>
        </row>
        <row r="278">
          <cell r="M278" t="str">
            <v>EHS-Fashion</v>
          </cell>
          <cell r="N278">
            <v>1101420801</v>
          </cell>
        </row>
        <row r="279">
          <cell r="M279" t="str">
            <v>Repair &amp; Maintenance-Fashion</v>
          </cell>
          <cell r="N279">
            <v>1101420802</v>
          </cell>
        </row>
        <row r="280">
          <cell r="M280" t="str">
            <v>Financial Reporting &amp; Acc-Fashion</v>
          </cell>
          <cell r="N280">
            <v>1101420901</v>
          </cell>
        </row>
        <row r="281">
          <cell r="M281" t="str">
            <v>HR Operations-Fashion</v>
          </cell>
          <cell r="N281">
            <v>1101421001</v>
          </cell>
        </row>
        <row r="282">
          <cell r="M282" t="str">
            <v>Infrastructure Technology-Fashion</v>
          </cell>
          <cell r="N282">
            <v>1101421101</v>
          </cell>
        </row>
        <row r="283">
          <cell r="M283" t="str">
            <v>Legal Affairs-Fashion</v>
          </cell>
          <cell r="N283">
            <v>1101421301</v>
          </cell>
        </row>
        <row r="284">
          <cell r="M284" t="str">
            <v>Warehousing Operations-Fashion</v>
          </cell>
          <cell r="N284">
            <v>1101421401</v>
          </cell>
        </row>
        <row r="285">
          <cell r="M285" t="str">
            <v>Logistics Operations-Fashion</v>
          </cell>
          <cell r="N285">
            <v>1101421402</v>
          </cell>
        </row>
        <row r="286">
          <cell r="M286" t="str">
            <v>SC Planning &amp; Management-Fashion</v>
          </cell>
          <cell r="N286">
            <v>1101421403</v>
          </cell>
        </row>
        <row r="287">
          <cell r="M287" t="str">
            <v>Quality Assurance-Fashion</v>
          </cell>
          <cell r="N287">
            <v>1101421404</v>
          </cell>
        </row>
        <row r="288">
          <cell r="M288" t="str">
            <v>Wastage &amp; Shrinkage-Fashion</v>
          </cell>
          <cell r="N288">
            <v>1101421405</v>
          </cell>
        </row>
        <row r="289">
          <cell r="M289" t="str">
            <v>Administration Services-Pharmacy</v>
          </cell>
          <cell r="N289">
            <v>1101430101</v>
          </cell>
        </row>
        <row r="290">
          <cell r="M290" t="str">
            <v>Security Services-Pharmacy</v>
          </cell>
          <cell r="N290">
            <v>1101430102</v>
          </cell>
        </row>
        <row r="291">
          <cell r="M291" t="str">
            <v>Common Cost Center-Pharmacy</v>
          </cell>
          <cell r="N291">
            <v>1101430501</v>
          </cell>
        </row>
        <row r="292">
          <cell r="M292" t="str">
            <v>EHS-Pharmacy</v>
          </cell>
          <cell r="N292">
            <v>1101430801</v>
          </cell>
        </row>
        <row r="293">
          <cell r="M293" t="str">
            <v>Repair &amp; Maintenance-Pharmacy</v>
          </cell>
          <cell r="N293">
            <v>1101430802</v>
          </cell>
        </row>
        <row r="294">
          <cell r="M294" t="str">
            <v>Financial Reporting &amp; Acc-Pharmacy</v>
          </cell>
          <cell r="N294">
            <v>1101430901</v>
          </cell>
        </row>
        <row r="295">
          <cell r="M295" t="str">
            <v>HR Operations-Pharmacy</v>
          </cell>
          <cell r="N295">
            <v>1101431001</v>
          </cell>
        </row>
        <row r="296">
          <cell r="M296" t="str">
            <v>Infrastructure Technology-Pharmacy</v>
          </cell>
          <cell r="N296">
            <v>1101431101</v>
          </cell>
        </row>
        <row r="297">
          <cell r="M297" t="str">
            <v>Legal Affairs-Pharmacy</v>
          </cell>
          <cell r="N297">
            <v>1101431301</v>
          </cell>
        </row>
        <row r="298">
          <cell r="M298" t="str">
            <v>Warehousing Operations-Pharmacy</v>
          </cell>
          <cell r="N298">
            <v>1101431401</v>
          </cell>
        </row>
        <row r="299">
          <cell r="M299" t="str">
            <v>Logistics Operations-Pharmacy</v>
          </cell>
          <cell r="N299">
            <v>1101431402</v>
          </cell>
        </row>
        <row r="300">
          <cell r="M300" t="str">
            <v>SC Planning &amp; Management-Pharmacy</v>
          </cell>
          <cell r="N300">
            <v>1101431403</v>
          </cell>
        </row>
        <row r="301">
          <cell r="M301" t="str">
            <v>Quality Assurance-Pharmacy</v>
          </cell>
          <cell r="N301">
            <v>1101431404</v>
          </cell>
        </row>
        <row r="302">
          <cell r="M302" t="str">
            <v>Wastage &amp; Shrinkage-Pharmacy</v>
          </cell>
          <cell r="N302">
            <v>1101431405</v>
          </cell>
        </row>
        <row r="303">
          <cell r="M303" t="str">
            <v>Administration Services-ECOM</v>
          </cell>
          <cell r="N303">
            <v>1101440101</v>
          </cell>
        </row>
        <row r="304">
          <cell r="M304" t="str">
            <v>Security Services-ECOM</v>
          </cell>
          <cell r="N304">
            <v>1101440102</v>
          </cell>
        </row>
        <row r="305">
          <cell r="M305" t="str">
            <v>Common Cost Center-ECOM</v>
          </cell>
          <cell r="N305">
            <v>1101440501</v>
          </cell>
        </row>
        <row r="306">
          <cell r="M306" t="str">
            <v>EHS-ECOM</v>
          </cell>
          <cell r="N306">
            <v>1101440801</v>
          </cell>
        </row>
        <row r="307">
          <cell r="M307" t="str">
            <v>Repair &amp; Maintenance-ECOM</v>
          </cell>
          <cell r="N307">
            <v>1101440802</v>
          </cell>
        </row>
        <row r="308">
          <cell r="M308" t="str">
            <v>Financial Reporting &amp; Acc-ECOM</v>
          </cell>
          <cell r="N308">
            <v>1101440901</v>
          </cell>
        </row>
        <row r="309">
          <cell r="M309" t="str">
            <v>HR Operations-ECOM</v>
          </cell>
          <cell r="N309">
            <v>1101441001</v>
          </cell>
        </row>
        <row r="310">
          <cell r="M310" t="str">
            <v>Infrastructure Technology-ECOM</v>
          </cell>
          <cell r="N310">
            <v>1101441101</v>
          </cell>
        </row>
        <row r="311">
          <cell r="M311" t="str">
            <v>Legal Affairs-ECOM</v>
          </cell>
          <cell r="N311">
            <v>1101441301</v>
          </cell>
        </row>
        <row r="312">
          <cell r="M312" t="str">
            <v>Warehousing Operations-ECOM</v>
          </cell>
          <cell r="N312">
            <v>1101441401</v>
          </cell>
        </row>
        <row r="313">
          <cell r="M313" t="str">
            <v>Logistics Operations-ECOM</v>
          </cell>
          <cell r="N313">
            <v>1101441402</v>
          </cell>
        </row>
        <row r="314">
          <cell r="M314" t="str">
            <v>SC Planning &amp; Management-ECOM</v>
          </cell>
          <cell r="N314">
            <v>1101441403</v>
          </cell>
        </row>
        <row r="315">
          <cell r="M315" t="str">
            <v>Quality Assurance-ECOM</v>
          </cell>
          <cell r="N315">
            <v>1101441404</v>
          </cell>
        </row>
        <row r="316">
          <cell r="M316" t="str">
            <v>Wastage &amp; Shrinkage-ECOM</v>
          </cell>
          <cell r="N316">
            <v>1101441405</v>
          </cell>
        </row>
        <row r="317">
          <cell r="M317" t="str">
            <v>Administration Services-Virtual</v>
          </cell>
          <cell r="N317">
            <v>1101450101</v>
          </cell>
        </row>
        <row r="318">
          <cell r="M318" t="str">
            <v>Security Services-Virtual</v>
          </cell>
          <cell r="N318">
            <v>1101450102</v>
          </cell>
        </row>
        <row r="319">
          <cell r="M319" t="str">
            <v>Common Cost Center-Virtual</v>
          </cell>
          <cell r="N319">
            <v>1101450501</v>
          </cell>
        </row>
        <row r="320">
          <cell r="M320" t="str">
            <v>EHS-Virtual</v>
          </cell>
          <cell r="N320">
            <v>1101450801</v>
          </cell>
        </row>
        <row r="321">
          <cell r="M321" t="str">
            <v>Repair &amp; Maintenance-Virtual</v>
          </cell>
          <cell r="N321">
            <v>1101450802</v>
          </cell>
        </row>
        <row r="322">
          <cell r="M322" t="str">
            <v>Financial Reporting &amp; Acc-Virtual</v>
          </cell>
          <cell r="N322">
            <v>1101450901</v>
          </cell>
        </row>
        <row r="323">
          <cell r="M323" t="str">
            <v>HR Operations-Virtual</v>
          </cell>
          <cell r="N323">
            <v>1101451001</v>
          </cell>
        </row>
        <row r="324">
          <cell r="M324" t="str">
            <v>Infrastructure Technology-Virtual</v>
          </cell>
          <cell r="N324">
            <v>1101451101</v>
          </cell>
        </row>
        <row r="325">
          <cell r="M325" t="str">
            <v>Legal Affairs-Virtual</v>
          </cell>
          <cell r="N325">
            <v>1101451301</v>
          </cell>
        </row>
        <row r="326">
          <cell r="M326" t="str">
            <v>Warehousing Operations-Virtual</v>
          </cell>
          <cell r="N326">
            <v>1101451401</v>
          </cell>
        </row>
        <row r="327">
          <cell r="M327" t="str">
            <v>Logistics Operations-Virtual</v>
          </cell>
          <cell r="N327">
            <v>1101451402</v>
          </cell>
        </row>
        <row r="328">
          <cell r="M328" t="str">
            <v>SC Planning &amp; Management-Virtual</v>
          </cell>
          <cell r="N328">
            <v>1101451403</v>
          </cell>
        </row>
        <row r="329">
          <cell r="M329" t="str">
            <v>Quality Assurance-Virtual</v>
          </cell>
          <cell r="N329">
            <v>1101451404</v>
          </cell>
        </row>
        <row r="330">
          <cell r="M330" t="str">
            <v>Wastage &amp; Shrinkage-Virtual</v>
          </cell>
          <cell r="N330">
            <v>1101451405</v>
          </cell>
        </row>
        <row r="331">
          <cell r="M331" t="str">
            <v>Administration Services-SITE</v>
          </cell>
          <cell r="N331">
            <v>1101460101</v>
          </cell>
        </row>
        <row r="332">
          <cell r="M332" t="str">
            <v>Security Services-SITE</v>
          </cell>
          <cell r="N332">
            <v>1101460102</v>
          </cell>
        </row>
        <row r="333">
          <cell r="M333" t="str">
            <v>Common Cost Center-SITE</v>
          </cell>
          <cell r="N333">
            <v>1101460501</v>
          </cell>
        </row>
        <row r="334">
          <cell r="M334" t="str">
            <v>EHS-SITE</v>
          </cell>
          <cell r="N334">
            <v>1101460801</v>
          </cell>
        </row>
        <row r="335">
          <cell r="M335" t="str">
            <v>Repair &amp; Maintenance-SITE</v>
          </cell>
          <cell r="N335">
            <v>1101460802</v>
          </cell>
        </row>
        <row r="336">
          <cell r="M336" t="str">
            <v>Financial Reporting &amp; Acc-SITE</v>
          </cell>
          <cell r="N336">
            <v>1101460901</v>
          </cell>
        </row>
        <row r="337">
          <cell r="M337" t="str">
            <v>HR Operations-SITE</v>
          </cell>
          <cell r="N337">
            <v>1101461001</v>
          </cell>
        </row>
        <row r="338">
          <cell r="M338" t="str">
            <v>Infrastructure Technology-SITE</v>
          </cell>
          <cell r="N338">
            <v>1101461101</v>
          </cell>
        </row>
        <row r="339">
          <cell r="M339" t="str">
            <v>Legal Affairs-SITE</v>
          </cell>
          <cell r="N339">
            <v>1101461301</v>
          </cell>
        </row>
        <row r="340">
          <cell r="M340" t="str">
            <v>Warehousing Operations-SITE</v>
          </cell>
          <cell r="N340">
            <v>1101461401</v>
          </cell>
        </row>
        <row r="341">
          <cell r="M341" t="str">
            <v>Logistics Operations-SITE</v>
          </cell>
          <cell r="N341">
            <v>1101461402</v>
          </cell>
        </row>
        <row r="342">
          <cell r="M342" t="str">
            <v>SC Planning &amp; Management-SITE</v>
          </cell>
          <cell r="N342">
            <v>1101461403</v>
          </cell>
        </row>
        <row r="343">
          <cell r="M343" t="str">
            <v>Quality Assurance-SITE</v>
          </cell>
          <cell r="N343">
            <v>1101461404</v>
          </cell>
        </row>
        <row r="344">
          <cell r="M344" t="str">
            <v>Wastage &amp; Shrinkage-SITE</v>
          </cell>
          <cell r="N344">
            <v>1101461405</v>
          </cell>
        </row>
        <row r="345">
          <cell r="M345" t="str">
            <v>Administration Services-BHD 180WH</v>
          </cell>
          <cell r="N345">
            <v>1101470101</v>
          </cell>
        </row>
        <row r="346">
          <cell r="M346" t="str">
            <v>Security Services-BHD 180WH</v>
          </cell>
          <cell r="N346">
            <v>1101470102</v>
          </cell>
        </row>
        <row r="347">
          <cell r="M347" t="str">
            <v>Common Cost Center-BHD 180WH</v>
          </cell>
          <cell r="N347">
            <v>1101470501</v>
          </cell>
        </row>
        <row r="348">
          <cell r="M348" t="str">
            <v>EHS-BHD 180WH</v>
          </cell>
          <cell r="N348">
            <v>1101470801</v>
          </cell>
        </row>
        <row r="349">
          <cell r="M349" t="str">
            <v>Repair &amp; Maintenance-BHD 180WH</v>
          </cell>
          <cell r="N349">
            <v>1101470802</v>
          </cell>
        </row>
        <row r="350">
          <cell r="M350" t="str">
            <v>Financial Reporting &amp; Acc-BHD 180WH</v>
          </cell>
          <cell r="N350">
            <v>1101470901</v>
          </cell>
        </row>
        <row r="351">
          <cell r="M351" t="str">
            <v>HR Operations-BHD 180WH</v>
          </cell>
          <cell r="N351">
            <v>1101471001</v>
          </cell>
        </row>
        <row r="352">
          <cell r="M352" t="str">
            <v>Infrastructure Technology-BHD 180WH</v>
          </cell>
          <cell r="N352">
            <v>1101471101</v>
          </cell>
        </row>
        <row r="353">
          <cell r="M353" t="str">
            <v>Legal Affairs-BHD 180WH</v>
          </cell>
          <cell r="N353">
            <v>1101471301</v>
          </cell>
        </row>
        <row r="354">
          <cell r="M354" t="str">
            <v>Warehousing Operations-BHD 180WH</v>
          </cell>
          <cell r="N354">
            <v>1101471401</v>
          </cell>
        </row>
        <row r="355">
          <cell r="M355" t="str">
            <v>Logistics Operations-BHD 180WH</v>
          </cell>
          <cell r="N355">
            <v>1101471402</v>
          </cell>
        </row>
        <row r="356">
          <cell r="M356" t="str">
            <v>SC Planning &amp; Management-BHD 180WH</v>
          </cell>
          <cell r="N356">
            <v>1101471403</v>
          </cell>
        </row>
        <row r="357">
          <cell r="M357" t="str">
            <v>Quality Assurance-BHD 180WH</v>
          </cell>
          <cell r="N357">
            <v>1101471404</v>
          </cell>
        </row>
        <row r="358">
          <cell r="M358" t="str">
            <v>Wastage &amp; Shrinkage-BHD 180WH</v>
          </cell>
          <cell r="N358">
            <v>1101471405</v>
          </cell>
        </row>
        <row r="359">
          <cell r="M359" t="str">
            <v>Administration Services-ZNT</v>
          </cell>
          <cell r="N359">
            <v>1101480101</v>
          </cell>
        </row>
        <row r="360">
          <cell r="M360" t="str">
            <v>Security Services-ZNT</v>
          </cell>
          <cell r="N360">
            <v>1101480102</v>
          </cell>
        </row>
        <row r="361">
          <cell r="M361" t="str">
            <v>Common Cost Center-ZNT</v>
          </cell>
          <cell r="N361">
            <v>1101480501</v>
          </cell>
        </row>
        <row r="362">
          <cell r="M362" t="str">
            <v>EHS-ZNT</v>
          </cell>
          <cell r="N362">
            <v>1101480801</v>
          </cell>
        </row>
        <row r="363">
          <cell r="M363" t="str">
            <v>Repair &amp; Maintenance-ZNT</v>
          </cell>
          <cell r="N363">
            <v>1101480802</v>
          </cell>
        </row>
        <row r="364">
          <cell r="M364" t="str">
            <v>Financial Reporting &amp; Acc-ZNT</v>
          </cell>
          <cell r="N364">
            <v>1101480901</v>
          </cell>
        </row>
        <row r="365">
          <cell r="M365" t="str">
            <v>HR Operations-ZNT</v>
          </cell>
          <cell r="N365">
            <v>1101481001</v>
          </cell>
        </row>
        <row r="366">
          <cell r="M366" t="str">
            <v>Infrastructure Technology-ZNT</v>
          </cell>
          <cell r="N366">
            <v>1101481101</v>
          </cell>
        </row>
        <row r="367">
          <cell r="M367" t="str">
            <v>Legal Affairs-ZNT</v>
          </cell>
          <cell r="N367">
            <v>1101481301</v>
          </cell>
        </row>
        <row r="368">
          <cell r="M368" t="str">
            <v>Warehousing Operations-ZNT</v>
          </cell>
          <cell r="N368">
            <v>1101481401</v>
          </cell>
        </row>
        <row r="369">
          <cell r="M369" t="str">
            <v>Logistics Operations-ZNT</v>
          </cell>
          <cell r="N369">
            <v>1101481402</v>
          </cell>
        </row>
        <row r="370">
          <cell r="M370" t="str">
            <v>SC Planning &amp; Management-ZNT</v>
          </cell>
          <cell r="N370">
            <v>1101481403</v>
          </cell>
        </row>
        <row r="371">
          <cell r="M371" t="str">
            <v>Quality Assurance-ZNT</v>
          </cell>
          <cell r="N371">
            <v>1101481404</v>
          </cell>
        </row>
        <row r="372">
          <cell r="M372" t="str">
            <v>Wastage &amp; Shrinkage-ZNT</v>
          </cell>
          <cell r="N372">
            <v>1101481405</v>
          </cell>
        </row>
        <row r="373">
          <cell r="M373" t="str">
            <v>Administration Services-F&amp;V</v>
          </cell>
          <cell r="N373">
            <v>1101490101</v>
          </cell>
        </row>
        <row r="374">
          <cell r="M374" t="str">
            <v>Security Services-F&amp;V</v>
          </cell>
          <cell r="N374">
            <v>1101490102</v>
          </cell>
        </row>
        <row r="375">
          <cell r="M375" t="str">
            <v>Common Cost Center-F&amp;V</v>
          </cell>
          <cell r="N375">
            <v>1101490501</v>
          </cell>
        </row>
        <row r="376">
          <cell r="M376" t="str">
            <v>EHS-F&amp;V</v>
          </cell>
          <cell r="N376">
            <v>1101490801</v>
          </cell>
        </row>
        <row r="377">
          <cell r="M377" t="str">
            <v>Repair &amp; Maintenance-F&amp;V</v>
          </cell>
          <cell r="N377">
            <v>1101490802</v>
          </cell>
        </row>
        <row r="378">
          <cell r="M378" t="str">
            <v>Financial Reporting &amp; Acc-F&amp;V</v>
          </cell>
          <cell r="N378">
            <v>1101490901</v>
          </cell>
        </row>
        <row r="379">
          <cell r="M379" t="str">
            <v>HR Operations-F&amp;V</v>
          </cell>
          <cell r="N379">
            <v>1101491001</v>
          </cell>
        </row>
        <row r="380">
          <cell r="M380" t="str">
            <v>Infrastructure Technology-F&amp;V</v>
          </cell>
          <cell r="N380">
            <v>1101491101</v>
          </cell>
        </row>
        <row r="381">
          <cell r="M381" t="str">
            <v>Legal Affairs-F&amp;V</v>
          </cell>
          <cell r="N381">
            <v>1101491301</v>
          </cell>
        </row>
        <row r="382">
          <cell r="M382" t="str">
            <v>Warehousing Operations-F&amp;V</v>
          </cell>
          <cell r="N382">
            <v>1101491401</v>
          </cell>
        </row>
        <row r="383">
          <cell r="M383" t="str">
            <v>Logistics Operations-F&amp;V</v>
          </cell>
          <cell r="N383">
            <v>1101491402</v>
          </cell>
        </row>
        <row r="384">
          <cell r="M384" t="str">
            <v>SC Planning &amp; Management-F&amp;V</v>
          </cell>
          <cell r="N384">
            <v>1101491403</v>
          </cell>
        </row>
        <row r="385">
          <cell r="M385" t="str">
            <v>Quality Assurance-F&amp;V</v>
          </cell>
          <cell r="N385">
            <v>1101491404</v>
          </cell>
        </row>
        <row r="386">
          <cell r="M386" t="str">
            <v>Wastage &amp; Shrinkage-F&amp;V</v>
          </cell>
          <cell r="N386">
            <v>1101491405</v>
          </cell>
        </row>
        <row r="387">
          <cell r="M387" t="str">
            <v>Administration Services-Fish</v>
          </cell>
          <cell r="N387">
            <v>1101500101</v>
          </cell>
        </row>
        <row r="388">
          <cell r="M388" t="str">
            <v>Security Services-Fish</v>
          </cell>
          <cell r="N388">
            <v>1101500102</v>
          </cell>
        </row>
        <row r="389">
          <cell r="M389" t="str">
            <v>Common Cost Center-Fish</v>
          </cell>
          <cell r="N389">
            <v>1101500501</v>
          </cell>
        </row>
        <row r="390">
          <cell r="M390" t="str">
            <v>EHS-Fish</v>
          </cell>
          <cell r="N390">
            <v>1101500801</v>
          </cell>
        </row>
        <row r="391">
          <cell r="M391" t="str">
            <v>Repair &amp; Maintenance-Fish</v>
          </cell>
          <cell r="N391">
            <v>1101500802</v>
          </cell>
        </row>
        <row r="392">
          <cell r="M392" t="str">
            <v>Financial Reporting &amp; Acc-Fish</v>
          </cell>
          <cell r="N392">
            <v>1101500901</v>
          </cell>
        </row>
        <row r="393">
          <cell r="M393" t="str">
            <v>HR Operations-Fish</v>
          </cell>
          <cell r="N393">
            <v>1101501001</v>
          </cell>
        </row>
        <row r="394">
          <cell r="M394" t="str">
            <v>Infrastructure Technology-Fish</v>
          </cell>
          <cell r="N394">
            <v>1101501101</v>
          </cell>
        </row>
        <row r="395">
          <cell r="M395" t="str">
            <v>Legal Affairs-Fish</v>
          </cell>
          <cell r="N395">
            <v>1101501301</v>
          </cell>
        </row>
        <row r="396">
          <cell r="M396" t="str">
            <v>Warehousing Operations-Fish</v>
          </cell>
          <cell r="N396">
            <v>1101501401</v>
          </cell>
        </row>
        <row r="397">
          <cell r="M397" t="str">
            <v>Logistics Operations-Fish</v>
          </cell>
          <cell r="N397">
            <v>1101501402</v>
          </cell>
        </row>
        <row r="398">
          <cell r="M398" t="str">
            <v>SC Planning &amp; Management-Fish</v>
          </cell>
          <cell r="N398">
            <v>1101501403</v>
          </cell>
        </row>
        <row r="399">
          <cell r="M399" t="str">
            <v>Quality Assurance-Fish</v>
          </cell>
          <cell r="N399">
            <v>1101501404</v>
          </cell>
        </row>
        <row r="400">
          <cell r="M400" t="str">
            <v>Wastage &amp; Shrinkage-Fish</v>
          </cell>
          <cell r="N400">
            <v>1101501405</v>
          </cell>
        </row>
        <row r="401">
          <cell r="M401" t="str">
            <v>Administration Services-Gallaria</v>
          </cell>
          <cell r="N401">
            <v>1101510101</v>
          </cell>
        </row>
        <row r="402">
          <cell r="M402" t="str">
            <v>Security Services-Gallaria</v>
          </cell>
          <cell r="N402">
            <v>1101510102</v>
          </cell>
        </row>
        <row r="403">
          <cell r="M403" t="str">
            <v>Common Cost Center-Gallaria</v>
          </cell>
          <cell r="N403">
            <v>1101510501</v>
          </cell>
        </row>
        <row r="404">
          <cell r="M404" t="str">
            <v>EHS-Gallaria</v>
          </cell>
          <cell r="N404">
            <v>1101510801</v>
          </cell>
        </row>
        <row r="405">
          <cell r="M405" t="str">
            <v>Repair &amp; Maintenance-Gallaria</v>
          </cell>
          <cell r="N405">
            <v>1101510802</v>
          </cell>
        </row>
        <row r="406">
          <cell r="M406" t="str">
            <v>Financial Reporting &amp; Acc-Gallaria</v>
          </cell>
          <cell r="N406">
            <v>1101510901</v>
          </cell>
        </row>
        <row r="407">
          <cell r="M407" t="str">
            <v>HR Operations-Gallaria</v>
          </cell>
          <cell r="N407">
            <v>1101511001</v>
          </cell>
        </row>
        <row r="408">
          <cell r="M408" t="str">
            <v>Infrastructure Technology-Gallaria</v>
          </cell>
          <cell r="N408">
            <v>1101511101</v>
          </cell>
        </row>
        <row r="409">
          <cell r="M409" t="str">
            <v>Legal Affairs-Gallaria</v>
          </cell>
          <cell r="N409">
            <v>1101511301</v>
          </cell>
        </row>
        <row r="410">
          <cell r="M410" t="str">
            <v>Warehousing Operations-Gallaria</v>
          </cell>
          <cell r="N410">
            <v>1101511401</v>
          </cell>
        </row>
        <row r="411">
          <cell r="M411" t="str">
            <v>Logistics Operations-Gallaria</v>
          </cell>
          <cell r="N411">
            <v>1101511402</v>
          </cell>
        </row>
        <row r="412">
          <cell r="M412" t="str">
            <v>SC Planning &amp; Management-Gallaria</v>
          </cell>
          <cell r="N412">
            <v>1101511403</v>
          </cell>
        </row>
        <row r="413">
          <cell r="M413" t="str">
            <v>Quality Assurance-Gallaria</v>
          </cell>
          <cell r="N413">
            <v>1101511404</v>
          </cell>
        </row>
        <row r="414">
          <cell r="M414" t="str">
            <v>Wastage &amp; Shrinkage-Gallaria</v>
          </cell>
          <cell r="N414">
            <v>1101511405</v>
          </cell>
        </row>
        <row r="415">
          <cell r="M415" t="str">
            <v>Administration Services-KOR</v>
          </cell>
          <cell r="N415">
            <v>1101520101</v>
          </cell>
        </row>
        <row r="416">
          <cell r="M416" t="str">
            <v>Security Services-KOR</v>
          </cell>
          <cell r="N416">
            <v>1101520102</v>
          </cell>
        </row>
        <row r="417">
          <cell r="M417" t="str">
            <v>Common Cost Center-KOR</v>
          </cell>
          <cell r="N417">
            <v>1101520501</v>
          </cell>
        </row>
        <row r="418">
          <cell r="M418" t="str">
            <v>Financial Reporting &amp; Acc-KOR</v>
          </cell>
          <cell r="N418">
            <v>1101520901</v>
          </cell>
        </row>
        <row r="419">
          <cell r="M419" t="str">
            <v>EHS-KOR</v>
          </cell>
          <cell r="N419">
            <v>1101520801</v>
          </cell>
        </row>
        <row r="420">
          <cell r="M420" t="str">
            <v>Repair &amp; Maintenance-KOR</v>
          </cell>
          <cell r="N420">
            <v>1101520802</v>
          </cell>
        </row>
        <row r="421">
          <cell r="M421" t="str">
            <v>HR Operations-KOR</v>
          </cell>
          <cell r="N421">
            <v>1101521001</v>
          </cell>
        </row>
        <row r="422">
          <cell r="M422" t="str">
            <v>Infrastructure Technology-KOR</v>
          </cell>
          <cell r="N422">
            <v>1101521101</v>
          </cell>
        </row>
        <row r="423">
          <cell r="M423" t="str">
            <v>Legal Affairs-KOR</v>
          </cell>
          <cell r="N423">
            <v>1101521301</v>
          </cell>
        </row>
        <row r="424">
          <cell r="M424" t="str">
            <v>Warehousing Operations-KOR</v>
          </cell>
          <cell r="N424">
            <v>1101521401</v>
          </cell>
        </row>
        <row r="425">
          <cell r="M425" t="str">
            <v>Logistics Operations-KOR</v>
          </cell>
          <cell r="N425">
            <v>1101521402</v>
          </cell>
        </row>
        <row r="426">
          <cell r="M426" t="str">
            <v>SC Planning &amp; Management-KOR</v>
          </cell>
          <cell r="N426">
            <v>1101521403</v>
          </cell>
        </row>
        <row r="427">
          <cell r="M427" t="str">
            <v>Quality Assurance-KOR</v>
          </cell>
          <cell r="N427">
            <v>1101521404</v>
          </cell>
        </row>
        <row r="428">
          <cell r="M428" t="str">
            <v>Wastage &amp; Shrinkage-KOR</v>
          </cell>
          <cell r="N428">
            <v>1101521405</v>
          </cell>
        </row>
        <row r="429">
          <cell r="M429" t="str">
            <v>Administration Services-PNM(11A)</v>
          </cell>
          <cell r="N429">
            <v>1101530101</v>
          </cell>
        </row>
        <row r="430">
          <cell r="M430" t="str">
            <v>Security Services-PNM(11A)</v>
          </cell>
          <cell r="N430">
            <v>1101530102</v>
          </cell>
        </row>
        <row r="431">
          <cell r="M431" t="str">
            <v>Common Cost Center-PNM(11A)</v>
          </cell>
          <cell r="N431">
            <v>1101530501</v>
          </cell>
        </row>
        <row r="432">
          <cell r="M432" t="str">
            <v>Financial Reporting &amp; Acc-PNM(11A)</v>
          </cell>
          <cell r="N432">
            <v>1101530901</v>
          </cell>
        </row>
        <row r="433">
          <cell r="M433" t="str">
            <v>EHS-PNM(11A)</v>
          </cell>
          <cell r="N433">
            <v>1101530801</v>
          </cell>
        </row>
        <row r="434">
          <cell r="M434" t="str">
            <v>Repair &amp; Maintenance-PNM(11A)</v>
          </cell>
          <cell r="N434">
            <v>1101530802</v>
          </cell>
        </row>
        <row r="435">
          <cell r="M435" t="str">
            <v>HR Operations-PNM(11A)</v>
          </cell>
          <cell r="N435">
            <v>1101531001</v>
          </cell>
        </row>
        <row r="436">
          <cell r="M436" t="str">
            <v>Infrastructure Technology-PNM(11A)</v>
          </cell>
          <cell r="N436">
            <v>1101531101</v>
          </cell>
        </row>
        <row r="437">
          <cell r="M437" t="str">
            <v>Legal Affairs-PNM(11A)</v>
          </cell>
          <cell r="N437">
            <v>1101531301</v>
          </cell>
        </row>
        <row r="438">
          <cell r="M438" t="str">
            <v>Warehousing Operations-PNM(11A)</v>
          </cell>
          <cell r="N438">
            <v>1101531401</v>
          </cell>
        </row>
        <row r="439">
          <cell r="M439" t="str">
            <v>Logistics Operations-PNM(11A)</v>
          </cell>
          <cell r="N439">
            <v>1101531402</v>
          </cell>
        </row>
        <row r="440">
          <cell r="M440" t="str">
            <v>SC Planning &amp; Management-PNM(11A)</v>
          </cell>
          <cell r="N440">
            <v>1101531403</v>
          </cell>
        </row>
        <row r="441">
          <cell r="M441" t="str">
            <v>Quality Assurance-PNM(11A)</v>
          </cell>
          <cell r="N441">
            <v>1101531404</v>
          </cell>
        </row>
        <row r="442">
          <cell r="M442" t="str">
            <v>Wastage &amp; Shrinkage-PNM(11A)</v>
          </cell>
          <cell r="N442">
            <v>1101531405</v>
          </cell>
        </row>
        <row r="443">
          <cell r="M443" t="str">
            <v>Legal Affairs-DMG</v>
          </cell>
          <cell r="N443">
            <v>1101541301</v>
          </cell>
        </row>
        <row r="444">
          <cell r="M444" t="str">
            <v>Infrastructure Technology-DMG</v>
          </cell>
          <cell r="N444">
            <v>1101541101</v>
          </cell>
        </row>
        <row r="445">
          <cell r="M445" t="str">
            <v>HR Operations-DMG</v>
          </cell>
          <cell r="N445">
            <v>1101541001</v>
          </cell>
        </row>
        <row r="446">
          <cell r="M446" t="str">
            <v>Financial Planning &amp; Budg.-DMG</v>
          </cell>
          <cell r="N446">
            <v>1101540902</v>
          </cell>
        </row>
        <row r="447">
          <cell r="M447" t="str">
            <v>Financial Reporting &amp; Acc-DMG</v>
          </cell>
          <cell r="N447">
            <v>1101540901</v>
          </cell>
        </row>
        <row r="448">
          <cell r="M448" t="str">
            <v>Repair &amp; Maintenance-DMG</v>
          </cell>
          <cell r="N448">
            <v>1101540802</v>
          </cell>
        </row>
        <row r="449">
          <cell r="M449" t="str">
            <v>EHS-DMG</v>
          </cell>
          <cell r="N449">
            <v>1101540801</v>
          </cell>
        </row>
        <row r="450">
          <cell r="M450" t="str">
            <v>Common Cost Center-DMG</v>
          </cell>
          <cell r="N450">
            <v>1101540501</v>
          </cell>
        </row>
        <row r="451">
          <cell r="M451" t="str">
            <v>Quality Assurance-DMG</v>
          </cell>
          <cell r="N451">
            <v>1101541604</v>
          </cell>
        </row>
        <row r="452">
          <cell r="M452" t="str">
            <v>Production Operations-DMG</v>
          </cell>
          <cell r="N452">
            <v>1101541603</v>
          </cell>
        </row>
        <row r="453">
          <cell r="M453" t="str">
            <v>Logistics &amp; Warehousing-DMG</v>
          </cell>
          <cell r="N453">
            <v>1101541602</v>
          </cell>
        </row>
        <row r="454">
          <cell r="M454" t="str">
            <v>Production Management-DMG</v>
          </cell>
          <cell r="N454">
            <v>1101541601</v>
          </cell>
        </row>
        <row r="455">
          <cell r="M455" t="str">
            <v>Wastage &amp; Shrinkage-DMG</v>
          </cell>
          <cell r="N455">
            <v>1101541605</v>
          </cell>
        </row>
        <row r="456">
          <cell r="M456" t="str">
            <v>Security Services-DMG</v>
          </cell>
          <cell r="N456">
            <v>1101540102</v>
          </cell>
        </row>
        <row r="457">
          <cell r="M457" t="str">
            <v>Administration Services-DMG</v>
          </cell>
          <cell r="N457">
            <v>1101540101</v>
          </cell>
        </row>
        <row r="458">
          <cell r="M458" t="str">
            <v>Production Operations-PNM NLC</v>
          </cell>
          <cell r="N458">
            <v>1101551603</v>
          </cell>
        </row>
        <row r="459">
          <cell r="M459" t="str">
            <v>Wastage &amp; Shrinkage-PNM NLC</v>
          </cell>
          <cell r="N459">
            <v>1101551405</v>
          </cell>
        </row>
        <row r="460">
          <cell r="M460" t="str">
            <v>Quality Assurance-PNM NLC</v>
          </cell>
          <cell r="N460">
            <v>1101551404</v>
          </cell>
        </row>
        <row r="461">
          <cell r="M461" t="str">
            <v>SC Planning &amp; Management-PNM NLC</v>
          </cell>
          <cell r="N461">
            <v>1101551403</v>
          </cell>
        </row>
        <row r="462">
          <cell r="M462" t="str">
            <v>Logistics Operations-PNM NLC</v>
          </cell>
          <cell r="N462">
            <v>1101551402</v>
          </cell>
        </row>
        <row r="463">
          <cell r="M463" t="str">
            <v>Warehousing Operations-PNM NLC</v>
          </cell>
          <cell r="N463">
            <v>1101551401</v>
          </cell>
        </row>
        <row r="464">
          <cell r="M464" t="str">
            <v>Legal Affairs-PNM NLC</v>
          </cell>
          <cell r="N464">
            <v>1101551301</v>
          </cell>
        </row>
        <row r="465">
          <cell r="M465" t="str">
            <v>Infrastructure Technology-PNM NLC</v>
          </cell>
          <cell r="N465">
            <v>1101551101</v>
          </cell>
        </row>
        <row r="466">
          <cell r="M466" t="str">
            <v>HR Operations-PNM NLC</v>
          </cell>
          <cell r="N466">
            <v>1101551001</v>
          </cell>
        </row>
        <row r="467">
          <cell r="M467" t="str">
            <v>Financial Reporting &amp; Acc-PNM NLC</v>
          </cell>
          <cell r="N467">
            <v>1101550901</v>
          </cell>
        </row>
        <row r="468">
          <cell r="M468" t="str">
            <v>Repair &amp; Maintenance-PNM NLC</v>
          </cell>
          <cell r="N468">
            <v>1101550802</v>
          </cell>
        </row>
        <row r="469">
          <cell r="M469" t="str">
            <v>EHS-PNM NLC</v>
          </cell>
          <cell r="N469">
            <v>1101550801</v>
          </cell>
        </row>
        <row r="470">
          <cell r="M470" t="str">
            <v>Security Services-PNM-NLC</v>
          </cell>
          <cell r="N470">
            <v>1101550102</v>
          </cell>
        </row>
        <row r="471">
          <cell r="M471" t="str">
            <v>Administration Services-PNM NLC</v>
          </cell>
          <cell r="N471">
            <v>1101550101</v>
          </cell>
        </row>
        <row r="472">
          <cell r="M472" t="str">
            <v>Common Cost Center - PNM NLC</v>
          </cell>
          <cell r="N472">
            <v>1101550501</v>
          </cell>
        </row>
        <row r="473">
          <cell r="M473" t="str">
            <v>Security Services- STND BHD 176</v>
          </cell>
          <cell r="N473">
            <v>1101560102</v>
          </cell>
        </row>
        <row r="474">
          <cell r="M474" t="str">
            <v>Administration Services- STND BHD 176</v>
          </cell>
          <cell r="N474">
            <v>1101560101</v>
          </cell>
        </row>
        <row r="475">
          <cell r="M475" t="str">
            <v>Common Cost Center - STND BHD 176</v>
          </cell>
          <cell r="N475">
            <v>1101560501</v>
          </cell>
        </row>
        <row r="476">
          <cell r="M476" t="str">
            <v>Repair &amp; Maintenance-STND-BHD 176</v>
          </cell>
          <cell r="N476">
            <v>1101560802</v>
          </cell>
        </row>
        <row r="477">
          <cell r="M477" t="str">
            <v>EHS-STND - BHD 176</v>
          </cell>
          <cell r="N477">
            <v>1101560801</v>
          </cell>
        </row>
        <row r="478">
          <cell r="M478" t="str">
            <v>Financial Reporting &amp; Acc-STND-BHD 176</v>
          </cell>
          <cell r="N478">
            <v>1101560901</v>
          </cell>
        </row>
        <row r="479">
          <cell r="M479" t="str">
            <v>HR Operations-STND-BHD 176</v>
          </cell>
          <cell r="N479">
            <v>1101561001</v>
          </cell>
        </row>
        <row r="480">
          <cell r="M480" t="str">
            <v>Infrastructure Technology-STND-BHD 176</v>
          </cell>
          <cell r="N480">
            <v>1101561101</v>
          </cell>
        </row>
        <row r="481">
          <cell r="M481" t="str">
            <v>Legal Affairs- STND - BHD 176</v>
          </cell>
          <cell r="N481">
            <v>1101561301</v>
          </cell>
        </row>
        <row r="482">
          <cell r="M482" t="str">
            <v>Wastage- STND - BHD 176</v>
          </cell>
          <cell r="N482">
            <v>1101561405</v>
          </cell>
        </row>
        <row r="483">
          <cell r="M483" t="str">
            <v>SC Planning &amp; Management - STND -BHD 176</v>
          </cell>
          <cell r="N483">
            <v>1101561403</v>
          </cell>
        </row>
        <row r="484">
          <cell r="M484" t="str">
            <v>Logistics Operations - STND - BHD 176</v>
          </cell>
          <cell r="N484">
            <v>1101561402</v>
          </cell>
        </row>
        <row r="485">
          <cell r="M485" t="str">
            <v>Warehousing Operations-STND BHD 176</v>
          </cell>
          <cell r="N485">
            <v>1101561401</v>
          </cell>
        </row>
        <row r="486">
          <cell r="M486" t="str">
            <v>QA- STND - BHD 176</v>
          </cell>
          <cell r="N486">
            <v>1101561404</v>
          </cell>
        </row>
        <row r="487">
          <cell r="M487" t="str">
            <v>Administration Services- STND PQ</v>
          </cell>
          <cell r="N487">
            <v>1101570101</v>
          </cell>
        </row>
        <row r="488">
          <cell r="M488" t="str">
            <v>Security Services- STND PQ</v>
          </cell>
          <cell r="N488">
            <v>1101570102</v>
          </cell>
        </row>
        <row r="489">
          <cell r="M489" t="str">
            <v>Common Cost Center - Port Qasim</v>
          </cell>
          <cell r="N489">
            <v>1101570501</v>
          </cell>
        </row>
        <row r="490">
          <cell r="M490" t="str">
            <v>EHS-STND - Port Qasim</v>
          </cell>
          <cell r="N490">
            <v>1101570801</v>
          </cell>
        </row>
        <row r="491">
          <cell r="M491" t="str">
            <v>Repair &amp; Maintenance-STND-PQ</v>
          </cell>
          <cell r="N491">
            <v>1101570802</v>
          </cell>
        </row>
        <row r="492">
          <cell r="M492" t="str">
            <v>Financial Reporting &amp; Acc-STND-PQ</v>
          </cell>
          <cell r="N492">
            <v>1101570901</v>
          </cell>
        </row>
        <row r="493">
          <cell r="M493" t="str">
            <v>HR Operations-STND-PQ</v>
          </cell>
          <cell r="N493">
            <v>1101571001</v>
          </cell>
        </row>
        <row r="494">
          <cell r="M494" t="str">
            <v>Infrastructure Technology-STND-PQ</v>
          </cell>
          <cell r="N494">
            <v>1101571101</v>
          </cell>
        </row>
        <row r="495">
          <cell r="M495" t="str">
            <v>Legal Affairs- STND - PQ</v>
          </cell>
          <cell r="N495">
            <v>1101571301</v>
          </cell>
        </row>
        <row r="496">
          <cell r="M496" t="str">
            <v>Warehousing Operations-STND PQ</v>
          </cell>
          <cell r="N496">
            <v>1101571401</v>
          </cell>
        </row>
        <row r="497">
          <cell r="M497" t="str">
            <v>Logistics Operations - STND - PQ</v>
          </cell>
          <cell r="N497">
            <v>1101571402</v>
          </cell>
        </row>
        <row r="498">
          <cell r="M498" t="str">
            <v>SC Planning &amp; Management - STND - PQ</v>
          </cell>
          <cell r="N498">
            <v>1101571403</v>
          </cell>
        </row>
        <row r="499">
          <cell r="M499" t="str">
            <v>QA- STND - PQ</v>
          </cell>
          <cell r="N499">
            <v>1101571404</v>
          </cell>
        </row>
        <row r="500">
          <cell r="M500" t="str">
            <v>Wastage- STND - PQ</v>
          </cell>
          <cell r="N500">
            <v>1101571405</v>
          </cell>
        </row>
        <row r="501">
          <cell r="M501" t="str">
            <v>Administration Services-PNM</v>
          </cell>
          <cell r="N501">
            <v>1101800101</v>
          </cell>
        </row>
        <row r="502">
          <cell r="M502" t="str">
            <v>Security Services-PNM</v>
          </cell>
          <cell r="N502">
            <v>1101800102</v>
          </cell>
        </row>
        <row r="503">
          <cell r="M503" t="str">
            <v>Common Cost Center-PNM</v>
          </cell>
          <cell r="N503">
            <v>1101800501</v>
          </cell>
        </row>
        <row r="504">
          <cell r="M504" t="str">
            <v>EHS-PNM</v>
          </cell>
          <cell r="N504">
            <v>1101800801</v>
          </cell>
        </row>
        <row r="505">
          <cell r="M505" t="str">
            <v>Repair &amp; Maintenance-PNM</v>
          </cell>
          <cell r="N505">
            <v>1101800802</v>
          </cell>
        </row>
        <row r="506">
          <cell r="M506" t="str">
            <v>Financial Reporting &amp; Acc-PNM</v>
          </cell>
          <cell r="N506">
            <v>1101800901</v>
          </cell>
        </row>
        <row r="507">
          <cell r="M507" t="str">
            <v>Financial Planning &amp; Budg.-PNM</v>
          </cell>
          <cell r="N507">
            <v>1101800902</v>
          </cell>
        </row>
        <row r="508">
          <cell r="M508" t="str">
            <v>HR Operations-PNM</v>
          </cell>
          <cell r="N508">
            <v>1101801001</v>
          </cell>
        </row>
        <row r="509">
          <cell r="M509" t="str">
            <v>Infrastructure Technology-PNM</v>
          </cell>
          <cell r="N509">
            <v>1101801101</v>
          </cell>
        </row>
        <row r="510">
          <cell r="M510" t="str">
            <v>Legal Affairs-PNM</v>
          </cell>
          <cell r="N510">
            <v>1101801301</v>
          </cell>
        </row>
        <row r="511">
          <cell r="M511" t="str">
            <v>Production Management-PNM</v>
          </cell>
          <cell r="N511">
            <v>1101801601</v>
          </cell>
        </row>
        <row r="512">
          <cell r="M512" t="str">
            <v>Logistics &amp; Warehousing-PNM</v>
          </cell>
          <cell r="N512">
            <v>1101801602</v>
          </cell>
        </row>
        <row r="513">
          <cell r="M513" t="str">
            <v>Production Operations-PNM</v>
          </cell>
          <cell r="N513">
            <v>1101801603</v>
          </cell>
        </row>
        <row r="514">
          <cell r="M514" t="str">
            <v>Quality Assurance-PNM</v>
          </cell>
          <cell r="N514">
            <v>1101801604</v>
          </cell>
        </row>
        <row r="515">
          <cell r="M515" t="str">
            <v>Wastage &amp; Shrinkage-PNM</v>
          </cell>
          <cell r="N515">
            <v>1101801605</v>
          </cell>
        </row>
        <row r="516">
          <cell r="M516" t="str">
            <v>Administration Services-IRM</v>
          </cell>
          <cell r="N516">
            <v>1101810101</v>
          </cell>
        </row>
        <row r="517">
          <cell r="M517" t="str">
            <v>Security Services-IRM</v>
          </cell>
          <cell r="N517">
            <v>1101810102</v>
          </cell>
        </row>
        <row r="518">
          <cell r="M518" t="str">
            <v>Common Cost Center-IRM</v>
          </cell>
          <cell r="N518">
            <v>1101810501</v>
          </cell>
        </row>
        <row r="519">
          <cell r="M519" t="str">
            <v>EHS-IRM</v>
          </cell>
          <cell r="N519">
            <v>1101810801</v>
          </cell>
        </row>
        <row r="520">
          <cell r="M520" t="str">
            <v>Repair &amp; Maintenance-IRM</v>
          </cell>
          <cell r="N520">
            <v>1101810802</v>
          </cell>
        </row>
        <row r="521">
          <cell r="M521" t="str">
            <v>Financial Reporting &amp; Acc-IRM</v>
          </cell>
          <cell r="N521">
            <v>1101810901</v>
          </cell>
        </row>
        <row r="522">
          <cell r="M522" t="str">
            <v>Financial Planning &amp; Budg.-IRM</v>
          </cell>
          <cell r="N522">
            <v>1101810902</v>
          </cell>
        </row>
        <row r="523">
          <cell r="M523" t="str">
            <v>HR Operations-IRM</v>
          </cell>
          <cell r="N523">
            <v>1101811001</v>
          </cell>
        </row>
        <row r="524">
          <cell r="M524" t="str">
            <v>Infrastructure Technology-IRM</v>
          </cell>
          <cell r="N524">
            <v>1101811101</v>
          </cell>
        </row>
        <row r="525">
          <cell r="M525" t="str">
            <v>Legal Affairs-IRM</v>
          </cell>
          <cell r="N525">
            <v>1101811301</v>
          </cell>
        </row>
        <row r="526">
          <cell r="M526" t="str">
            <v>Production Management-IRM</v>
          </cell>
          <cell r="N526">
            <v>1101811601</v>
          </cell>
        </row>
        <row r="527">
          <cell r="M527" t="str">
            <v>Logistics &amp; Warehousing-IRM</v>
          </cell>
          <cell r="N527">
            <v>1101811602</v>
          </cell>
        </row>
        <row r="528">
          <cell r="M528" t="str">
            <v>Production Operations-IRM</v>
          </cell>
          <cell r="N528">
            <v>1101811603</v>
          </cell>
        </row>
        <row r="529">
          <cell r="M529" t="str">
            <v>Quality Assurance-IRM</v>
          </cell>
          <cell r="N529">
            <v>1101811604</v>
          </cell>
        </row>
        <row r="530">
          <cell r="M530" t="str">
            <v>Wastage &amp; Shrinkage-IRM</v>
          </cell>
          <cell r="N530">
            <v>1101811605</v>
          </cell>
        </row>
        <row r="531">
          <cell r="M531" t="str">
            <v>Administration Services-PNM DF</v>
          </cell>
          <cell r="N531">
            <v>1101820101</v>
          </cell>
        </row>
        <row r="532">
          <cell r="M532" t="str">
            <v>Security Services-PNM DF</v>
          </cell>
          <cell r="N532">
            <v>1101820102</v>
          </cell>
        </row>
        <row r="533">
          <cell r="M533" t="str">
            <v>Common Cost Center-PNM DF</v>
          </cell>
          <cell r="N533">
            <v>1101820501</v>
          </cell>
        </row>
        <row r="534">
          <cell r="M534" t="str">
            <v>EHS-PNM DF</v>
          </cell>
          <cell r="N534">
            <v>1101820801</v>
          </cell>
        </row>
        <row r="535">
          <cell r="M535" t="str">
            <v>Repair &amp; Maintenance-PNM DF</v>
          </cell>
          <cell r="N535">
            <v>1101820802</v>
          </cell>
        </row>
        <row r="536">
          <cell r="M536" t="str">
            <v>Financial Reporting &amp; Acc-PNM DF</v>
          </cell>
          <cell r="N536">
            <v>1101820901</v>
          </cell>
        </row>
        <row r="537">
          <cell r="M537" t="str">
            <v>Financial Planning &amp; Budg.-PNM DF</v>
          </cell>
          <cell r="N537">
            <v>1101820902</v>
          </cell>
        </row>
        <row r="538">
          <cell r="M538" t="str">
            <v>HR Operations-PNM DF</v>
          </cell>
          <cell r="N538">
            <v>1101821001</v>
          </cell>
        </row>
        <row r="539">
          <cell r="M539" t="str">
            <v>Infrastructure Technology-PNM DF</v>
          </cell>
          <cell r="N539">
            <v>1101821101</v>
          </cell>
        </row>
        <row r="540">
          <cell r="M540" t="str">
            <v>Legal Affairs-PNM DF</v>
          </cell>
          <cell r="N540">
            <v>1101821301</v>
          </cell>
        </row>
        <row r="541">
          <cell r="M541" t="str">
            <v>Production Management-PNM DF</v>
          </cell>
          <cell r="N541">
            <v>1101821601</v>
          </cell>
        </row>
        <row r="542">
          <cell r="M542" t="str">
            <v>Logistics &amp; Warehousing-PNM DF</v>
          </cell>
          <cell r="N542">
            <v>1101821602</v>
          </cell>
        </row>
        <row r="543">
          <cell r="M543" t="str">
            <v>Production Operations-PNM DF</v>
          </cell>
          <cell r="N543">
            <v>1101821603</v>
          </cell>
        </row>
        <row r="544">
          <cell r="M544" t="str">
            <v>Quality Assurance-PNM DF</v>
          </cell>
          <cell r="N544">
            <v>1101821604</v>
          </cell>
        </row>
        <row r="545">
          <cell r="M545" t="str">
            <v>Wastage &amp; Shrinkage-PNM DF</v>
          </cell>
          <cell r="N545">
            <v>1101821605</v>
          </cell>
        </row>
        <row r="546">
          <cell r="M546" t="str">
            <v>Administration Services-GulCuisine</v>
          </cell>
          <cell r="N546">
            <v>1101830101</v>
          </cell>
        </row>
        <row r="547">
          <cell r="M547" t="str">
            <v>Security Services-GulCuisine</v>
          </cell>
          <cell r="N547">
            <v>1101830102</v>
          </cell>
        </row>
        <row r="548">
          <cell r="M548" t="str">
            <v>Common Cost Center-GulCuisine</v>
          </cell>
          <cell r="N548">
            <v>1101830501</v>
          </cell>
        </row>
        <row r="549">
          <cell r="M549" t="str">
            <v>EHS-GulCuisine</v>
          </cell>
          <cell r="N549">
            <v>1101830801</v>
          </cell>
        </row>
        <row r="550">
          <cell r="M550" t="str">
            <v>Repair &amp; Maintenance-GulCuisine</v>
          </cell>
          <cell r="N550">
            <v>1101830802</v>
          </cell>
        </row>
        <row r="551">
          <cell r="M551" t="str">
            <v>Financial Planning &amp; Budg.-GulCuisine</v>
          </cell>
          <cell r="N551">
            <v>1101830902</v>
          </cell>
        </row>
        <row r="552">
          <cell r="M552" t="str">
            <v>HR Operations-GulCuisine</v>
          </cell>
          <cell r="N552">
            <v>1101831001</v>
          </cell>
        </row>
        <row r="553">
          <cell r="M553" t="str">
            <v>Infrastructure Technology-GulCuisine</v>
          </cell>
          <cell r="N553">
            <v>1101831101</v>
          </cell>
        </row>
        <row r="554">
          <cell r="M554" t="str">
            <v>Legal Affairs-GulCuisine</v>
          </cell>
          <cell r="N554">
            <v>1101831301</v>
          </cell>
        </row>
        <row r="555">
          <cell r="M555" t="str">
            <v>Production Management-GulCuisine</v>
          </cell>
          <cell r="N555">
            <v>1101831601</v>
          </cell>
        </row>
        <row r="556">
          <cell r="M556" t="str">
            <v>Logistics &amp; Warehousing-GulCuisine</v>
          </cell>
          <cell r="N556">
            <v>1101831602</v>
          </cell>
        </row>
        <row r="557">
          <cell r="M557" t="str">
            <v>Production Operations-GulCuisine (Bak)</v>
          </cell>
          <cell r="N557">
            <v>1101831603</v>
          </cell>
        </row>
        <row r="558">
          <cell r="M558" t="str">
            <v>Quality Assurance-GulCuisine</v>
          </cell>
          <cell r="N558">
            <v>1101831604</v>
          </cell>
        </row>
        <row r="559">
          <cell r="M559" t="str">
            <v>Wastage &amp; Shrinkage-GulCuisine</v>
          </cell>
          <cell r="N559">
            <v>1101831605</v>
          </cell>
        </row>
        <row r="560">
          <cell r="M560" t="str">
            <v>Administration Services-DHACuisine</v>
          </cell>
          <cell r="N560">
            <v>1101840101</v>
          </cell>
        </row>
        <row r="561">
          <cell r="M561" t="str">
            <v>Security Services-DHACuisine</v>
          </cell>
          <cell r="N561">
            <v>1101840102</v>
          </cell>
        </row>
        <row r="562">
          <cell r="M562" t="str">
            <v>Common Cost Center-DHACuisine</v>
          </cell>
          <cell r="N562">
            <v>1101840501</v>
          </cell>
        </row>
        <row r="563">
          <cell r="M563" t="str">
            <v>EHS-DHACuisine</v>
          </cell>
          <cell r="N563">
            <v>1101840801</v>
          </cell>
        </row>
        <row r="564">
          <cell r="M564" t="str">
            <v>Repair &amp; Maintenance-DHACuisine</v>
          </cell>
          <cell r="N564">
            <v>1101840802</v>
          </cell>
        </row>
        <row r="565">
          <cell r="M565" t="str">
            <v>Financial Planning &amp; Budg.-DHACuisine</v>
          </cell>
          <cell r="N565">
            <v>1101840902</v>
          </cell>
        </row>
        <row r="566">
          <cell r="M566" t="str">
            <v>HR Operations-DHACuisine</v>
          </cell>
          <cell r="N566">
            <v>1101841001</v>
          </cell>
        </row>
        <row r="567">
          <cell r="M567" t="str">
            <v>Infrastructure Technology-DHACuisine</v>
          </cell>
          <cell r="N567">
            <v>1101841101</v>
          </cell>
        </row>
        <row r="568">
          <cell r="M568" t="str">
            <v>Legal Affairs-DHACuisine</v>
          </cell>
          <cell r="N568">
            <v>1101841301</v>
          </cell>
        </row>
        <row r="569">
          <cell r="M569" t="str">
            <v>Production Management-DHACuisine</v>
          </cell>
          <cell r="N569">
            <v>1101841601</v>
          </cell>
        </row>
        <row r="570">
          <cell r="M570" t="str">
            <v>Logistics &amp; Warehousing-DHACuisine</v>
          </cell>
          <cell r="N570">
            <v>1101841602</v>
          </cell>
        </row>
        <row r="571">
          <cell r="M571" t="str">
            <v>Production Operations-DHACuisine (Bak)</v>
          </cell>
          <cell r="N571">
            <v>1101841603</v>
          </cell>
        </row>
        <row r="572">
          <cell r="M572" t="str">
            <v>Quality Assurance-DHACuisine</v>
          </cell>
          <cell r="N572">
            <v>1101841604</v>
          </cell>
        </row>
        <row r="573">
          <cell r="M573" t="str">
            <v>Wastage &amp; Shrinkage-DHACuisine</v>
          </cell>
          <cell r="N573">
            <v>1101841605</v>
          </cell>
        </row>
        <row r="574">
          <cell r="M574" t="str">
            <v>Administration Services-ZZMCuisine</v>
          </cell>
          <cell r="N574">
            <v>1101850101</v>
          </cell>
        </row>
        <row r="575">
          <cell r="M575" t="str">
            <v>Security Services-ZZMCuisine</v>
          </cell>
          <cell r="N575">
            <v>1101850102</v>
          </cell>
        </row>
        <row r="576">
          <cell r="M576" t="str">
            <v>Common Cost Center-ZZMCuisine</v>
          </cell>
          <cell r="N576">
            <v>1101850501</v>
          </cell>
        </row>
        <row r="577">
          <cell r="M577" t="str">
            <v>EHS-ZZMCuisine</v>
          </cell>
          <cell r="N577">
            <v>1101850801</v>
          </cell>
        </row>
        <row r="578">
          <cell r="M578" t="str">
            <v>Repair &amp; Maintenance-ZZMCuisine</v>
          </cell>
          <cell r="N578">
            <v>1101850802</v>
          </cell>
        </row>
        <row r="579">
          <cell r="M579" t="str">
            <v>Financial Planning &amp; Budg.-ZZMCuisine</v>
          </cell>
          <cell r="N579">
            <v>1101850902</v>
          </cell>
        </row>
        <row r="580">
          <cell r="M580" t="str">
            <v>HR Operations-ZZMCuisine</v>
          </cell>
          <cell r="N580">
            <v>1101851001</v>
          </cell>
        </row>
        <row r="581">
          <cell r="M581" t="str">
            <v>Infrastructure Technology-ZZMCuisine</v>
          </cell>
          <cell r="N581">
            <v>1101851101</v>
          </cell>
        </row>
        <row r="582">
          <cell r="M582" t="str">
            <v>Legal Affairs-ZZMCuisine</v>
          </cell>
          <cell r="N582">
            <v>1101851301</v>
          </cell>
        </row>
        <row r="583">
          <cell r="M583" t="str">
            <v>Production Management-ZZMCuisine</v>
          </cell>
          <cell r="N583">
            <v>1101851601</v>
          </cell>
        </row>
        <row r="584">
          <cell r="M584" t="str">
            <v>Logistics &amp; Warehousing-ZZMCuisine</v>
          </cell>
          <cell r="N584">
            <v>1101851602</v>
          </cell>
        </row>
        <row r="585">
          <cell r="M585" t="str">
            <v>Production Operations-ZZMCuisine (Bak)</v>
          </cell>
          <cell r="N585">
            <v>1101851603</v>
          </cell>
        </row>
        <row r="586">
          <cell r="M586" t="str">
            <v>Quality Assurance-ZZMCuisine</v>
          </cell>
          <cell r="N586">
            <v>1101851604</v>
          </cell>
        </row>
        <row r="587">
          <cell r="M587" t="str">
            <v>Wastage &amp; Shrinkage-ZZMCuisine</v>
          </cell>
          <cell r="N587">
            <v>1101851605</v>
          </cell>
        </row>
        <row r="588">
          <cell r="M588" t="str">
            <v>Administration Services-SCC Cuisine</v>
          </cell>
          <cell r="N588">
            <v>1101860101</v>
          </cell>
        </row>
        <row r="589">
          <cell r="M589" t="str">
            <v>Security Services-SCC Cuisine</v>
          </cell>
          <cell r="N589">
            <v>1101860102</v>
          </cell>
        </row>
        <row r="590">
          <cell r="M590" t="str">
            <v>Common Cost Center-SCC Cuisine</v>
          </cell>
          <cell r="N590">
            <v>1101860501</v>
          </cell>
        </row>
        <row r="591">
          <cell r="M591" t="str">
            <v>EHS-SCC Cuisine</v>
          </cell>
          <cell r="N591">
            <v>1101860801</v>
          </cell>
        </row>
        <row r="592">
          <cell r="M592" t="str">
            <v>Repair &amp; Maintenance-SCC Cuisine</v>
          </cell>
          <cell r="N592">
            <v>1101860802</v>
          </cell>
        </row>
        <row r="593">
          <cell r="M593" t="str">
            <v>Financial Planning &amp; Budg.-SCC Cuisine</v>
          </cell>
          <cell r="N593">
            <v>1101860902</v>
          </cell>
        </row>
        <row r="594">
          <cell r="M594" t="str">
            <v>HR Operations-SCC Cuisine</v>
          </cell>
          <cell r="N594">
            <v>1101861001</v>
          </cell>
        </row>
        <row r="595">
          <cell r="M595" t="str">
            <v>Infrastructure Technology-SCC Cuisine</v>
          </cell>
          <cell r="N595">
            <v>1101861101</v>
          </cell>
        </row>
        <row r="596">
          <cell r="M596" t="str">
            <v>Legal Affairs-SCC Cuisine</v>
          </cell>
          <cell r="N596">
            <v>1101861301</v>
          </cell>
        </row>
        <row r="597">
          <cell r="M597" t="str">
            <v>Production Management-SCC Cuisine</v>
          </cell>
          <cell r="N597">
            <v>1101861601</v>
          </cell>
        </row>
        <row r="598">
          <cell r="M598" t="str">
            <v>Logistics &amp; Warehousing-SCC Cuisine</v>
          </cell>
          <cell r="N598">
            <v>1101861602</v>
          </cell>
        </row>
        <row r="599">
          <cell r="M599" t="str">
            <v>Production Operations-SCC Cuisine (Bak)</v>
          </cell>
          <cell r="N599">
            <v>1101861603</v>
          </cell>
        </row>
        <row r="600">
          <cell r="M600" t="str">
            <v>Quality Assurance-SCC Cuisine</v>
          </cell>
          <cell r="N600">
            <v>1101861604</v>
          </cell>
        </row>
        <row r="601">
          <cell r="M601" t="str">
            <v>Wastage &amp; Shrinkage-SCC Cuisine</v>
          </cell>
          <cell r="N601">
            <v>1101861605</v>
          </cell>
        </row>
        <row r="602">
          <cell r="M602" t="str">
            <v>Administration Services-BTKCuisine</v>
          </cell>
          <cell r="N602">
            <v>1101870101</v>
          </cell>
        </row>
        <row r="603">
          <cell r="M603" t="str">
            <v>Security Services-BTKCuisine</v>
          </cell>
          <cell r="N603">
            <v>1101870102</v>
          </cell>
        </row>
        <row r="604">
          <cell r="M604" t="str">
            <v>Common Cost Center-BTKCuisine</v>
          </cell>
          <cell r="N604">
            <v>1101870501</v>
          </cell>
        </row>
        <row r="605">
          <cell r="M605" t="str">
            <v>EHS-BTKCuisine</v>
          </cell>
          <cell r="N605">
            <v>1101870801</v>
          </cell>
        </row>
        <row r="606">
          <cell r="M606" t="str">
            <v>Repair &amp; Maintenance-BTKCuisine</v>
          </cell>
          <cell r="N606">
            <v>1101870802</v>
          </cell>
        </row>
        <row r="607">
          <cell r="M607" t="str">
            <v>Financial Planning &amp; Budg.-BTKCuisine</v>
          </cell>
          <cell r="N607">
            <v>1101870902</v>
          </cell>
        </row>
        <row r="608">
          <cell r="M608" t="str">
            <v>HR Operations-BTKCuisine</v>
          </cell>
          <cell r="N608">
            <v>1101871001</v>
          </cell>
        </row>
        <row r="609">
          <cell r="M609" t="str">
            <v>Infrastructure Technology-BTKCuisine</v>
          </cell>
          <cell r="N609">
            <v>1101871101</v>
          </cell>
        </row>
        <row r="610">
          <cell r="M610" t="str">
            <v>Legal Affairs-BTKCuisine</v>
          </cell>
          <cell r="N610">
            <v>1101871301</v>
          </cell>
        </row>
        <row r="611">
          <cell r="M611" t="str">
            <v>Production Management-BTKCuisine</v>
          </cell>
          <cell r="N611">
            <v>1101871601</v>
          </cell>
        </row>
        <row r="612">
          <cell r="M612" t="str">
            <v>Logistics &amp; Warehousing-BTKCuisine</v>
          </cell>
          <cell r="N612">
            <v>1101871602</v>
          </cell>
        </row>
        <row r="613">
          <cell r="M613" t="str">
            <v>Production Operations-BTKCuisine (Bak)</v>
          </cell>
          <cell r="N613">
            <v>1101871603</v>
          </cell>
        </row>
        <row r="614">
          <cell r="M614" t="str">
            <v>Quality Assurance-BTKCuisine</v>
          </cell>
          <cell r="N614">
            <v>1101871604</v>
          </cell>
        </row>
        <row r="615">
          <cell r="M615" t="str">
            <v>Wastage &amp; Shrinkage-BTKCuisine</v>
          </cell>
          <cell r="N615">
            <v>1101871605</v>
          </cell>
        </row>
        <row r="616">
          <cell r="M616" t="str">
            <v>Administration Services-TPKCuisine</v>
          </cell>
          <cell r="N616">
            <v>1101880101</v>
          </cell>
        </row>
        <row r="617">
          <cell r="M617" t="str">
            <v>Security Services-TPKCuisine</v>
          </cell>
          <cell r="N617">
            <v>1101880102</v>
          </cell>
        </row>
        <row r="618">
          <cell r="M618" t="str">
            <v>Common Cost Center-TPKCuisine</v>
          </cell>
          <cell r="N618">
            <v>1101880501</v>
          </cell>
        </row>
        <row r="619">
          <cell r="M619" t="str">
            <v>EHS-TPKCuisine</v>
          </cell>
          <cell r="N619">
            <v>1101880801</v>
          </cell>
        </row>
        <row r="620">
          <cell r="M620" t="str">
            <v>Repair &amp; Maintenance-TPKCuisine</v>
          </cell>
          <cell r="N620">
            <v>1101880802</v>
          </cell>
        </row>
        <row r="621">
          <cell r="M621" t="str">
            <v>Financial Planning &amp; Budg.-TPKCuisine</v>
          </cell>
          <cell r="N621">
            <v>1101880902</v>
          </cell>
        </row>
        <row r="622">
          <cell r="M622" t="str">
            <v>HR Operations-TPKCuisine</v>
          </cell>
          <cell r="N622">
            <v>1101881001</v>
          </cell>
        </row>
        <row r="623">
          <cell r="M623" t="str">
            <v>Infrastructure Technology-TPKCuisine</v>
          </cell>
          <cell r="N623">
            <v>1101881101</v>
          </cell>
        </row>
        <row r="624">
          <cell r="M624" t="str">
            <v>Legal Affairs-TPKCuisine</v>
          </cell>
          <cell r="N624">
            <v>1101881301</v>
          </cell>
        </row>
        <row r="625">
          <cell r="M625" t="str">
            <v>Production Management-TPKCuisine</v>
          </cell>
          <cell r="N625">
            <v>1101881601</v>
          </cell>
        </row>
        <row r="626">
          <cell r="M626" t="str">
            <v>Logistics &amp; Warehousing-TPKCuisine</v>
          </cell>
          <cell r="N626">
            <v>1101881602</v>
          </cell>
        </row>
        <row r="627">
          <cell r="M627" t="str">
            <v>Production Operations-TPKCuisine (Bak)</v>
          </cell>
          <cell r="N627">
            <v>1101881603</v>
          </cell>
        </row>
        <row r="628">
          <cell r="M628" t="str">
            <v>Quality Assurance-TPKCuisine</v>
          </cell>
          <cell r="N628">
            <v>1101881604</v>
          </cell>
        </row>
        <row r="629">
          <cell r="M629" t="str">
            <v>Wastage &amp; Shrinkage-TPKCuisine</v>
          </cell>
          <cell r="N629">
            <v>1101881605</v>
          </cell>
        </row>
        <row r="630">
          <cell r="M630" t="str">
            <v>Administration Services-KORNGICuisine</v>
          </cell>
          <cell r="N630">
            <v>1101890101</v>
          </cell>
        </row>
        <row r="631">
          <cell r="M631" t="str">
            <v>Security Services-Korangi-Cuisine</v>
          </cell>
          <cell r="N631">
            <v>1101890102</v>
          </cell>
        </row>
        <row r="632">
          <cell r="M632" t="str">
            <v>Common Cost Center-Korangi-Cuisine</v>
          </cell>
          <cell r="N632">
            <v>1101890501</v>
          </cell>
        </row>
        <row r="633">
          <cell r="M633" t="str">
            <v>EHS-Korangi-Cuisine</v>
          </cell>
          <cell r="N633">
            <v>1101890801</v>
          </cell>
        </row>
        <row r="634">
          <cell r="M634" t="str">
            <v>Repair &amp; Maintenance-Korangi-Cuisine</v>
          </cell>
          <cell r="N634">
            <v>1101890802</v>
          </cell>
        </row>
        <row r="635">
          <cell r="M635" t="str">
            <v>Financial Planning &amp; Budg.-Korangi-Cuisi</v>
          </cell>
          <cell r="N635">
            <v>1101890902</v>
          </cell>
        </row>
        <row r="636">
          <cell r="M636" t="str">
            <v>HR Operations-Korangi-Cuisine</v>
          </cell>
          <cell r="N636">
            <v>1101891001</v>
          </cell>
        </row>
        <row r="637">
          <cell r="M637" t="str">
            <v>Infrastructure Technology-Korangi-Cuisin</v>
          </cell>
          <cell r="N637">
            <v>1101891101</v>
          </cell>
        </row>
        <row r="638">
          <cell r="M638" t="str">
            <v>Legal Affairs-Korangi-Cuisine</v>
          </cell>
          <cell r="N638">
            <v>1101891301</v>
          </cell>
        </row>
        <row r="639">
          <cell r="M639" t="str">
            <v>Production Management-Korangi-Cuisine</v>
          </cell>
          <cell r="N639">
            <v>1101891601</v>
          </cell>
        </row>
        <row r="640">
          <cell r="M640" t="str">
            <v>Logistics &amp; Warehousing-Korangi-Cuisine</v>
          </cell>
          <cell r="N640">
            <v>1101891602</v>
          </cell>
        </row>
        <row r="641">
          <cell r="M641" t="str">
            <v>Production Operations-Korangi-Cuisine (B</v>
          </cell>
          <cell r="N641">
            <v>1101891603</v>
          </cell>
        </row>
        <row r="642">
          <cell r="M642" t="str">
            <v>Quality Assurance-Korangi-Cuisine</v>
          </cell>
          <cell r="N642">
            <v>1101891604</v>
          </cell>
        </row>
        <row r="643">
          <cell r="M643" t="str">
            <v>Wastage &amp; Shrinkage-Korangi-Cuisine</v>
          </cell>
          <cell r="N643">
            <v>1101891605</v>
          </cell>
        </row>
        <row r="644">
          <cell r="M644" t="str">
            <v>Administration Services-QTA</v>
          </cell>
          <cell r="N644">
            <v>1102010101</v>
          </cell>
        </row>
        <row r="645">
          <cell r="M645" t="str">
            <v>Security Services-QTA</v>
          </cell>
          <cell r="N645">
            <v>1102010102</v>
          </cell>
        </row>
        <row r="646">
          <cell r="M646" t="str">
            <v>Projects-QTA</v>
          </cell>
          <cell r="N646">
            <v>1102010201</v>
          </cell>
        </row>
        <row r="647">
          <cell r="M647" t="str">
            <v>Common Cost Center-QTA</v>
          </cell>
          <cell r="N647">
            <v>1102010501</v>
          </cell>
        </row>
        <row r="648">
          <cell r="M648" t="str">
            <v>EHS-QTA</v>
          </cell>
          <cell r="N648">
            <v>1102010801</v>
          </cell>
        </row>
        <row r="649">
          <cell r="M649" t="str">
            <v>Repair &amp; Maintenance-QTA</v>
          </cell>
          <cell r="N649">
            <v>1102010802</v>
          </cell>
        </row>
        <row r="650">
          <cell r="M650" t="str">
            <v>Financial Reporting &amp; Acc-QTA</v>
          </cell>
          <cell r="N650">
            <v>1102010901</v>
          </cell>
        </row>
        <row r="651">
          <cell r="M651" t="str">
            <v>HR Operations-QTA</v>
          </cell>
          <cell r="N651">
            <v>1102011001</v>
          </cell>
        </row>
        <row r="652">
          <cell r="M652" t="str">
            <v>Infrastructure Technology-QTA</v>
          </cell>
          <cell r="N652">
            <v>1102011101</v>
          </cell>
        </row>
        <row r="653">
          <cell r="M653" t="str">
            <v>Legal Affairs-QTA</v>
          </cell>
          <cell r="N653">
            <v>1102011301</v>
          </cell>
        </row>
        <row r="654">
          <cell r="M654" t="str">
            <v>Marketing &amp; Promotions-QTA</v>
          </cell>
          <cell r="N654">
            <v>1102011501</v>
          </cell>
        </row>
        <row r="655">
          <cell r="M655" t="str">
            <v>Front of House-QTA</v>
          </cell>
          <cell r="N655">
            <v>1102011701</v>
          </cell>
        </row>
        <row r="656">
          <cell r="M656" t="str">
            <v>Logistics &amp; Warehousing (D-WH)-QTA</v>
          </cell>
          <cell r="N656">
            <v>1102011702</v>
          </cell>
        </row>
        <row r="657">
          <cell r="M657" t="str">
            <v>Store Operations -QTA</v>
          </cell>
          <cell r="N657">
            <v>1102011703</v>
          </cell>
        </row>
        <row r="658">
          <cell r="M658" t="str">
            <v>Wastage &amp; Shrinkage -QTA</v>
          </cell>
          <cell r="N658">
            <v>1102011704</v>
          </cell>
        </row>
        <row r="659">
          <cell r="M659" t="str">
            <v>Infrastructure Technology - STND - ASC</v>
          </cell>
          <cell r="N659">
            <v>1102411101</v>
          </cell>
        </row>
        <row r="660">
          <cell r="M660" t="str">
            <v>EHS-STND - ASC</v>
          </cell>
          <cell r="N660">
            <v>1102410801</v>
          </cell>
        </row>
        <row r="661">
          <cell r="M661" t="str">
            <v>Repair &amp; Maintenance-STND-ASC</v>
          </cell>
          <cell r="N661">
            <v>1102410802</v>
          </cell>
        </row>
        <row r="662">
          <cell r="M662" t="str">
            <v>Financial Reporting &amp; Acc-STND-ASC</v>
          </cell>
          <cell r="N662">
            <v>1102410901</v>
          </cell>
        </row>
        <row r="663">
          <cell r="M663" t="str">
            <v>HR Operations-STND-ASC</v>
          </cell>
          <cell r="N663">
            <v>1102411001</v>
          </cell>
        </row>
        <row r="664">
          <cell r="M664" t="str">
            <v>Legal Affairs- STND - ASC</v>
          </cell>
          <cell r="N664">
            <v>1102411301</v>
          </cell>
        </row>
        <row r="665">
          <cell r="M665" t="str">
            <v>Wastage- STND - ASC</v>
          </cell>
          <cell r="N665">
            <v>1102411405</v>
          </cell>
        </row>
        <row r="666">
          <cell r="M666" t="str">
            <v>Logistics Operations - STND - ASC</v>
          </cell>
          <cell r="N666">
            <v>1102411402</v>
          </cell>
        </row>
        <row r="667">
          <cell r="M667" t="str">
            <v>Warehousing Operations-STND ASC</v>
          </cell>
          <cell r="N667">
            <v>1102411401</v>
          </cell>
        </row>
        <row r="668">
          <cell r="M668" t="str">
            <v>QA- STND - ASC</v>
          </cell>
          <cell r="N668">
            <v>1102411404</v>
          </cell>
        </row>
        <row r="669">
          <cell r="M669" t="str">
            <v>SC Planning &amp; Management - STND -ASC</v>
          </cell>
          <cell r="N669">
            <v>1102411403</v>
          </cell>
        </row>
        <row r="670">
          <cell r="M670" t="str">
            <v>Security Services- STND ASC</v>
          </cell>
          <cell r="N670">
            <v>1102410102</v>
          </cell>
        </row>
        <row r="671">
          <cell r="M671" t="str">
            <v>Administration Services- STND ASC</v>
          </cell>
          <cell r="N671">
            <v>1102410101</v>
          </cell>
        </row>
        <row r="672">
          <cell r="M672" t="str">
            <v>Common Cost Center - STND QTA</v>
          </cell>
          <cell r="N672">
            <v>1102410501</v>
          </cell>
        </row>
        <row r="673">
          <cell r="M673" t="str">
            <v>Production Operations-QTACuisine (LK)</v>
          </cell>
          <cell r="N673">
            <v>1102801606</v>
          </cell>
        </row>
        <row r="674">
          <cell r="M674" t="str">
            <v>Wastage &amp; Shrinkage-QTACuisine</v>
          </cell>
          <cell r="N674">
            <v>1102801605</v>
          </cell>
        </row>
        <row r="675">
          <cell r="M675" t="str">
            <v>Quality Assurance-QTACuisine</v>
          </cell>
          <cell r="N675">
            <v>1102801604</v>
          </cell>
        </row>
        <row r="676">
          <cell r="M676" t="str">
            <v>Production Operations-QTACuisine (Bak)</v>
          </cell>
          <cell r="N676">
            <v>1102801603</v>
          </cell>
        </row>
        <row r="677">
          <cell r="M677" t="str">
            <v>Logistics &amp; Warehousing-QTACuisine</v>
          </cell>
          <cell r="N677">
            <v>1102801602</v>
          </cell>
        </row>
        <row r="678">
          <cell r="M678" t="str">
            <v>Production Management-QTACuisine</v>
          </cell>
          <cell r="N678">
            <v>1102801601</v>
          </cell>
        </row>
        <row r="679">
          <cell r="M679" t="str">
            <v>Legal Affairs-QTACuisine</v>
          </cell>
          <cell r="N679">
            <v>1102801301</v>
          </cell>
        </row>
        <row r="680">
          <cell r="M680" t="str">
            <v>Infrastructure Technology-QTACuisine</v>
          </cell>
          <cell r="N680">
            <v>1102801101</v>
          </cell>
        </row>
        <row r="681">
          <cell r="M681" t="str">
            <v>HR Operations-QTACuisine</v>
          </cell>
          <cell r="N681">
            <v>1102801001</v>
          </cell>
        </row>
        <row r="682">
          <cell r="M682" t="str">
            <v>Financial Planning &amp; Budg.-QTACuisine</v>
          </cell>
          <cell r="N682">
            <v>1102800902</v>
          </cell>
        </row>
        <row r="683">
          <cell r="M683" t="str">
            <v>Repair &amp; Maintenance-QTACuisine</v>
          </cell>
          <cell r="N683">
            <v>1102800802</v>
          </cell>
        </row>
        <row r="684">
          <cell r="M684" t="str">
            <v>EHS-QTACuisine</v>
          </cell>
          <cell r="N684">
            <v>1102800801</v>
          </cell>
        </row>
        <row r="685">
          <cell r="M685" t="str">
            <v>Common Cost Center-QTACuisine</v>
          </cell>
          <cell r="N685">
            <v>1102800501</v>
          </cell>
        </row>
        <row r="686">
          <cell r="M686" t="str">
            <v>Security Services-QTACuisine</v>
          </cell>
          <cell r="N686">
            <v>1102800102</v>
          </cell>
        </row>
        <row r="687">
          <cell r="M687" t="str">
            <v>Administration Services-QTACuisine</v>
          </cell>
          <cell r="N687">
            <v>1102800101</v>
          </cell>
        </row>
        <row r="688">
          <cell r="M688" t="str">
            <v>Store Ops - HYD QAS</v>
          </cell>
          <cell r="N688">
            <v>1103011703</v>
          </cell>
        </row>
        <row r="689">
          <cell r="M689" t="str">
            <v>Common Cost Center - HYD QAS</v>
          </cell>
          <cell r="N689">
            <v>1103010501</v>
          </cell>
        </row>
        <row r="690">
          <cell r="M690" t="str">
            <v>Administration Services-BWP RHO</v>
          </cell>
          <cell r="N690">
            <v>1201010101</v>
          </cell>
        </row>
        <row r="691">
          <cell r="M691" t="str">
            <v>Security Services-BWP RHO</v>
          </cell>
          <cell r="N691">
            <v>1201010102</v>
          </cell>
        </row>
        <row r="692">
          <cell r="M692" t="str">
            <v>Projects-BWP RHO</v>
          </cell>
          <cell r="N692">
            <v>1201010201</v>
          </cell>
        </row>
        <row r="693">
          <cell r="M693" t="str">
            <v>Chairman-BWP RHO</v>
          </cell>
          <cell r="N693">
            <v>1201010301</v>
          </cell>
        </row>
        <row r="694">
          <cell r="M694" t="str">
            <v>Director 1-BWP RHO</v>
          </cell>
          <cell r="N694">
            <v>1201010302</v>
          </cell>
        </row>
        <row r="695">
          <cell r="M695" t="str">
            <v>Director 2-BWP RHO</v>
          </cell>
          <cell r="N695">
            <v>1201010303</v>
          </cell>
        </row>
        <row r="696">
          <cell r="M696" t="str">
            <v>CAD-BWP RHO</v>
          </cell>
          <cell r="N696">
            <v>1201010401</v>
          </cell>
        </row>
        <row r="697">
          <cell r="M697" t="str">
            <v>FMCG 1-BWP RHO</v>
          </cell>
          <cell r="N697">
            <v>1201010402</v>
          </cell>
        </row>
        <row r="698">
          <cell r="M698" t="str">
            <v>FMCG 2-BWP RHO</v>
          </cell>
          <cell r="N698">
            <v>1201010403</v>
          </cell>
        </row>
        <row r="699">
          <cell r="M699" t="str">
            <v>Non Food Hard-BWP RHO</v>
          </cell>
          <cell r="N699">
            <v>1201010404</v>
          </cell>
        </row>
        <row r="700">
          <cell r="M700" t="str">
            <v>Fashion Good and Accessories-BWP RHO</v>
          </cell>
          <cell r="N700">
            <v>1201010405</v>
          </cell>
        </row>
        <row r="701">
          <cell r="M701" t="str">
            <v>Pharmacy-BWP RHO</v>
          </cell>
          <cell r="N701">
            <v>1201010406</v>
          </cell>
        </row>
        <row r="702">
          <cell r="M702" t="str">
            <v>Household-BWP RHO</v>
          </cell>
          <cell r="N702">
            <v>1201010407</v>
          </cell>
        </row>
        <row r="703">
          <cell r="M703" t="str">
            <v>Consumer Electronics-BWP RHO</v>
          </cell>
          <cell r="N703">
            <v>1201010408</v>
          </cell>
        </row>
        <row r="704">
          <cell r="M704" t="str">
            <v>Commodities-BWP RHO</v>
          </cell>
          <cell r="N704">
            <v>1201010409</v>
          </cell>
        </row>
        <row r="705">
          <cell r="M705" t="str">
            <v>Cuisine-BWP RHO</v>
          </cell>
          <cell r="N705">
            <v>1201010410</v>
          </cell>
        </row>
        <row r="706">
          <cell r="M706" t="str">
            <v>Imports-BWP RHO</v>
          </cell>
          <cell r="N706">
            <v>1201010411</v>
          </cell>
        </row>
        <row r="707">
          <cell r="M707" t="str">
            <v>Common CC Commercial-BWP RHO</v>
          </cell>
          <cell r="N707">
            <v>1201010412</v>
          </cell>
        </row>
        <row r="708">
          <cell r="M708" t="str">
            <v>Meat-BWP RHO</v>
          </cell>
          <cell r="N708">
            <v>1201010413</v>
          </cell>
        </row>
        <row r="709">
          <cell r="M709" t="str">
            <v>Common Cost Center-BWP RHO</v>
          </cell>
          <cell r="N709">
            <v>1201010501</v>
          </cell>
        </row>
        <row r="710">
          <cell r="M710" t="str">
            <v>Corporate Sales-BWP RHO</v>
          </cell>
          <cell r="N710">
            <v>1201010601</v>
          </cell>
        </row>
        <row r="711">
          <cell r="M711" t="str">
            <v>E-Commerce-BWP RHO</v>
          </cell>
          <cell r="N711">
            <v>1201010701</v>
          </cell>
        </row>
        <row r="712">
          <cell r="M712" t="str">
            <v>EHS-BWP RHO</v>
          </cell>
          <cell r="N712">
            <v>1201010801</v>
          </cell>
        </row>
        <row r="713">
          <cell r="M713" t="str">
            <v>Repair &amp; Maintenance-BWP RHO</v>
          </cell>
          <cell r="N713">
            <v>1201010802</v>
          </cell>
        </row>
        <row r="714">
          <cell r="M714" t="str">
            <v>Financial Reporting &amp; Acc-BWP RHO</v>
          </cell>
          <cell r="N714">
            <v>1201010901</v>
          </cell>
        </row>
        <row r="715">
          <cell r="M715" t="str">
            <v>Financial Planning &amp; Budg.-BWP RHO</v>
          </cell>
          <cell r="N715">
            <v>1201010903</v>
          </cell>
        </row>
        <row r="716">
          <cell r="M716" t="str">
            <v>Inventory &amp; CMS-BWP RHO</v>
          </cell>
          <cell r="N716">
            <v>1201010904</v>
          </cell>
        </row>
        <row r="717">
          <cell r="M717" t="str">
            <v>Common CC Finance-BWP RHO</v>
          </cell>
          <cell r="N717">
            <v>1201010905</v>
          </cell>
        </row>
        <row r="718">
          <cell r="M718" t="str">
            <v>HR Operations-BWP RHO</v>
          </cell>
          <cell r="N718">
            <v>1201011001</v>
          </cell>
        </row>
        <row r="719">
          <cell r="M719" t="str">
            <v>Compensation &amp; Benefits-BWP RHO</v>
          </cell>
          <cell r="N719">
            <v>1201011002</v>
          </cell>
        </row>
        <row r="720">
          <cell r="M720" t="str">
            <v>Learning &amp; OD-BWP RHO</v>
          </cell>
          <cell r="N720">
            <v>1201011003</v>
          </cell>
        </row>
        <row r="721">
          <cell r="M721" t="str">
            <v>Talent Acquisition-BWP RHO</v>
          </cell>
          <cell r="N721">
            <v>1201011004</v>
          </cell>
        </row>
        <row r="722">
          <cell r="M722" t="str">
            <v>Common CC HR-BWP RHO</v>
          </cell>
          <cell r="N722">
            <v>1201011005</v>
          </cell>
        </row>
        <row r="723">
          <cell r="M723" t="str">
            <v>Infrastructure Technology-BWP RHO</v>
          </cell>
          <cell r="N723">
            <v>1201011101</v>
          </cell>
        </row>
        <row r="724">
          <cell r="M724" t="str">
            <v>Business Technology-BWP RHO</v>
          </cell>
          <cell r="N724">
            <v>1201011102</v>
          </cell>
        </row>
        <row r="725">
          <cell r="M725" t="str">
            <v>System Development-BWP RHO</v>
          </cell>
          <cell r="N725">
            <v>1201011103</v>
          </cell>
        </row>
        <row r="726">
          <cell r="M726" t="str">
            <v>Common CC IT-BWP RHO</v>
          </cell>
          <cell r="N726">
            <v>1201011104</v>
          </cell>
        </row>
        <row r="727">
          <cell r="M727" t="str">
            <v>Internal Audit-BWP RHO</v>
          </cell>
          <cell r="N727">
            <v>1201011201</v>
          </cell>
        </row>
        <row r="728">
          <cell r="M728" t="str">
            <v>Legal Affairs-BWP RHO</v>
          </cell>
          <cell r="N728">
            <v>1201011301</v>
          </cell>
        </row>
        <row r="729">
          <cell r="M729" t="str">
            <v>Consultancy-BWP RHO</v>
          </cell>
          <cell r="N729">
            <v>1201011302</v>
          </cell>
        </row>
        <row r="730">
          <cell r="M730" t="str">
            <v>SC Planning &amp; Management-BWP RHO</v>
          </cell>
          <cell r="N730">
            <v>1201011403</v>
          </cell>
        </row>
        <row r="731">
          <cell r="M731" t="str">
            <v>Marketing &amp; Promotions-BWP RHO</v>
          </cell>
          <cell r="N731">
            <v>1201011501</v>
          </cell>
        </row>
        <row r="732">
          <cell r="M732" t="str">
            <v>Customer Care Center-BWP RHO</v>
          </cell>
          <cell r="N732">
            <v>1201011502</v>
          </cell>
        </row>
        <row r="733">
          <cell r="M733" t="str">
            <v>Store Operations-BWP RHO</v>
          </cell>
          <cell r="N733">
            <v>1201011703</v>
          </cell>
        </row>
        <row r="734">
          <cell r="M734" t="str">
            <v>Proc-BWP RHO</v>
          </cell>
          <cell r="N734">
            <v>1201011801</v>
          </cell>
        </row>
        <row r="735">
          <cell r="M735" t="str">
            <v>Administration Services-BWP</v>
          </cell>
          <cell r="N735">
            <v>1201020101</v>
          </cell>
        </row>
        <row r="736">
          <cell r="M736" t="str">
            <v>Security Services-BWP</v>
          </cell>
          <cell r="N736">
            <v>1201020102</v>
          </cell>
        </row>
        <row r="737">
          <cell r="M737" t="str">
            <v>Projects-BWP</v>
          </cell>
          <cell r="N737">
            <v>1201020201</v>
          </cell>
        </row>
        <row r="738">
          <cell r="M738" t="str">
            <v>Common Cost Center-BWP</v>
          </cell>
          <cell r="N738">
            <v>1201020501</v>
          </cell>
        </row>
        <row r="739">
          <cell r="M739" t="str">
            <v>EHS-BWP</v>
          </cell>
          <cell r="N739">
            <v>1201020801</v>
          </cell>
        </row>
        <row r="740">
          <cell r="M740" t="str">
            <v>Repair &amp; Maintenance-BWP</v>
          </cell>
          <cell r="N740">
            <v>1201020802</v>
          </cell>
        </row>
        <row r="741">
          <cell r="M741" t="str">
            <v>Financial Reporting &amp; Acc-BWP</v>
          </cell>
          <cell r="N741">
            <v>1201020901</v>
          </cell>
        </row>
        <row r="742">
          <cell r="M742" t="str">
            <v>HR Operations-BWP</v>
          </cell>
          <cell r="N742">
            <v>1201021001</v>
          </cell>
        </row>
        <row r="743">
          <cell r="M743" t="str">
            <v>Infrastructure Technology-BWP</v>
          </cell>
          <cell r="N743">
            <v>1201021101</v>
          </cell>
        </row>
        <row r="744">
          <cell r="M744" t="str">
            <v>Legal Affairs-BWP</v>
          </cell>
          <cell r="N744">
            <v>1201021301</v>
          </cell>
        </row>
        <row r="745">
          <cell r="M745" t="str">
            <v>Marketing &amp; Promotions-BWP</v>
          </cell>
          <cell r="N745">
            <v>1201021501</v>
          </cell>
        </row>
        <row r="746">
          <cell r="M746" t="str">
            <v>Front of House-BWP</v>
          </cell>
          <cell r="N746">
            <v>1201021701</v>
          </cell>
        </row>
        <row r="747">
          <cell r="M747" t="str">
            <v>Logistics &amp; Warehousing (D-WH)-BWP</v>
          </cell>
          <cell r="N747">
            <v>1201021702</v>
          </cell>
        </row>
        <row r="748">
          <cell r="M748" t="str">
            <v>Store Operations -BWP</v>
          </cell>
          <cell r="N748">
            <v>1201021703</v>
          </cell>
        </row>
        <row r="749">
          <cell r="M749" t="str">
            <v>Wastage &amp; Shrinkage -BWP</v>
          </cell>
          <cell r="N749">
            <v>1201021704</v>
          </cell>
        </row>
        <row r="750">
          <cell r="M750" t="str">
            <v>Administration Services-BWPWH</v>
          </cell>
          <cell r="N750">
            <v>1201400101</v>
          </cell>
        </row>
        <row r="751">
          <cell r="M751" t="str">
            <v>Security Services-BWPWH</v>
          </cell>
          <cell r="N751">
            <v>1201400102</v>
          </cell>
        </row>
        <row r="752">
          <cell r="M752" t="str">
            <v>Common Cost Center-BWPWH</v>
          </cell>
          <cell r="N752">
            <v>1201400501</v>
          </cell>
        </row>
        <row r="753">
          <cell r="M753" t="str">
            <v>EHS-BWPWH</v>
          </cell>
          <cell r="N753">
            <v>1201400801</v>
          </cell>
        </row>
        <row r="754">
          <cell r="M754" t="str">
            <v>Repair &amp; Maintenance-BWPWH</v>
          </cell>
          <cell r="N754">
            <v>1201400802</v>
          </cell>
        </row>
        <row r="755">
          <cell r="M755" t="str">
            <v>Financial Reporting &amp; Acc-BWPWH</v>
          </cell>
          <cell r="N755">
            <v>1201400901</v>
          </cell>
        </row>
        <row r="756">
          <cell r="M756" t="str">
            <v>HR Operations-BWPWH</v>
          </cell>
          <cell r="N756">
            <v>1201401001</v>
          </cell>
        </row>
        <row r="757">
          <cell r="M757" t="str">
            <v>Infrastructure Technology-BWPWH</v>
          </cell>
          <cell r="N757">
            <v>1201401101</v>
          </cell>
        </row>
        <row r="758">
          <cell r="M758" t="str">
            <v>Legal Affairs-BWPWH</v>
          </cell>
          <cell r="N758">
            <v>1201401301</v>
          </cell>
        </row>
        <row r="759">
          <cell r="M759" t="str">
            <v>Warehousing Operations-BWPWH</v>
          </cell>
          <cell r="N759">
            <v>1201401401</v>
          </cell>
        </row>
        <row r="760">
          <cell r="M760" t="str">
            <v>Logistics Operations-BWPWH</v>
          </cell>
          <cell r="N760">
            <v>1201401402</v>
          </cell>
        </row>
        <row r="761">
          <cell r="M761" t="str">
            <v>SC Planning &amp; Management-BWPWH</v>
          </cell>
          <cell r="N761">
            <v>1201401403</v>
          </cell>
        </row>
        <row r="762">
          <cell r="M762" t="str">
            <v>Quality Assurance-BWPWH</v>
          </cell>
          <cell r="N762">
            <v>1201401404</v>
          </cell>
        </row>
        <row r="763">
          <cell r="M763" t="str">
            <v>Wastage &amp; Shrinkage-BWPWH</v>
          </cell>
          <cell r="N763">
            <v>1201401405</v>
          </cell>
        </row>
        <row r="764">
          <cell r="M764" t="str">
            <v>Administration Services-BWP Cuisine</v>
          </cell>
          <cell r="N764">
            <v>1201800101</v>
          </cell>
        </row>
        <row r="765">
          <cell r="M765" t="str">
            <v>Security Services-BWP Cuisine</v>
          </cell>
          <cell r="N765">
            <v>1201800102</v>
          </cell>
        </row>
        <row r="766">
          <cell r="M766" t="str">
            <v>Common Cost Center-BWP Cuisine</v>
          </cell>
          <cell r="N766">
            <v>1201800501</v>
          </cell>
        </row>
        <row r="767">
          <cell r="M767" t="str">
            <v>EHS-BWP Cuisine</v>
          </cell>
          <cell r="N767">
            <v>1201800801</v>
          </cell>
        </row>
        <row r="768">
          <cell r="M768" t="str">
            <v>Repair &amp; Maintenance-BWP Cuisine</v>
          </cell>
          <cell r="N768">
            <v>1201800802</v>
          </cell>
        </row>
        <row r="769">
          <cell r="M769" t="str">
            <v>Financial Planning &amp; Budg.-BWP Cuisine</v>
          </cell>
          <cell r="N769">
            <v>1201800902</v>
          </cell>
        </row>
        <row r="770">
          <cell r="M770" t="str">
            <v>HR Operations-BWP Cuisine</v>
          </cell>
          <cell r="N770">
            <v>1201801001</v>
          </cell>
        </row>
        <row r="771">
          <cell r="M771" t="str">
            <v>Infrastructure Technology-BWP Cuisine</v>
          </cell>
          <cell r="N771">
            <v>1201801101</v>
          </cell>
        </row>
        <row r="772">
          <cell r="M772" t="str">
            <v>Legal Affairs-BWP Cuisine</v>
          </cell>
          <cell r="N772">
            <v>1201801301</v>
          </cell>
        </row>
        <row r="773">
          <cell r="M773" t="str">
            <v>Production Management-BWP Cuisine</v>
          </cell>
          <cell r="N773">
            <v>1201801601</v>
          </cell>
        </row>
        <row r="774">
          <cell r="M774" t="str">
            <v>Logistics &amp; Warehousing-BWP Cuisine</v>
          </cell>
          <cell r="N774">
            <v>1201801602</v>
          </cell>
        </row>
        <row r="775">
          <cell r="M775" t="str">
            <v>Production Operations-BWP Cuisine (Bak)</v>
          </cell>
          <cell r="N775">
            <v>1201801603</v>
          </cell>
        </row>
        <row r="776">
          <cell r="M776" t="str">
            <v>Quality Assurance-BWP Cuisine</v>
          </cell>
          <cell r="N776">
            <v>1201801604</v>
          </cell>
        </row>
        <row r="777">
          <cell r="M777" t="str">
            <v>Wastage &amp; Shrinkage-BWP Cuisine</v>
          </cell>
          <cell r="N777">
            <v>1201801605</v>
          </cell>
        </row>
        <row r="778">
          <cell r="M778" t="str">
            <v>Production Operations-BWP Cuisine (LK)</v>
          </cell>
          <cell r="N778">
            <v>1201801606</v>
          </cell>
        </row>
        <row r="779">
          <cell r="M779" t="str">
            <v>Administration Services-VHR</v>
          </cell>
          <cell r="N779">
            <v>1202010101</v>
          </cell>
        </row>
        <row r="780">
          <cell r="M780" t="str">
            <v>Security Services-VHR</v>
          </cell>
          <cell r="N780">
            <v>1202010102</v>
          </cell>
        </row>
        <row r="781">
          <cell r="M781" t="str">
            <v>Projects-VHR</v>
          </cell>
          <cell r="N781">
            <v>1202010201</v>
          </cell>
        </row>
        <row r="782">
          <cell r="M782" t="str">
            <v>Common Cost Center-VHR</v>
          </cell>
          <cell r="N782">
            <v>1202010501</v>
          </cell>
        </row>
        <row r="783">
          <cell r="M783" t="str">
            <v>EHS-VHR</v>
          </cell>
          <cell r="N783">
            <v>1202010801</v>
          </cell>
        </row>
        <row r="784">
          <cell r="M784" t="str">
            <v>Repair &amp; Maintenance-VHR</v>
          </cell>
          <cell r="N784">
            <v>1202010802</v>
          </cell>
        </row>
        <row r="785">
          <cell r="M785" t="str">
            <v>Financial Reporting &amp; Acc-VHR</v>
          </cell>
          <cell r="N785">
            <v>1202010901</v>
          </cell>
        </row>
        <row r="786">
          <cell r="M786" t="str">
            <v>HR Operations-VHR</v>
          </cell>
          <cell r="N786">
            <v>1202011001</v>
          </cell>
        </row>
        <row r="787">
          <cell r="M787" t="str">
            <v>Infrastructure Technology-VHR</v>
          </cell>
          <cell r="N787">
            <v>1202011101</v>
          </cell>
        </row>
        <row r="788">
          <cell r="M788" t="str">
            <v>Legal Affairs-VHR</v>
          </cell>
          <cell r="N788">
            <v>1202011301</v>
          </cell>
        </row>
        <row r="789">
          <cell r="M789" t="str">
            <v>Marketing &amp; Promotions-VHR</v>
          </cell>
          <cell r="N789">
            <v>1202011501</v>
          </cell>
        </row>
        <row r="790">
          <cell r="M790" t="str">
            <v>Front of House-VHR</v>
          </cell>
          <cell r="N790">
            <v>1202011701</v>
          </cell>
        </row>
        <row r="791">
          <cell r="M791" t="str">
            <v>Logistics &amp; Warehousing (D-WH)-VHR</v>
          </cell>
          <cell r="N791">
            <v>1202011702</v>
          </cell>
        </row>
        <row r="792">
          <cell r="M792" t="str">
            <v>Store Operations -VHR</v>
          </cell>
          <cell r="N792">
            <v>1202011703</v>
          </cell>
        </row>
        <row r="793">
          <cell r="M793" t="str">
            <v>Wastage &amp; Shrinkage -VHR</v>
          </cell>
          <cell r="N793">
            <v>1202011704</v>
          </cell>
        </row>
        <row r="794">
          <cell r="M794" t="str">
            <v>Administration Services-VHR Cuisine</v>
          </cell>
          <cell r="N794">
            <v>1202800101</v>
          </cell>
        </row>
        <row r="795">
          <cell r="M795" t="str">
            <v>Security Services-VHR Cuisine</v>
          </cell>
          <cell r="N795">
            <v>1202800102</v>
          </cell>
        </row>
        <row r="796">
          <cell r="M796" t="str">
            <v>Common Cost Center-VHR Cuisine</v>
          </cell>
          <cell r="N796">
            <v>1202800501</v>
          </cell>
        </row>
        <row r="797">
          <cell r="M797" t="str">
            <v>EHS-VHR Cuisine</v>
          </cell>
          <cell r="N797">
            <v>1202800801</v>
          </cell>
        </row>
        <row r="798">
          <cell r="M798" t="str">
            <v>Repair &amp; Maintenance-VHR Cuisine</v>
          </cell>
          <cell r="N798">
            <v>1202800802</v>
          </cell>
        </row>
        <row r="799">
          <cell r="M799" t="str">
            <v>Financial Planning &amp; Budg.-VHR Cuisine</v>
          </cell>
          <cell r="N799">
            <v>1202800902</v>
          </cell>
        </row>
        <row r="800">
          <cell r="M800" t="str">
            <v>HR Operations-VHR Cuisine</v>
          </cell>
          <cell r="N800">
            <v>1202801001</v>
          </cell>
        </row>
        <row r="801">
          <cell r="M801" t="str">
            <v>Infrastructure Technology-VHR Cuisine</v>
          </cell>
          <cell r="N801">
            <v>1202801101</v>
          </cell>
        </row>
        <row r="802">
          <cell r="M802" t="str">
            <v>Legal Affairs-VHR Cuisine</v>
          </cell>
          <cell r="N802">
            <v>1202801301</v>
          </cell>
        </row>
        <row r="803">
          <cell r="M803" t="str">
            <v>Production Management-VHR Cuisine</v>
          </cell>
          <cell r="N803">
            <v>1202801601</v>
          </cell>
        </row>
        <row r="804">
          <cell r="M804" t="str">
            <v>Logistics &amp; Warehousing-VHR Cuisine</v>
          </cell>
          <cell r="N804">
            <v>1202801602</v>
          </cell>
        </row>
        <row r="805">
          <cell r="M805" t="str">
            <v>Production Operations-VHR Cuisine (Bak)</v>
          </cell>
          <cell r="N805">
            <v>1202801603</v>
          </cell>
        </row>
        <row r="806">
          <cell r="M806" t="str">
            <v>Quality Assurance-VHR Cuisine</v>
          </cell>
          <cell r="N806">
            <v>1202801604</v>
          </cell>
        </row>
        <row r="807">
          <cell r="M807" t="str">
            <v>Wastage &amp; Shrinkage-VHR Cuisine</v>
          </cell>
          <cell r="N807">
            <v>1202801605</v>
          </cell>
        </row>
        <row r="808">
          <cell r="M808" t="str">
            <v>Security Services-MTN</v>
          </cell>
          <cell r="N808">
            <v>1203010102</v>
          </cell>
        </row>
        <row r="809">
          <cell r="M809" t="str">
            <v>Administration Services-MTN</v>
          </cell>
          <cell r="N809">
            <v>1203010101</v>
          </cell>
        </row>
        <row r="810">
          <cell r="M810" t="str">
            <v>Projects-MTN</v>
          </cell>
          <cell r="N810">
            <v>1203010201</v>
          </cell>
        </row>
        <row r="811">
          <cell r="M811" t="str">
            <v>Common Cost Center-MTN</v>
          </cell>
          <cell r="N811">
            <v>1203010501</v>
          </cell>
        </row>
        <row r="812">
          <cell r="M812" t="str">
            <v>Repair &amp; Maintenance-MTN</v>
          </cell>
          <cell r="N812">
            <v>1203010802</v>
          </cell>
        </row>
        <row r="813">
          <cell r="M813" t="str">
            <v>EHS-MTN</v>
          </cell>
          <cell r="N813">
            <v>1203010801</v>
          </cell>
        </row>
        <row r="814">
          <cell r="M814" t="str">
            <v>Financial Reporting &amp; Acc-MTN</v>
          </cell>
          <cell r="N814">
            <v>1203010901</v>
          </cell>
        </row>
        <row r="815">
          <cell r="M815" t="str">
            <v>HR Operations-MTN</v>
          </cell>
          <cell r="N815">
            <v>1203011001</v>
          </cell>
        </row>
        <row r="816">
          <cell r="M816" t="str">
            <v>Infrastructure Technology-MTN</v>
          </cell>
          <cell r="N816">
            <v>1203011101</v>
          </cell>
        </row>
        <row r="817">
          <cell r="M817" t="str">
            <v>Legal Affairs-MTN</v>
          </cell>
          <cell r="N817">
            <v>1203011301</v>
          </cell>
        </row>
        <row r="818">
          <cell r="M818" t="str">
            <v>Marketing &amp; Promotions-MTN</v>
          </cell>
          <cell r="N818">
            <v>1203011501</v>
          </cell>
        </row>
        <row r="819">
          <cell r="M819" t="str">
            <v>Wastage &amp; Shrinkage -MTN</v>
          </cell>
          <cell r="N819">
            <v>1203011704</v>
          </cell>
        </row>
        <row r="820">
          <cell r="M820" t="str">
            <v>Store Operations -MTN</v>
          </cell>
          <cell r="N820">
            <v>1203011703</v>
          </cell>
        </row>
        <row r="821">
          <cell r="M821" t="str">
            <v>Logistics &amp; Warehousing (D-WH)-MTN</v>
          </cell>
          <cell r="N821">
            <v>1203011702</v>
          </cell>
        </row>
        <row r="822">
          <cell r="M822" t="str">
            <v>Front of House-MTN</v>
          </cell>
          <cell r="N822">
            <v>1203011701</v>
          </cell>
        </row>
        <row r="823">
          <cell r="M823" t="str">
            <v>Administration Services MTN BV</v>
          </cell>
          <cell r="N823">
            <v>1203020101</v>
          </cell>
        </row>
        <row r="824">
          <cell r="M824" t="str">
            <v>Security Services- MTN - BV</v>
          </cell>
          <cell r="N824">
            <v>1203020102</v>
          </cell>
        </row>
        <row r="825">
          <cell r="M825" t="str">
            <v>Projects - MTN - BV</v>
          </cell>
          <cell r="N825">
            <v>1203020201</v>
          </cell>
        </row>
        <row r="826">
          <cell r="M826" t="str">
            <v>Common Cost Center- MTN - BV</v>
          </cell>
          <cell r="N826">
            <v>1203020501</v>
          </cell>
        </row>
        <row r="827">
          <cell r="M827" t="str">
            <v>Repair &amp; Maintenance-MTN BV</v>
          </cell>
          <cell r="N827">
            <v>1203020802</v>
          </cell>
        </row>
        <row r="828">
          <cell r="M828" t="str">
            <v>EHS-MTN BV</v>
          </cell>
          <cell r="N828">
            <v>1203020801</v>
          </cell>
        </row>
        <row r="829">
          <cell r="M829" t="str">
            <v>Financial Reporting &amp; Acc-MTN BV</v>
          </cell>
          <cell r="N829">
            <v>1203020901</v>
          </cell>
        </row>
        <row r="830">
          <cell r="M830" t="str">
            <v>HR Operations-MTN BV</v>
          </cell>
          <cell r="N830">
            <v>1203021001</v>
          </cell>
        </row>
        <row r="831">
          <cell r="M831" t="str">
            <v>Infrastructure Technology-MTN BV</v>
          </cell>
          <cell r="N831">
            <v>1203021101</v>
          </cell>
        </row>
        <row r="832">
          <cell r="M832" t="str">
            <v>Legal Affairs-MTN BV</v>
          </cell>
          <cell r="N832">
            <v>1203021301</v>
          </cell>
        </row>
        <row r="833">
          <cell r="M833" t="str">
            <v>Marketing &amp; Promotions-MTN BV</v>
          </cell>
          <cell r="N833">
            <v>1203021501</v>
          </cell>
        </row>
        <row r="834">
          <cell r="M834" t="str">
            <v>Wastage &amp; Shrinkage -MTN BV</v>
          </cell>
          <cell r="N834">
            <v>1203021704</v>
          </cell>
        </row>
        <row r="835">
          <cell r="M835" t="str">
            <v>Store Operations -MTN BV</v>
          </cell>
          <cell r="N835">
            <v>1203021703</v>
          </cell>
        </row>
        <row r="836">
          <cell r="M836" t="str">
            <v>Logistics &amp; Warehousing (D-WH)-MTN BV</v>
          </cell>
          <cell r="N836">
            <v>1203021702</v>
          </cell>
        </row>
        <row r="837">
          <cell r="M837" t="str">
            <v>Front of Hous-MTN BV</v>
          </cell>
          <cell r="N837">
            <v>1203021701</v>
          </cell>
        </row>
        <row r="838">
          <cell r="M838" t="str">
            <v>Common Cost Center - BV WH</v>
          </cell>
          <cell r="N838">
            <v>1203400501</v>
          </cell>
        </row>
        <row r="839">
          <cell r="M839" t="str">
            <v>Security Services-MTN Cuisine BV</v>
          </cell>
          <cell r="N839">
            <v>1203810102</v>
          </cell>
        </row>
        <row r="840">
          <cell r="M840" t="str">
            <v>Administration Services-MTN Cuisine BV</v>
          </cell>
          <cell r="N840">
            <v>1203810101</v>
          </cell>
        </row>
        <row r="841">
          <cell r="M841" t="str">
            <v>Common Cost Center-MTN Cuisine BV</v>
          </cell>
          <cell r="N841">
            <v>1203810501</v>
          </cell>
        </row>
        <row r="842">
          <cell r="M842" t="str">
            <v>Repair &amp; Maintenance-MTN Cuisine BV</v>
          </cell>
          <cell r="N842">
            <v>1203810802</v>
          </cell>
        </row>
        <row r="843">
          <cell r="M843" t="str">
            <v>EHS-MTN Cuisine BV</v>
          </cell>
          <cell r="N843">
            <v>1203810801</v>
          </cell>
        </row>
        <row r="844">
          <cell r="M844" t="str">
            <v>Financial Planning &amp; Budg.-MTN CuisineBV</v>
          </cell>
          <cell r="N844">
            <v>1203810901</v>
          </cell>
        </row>
        <row r="845">
          <cell r="M845" t="str">
            <v>HR Operations-MTN Cuisine BV</v>
          </cell>
          <cell r="N845">
            <v>1203811001</v>
          </cell>
        </row>
        <row r="846">
          <cell r="M846" t="str">
            <v>Infrastructure Technology-MTN Cuisine BV</v>
          </cell>
          <cell r="N846">
            <v>1203811101</v>
          </cell>
        </row>
        <row r="847">
          <cell r="M847" t="str">
            <v>Legal Affairs-MTN Cuisine BV</v>
          </cell>
          <cell r="N847">
            <v>1203811301</v>
          </cell>
        </row>
        <row r="848">
          <cell r="M848" t="str">
            <v>Production Operations-MTN Cuisine BV(LK)</v>
          </cell>
          <cell r="N848">
            <v>1203811606</v>
          </cell>
        </row>
        <row r="849">
          <cell r="M849" t="str">
            <v>Wastage &amp; Shrinkage-MTN Cuisine BV</v>
          </cell>
          <cell r="N849">
            <v>1203811605</v>
          </cell>
        </row>
        <row r="850">
          <cell r="M850" t="str">
            <v>Quality Assurance-MTN Cuisine BV</v>
          </cell>
          <cell r="N850">
            <v>1203811604</v>
          </cell>
        </row>
        <row r="851">
          <cell r="M851" t="str">
            <v>Production Operations-MTN CuisineBV(Bak)</v>
          </cell>
          <cell r="N851">
            <v>1203811603</v>
          </cell>
        </row>
        <row r="852">
          <cell r="M852" t="str">
            <v>Logistics &amp; Warehousing-MTN Cuisine BV</v>
          </cell>
          <cell r="N852">
            <v>1203811602</v>
          </cell>
        </row>
        <row r="853">
          <cell r="M853" t="str">
            <v>Production Management-MTN Cuisine BV</v>
          </cell>
          <cell r="N853">
            <v>1203811601</v>
          </cell>
        </row>
        <row r="854">
          <cell r="M854" t="str">
            <v>Security Services-SWL</v>
          </cell>
          <cell r="N854">
            <v>1204010102</v>
          </cell>
        </row>
        <row r="855">
          <cell r="M855" t="str">
            <v>Administration Services-SWL</v>
          </cell>
          <cell r="N855">
            <v>1204010101</v>
          </cell>
        </row>
        <row r="856">
          <cell r="M856" t="str">
            <v>Projects-SWL</v>
          </cell>
          <cell r="N856">
            <v>1204010201</v>
          </cell>
        </row>
        <row r="857">
          <cell r="M857" t="str">
            <v>Common Cost Center - SWL</v>
          </cell>
          <cell r="N857">
            <v>1204010501</v>
          </cell>
        </row>
        <row r="858">
          <cell r="M858" t="str">
            <v>Repair &amp; Maintenance-SWL</v>
          </cell>
          <cell r="N858">
            <v>1204010802</v>
          </cell>
        </row>
        <row r="859">
          <cell r="M859" t="str">
            <v>EHS-SWL</v>
          </cell>
          <cell r="N859">
            <v>1204010801</v>
          </cell>
        </row>
        <row r="860">
          <cell r="M860" t="str">
            <v>Financial Reporting &amp; Acc-SWL</v>
          </cell>
          <cell r="N860">
            <v>1204010901</v>
          </cell>
        </row>
        <row r="861">
          <cell r="M861" t="str">
            <v>HR Operations-SWL</v>
          </cell>
          <cell r="N861">
            <v>1204011001</v>
          </cell>
        </row>
        <row r="862">
          <cell r="M862" t="str">
            <v>Infrastructure Technology-SWL</v>
          </cell>
          <cell r="N862">
            <v>1204011101</v>
          </cell>
        </row>
        <row r="863">
          <cell r="M863" t="str">
            <v>Legal Affairs-SWL</v>
          </cell>
          <cell r="N863">
            <v>1204011301</v>
          </cell>
        </row>
        <row r="864">
          <cell r="M864" t="str">
            <v>Marketing &amp; Promotions-SWL</v>
          </cell>
          <cell r="N864">
            <v>1204011501</v>
          </cell>
        </row>
        <row r="865">
          <cell r="M865" t="str">
            <v>Wastage &amp; Shrinkage -SWL</v>
          </cell>
          <cell r="N865">
            <v>1204011704</v>
          </cell>
        </row>
        <row r="866">
          <cell r="M866" t="str">
            <v>Store Operations -SWL</v>
          </cell>
          <cell r="N866">
            <v>1204011703</v>
          </cell>
        </row>
        <row r="867">
          <cell r="M867" t="str">
            <v>Logistics &amp; Warehousing (D-WH)-SWL</v>
          </cell>
          <cell r="N867">
            <v>1204011702</v>
          </cell>
        </row>
        <row r="868">
          <cell r="M868" t="str">
            <v>Front of House-SWL</v>
          </cell>
          <cell r="N868">
            <v>1204011701</v>
          </cell>
        </row>
        <row r="869">
          <cell r="M869" t="str">
            <v>Administration Services-SWL Cuisine</v>
          </cell>
          <cell r="N869">
            <v>1204720101</v>
          </cell>
        </row>
        <row r="870">
          <cell r="M870" t="str">
            <v>Security Services-SWL Cuisine</v>
          </cell>
          <cell r="N870">
            <v>1204720102</v>
          </cell>
        </row>
        <row r="871">
          <cell r="M871" t="str">
            <v>Common Cost Center-SWL Cuisine</v>
          </cell>
          <cell r="N871">
            <v>1204720501</v>
          </cell>
        </row>
        <row r="872">
          <cell r="M872" t="str">
            <v>EHS-SWL Cuisine</v>
          </cell>
          <cell r="N872">
            <v>1204720801</v>
          </cell>
        </row>
        <row r="873">
          <cell r="M873" t="str">
            <v>Repair &amp; Maintenance-SWL Cuisine</v>
          </cell>
          <cell r="N873">
            <v>1204720802</v>
          </cell>
        </row>
        <row r="874">
          <cell r="M874" t="str">
            <v>Financial Planning &amp; Budg.-SWL CUN</v>
          </cell>
          <cell r="N874">
            <v>1204720902</v>
          </cell>
        </row>
        <row r="875">
          <cell r="M875" t="str">
            <v>HR Operations-SWL Cuisine</v>
          </cell>
          <cell r="N875">
            <v>1204721001</v>
          </cell>
        </row>
        <row r="876">
          <cell r="M876" t="str">
            <v>Infrastructure Technology-SWL Cuisine</v>
          </cell>
          <cell r="N876">
            <v>1204721101</v>
          </cell>
        </row>
        <row r="877">
          <cell r="M877" t="str">
            <v>Legal Affairs-SWL Cuisine</v>
          </cell>
          <cell r="N877">
            <v>1204721301</v>
          </cell>
        </row>
        <row r="878">
          <cell r="M878" t="str">
            <v>Production Management-SWL Cuisine</v>
          </cell>
          <cell r="N878">
            <v>1204721601</v>
          </cell>
        </row>
        <row r="879">
          <cell r="M879" t="str">
            <v>Logistics &amp; Warehousing-SWL Cuisine</v>
          </cell>
          <cell r="N879">
            <v>1204721602</v>
          </cell>
        </row>
        <row r="880">
          <cell r="M880" t="str">
            <v>Production Operations-SWL Cuisine BAK</v>
          </cell>
          <cell r="N880">
            <v>1204721603</v>
          </cell>
        </row>
        <row r="881">
          <cell r="M881" t="str">
            <v>Quality Assurance-SWL Cuisine</v>
          </cell>
          <cell r="N881">
            <v>1204721604</v>
          </cell>
        </row>
        <row r="882">
          <cell r="M882" t="str">
            <v>Wastage &amp; Shrinkage-SWL Cuisine</v>
          </cell>
          <cell r="N882">
            <v>1204721605</v>
          </cell>
        </row>
        <row r="883">
          <cell r="M883" t="str">
            <v>Production Operations-SWL Cuisine LK</v>
          </cell>
          <cell r="N883">
            <v>1204721606</v>
          </cell>
        </row>
        <row r="884">
          <cell r="M884" t="str">
            <v>Administration Services-GKM</v>
          </cell>
          <cell r="N884">
            <v>1301010101</v>
          </cell>
        </row>
        <row r="885">
          <cell r="M885" t="str">
            <v>Security Services-GKM</v>
          </cell>
          <cell r="N885">
            <v>1301010102</v>
          </cell>
        </row>
        <row r="886">
          <cell r="M886" t="str">
            <v>Projects-GKM</v>
          </cell>
          <cell r="N886">
            <v>1301010201</v>
          </cell>
        </row>
        <row r="887">
          <cell r="M887" t="str">
            <v>Common Cost Center-GKM</v>
          </cell>
          <cell r="N887">
            <v>1301010501</v>
          </cell>
        </row>
        <row r="888">
          <cell r="M888" t="str">
            <v>EHS-GKM</v>
          </cell>
          <cell r="N888">
            <v>1301010801</v>
          </cell>
        </row>
        <row r="889">
          <cell r="M889" t="str">
            <v>Repair &amp; Maintenance-GKM</v>
          </cell>
          <cell r="N889">
            <v>1301010802</v>
          </cell>
        </row>
        <row r="890">
          <cell r="M890" t="str">
            <v>Financial Reporting &amp; Acc-GKM</v>
          </cell>
          <cell r="N890">
            <v>1301010901</v>
          </cell>
        </row>
        <row r="891">
          <cell r="M891" t="str">
            <v>HR Operations-GKM</v>
          </cell>
          <cell r="N891">
            <v>1301011001</v>
          </cell>
        </row>
        <row r="892">
          <cell r="M892" t="str">
            <v>Infrastructure Technology-GKM</v>
          </cell>
          <cell r="N892">
            <v>1301011101</v>
          </cell>
        </row>
        <row r="893">
          <cell r="M893" t="str">
            <v>Legal Affairs-GKM</v>
          </cell>
          <cell r="N893">
            <v>1301011301</v>
          </cell>
        </row>
        <row r="894">
          <cell r="M894" t="str">
            <v>Marketing &amp; Promotions-GKM</v>
          </cell>
          <cell r="N894">
            <v>1301011501</v>
          </cell>
        </row>
        <row r="895">
          <cell r="M895" t="str">
            <v>Front of House-GKM</v>
          </cell>
          <cell r="N895">
            <v>1301011701</v>
          </cell>
        </row>
        <row r="896">
          <cell r="M896" t="str">
            <v>Logistics &amp; Warehousing (D-WH)-GKM</v>
          </cell>
          <cell r="N896">
            <v>1301011702</v>
          </cell>
        </row>
        <row r="897">
          <cell r="M897" t="str">
            <v>Store Operations -GKM</v>
          </cell>
          <cell r="N897">
            <v>1301011703</v>
          </cell>
        </row>
        <row r="898">
          <cell r="M898" t="str">
            <v>Wastage &amp; Shrinkage -GKM</v>
          </cell>
          <cell r="N898">
            <v>1301011704</v>
          </cell>
        </row>
        <row r="899">
          <cell r="M899" t="str">
            <v>Administration Services-CQLA</v>
          </cell>
          <cell r="N899">
            <v>1301400101</v>
          </cell>
        </row>
        <row r="900">
          <cell r="M900" t="str">
            <v>Security Services-CQLA</v>
          </cell>
          <cell r="N900">
            <v>1301400102</v>
          </cell>
        </row>
        <row r="901">
          <cell r="M901" t="str">
            <v>Common Cost Center-CQLA</v>
          </cell>
          <cell r="N901">
            <v>1301400501</v>
          </cell>
        </row>
        <row r="902">
          <cell r="M902" t="str">
            <v>EHS-CQLA</v>
          </cell>
          <cell r="N902">
            <v>1301400801</v>
          </cell>
        </row>
        <row r="903">
          <cell r="M903" t="str">
            <v>Repair &amp; Maintenance-CQLA</v>
          </cell>
          <cell r="N903">
            <v>1301400802</v>
          </cell>
        </row>
        <row r="904">
          <cell r="M904" t="str">
            <v>Financial Reporting &amp; Acc-CQLA</v>
          </cell>
          <cell r="N904">
            <v>1301400901</v>
          </cell>
        </row>
        <row r="905">
          <cell r="M905" t="str">
            <v>HR Operations-CQLA</v>
          </cell>
          <cell r="N905">
            <v>1301401001</v>
          </cell>
        </row>
        <row r="906">
          <cell r="M906" t="str">
            <v>Infrastructure Technology-CQLA</v>
          </cell>
          <cell r="N906">
            <v>1301401101</v>
          </cell>
        </row>
        <row r="907">
          <cell r="M907" t="str">
            <v>Legal Affairs-CQLA</v>
          </cell>
          <cell r="N907">
            <v>1301401301</v>
          </cell>
        </row>
        <row r="908">
          <cell r="M908" t="str">
            <v>Warehousing Operations-CQLA</v>
          </cell>
          <cell r="N908">
            <v>1301401401</v>
          </cell>
        </row>
        <row r="909">
          <cell r="M909" t="str">
            <v>Logistics Operations-CQLA</v>
          </cell>
          <cell r="N909">
            <v>1301401402</v>
          </cell>
        </row>
        <row r="910">
          <cell r="M910" t="str">
            <v>SC Planning &amp; Management-CQLA</v>
          </cell>
          <cell r="N910">
            <v>1301401403</v>
          </cell>
        </row>
        <row r="911">
          <cell r="M911" t="str">
            <v>Quality Assurance-CQLA</v>
          </cell>
          <cell r="N911">
            <v>1301401404</v>
          </cell>
        </row>
        <row r="912">
          <cell r="M912" t="str">
            <v>Wastage &amp; Shrinkage-CQLA</v>
          </cell>
          <cell r="N912">
            <v>1301401405</v>
          </cell>
        </row>
        <row r="913">
          <cell r="M913" t="str">
            <v>Production Operation-CQLA</v>
          </cell>
          <cell r="N913">
            <v>1301401603</v>
          </cell>
        </row>
        <row r="914">
          <cell r="M914" t="str">
            <v>Administration Services-GKMCuisine</v>
          </cell>
          <cell r="N914">
            <v>1301800101</v>
          </cell>
        </row>
        <row r="915">
          <cell r="M915" t="str">
            <v>Security Services-GKMCuisine</v>
          </cell>
          <cell r="N915">
            <v>1301800102</v>
          </cell>
        </row>
        <row r="916">
          <cell r="M916" t="str">
            <v>Common Cost Center-GKMCuisine</v>
          </cell>
          <cell r="N916">
            <v>1301800501</v>
          </cell>
        </row>
        <row r="917">
          <cell r="M917" t="str">
            <v>EHS-GKMCuisine</v>
          </cell>
          <cell r="N917">
            <v>1301800801</v>
          </cell>
        </row>
        <row r="918">
          <cell r="M918" t="str">
            <v>Repair &amp; Maintenance-GKMCuisine</v>
          </cell>
          <cell r="N918">
            <v>1301800802</v>
          </cell>
        </row>
        <row r="919">
          <cell r="M919" t="str">
            <v>Financial Planning &amp; Budg.-GKMCuisine</v>
          </cell>
          <cell r="N919">
            <v>1301800902</v>
          </cell>
        </row>
        <row r="920">
          <cell r="M920" t="str">
            <v>HR Operations-GKMCuisine</v>
          </cell>
          <cell r="N920">
            <v>1301801001</v>
          </cell>
        </row>
        <row r="921">
          <cell r="M921" t="str">
            <v>Infrastructure Technology-GKMCuisine</v>
          </cell>
          <cell r="N921">
            <v>1301801101</v>
          </cell>
        </row>
        <row r="922">
          <cell r="M922" t="str">
            <v>Legal Affairs-GKMCuisine</v>
          </cell>
          <cell r="N922">
            <v>1301801301</v>
          </cell>
        </row>
        <row r="923">
          <cell r="M923" t="str">
            <v>Production Management-GKMCuisine</v>
          </cell>
          <cell r="N923">
            <v>1301801601</v>
          </cell>
        </row>
        <row r="924">
          <cell r="M924" t="str">
            <v>Logistics &amp; Warehousing-GKMCuisine</v>
          </cell>
          <cell r="N924">
            <v>1301801602</v>
          </cell>
        </row>
        <row r="925">
          <cell r="M925" t="str">
            <v>Production Operations-GKMCuisine (Bak)</v>
          </cell>
          <cell r="N925">
            <v>1301801603</v>
          </cell>
        </row>
        <row r="926">
          <cell r="M926" t="str">
            <v>Quality Assurance-GKMCuisine</v>
          </cell>
          <cell r="N926">
            <v>1301801604</v>
          </cell>
        </row>
        <row r="927">
          <cell r="M927" t="str">
            <v>Wastage &amp; Shrinkage-GKMCuisine</v>
          </cell>
          <cell r="N927">
            <v>1301801605</v>
          </cell>
        </row>
        <row r="928">
          <cell r="M928" t="str">
            <v>Administration Services-FMM</v>
          </cell>
          <cell r="N928">
            <v>1302010101</v>
          </cell>
        </row>
        <row r="929">
          <cell r="M929" t="str">
            <v>Security Services-FMM</v>
          </cell>
          <cell r="N929">
            <v>1302010102</v>
          </cell>
        </row>
        <row r="930">
          <cell r="M930" t="str">
            <v>Projects-FMM</v>
          </cell>
          <cell r="N930">
            <v>1302010201</v>
          </cell>
        </row>
        <row r="931">
          <cell r="M931" t="str">
            <v>Common Cost Center-FMM</v>
          </cell>
          <cell r="N931">
            <v>1302010501</v>
          </cell>
        </row>
        <row r="932">
          <cell r="M932" t="str">
            <v>EHS-FMM</v>
          </cell>
          <cell r="N932">
            <v>1302010801</v>
          </cell>
        </row>
        <row r="933">
          <cell r="M933" t="str">
            <v>Repair &amp; Maintenance-FMM</v>
          </cell>
          <cell r="N933">
            <v>1302010802</v>
          </cell>
        </row>
        <row r="934">
          <cell r="M934" t="str">
            <v>Financial Reporting &amp; Acc-FMM</v>
          </cell>
          <cell r="N934">
            <v>1302010901</v>
          </cell>
        </row>
        <row r="935">
          <cell r="M935" t="str">
            <v>HR Operations-FMM</v>
          </cell>
          <cell r="N935">
            <v>1302011001</v>
          </cell>
        </row>
        <row r="936">
          <cell r="M936" t="str">
            <v>Infrastructure Technology-FMM</v>
          </cell>
          <cell r="N936">
            <v>1302011101</v>
          </cell>
        </row>
        <row r="937">
          <cell r="M937" t="str">
            <v>Legal Affairs-FMM</v>
          </cell>
          <cell r="N937">
            <v>1302011301</v>
          </cell>
        </row>
        <row r="938">
          <cell r="M938" t="str">
            <v>Marketing &amp; Promotions-FMM</v>
          </cell>
          <cell r="N938">
            <v>1302011501</v>
          </cell>
        </row>
        <row r="939">
          <cell r="M939" t="str">
            <v>Front of House-FMM</v>
          </cell>
          <cell r="N939">
            <v>1302011701</v>
          </cell>
        </row>
        <row r="940">
          <cell r="M940" t="str">
            <v>Logistics &amp; Warehousing (D-WH)-FMM</v>
          </cell>
          <cell r="N940">
            <v>1302011702</v>
          </cell>
        </row>
        <row r="941">
          <cell r="M941" t="str">
            <v>Store Operations -FMM</v>
          </cell>
          <cell r="N941">
            <v>1302011703</v>
          </cell>
        </row>
        <row r="942">
          <cell r="M942" t="str">
            <v>Wastage &amp; Shrinkage -FMM</v>
          </cell>
          <cell r="N942">
            <v>1302011704</v>
          </cell>
        </row>
        <row r="943">
          <cell r="M943" t="str">
            <v>Administration Services-Chenab</v>
          </cell>
          <cell r="N943">
            <v>1302400101</v>
          </cell>
        </row>
        <row r="944">
          <cell r="M944" t="str">
            <v>Security Services-Chenab</v>
          </cell>
          <cell r="N944">
            <v>1302400102</v>
          </cell>
        </row>
        <row r="945">
          <cell r="M945" t="str">
            <v>Common Cost Center-Chenab</v>
          </cell>
          <cell r="N945">
            <v>1302400501</v>
          </cell>
        </row>
        <row r="946">
          <cell r="M946" t="str">
            <v>EHS-Chenab</v>
          </cell>
          <cell r="N946">
            <v>1302400801</v>
          </cell>
        </row>
        <row r="947">
          <cell r="M947" t="str">
            <v>Repair &amp; Maintenance-Chenab</v>
          </cell>
          <cell r="N947">
            <v>1302400802</v>
          </cell>
        </row>
        <row r="948">
          <cell r="M948" t="str">
            <v>Financial Reporting &amp; Acc-Chenab</v>
          </cell>
          <cell r="N948">
            <v>1302400901</v>
          </cell>
        </row>
        <row r="949">
          <cell r="M949" t="str">
            <v>HR Operations-Chenab</v>
          </cell>
          <cell r="N949">
            <v>1302401001</v>
          </cell>
        </row>
        <row r="950">
          <cell r="M950" t="str">
            <v>Infrastructure Technology-Chenab</v>
          </cell>
          <cell r="N950">
            <v>1302401101</v>
          </cell>
        </row>
        <row r="951">
          <cell r="M951" t="str">
            <v>Legal Affairs-Chenab</v>
          </cell>
          <cell r="N951">
            <v>1302401301</v>
          </cell>
        </row>
        <row r="952">
          <cell r="M952" t="str">
            <v>Warehousing Operations-Chenab</v>
          </cell>
          <cell r="N952">
            <v>1302401401</v>
          </cell>
        </row>
        <row r="953">
          <cell r="M953" t="str">
            <v>Logistics Operations-Chenab</v>
          </cell>
          <cell r="N953">
            <v>1302401402</v>
          </cell>
        </row>
        <row r="954">
          <cell r="M954" t="str">
            <v>SC Planning &amp; Management-Chenab</v>
          </cell>
          <cell r="N954">
            <v>1302401403</v>
          </cell>
        </row>
        <row r="955">
          <cell r="M955" t="str">
            <v>Quality Assurance-Chenab</v>
          </cell>
          <cell r="N955">
            <v>1302401404</v>
          </cell>
        </row>
        <row r="956">
          <cell r="M956" t="str">
            <v>Wastage &amp; Shrinkage-Chenab</v>
          </cell>
          <cell r="N956">
            <v>1302401405</v>
          </cell>
        </row>
        <row r="957">
          <cell r="M957" t="str">
            <v>Administration Services-FMM Cuisine</v>
          </cell>
          <cell r="N957">
            <v>1302800101</v>
          </cell>
        </row>
        <row r="958">
          <cell r="M958" t="str">
            <v>Security Services-FMM Cuisine</v>
          </cell>
          <cell r="N958">
            <v>1302800102</v>
          </cell>
        </row>
        <row r="959">
          <cell r="M959" t="str">
            <v>Common Cost Center-FMM Cuisine</v>
          </cell>
          <cell r="N959">
            <v>1302800501</v>
          </cell>
        </row>
        <row r="960">
          <cell r="M960" t="str">
            <v>EHS-FMM Cuisine</v>
          </cell>
          <cell r="N960">
            <v>1302800801</v>
          </cell>
        </row>
        <row r="961">
          <cell r="M961" t="str">
            <v>Repair &amp; Maintenance-FMM Cuisine</v>
          </cell>
          <cell r="N961">
            <v>1302800802</v>
          </cell>
        </row>
        <row r="962">
          <cell r="M962" t="str">
            <v>Financial Planning &amp; Budg.-FMM Cuisine</v>
          </cell>
          <cell r="N962">
            <v>1302800902</v>
          </cell>
        </row>
        <row r="963">
          <cell r="M963" t="str">
            <v>HR Operations-FMM Cuisine</v>
          </cell>
          <cell r="N963">
            <v>1302801001</v>
          </cell>
        </row>
        <row r="964">
          <cell r="M964" t="str">
            <v>Infrastructure Technology-FMM Cuisine</v>
          </cell>
          <cell r="N964">
            <v>1302801101</v>
          </cell>
        </row>
        <row r="965">
          <cell r="M965" t="str">
            <v>Legal Affairs-FMM Cuisine</v>
          </cell>
          <cell r="N965">
            <v>1302801301</v>
          </cell>
        </row>
        <row r="966">
          <cell r="M966" t="str">
            <v>Production Management-FMM Cuisine</v>
          </cell>
          <cell r="N966">
            <v>1302801601</v>
          </cell>
        </row>
        <row r="967">
          <cell r="M967" t="str">
            <v>Logistics &amp; Warehousing-FMM Cuisine</v>
          </cell>
          <cell r="N967">
            <v>1302801602</v>
          </cell>
        </row>
        <row r="968">
          <cell r="M968" t="str">
            <v>Production Operations-FMM Cuisine (Bak)</v>
          </cell>
          <cell r="N968">
            <v>1302801603</v>
          </cell>
        </row>
        <row r="969">
          <cell r="M969" t="str">
            <v>Quality Assurance-FMM Cuisine</v>
          </cell>
          <cell r="N969">
            <v>1302801604</v>
          </cell>
        </row>
        <row r="970">
          <cell r="M970" t="str">
            <v>Wastage &amp; Shrinkage-FMM Cuisine</v>
          </cell>
          <cell r="N970">
            <v>1302801605</v>
          </cell>
        </row>
        <row r="971">
          <cell r="M971" t="str">
            <v>Production Operations-FMM Cuisine (LK)</v>
          </cell>
          <cell r="N971">
            <v>1302801606</v>
          </cell>
        </row>
        <row r="972">
          <cell r="M972" t="str">
            <v>Administration Services-LHR RHO</v>
          </cell>
          <cell r="N972">
            <v>1303010101</v>
          </cell>
        </row>
        <row r="973">
          <cell r="M973" t="str">
            <v>Security Services-LHR RHO</v>
          </cell>
          <cell r="N973">
            <v>1303010102</v>
          </cell>
        </row>
        <row r="974">
          <cell r="M974" t="str">
            <v>Projects-LHR RHO</v>
          </cell>
          <cell r="N974">
            <v>1303010201</v>
          </cell>
        </row>
        <row r="975">
          <cell r="M975" t="str">
            <v>Chairman-LHR RHO</v>
          </cell>
          <cell r="N975">
            <v>1303010301</v>
          </cell>
        </row>
        <row r="976">
          <cell r="M976" t="str">
            <v>Director 1-LHR RHO</v>
          </cell>
          <cell r="N976">
            <v>1303010302</v>
          </cell>
        </row>
        <row r="977">
          <cell r="M977" t="str">
            <v>Director 2-LHR RHO</v>
          </cell>
          <cell r="N977">
            <v>1303010303</v>
          </cell>
        </row>
        <row r="978">
          <cell r="M978" t="str">
            <v>CAD-LHR RHO</v>
          </cell>
          <cell r="N978">
            <v>1303010401</v>
          </cell>
        </row>
        <row r="979">
          <cell r="M979" t="str">
            <v>FMCG 1-LHR RHO</v>
          </cell>
          <cell r="N979">
            <v>1303010402</v>
          </cell>
        </row>
        <row r="980">
          <cell r="M980" t="str">
            <v>FMCG 2-LHR RHO</v>
          </cell>
          <cell r="N980">
            <v>1303010403</v>
          </cell>
        </row>
        <row r="981">
          <cell r="M981" t="str">
            <v>Non Food Hard-LHR RHO</v>
          </cell>
          <cell r="N981">
            <v>1303010404</v>
          </cell>
        </row>
        <row r="982">
          <cell r="M982" t="str">
            <v>Fashion Good and Accessories-LHR RHO</v>
          </cell>
          <cell r="N982">
            <v>1303010405</v>
          </cell>
        </row>
        <row r="983">
          <cell r="M983" t="str">
            <v>Pharmacy-LHR RHO</v>
          </cell>
          <cell r="N983">
            <v>1303010406</v>
          </cell>
        </row>
        <row r="984">
          <cell r="M984" t="str">
            <v>Household-LHR RHO</v>
          </cell>
          <cell r="N984">
            <v>1303010407</v>
          </cell>
        </row>
        <row r="985">
          <cell r="M985" t="str">
            <v>Consumer Electronics-LHR RHO</v>
          </cell>
          <cell r="N985">
            <v>1303010408</v>
          </cell>
        </row>
        <row r="986">
          <cell r="M986" t="str">
            <v>Commodities-LHR RHO</v>
          </cell>
          <cell r="N986">
            <v>1303010409</v>
          </cell>
        </row>
        <row r="987">
          <cell r="M987" t="str">
            <v>Cuisine-LHR RHO</v>
          </cell>
          <cell r="N987">
            <v>1303010410</v>
          </cell>
        </row>
        <row r="988">
          <cell r="M988" t="str">
            <v>Imports-LHR RHO</v>
          </cell>
          <cell r="N988">
            <v>1303010411</v>
          </cell>
        </row>
        <row r="989">
          <cell r="M989" t="str">
            <v>Common CC Commercial-LHR RHO</v>
          </cell>
          <cell r="N989">
            <v>1303010412</v>
          </cell>
        </row>
        <row r="990">
          <cell r="M990" t="str">
            <v>Meat-LHR RHO</v>
          </cell>
          <cell r="N990">
            <v>1303010413</v>
          </cell>
        </row>
        <row r="991">
          <cell r="M991" t="str">
            <v>Common Cost Center-LHR RHO</v>
          </cell>
          <cell r="N991">
            <v>1303010501</v>
          </cell>
        </row>
        <row r="992">
          <cell r="M992" t="str">
            <v>Corporate Sales-LHR RHO</v>
          </cell>
          <cell r="N992">
            <v>1303010601</v>
          </cell>
        </row>
        <row r="993">
          <cell r="M993" t="str">
            <v>E-Commerce-LHR RHO</v>
          </cell>
          <cell r="N993">
            <v>1303010701</v>
          </cell>
        </row>
        <row r="994">
          <cell r="M994" t="str">
            <v>EHS-LHR RHO</v>
          </cell>
          <cell r="N994">
            <v>1303010801</v>
          </cell>
        </row>
        <row r="995">
          <cell r="M995" t="str">
            <v>Repair &amp; Maintenance-LHR RHO</v>
          </cell>
          <cell r="N995">
            <v>1303010802</v>
          </cell>
        </row>
        <row r="996">
          <cell r="M996" t="str">
            <v>Financial Reporting &amp; Acc-LHR RHO</v>
          </cell>
          <cell r="N996">
            <v>1303010901</v>
          </cell>
        </row>
        <row r="997">
          <cell r="M997" t="str">
            <v>Financial Planning &amp; Budg.-LHR RHO</v>
          </cell>
          <cell r="N997">
            <v>1303010903</v>
          </cell>
        </row>
        <row r="998">
          <cell r="M998" t="str">
            <v>Inventory &amp; CMS-LHR RHO</v>
          </cell>
          <cell r="N998">
            <v>1303010904</v>
          </cell>
        </row>
        <row r="999">
          <cell r="M999" t="str">
            <v>Common CC Finance-LHR RHO</v>
          </cell>
          <cell r="N999">
            <v>1303010905</v>
          </cell>
        </row>
        <row r="1000">
          <cell r="M1000" t="str">
            <v>HR Operations-LHR RHO</v>
          </cell>
          <cell r="N1000">
            <v>1303011001</v>
          </cell>
        </row>
        <row r="1001">
          <cell r="M1001" t="str">
            <v>Compensation &amp; Benefits-LHR RHO</v>
          </cell>
          <cell r="N1001">
            <v>1303011002</v>
          </cell>
        </row>
        <row r="1002">
          <cell r="M1002" t="str">
            <v>Learning &amp; OD-LHR RHO</v>
          </cell>
          <cell r="N1002">
            <v>1303011003</v>
          </cell>
        </row>
        <row r="1003">
          <cell r="M1003" t="str">
            <v>Talent Acquisition-LHR RHO</v>
          </cell>
          <cell r="N1003">
            <v>1303011004</v>
          </cell>
        </row>
        <row r="1004">
          <cell r="M1004" t="str">
            <v>Common CC HR-LHR RHO</v>
          </cell>
          <cell r="N1004">
            <v>1303011005</v>
          </cell>
        </row>
        <row r="1005">
          <cell r="M1005" t="str">
            <v>Infrastructure Technology-LHR RHO</v>
          </cell>
          <cell r="N1005">
            <v>1303011101</v>
          </cell>
        </row>
        <row r="1006">
          <cell r="M1006" t="str">
            <v>Business Technology-LHR RHO</v>
          </cell>
          <cell r="N1006">
            <v>1303011102</v>
          </cell>
        </row>
        <row r="1007">
          <cell r="M1007" t="str">
            <v>System Development-LHR RHO</v>
          </cell>
          <cell r="N1007">
            <v>1303011103</v>
          </cell>
        </row>
        <row r="1008">
          <cell r="M1008" t="str">
            <v>Common CC IT-LHR RHO</v>
          </cell>
          <cell r="N1008">
            <v>1303011104</v>
          </cell>
        </row>
        <row r="1009">
          <cell r="M1009" t="str">
            <v>Internal Audit-LHR RHO</v>
          </cell>
          <cell r="N1009">
            <v>1303011201</v>
          </cell>
        </row>
        <row r="1010">
          <cell r="M1010" t="str">
            <v>Legal Affairs-LHR RHO</v>
          </cell>
          <cell r="N1010">
            <v>1303011301</v>
          </cell>
        </row>
        <row r="1011">
          <cell r="M1011" t="str">
            <v>Consultancy-LHR RHO</v>
          </cell>
          <cell r="N1011">
            <v>1303011302</v>
          </cell>
        </row>
        <row r="1012">
          <cell r="M1012" t="str">
            <v>SC Planning &amp; Management-LHR RHO</v>
          </cell>
          <cell r="N1012">
            <v>1303011403</v>
          </cell>
        </row>
        <row r="1013">
          <cell r="M1013" t="str">
            <v>Marketing &amp; Promotions-LHR RHO</v>
          </cell>
          <cell r="N1013">
            <v>1303011501</v>
          </cell>
        </row>
        <row r="1014">
          <cell r="M1014" t="str">
            <v>Customer Care Center-LHR RHO</v>
          </cell>
          <cell r="N1014">
            <v>1303011502</v>
          </cell>
        </row>
        <row r="1015">
          <cell r="M1015" t="str">
            <v>Store Operations-LHR RHO</v>
          </cell>
          <cell r="N1015">
            <v>1303011703</v>
          </cell>
        </row>
        <row r="1016">
          <cell r="M1016" t="str">
            <v>Proc-LHR RHO</v>
          </cell>
          <cell r="N1016">
            <v>1303011801</v>
          </cell>
        </row>
        <row r="1017">
          <cell r="M1017" t="str">
            <v>Administration Services-LHRHT</v>
          </cell>
          <cell r="N1017">
            <v>1303020101</v>
          </cell>
        </row>
        <row r="1018">
          <cell r="M1018" t="str">
            <v>Security Services-LHRHT</v>
          </cell>
          <cell r="N1018">
            <v>1303020102</v>
          </cell>
        </row>
        <row r="1019">
          <cell r="M1019" t="str">
            <v>Projects-LHRHT</v>
          </cell>
          <cell r="N1019">
            <v>1303020201</v>
          </cell>
        </row>
        <row r="1020">
          <cell r="M1020" t="str">
            <v>Common Cost Center-LHRHT</v>
          </cell>
          <cell r="N1020">
            <v>1303020501</v>
          </cell>
        </row>
        <row r="1021">
          <cell r="M1021" t="str">
            <v>EHS-LHRHT</v>
          </cell>
          <cell r="N1021">
            <v>1303020801</v>
          </cell>
        </row>
        <row r="1022">
          <cell r="M1022" t="str">
            <v>Repair &amp; Maintenance-LHRHT</v>
          </cell>
          <cell r="N1022">
            <v>1303020802</v>
          </cell>
        </row>
        <row r="1023">
          <cell r="M1023" t="str">
            <v>Financial Reporting &amp; Acc-LHRHT</v>
          </cell>
          <cell r="N1023">
            <v>1303020901</v>
          </cell>
        </row>
        <row r="1024">
          <cell r="M1024" t="str">
            <v>HR Operations-LHRHT</v>
          </cell>
          <cell r="N1024">
            <v>1303021001</v>
          </cell>
        </row>
        <row r="1025">
          <cell r="M1025" t="str">
            <v>Infrastructure Technology-LHRHT</v>
          </cell>
          <cell r="N1025">
            <v>1303021101</v>
          </cell>
        </row>
        <row r="1026">
          <cell r="M1026" t="str">
            <v>Legal Affairs-LHRHT</v>
          </cell>
          <cell r="N1026">
            <v>1303021301</v>
          </cell>
        </row>
        <row r="1027">
          <cell r="M1027" t="str">
            <v>Marketing &amp; Promotions-LHRHT</v>
          </cell>
          <cell r="N1027">
            <v>1303021501</v>
          </cell>
        </row>
        <row r="1028">
          <cell r="M1028" t="str">
            <v>Front of House-LHRHT</v>
          </cell>
          <cell r="N1028">
            <v>1303021701</v>
          </cell>
        </row>
        <row r="1029">
          <cell r="M1029" t="str">
            <v>Logistics &amp; Warehousing (D-WH)-LHRHT</v>
          </cell>
          <cell r="N1029">
            <v>1303021702</v>
          </cell>
        </row>
        <row r="1030">
          <cell r="M1030" t="str">
            <v>Store Operations -LHRHT</v>
          </cell>
          <cell r="N1030">
            <v>1303021703</v>
          </cell>
        </row>
        <row r="1031">
          <cell r="M1031" t="str">
            <v>Wastage &amp; Shrinkage -LHRHT</v>
          </cell>
          <cell r="N1031">
            <v>1303021704</v>
          </cell>
        </row>
        <row r="1032">
          <cell r="M1032" t="str">
            <v>Administration Services-LHRBG</v>
          </cell>
          <cell r="N1032">
            <v>1303030101</v>
          </cell>
        </row>
        <row r="1033">
          <cell r="M1033" t="str">
            <v>Security Services-LHRBG</v>
          </cell>
          <cell r="N1033">
            <v>1303030102</v>
          </cell>
        </row>
        <row r="1034">
          <cell r="M1034" t="str">
            <v>Projects - LHR -MEGA - GB</v>
          </cell>
          <cell r="N1034">
            <v>1303030201</v>
          </cell>
        </row>
        <row r="1035">
          <cell r="M1035" t="str">
            <v>Common Cost Center-LHRBG</v>
          </cell>
          <cell r="N1035">
            <v>1303030501</v>
          </cell>
        </row>
        <row r="1036">
          <cell r="M1036" t="str">
            <v>EHS-LHRBG</v>
          </cell>
          <cell r="N1036">
            <v>1303030801</v>
          </cell>
        </row>
        <row r="1037">
          <cell r="M1037" t="str">
            <v>Repair &amp; Maintenance-LHRBG</v>
          </cell>
          <cell r="N1037">
            <v>1303030802</v>
          </cell>
        </row>
        <row r="1038">
          <cell r="M1038" t="str">
            <v>Financial Reporting &amp; Acc-LHRBG</v>
          </cell>
          <cell r="N1038">
            <v>1303030901</v>
          </cell>
        </row>
        <row r="1039">
          <cell r="M1039" t="str">
            <v>HR Operations-LHRBG</v>
          </cell>
          <cell r="N1039">
            <v>1303031001</v>
          </cell>
        </row>
        <row r="1040">
          <cell r="M1040" t="str">
            <v>Infrastructure Technology-LHRBG</v>
          </cell>
          <cell r="N1040">
            <v>1303031101</v>
          </cell>
        </row>
        <row r="1041">
          <cell r="M1041" t="str">
            <v>Legal Affairs-LHRBG</v>
          </cell>
          <cell r="N1041">
            <v>1303031301</v>
          </cell>
        </row>
        <row r="1042">
          <cell r="M1042" t="str">
            <v>Marketing &amp; Promotions-LHRBG</v>
          </cell>
          <cell r="N1042">
            <v>1303031501</v>
          </cell>
        </row>
        <row r="1043">
          <cell r="M1043" t="str">
            <v>Front of House-LHRBG</v>
          </cell>
          <cell r="N1043">
            <v>1303031701</v>
          </cell>
        </row>
        <row r="1044">
          <cell r="M1044" t="str">
            <v>Logistics &amp; Warehousing (D-WH)-LHRBG</v>
          </cell>
          <cell r="N1044">
            <v>1303031702</v>
          </cell>
        </row>
        <row r="1045">
          <cell r="M1045" t="str">
            <v>Store Operations -LHRBG</v>
          </cell>
          <cell r="N1045">
            <v>1303031703</v>
          </cell>
        </row>
        <row r="1046">
          <cell r="M1046" t="str">
            <v>Wastage &amp; Shrinkage -LHRBG</v>
          </cell>
          <cell r="N1046">
            <v>1303031704</v>
          </cell>
        </row>
        <row r="1047">
          <cell r="M1047" t="str">
            <v>Administration Services-L3</v>
          </cell>
          <cell r="N1047">
            <v>1303040101</v>
          </cell>
        </row>
        <row r="1048">
          <cell r="M1048" t="str">
            <v>Security Services-L3</v>
          </cell>
          <cell r="N1048">
            <v>1303040102</v>
          </cell>
        </row>
        <row r="1049">
          <cell r="M1049" t="str">
            <v>Projects-L3</v>
          </cell>
          <cell r="N1049">
            <v>1303040201</v>
          </cell>
        </row>
        <row r="1050">
          <cell r="M1050" t="str">
            <v>Common Cost Center-L3</v>
          </cell>
          <cell r="N1050">
            <v>1303040501</v>
          </cell>
        </row>
        <row r="1051">
          <cell r="M1051" t="str">
            <v>EHS-L3</v>
          </cell>
          <cell r="N1051">
            <v>1303040801</v>
          </cell>
        </row>
        <row r="1052">
          <cell r="M1052" t="str">
            <v>Repair &amp; Maintenance-L3</v>
          </cell>
          <cell r="N1052">
            <v>1303040802</v>
          </cell>
        </row>
        <row r="1053">
          <cell r="M1053" t="str">
            <v>Financial Reporting &amp; Acc-L3</v>
          </cell>
          <cell r="N1053">
            <v>1303040901</v>
          </cell>
        </row>
        <row r="1054">
          <cell r="M1054" t="str">
            <v>HR Operations-L3</v>
          </cell>
          <cell r="N1054">
            <v>1303041001</v>
          </cell>
        </row>
        <row r="1055">
          <cell r="M1055" t="str">
            <v>Infrastructure Technology-L3</v>
          </cell>
          <cell r="N1055">
            <v>1303041101</v>
          </cell>
        </row>
        <row r="1056">
          <cell r="M1056" t="str">
            <v>Legal Affairs-L3</v>
          </cell>
          <cell r="N1056">
            <v>1303041301</v>
          </cell>
        </row>
        <row r="1057">
          <cell r="M1057" t="str">
            <v>Marketing &amp; Promotions-L3</v>
          </cell>
          <cell r="N1057">
            <v>1303041501</v>
          </cell>
        </row>
        <row r="1058">
          <cell r="M1058" t="str">
            <v>Front of House-L3</v>
          </cell>
          <cell r="N1058">
            <v>1303041701</v>
          </cell>
        </row>
        <row r="1059">
          <cell r="M1059" t="str">
            <v>Logistics &amp; Warehousing (D-WH)-L3</v>
          </cell>
          <cell r="N1059">
            <v>1303041702</v>
          </cell>
        </row>
        <row r="1060">
          <cell r="M1060" t="str">
            <v>Store Operations -L3</v>
          </cell>
          <cell r="N1060">
            <v>1303041703</v>
          </cell>
        </row>
        <row r="1061">
          <cell r="M1061" t="str">
            <v>Wastage &amp; Shrinkage -L3</v>
          </cell>
          <cell r="N1061">
            <v>1303041704</v>
          </cell>
        </row>
        <row r="1062">
          <cell r="M1062" t="str">
            <v>Administration Services-L4</v>
          </cell>
          <cell r="N1062">
            <v>1303050101</v>
          </cell>
        </row>
        <row r="1063">
          <cell r="M1063" t="str">
            <v>Security Services-L4</v>
          </cell>
          <cell r="N1063">
            <v>1303050102</v>
          </cell>
        </row>
        <row r="1064">
          <cell r="M1064" t="str">
            <v>Projects-L4</v>
          </cell>
          <cell r="N1064">
            <v>1303050201</v>
          </cell>
        </row>
        <row r="1065">
          <cell r="M1065" t="str">
            <v>Common Cost Center-L4</v>
          </cell>
          <cell r="N1065">
            <v>1303050501</v>
          </cell>
        </row>
        <row r="1066">
          <cell r="M1066" t="str">
            <v>EHS-L4</v>
          </cell>
          <cell r="N1066">
            <v>1303050801</v>
          </cell>
        </row>
        <row r="1067">
          <cell r="M1067" t="str">
            <v>Repair &amp; Maintenance-L4</v>
          </cell>
          <cell r="N1067">
            <v>1303050802</v>
          </cell>
        </row>
        <row r="1068">
          <cell r="M1068" t="str">
            <v>Financial Reporting &amp; Acc-L4</v>
          </cell>
          <cell r="N1068">
            <v>1303050901</v>
          </cell>
        </row>
        <row r="1069">
          <cell r="M1069" t="str">
            <v>HR Operations-L4</v>
          </cell>
          <cell r="N1069">
            <v>1303051001</v>
          </cell>
        </row>
        <row r="1070">
          <cell r="M1070" t="str">
            <v>Infrastructure Technology-L4</v>
          </cell>
          <cell r="N1070">
            <v>1303051101</v>
          </cell>
        </row>
        <row r="1071">
          <cell r="M1071" t="str">
            <v>Legal Affairs-L4</v>
          </cell>
          <cell r="N1071">
            <v>1303051301</v>
          </cell>
        </row>
        <row r="1072">
          <cell r="M1072" t="str">
            <v>Marketing &amp; Promotions-L4</v>
          </cell>
          <cell r="N1072">
            <v>1303051501</v>
          </cell>
        </row>
        <row r="1073">
          <cell r="M1073" t="str">
            <v>Front of House-L4</v>
          </cell>
          <cell r="N1073">
            <v>1303051701</v>
          </cell>
        </row>
        <row r="1074">
          <cell r="M1074" t="str">
            <v>Logistics &amp; Warehousing (D-WH)-L4</v>
          </cell>
          <cell r="N1074">
            <v>1303051702</v>
          </cell>
        </row>
        <row r="1075">
          <cell r="M1075" t="str">
            <v>Store Operations -L4</v>
          </cell>
          <cell r="N1075">
            <v>1303051703</v>
          </cell>
        </row>
        <row r="1076">
          <cell r="M1076" t="str">
            <v>Wastage &amp; Shrinkage -L4</v>
          </cell>
          <cell r="N1076">
            <v>1303051704</v>
          </cell>
        </row>
        <row r="1077">
          <cell r="M1077" t="str">
            <v>Administration Services-L5</v>
          </cell>
          <cell r="N1077">
            <v>1303060101</v>
          </cell>
        </row>
        <row r="1078">
          <cell r="M1078" t="str">
            <v>Security Services-L5</v>
          </cell>
          <cell r="N1078">
            <v>1303060102</v>
          </cell>
        </row>
        <row r="1079">
          <cell r="M1079" t="str">
            <v>Projects-L5</v>
          </cell>
          <cell r="N1079">
            <v>1303060201</v>
          </cell>
        </row>
        <row r="1080">
          <cell r="M1080" t="str">
            <v>Common Cost Center-L5</v>
          </cell>
          <cell r="N1080">
            <v>1303060501</v>
          </cell>
        </row>
        <row r="1081">
          <cell r="M1081" t="str">
            <v>EHS-L5</v>
          </cell>
          <cell r="N1081">
            <v>1303060801</v>
          </cell>
        </row>
        <row r="1082">
          <cell r="M1082" t="str">
            <v>Repair &amp; Maintenance-L5</v>
          </cell>
          <cell r="N1082">
            <v>1303060802</v>
          </cell>
        </row>
        <row r="1083">
          <cell r="M1083" t="str">
            <v>Financial Reporting &amp; Acc-L5</v>
          </cell>
          <cell r="N1083">
            <v>1303060901</v>
          </cell>
        </row>
        <row r="1084">
          <cell r="M1084" t="str">
            <v>HR Operations-L5</v>
          </cell>
          <cell r="N1084">
            <v>1303061001</v>
          </cell>
        </row>
        <row r="1085">
          <cell r="M1085" t="str">
            <v>Infrastructure Technology-L5</v>
          </cell>
          <cell r="N1085">
            <v>1303061101</v>
          </cell>
        </row>
        <row r="1086">
          <cell r="M1086" t="str">
            <v>Legal Affairs-L5</v>
          </cell>
          <cell r="N1086">
            <v>1303061301</v>
          </cell>
        </row>
        <row r="1087">
          <cell r="M1087" t="str">
            <v>Marketing &amp; Promotions-L5</v>
          </cell>
          <cell r="N1087">
            <v>1303061501</v>
          </cell>
        </row>
        <row r="1088">
          <cell r="M1088" t="str">
            <v>Front of House-L5</v>
          </cell>
          <cell r="N1088">
            <v>1303061701</v>
          </cell>
        </row>
        <row r="1089">
          <cell r="M1089" t="str">
            <v>Logistics &amp; Warehousing (D-WH)-L5</v>
          </cell>
          <cell r="N1089">
            <v>1303061702</v>
          </cell>
        </row>
        <row r="1090">
          <cell r="M1090" t="str">
            <v>Store Operations -L5</v>
          </cell>
          <cell r="N1090">
            <v>1303061703</v>
          </cell>
        </row>
        <row r="1091">
          <cell r="M1091" t="str">
            <v>Wastage &amp; Shrinkage -L5</v>
          </cell>
          <cell r="N1091">
            <v>1303061704</v>
          </cell>
        </row>
        <row r="1092">
          <cell r="M1092" t="str">
            <v>Common Cost Center - LHRJT</v>
          </cell>
          <cell r="N1092">
            <v>1303070501</v>
          </cell>
        </row>
        <row r="1093">
          <cell r="M1093" t="str">
            <v>Administration Services-JBG</v>
          </cell>
          <cell r="N1093">
            <v>1303400101</v>
          </cell>
        </row>
        <row r="1094">
          <cell r="M1094" t="str">
            <v>Security Services-JBG</v>
          </cell>
          <cell r="N1094">
            <v>1303400102</v>
          </cell>
        </row>
        <row r="1095">
          <cell r="M1095" t="str">
            <v>Common Cost Center-JBG</v>
          </cell>
          <cell r="N1095">
            <v>1303400501</v>
          </cell>
        </row>
        <row r="1096">
          <cell r="M1096" t="str">
            <v>EHS-JBG</v>
          </cell>
          <cell r="N1096">
            <v>1303400801</v>
          </cell>
        </row>
        <row r="1097">
          <cell r="M1097" t="str">
            <v>Repair &amp; Maintenance-JBG</v>
          </cell>
          <cell r="N1097">
            <v>1303400802</v>
          </cell>
        </row>
        <row r="1098">
          <cell r="M1098" t="str">
            <v>Financial Reporting &amp; Acc-JBG</v>
          </cell>
          <cell r="N1098">
            <v>1303400901</v>
          </cell>
        </row>
        <row r="1099">
          <cell r="M1099" t="str">
            <v>HR Operations-JBG</v>
          </cell>
          <cell r="N1099">
            <v>1303401001</v>
          </cell>
        </row>
        <row r="1100">
          <cell r="M1100" t="str">
            <v>Infrastructure Technology-JBG</v>
          </cell>
          <cell r="N1100">
            <v>1303401101</v>
          </cell>
        </row>
        <row r="1101">
          <cell r="M1101" t="str">
            <v>Legal Affairs-JBG</v>
          </cell>
          <cell r="N1101">
            <v>1303401301</v>
          </cell>
        </row>
        <row r="1102">
          <cell r="M1102" t="str">
            <v>Warehousing Operations-JBG</v>
          </cell>
          <cell r="N1102">
            <v>1303401401</v>
          </cell>
        </row>
        <row r="1103">
          <cell r="M1103" t="str">
            <v>Logistics Operations-JBG</v>
          </cell>
          <cell r="N1103">
            <v>1303401402</v>
          </cell>
        </row>
        <row r="1104">
          <cell r="M1104" t="str">
            <v>SC Planning &amp; Management-JBG</v>
          </cell>
          <cell r="N1104">
            <v>1303401403</v>
          </cell>
        </row>
        <row r="1105">
          <cell r="M1105" t="str">
            <v>Quality Assurance-JBG</v>
          </cell>
          <cell r="N1105">
            <v>1303401404</v>
          </cell>
        </row>
        <row r="1106">
          <cell r="M1106" t="str">
            <v>Wastage &amp; Shrinkage-JBG</v>
          </cell>
          <cell r="N1106">
            <v>1303401405</v>
          </cell>
        </row>
        <row r="1107">
          <cell r="M1107" t="str">
            <v>Administration Services-SafariPark</v>
          </cell>
          <cell r="N1107">
            <v>1303410101</v>
          </cell>
        </row>
        <row r="1108">
          <cell r="M1108" t="str">
            <v>Security Services-SafariPark</v>
          </cell>
          <cell r="N1108">
            <v>1303410102</v>
          </cell>
        </row>
        <row r="1109">
          <cell r="M1109" t="str">
            <v>Common Cost Center - SafariPark</v>
          </cell>
          <cell r="N1109">
            <v>1303410501</v>
          </cell>
        </row>
        <row r="1110">
          <cell r="M1110" t="str">
            <v>EHS-SafariPark</v>
          </cell>
          <cell r="N1110">
            <v>1303410801</v>
          </cell>
        </row>
        <row r="1111">
          <cell r="M1111" t="str">
            <v>Repair &amp; Maintenance-SafariPark</v>
          </cell>
          <cell r="N1111">
            <v>1303410802</v>
          </cell>
        </row>
        <row r="1112">
          <cell r="M1112" t="str">
            <v>Financial Reporting &amp; Acc-SafariPark</v>
          </cell>
          <cell r="N1112">
            <v>1303410901</v>
          </cell>
        </row>
        <row r="1113">
          <cell r="M1113" t="str">
            <v>HR Operations-SafariPark</v>
          </cell>
          <cell r="N1113">
            <v>1303411001</v>
          </cell>
        </row>
        <row r="1114">
          <cell r="M1114" t="str">
            <v>Infrastructure Technology-SafariPark</v>
          </cell>
          <cell r="N1114">
            <v>1303411101</v>
          </cell>
        </row>
        <row r="1115">
          <cell r="M1115" t="str">
            <v>Legal Affairs-SafariPark</v>
          </cell>
          <cell r="N1115">
            <v>1303411301</v>
          </cell>
        </row>
        <row r="1116">
          <cell r="M1116" t="str">
            <v>Warehousing Operations-SafariPark</v>
          </cell>
          <cell r="N1116">
            <v>1303411401</v>
          </cell>
        </row>
        <row r="1117">
          <cell r="M1117" t="str">
            <v>Logistics Operations-SafariPark</v>
          </cell>
          <cell r="N1117">
            <v>1303411402</v>
          </cell>
        </row>
        <row r="1118">
          <cell r="M1118" t="str">
            <v>SC Planning &amp; Management-SafariPark</v>
          </cell>
          <cell r="N1118">
            <v>1303411403</v>
          </cell>
        </row>
        <row r="1119">
          <cell r="M1119" t="str">
            <v>Quality Assurance-SafariPark</v>
          </cell>
          <cell r="N1119">
            <v>1303411404</v>
          </cell>
        </row>
        <row r="1120">
          <cell r="M1120" t="str">
            <v>Wastage &amp; Shrinkage-SafariPark</v>
          </cell>
          <cell r="N1120">
            <v>1303411405</v>
          </cell>
        </row>
        <row r="1121">
          <cell r="M1121" t="str">
            <v>Administration Services-F&amp;V</v>
          </cell>
          <cell r="N1121">
            <v>1303420101</v>
          </cell>
        </row>
        <row r="1122">
          <cell r="M1122" t="str">
            <v>Security Services-F&amp;V</v>
          </cell>
          <cell r="N1122">
            <v>1303420102</v>
          </cell>
        </row>
        <row r="1123">
          <cell r="M1123" t="str">
            <v>Common Cost Center - F&amp;V</v>
          </cell>
          <cell r="N1123">
            <v>1303420501</v>
          </cell>
        </row>
        <row r="1124">
          <cell r="M1124" t="str">
            <v>EHS-F&amp;V</v>
          </cell>
          <cell r="N1124">
            <v>1303420801</v>
          </cell>
        </row>
        <row r="1125">
          <cell r="M1125" t="str">
            <v>Repair &amp; Maintenance-F&amp;V</v>
          </cell>
          <cell r="N1125">
            <v>1303420802</v>
          </cell>
        </row>
        <row r="1126">
          <cell r="M1126" t="str">
            <v>Financial Reporting &amp; AcF&amp;V</v>
          </cell>
          <cell r="N1126">
            <v>1303420901</v>
          </cell>
        </row>
        <row r="1127">
          <cell r="M1127" t="str">
            <v>HR Operations-F&amp;V</v>
          </cell>
          <cell r="N1127">
            <v>1303421001</v>
          </cell>
        </row>
        <row r="1128">
          <cell r="M1128" t="str">
            <v>Infrastructure Technolog-F&amp;V</v>
          </cell>
          <cell r="N1128">
            <v>1303421101</v>
          </cell>
        </row>
        <row r="1129">
          <cell r="M1129" t="str">
            <v>Legal Affairs-F&amp;V</v>
          </cell>
          <cell r="N1129">
            <v>1303421301</v>
          </cell>
        </row>
        <row r="1130">
          <cell r="M1130" t="str">
            <v>Warehousing Operations-F&amp;V</v>
          </cell>
          <cell r="N1130">
            <v>1303421401</v>
          </cell>
        </row>
        <row r="1131">
          <cell r="M1131" t="str">
            <v>Logistics Operations-F&amp;V</v>
          </cell>
          <cell r="N1131">
            <v>1303421402</v>
          </cell>
        </row>
        <row r="1132">
          <cell r="M1132" t="str">
            <v>SC Planning &amp; Management-F&amp;V</v>
          </cell>
          <cell r="N1132">
            <v>1303421403</v>
          </cell>
        </row>
        <row r="1133">
          <cell r="M1133" t="str">
            <v>Quality Assurance-F&amp;V</v>
          </cell>
          <cell r="N1133">
            <v>1303421404</v>
          </cell>
        </row>
        <row r="1134">
          <cell r="M1134" t="str">
            <v>Wastage &amp; Shrinkage-F&amp;V</v>
          </cell>
          <cell r="N1134">
            <v>1303421405</v>
          </cell>
        </row>
        <row r="1135">
          <cell r="M1135" t="str">
            <v>Administration Services-BAGA K1</v>
          </cell>
          <cell r="N1135">
            <v>1303430101</v>
          </cell>
        </row>
        <row r="1136">
          <cell r="M1136" t="str">
            <v>Security Services-BAGA K1</v>
          </cell>
          <cell r="N1136">
            <v>1303430102</v>
          </cell>
        </row>
        <row r="1137">
          <cell r="M1137" t="str">
            <v>Common CC Jia Bagga K1</v>
          </cell>
          <cell r="N1137">
            <v>1303430501</v>
          </cell>
        </row>
        <row r="1138">
          <cell r="M1138" t="str">
            <v>EHS-BAGA K1</v>
          </cell>
          <cell r="N1138">
            <v>1303430801</v>
          </cell>
        </row>
        <row r="1139">
          <cell r="M1139" t="str">
            <v>Repair &amp; Maintenance-BAGA K1</v>
          </cell>
          <cell r="N1139">
            <v>1303430802</v>
          </cell>
        </row>
        <row r="1140">
          <cell r="M1140" t="str">
            <v>Financial Reporting &amp; Acc-BAGA K1</v>
          </cell>
          <cell r="N1140">
            <v>1303430901</v>
          </cell>
        </row>
        <row r="1141">
          <cell r="M1141" t="str">
            <v>HR Operations-BAGA K1</v>
          </cell>
          <cell r="N1141">
            <v>1303431001</v>
          </cell>
        </row>
        <row r="1142">
          <cell r="M1142" t="str">
            <v>Infrastructure Technology-BAGA K1</v>
          </cell>
          <cell r="N1142">
            <v>1303431101</v>
          </cell>
        </row>
        <row r="1143">
          <cell r="M1143" t="str">
            <v>Legal Affairs-BAGA K1</v>
          </cell>
          <cell r="N1143">
            <v>1303431301</v>
          </cell>
        </row>
        <row r="1144">
          <cell r="M1144" t="str">
            <v>Warehousing Operations-BAGA K1</v>
          </cell>
          <cell r="N1144">
            <v>1303431401</v>
          </cell>
        </row>
        <row r="1145">
          <cell r="M1145" t="str">
            <v>Logistics Operations-BAGA K1</v>
          </cell>
          <cell r="N1145">
            <v>1303431402</v>
          </cell>
        </row>
        <row r="1146">
          <cell r="M1146" t="str">
            <v>SC Planning &amp; Management-BAGA K1</v>
          </cell>
          <cell r="N1146">
            <v>1303431403</v>
          </cell>
        </row>
        <row r="1147">
          <cell r="M1147" t="str">
            <v>Quality Assurance-BAGA K1</v>
          </cell>
          <cell r="N1147">
            <v>1303431404</v>
          </cell>
        </row>
        <row r="1148">
          <cell r="M1148" t="str">
            <v>Wastage &amp; Shrinkage-BAGA K1</v>
          </cell>
          <cell r="N1148">
            <v>1303431405</v>
          </cell>
        </row>
        <row r="1149">
          <cell r="M1149" t="str">
            <v>Administration Services-LHR PNM</v>
          </cell>
          <cell r="N1149">
            <v>1303800101</v>
          </cell>
        </row>
        <row r="1150">
          <cell r="M1150" t="str">
            <v>Security Services-LHR PNM</v>
          </cell>
          <cell r="N1150">
            <v>1303800102</v>
          </cell>
        </row>
        <row r="1151">
          <cell r="M1151" t="str">
            <v>Common Cost Center-LHR PNM</v>
          </cell>
          <cell r="N1151">
            <v>1303800501</v>
          </cell>
        </row>
        <row r="1152">
          <cell r="M1152" t="str">
            <v>EHS-LHR PNM</v>
          </cell>
          <cell r="N1152">
            <v>1303800801</v>
          </cell>
        </row>
        <row r="1153">
          <cell r="M1153" t="str">
            <v>Repair &amp; Maintenance-LHR PNM</v>
          </cell>
          <cell r="N1153">
            <v>1303800802</v>
          </cell>
        </row>
        <row r="1154">
          <cell r="M1154" t="str">
            <v>Financial Planning &amp; Budg.-LHR PNM</v>
          </cell>
          <cell r="N1154">
            <v>1303800902</v>
          </cell>
        </row>
        <row r="1155">
          <cell r="M1155" t="str">
            <v>HR Operations-LHR PNM</v>
          </cell>
          <cell r="N1155">
            <v>1303801001</v>
          </cell>
        </row>
        <row r="1156">
          <cell r="M1156" t="str">
            <v>Infrastructure Technology-LHR PNM</v>
          </cell>
          <cell r="N1156">
            <v>1303801101</v>
          </cell>
        </row>
        <row r="1157">
          <cell r="M1157" t="str">
            <v>Legal Affairs-LHR PNM</v>
          </cell>
          <cell r="N1157">
            <v>1303801301</v>
          </cell>
        </row>
        <row r="1158">
          <cell r="M1158" t="str">
            <v>Production Management-LHR PNM</v>
          </cell>
          <cell r="N1158">
            <v>1303801601</v>
          </cell>
        </row>
        <row r="1159">
          <cell r="M1159" t="str">
            <v>Logistics &amp; Warehousing-LHR PNM</v>
          </cell>
          <cell r="N1159">
            <v>1303801602</v>
          </cell>
        </row>
        <row r="1160">
          <cell r="M1160" t="str">
            <v>Production Operations-LHR PNM</v>
          </cell>
          <cell r="N1160">
            <v>1303801603</v>
          </cell>
        </row>
        <row r="1161">
          <cell r="M1161" t="str">
            <v>Quality Assurance-LHR PNM</v>
          </cell>
          <cell r="N1161">
            <v>1303801604</v>
          </cell>
        </row>
        <row r="1162">
          <cell r="M1162" t="str">
            <v>Wastage &amp; Shrinkage-LHR PNM</v>
          </cell>
          <cell r="N1162">
            <v>1303801605</v>
          </cell>
        </row>
        <row r="1163">
          <cell r="M1163" t="str">
            <v>Administration Services-BG Cuisine</v>
          </cell>
          <cell r="N1163">
            <v>1303810101</v>
          </cell>
        </row>
        <row r="1164">
          <cell r="M1164" t="str">
            <v>Security Services-BG Cuisine</v>
          </cell>
          <cell r="N1164">
            <v>1303810102</v>
          </cell>
        </row>
        <row r="1165">
          <cell r="M1165" t="str">
            <v>Common Cost Center-BG Cuisine</v>
          </cell>
          <cell r="N1165">
            <v>1303810501</v>
          </cell>
        </row>
        <row r="1166">
          <cell r="M1166" t="str">
            <v>EHS-BG Cuisine</v>
          </cell>
          <cell r="N1166">
            <v>1303810801</v>
          </cell>
        </row>
        <row r="1167">
          <cell r="M1167" t="str">
            <v>Repair &amp; Maintenance-BG Cuisine</v>
          </cell>
          <cell r="N1167">
            <v>1303810802</v>
          </cell>
        </row>
        <row r="1168">
          <cell r="M1168" t="str">
            <v>Financial Planning &amp; Budg.-BG Cuisine</v>
          </cell>
          <cell r="N1168">
            <v>1303810902</v>
          </cell>
        </row>
        <row r="1169">
          <cell r="M1169" t="str">
            <v>HR Operations-BG Cuisine</v>
          </cell>
          <cell r="N1169">
            <v>1303811001</v>
          </cell>
        </row>
        <row r="1170">
          <cell r="M1170" t="str">
            <v>Infrastructure Technology-BG Cuisine</v>
          </cell>
          <cell r="N1170">
            <v>1303811101</v>
          </cell>
        </row>
        <row r="1171">
          <cell r="M1171" t="str">
            <v>Legal Affairs-BG Cuisine</v>
          </cell>
          <cell r="N1171">
            <v>1303811301</v>
          </cell>
        </row>
        <row r="1172">
          <cell r="M1172" t="str">
            <v>Production Management-BG Cuisine</v>
          </cell>
          <cell r="N1172">
            <v>1303811601</v>
          </cell>
        </row>
        <row r="1173">
          <cell r="M1173" t="str">
            <v>Logistics &amp; Warehousing-BG Cuisine</v>
          </cell>
          <cell r="N1173">
            <v>1303811602</v>
          </cell>
        </row>
        <row r="1174">
          <cell r="M1174" t="str">
            <v>Production Operations-BG Cuisine (Bak)</v>
          </cell>
          <cell r="N1174">
            <v>1303811603</v>
          </cell>
        </row>
        <row r="1175">
          <cell r="M1175" t="str">
            <v>Quality Assurance-BG Cuisine</v>
          </cell>
          <cell r="N1175">
            <v>1303811604</v>
          </cell>
        </row>
        <row r="1176">
          <cell r="M1176" t="str">
            <v>Wastage &amp; Shrinkage-BG Cuisine</v>
          </cell>
          <cell r="N1176">
            <v>1303811605</v>
          </cell>
        </row>
        <row r="1177">
          <cell r="M1177" t="str">
            <v>&gt;&gt;&gt; No valid master record</v>
          </cell>
          <cell r="N1177">
            <v>1303811606</v>
          </cell>
        </row>
        <row r="1178">
          <cell r="M1178" t="str">
            <v>Administration Services-HTCuisine</v>
          </cell>
          <cell r="N1178">
            <v>1303820101</v>
          </cell>
        </row>
        <row r="1179">
          <cell r="M1179" t="str">
            <v>Security Services-HTCuisine</v>
          </cell>
          <cell r="N1179">
            <v>1303820102</v>
          </cell>
        </row>
        <row r="1180">
          <cell r="M1180" t="str">
            <v>Common Cost Center-HTCuisine</v>
          </cell>
          <cell r="N1180">
            <v>1303820501</v>
          </cell>
        </row>
        <row r="1181">
          <cell r="M1181" t="str">
            <v>EHS-HTCuisine</v>
          </cell>
          <cell r="N1181">
            <v>1303820801</v>
          </cell>
        </row>
        <row r="1182">
          <cell r="M1182" t="str">
            <v>Repair &amp; Maintenance-HTCuisine</v>
          </cell>
          <cell r="N1182">
            <v>1303820802</v>
          </cell>
        </row>
        <row r="1183">
          <cell r="M1183" t="str">
            <v>Financial Planning &amp; Budg.-HTCuisine</v>
          </cell>
          <cell r="N1183">
            <v>1303820902</v>
          </cell>
        </row>
        <row r="1184">
          <cell r="M1184" t="str">
            <v>HR Operations-HTCuisine</v>
          </cell>
          <cell r="N1184">
            <v>1303821001</v>
          </cell>
        </row>
        <row r="1185">
          <cell r="M1185" t="str">
            <v>Infrastructure Technology-HTCuisine</v>
          </cell>
          <cell r="N1185">
            <v>1303821101</v>
          </cell>
        </row>
        <row r="1186">
          <cell r="M1186" t="str">
            <v>Legal Affairs-HTCuisine</v>
          </cell>
          <cell r="N1186">
            <v>1303821301</v>
          </cell>
        </row>
        <row r="1187">
          <cell r="M1187" t="str">
            <v>Production Management-HTCuisine</v>
          </cell>
          <cell r="N1187">
            <v>1303821601</v>
          </cell>
        </row>
        <row r="1188">
          <cell r="M1188" t="str">
            <v>Logistics &amp; Warehousing-HTCuisine</v>
          </cell>
          <cell r="N1188">
            <v>1303821602</v>
          </cell>
        </row>
        <row r="1189">
          <cell r="M1189" t="str">
            <v>Production Operations-HTCuisine (Bak)</v>
          </cell>
          <cell r="N1189">
            <v>1303821603</v>
          </cell>
        </row>
        <row r="1190">
          <cell r="M1190" t="str">
            <v>Quality Assurance-HTCuisine</v>
          </cell>
          <cell r="N1190">
            <v>1303821604</v>
          </cell>
        </row>
        <row r="1191">
          <cell r="M1191" t="str">
            <v>Wastage &amp; Shrinkage-HTCuisine</v>
          </cell>
          <cell r="N1191">
            <v>1303821605</v>
          </cell>
        </row>
        <row r="1192">
          <cell r="M1192" t="str">
            <v>Administration Services-L3Cuisine</v>
          </cell>
          <cell r="N1192">
            <v>1303830101</v>
          </cell>
        </row>
        <row r="1193">
          <cell r="M1193" t="str">
            <v>Security Services-L3Cuisine</v>
          </cell>
          <cell r="N1193">
            <v>1303830102</v>
          </cell>
        </row>
        <row r="1194">
          <cell r="M1194" t="str">
            <v>Common Cost Center-L3Cuisine</v>
          </cell>
          <cell r="N1194">
            <v>1303830501</v>
          </cell>
        </row>
        <row r="1195">
          <cell r="M1195" t="str">
            <v>EHS-L3Cuisine</v>
          </cell>
          <cell r="N1195">
            <v>1303830801</v>
          </cell>
        </row>
        <row r="1196">
          <cell r="M1196" t="str">
            <v>Repair &amp; Maintenance-L3Cuisine</v>
          </cell>
          <cell r="N1196">
            <v>1303830802</v>
          </cell>
        </row>
        <row r="1197">
          <cell r="M1197" t="str">
            <v>Financial Planning &amp; Budg.-L3Cuisine</v>
          </cell>
          <cell r="N1197">
            <v>1303830902</v>
          </cell>
        </row>
        <row r="1198">
          <cell r="M1198" t="str">
            <v>HR Operations-L3Cuisine</v>
          </cell>
          <cell r="N1198">
            <v>1303831001</v>
          </cell>
        </row>
        <row r="1199">
          <cell r="M1199" t="str">
            <v>Infrastructure Technology-L3Cuisine</v>
          </cell>
          <cell r="N1199">
            <v>1303831101</v>
          </cell>
        </row>
        <row r="1200">
          <cell r="M1200" t="str">
            <v>Legal Affairs-L3Cuisine</v>
          </cell>
          <cell r="N1200">
            <v>1303831301</v>
          </cell>
        </row>
        <row r="1201">
          <cell r="M1201" t="str">
            <v>Production Operations-L3Cuisine (LK)</v>
          </cell>
          <cell r="N1201">
            <v>1303831606</v>
          </cell>
        </row>
        <row r="1202">
          <cell r="M1202" t="str">
            <v>Production Management-L3Cuisine</v>
          </cell>
          <cell r="N1202">
            <v>1303831601</v>
          </cell>
        </row>
        <row r="1203">
          <cell r="M1203" t="str">
            <v>Logistics &amp; Warehousing-L3Cuisine</v>
          </cell>
          <cell r="N1203">
            <v>1303831602</v>
          </cell>
        </row>
        <row r="1204">
          <cell r="M1204" t="str">
            <v>Production Operations-L3Cuisine (Bak)</v>
          </cell>
          <cell r="N1204">
            <v>1303831603</v>
          </cell>
        </row>
        <row r="1205">
          <cell r="M1205" t="str">
            <v>Quality Assurance-L3Cuisine</v>
          </cell>
          <cell r="N1205">
            <v>1303831604</v>
          </cell>
        </row>
        <row r="1206">
          <cell r="M1206" t="str">
            <v>Wastage &amp; Shrinkage-L3Cuisine</v>
          </cell>
          <cell r="N1206">
            <v>1303831605</v>
          </cell>
        </row>
        <row r="1207">
          <cell r="M1207" t="str">
            <v>Administration Services-L4Cuisine</v>
          </cell>
          <cell r="N1207">
            <v>1303840101</v>
          </cell>
        </row>
        <row r="1208">
          <cell r="M1208" t="str">
            <v>Security Services-L4Cuisine</v>
          </cell>
          <cell r="N1208">
            <v>1303840102</v>
          </cell>
        </row>
        <row r="1209">
          <cell r="M1209" t="str">
            <v>Common Cost Center-L4Cuisine</v>
          </cell>
          <cell r="N1209">
            <v>1303840501</v>
          </cell>
        </row>
        <row r="1210">
          <cell r="M1210" t="str">
            <v>EHS-L4Cuisine</v>
          </cell>
          <cell r="N1210">
            <v>1303840801</v>
          </cell>
        </row>
        <row r="1211">
          <cell r="M1211" t="str">
            <v>Repair &amp; Maintenance-L4Cuisine</v>
          </cell>
          <cell r="N1211">
            <v>1303840802</v>
          </cell>
        </row>
        <row r="1212">
          <cell r="M1212" t="str">
            <v>Financial Planning &amp; Budg.-L4Cuisine</v>
          </cell>
          <cell r="N1212">
            <v>1303840902</v>
          </cell>
        </row>
        <row r="1213">
          <cell r="M1213" t="str">
            <v>HR Operations-L4Cuisine</v>
          </cell>
          <cell r="N1213">
            <v>1303841001</v>
          </cell>
        </row>
        <row r="1214">
          <cell r="M1214" t="str">
            <v>Infrastructure Technology-L4Cuisine</v>
          </cell>
          <cell r="N1214">
            <v>1303841101</v>
          </cell>
        </row>
        <row r="1215">
          <cell r="M1215" t="str">
            <v>Legal Affairs-L4Cuisine</v>
          </cell>
          <cell r="N1215">
            <v>1303841301</v>
          </cell>
        </row>
        <row r="1216">
          <cell r="M1216" t="str">
            <v>Production Management-L4Cuisine</v>
          </cell>
          <cell r="N1216">
            <v>1303841601</v>
          </cell>
        </row>
        <row r="1217">
          <cell r="M1217" t="str">
            <v>Logistics &amp; Warehousing-L4Cuisine</v>
          </cell>
          <cell r="N1217">
            <v>1303841602</v>
          </cell>
        </row>
        <row r="1218">
          <cell r="M1218" t="str">
            <v>Production Operations-L4Cuisine (Bak)</v>
          </cell>
          <cell r="N1218">
            <v>1303841603</v>
          </cell>
        </row>
        <row r="1219">
          <cell r="M1219" t="str">
            <v>Quality Assurance-L4Cuisine</v>
          </cell>
          <cell r="N1219">
            <v>1303841604</v>
          </cell>
        </row>
        <row r="1220">
          <cell r="M1220" t="str">
            <v>Wastage &amp; Shrinkage-L4Cuisine</v>
          </cell>
          <cell r="N1220">
            <v>1303841605</v>
          </cell>
        </row>
        <row r="1221">
          <cell r="M1221" t="str">
            <v>Production Operations-L4Cuisine (LK)</v>
          </cell>
          <cell r="N1221">
            <v>1303841606</v>
          </cell>
        </row>
        <row r="1222">
          <cell r="M1222" t="str">
            <v>Administration Services- PS MALL</v>
          </cell>
          <cell r="N1222">
            <v>1303850101</v>
          </cell>
        </row>
        <row r="1223">
          <cell r="M1223" t="str">
            <v>Security Services-PS MALL</v>
          </cell>
          <cell r="N1223">
            <v>1303850102</v>
          </cell>
        </row>
        <row r="1224">
          <cell r="M1224" t="str">
            <v>Common Cost Center-PSMall</v>
          </cell>
          <cell r="N1224">
            <v>1303850501</v>
          </cell>
        </row>
        <row r="1225">
          <cell r="M1225" t="str">
            <v>EHS-PS Mall</v>
          </cell>
          <cell r="N1225">
            <v>1303850801</v>
          </cell>
        </row>
        <row r="1226">
          <cell r="M1226" t="str">
            <v>Repair &amp; Maintenance-PSmall</v>
          </cell>
          <cell r="N1226">
            <v>1303850802</v>
          </cell>
        </row>
        <row r="1227">
          <cell r="M1227" t="str">
            <v>Financial Planning &amp; Budg.-PSMall</v>
          </cell>
          <cell r="N1227">
            <v>1303850902</v>
          </cell>
        </row>
        <row r="1228">
          <cell r="M1228" t="str">
            <v>HR Operations-PSmall</v>
          </cell>
          <cell r="N1228">
            <v>1303851001</v>
          </cell>
        </row>
        <row r="1229">
          <cell r="M1229" t="str">
            <v>Infrastructure Technology-PSMall</v>
          </cell>
          <cell r="N1229">
            <v>1303851101</v>
          </cell>
        </row>
        <row r="1230">
          <cell r="M1230" t="str">
            <v>Legal Affairs-PSmall</v>
          </cell>
          <cell r="N1230">
            <v>1303851301</v>
          </cell>
        </row>
        <row r="1231">
          <cell r="M1231" t="str">
            <v>Production Management-PSmall</v>
          </cell>
          <cell r="N1231">
            <v>1303851601</v>
          </cell>
        </row>
        <row r="1232">
          <cell r="M1232" t="str">
            <v>Logistics &amp; Warehousing-PSmall</v>
          </cell>
          <cell r="N1232">
            <v>1303851602</v>
          </cell>
        </row>
        <row r="1233">
          <cell r="M1233" t="str">
            <v>Production Operations-PSMall(Cun Bak)</v>
          </cell>
          <cell r="N1233">
            <v>1303851603</v>
          </cell>
        </row>
        <row r="1234">
          <cell r="M1234" t="str">
            <v>Quality Assurance-PSmall</v>
          </cell>
          <cell r="N1234">
            <v>1303851604</v>
          </cell>
        </row>
        <row r="1235">
          <cell r="M1235" t="str">
            <v>Wastage &amp; Shrinkage-PSmall</v>
          </cell>
          <cell r="N1235">
            <v>1303851605</v>
          </cell>
        </row>
        <row r="1236">
          <cell r="M1236" t="str">
            <v>Production Operations-PSmall (LK)</v>
          </cell>
          <cell r="N1236">
            <v>1303851606</v>
          </cell>
        </row>
        <row r="1237">
          <cell r="M1237" t="str">
            <v>Administration Services-SKT</v>
          </cell>
          <cell r="N1237">
            <v>1304010101</v>
          </cell>
        </row>
        <row r="1238">
          <cell r="M1238" t="str">
            <v>Security Services-SKT</v>
          </cell>
          <cell r="N1238">
            <v>1304010102</v>
          </cell>
        </row>
        <row r="1239">
          <cell r="M1239" t="str">
            <v>Projects-SKT</v>
          </cell>
          <cell r="N1239">
            <v>1304010201</v>
          </cell>
        </row>
        <row r="1240">
          <cell r="M1240" t="str">
            <v>Common Cost Center-SKT</v>
          </cell>
          <cell r="N1240">
            <v>1304010501</v>
          </cell>
        </row>
        <row r="1241">
          <cell r="M1241" t="str">
            <v>EHS-SKT</v>
          </cell>
          <cell r="N1241">
            <v>1304010801</v>
          </cell>
        </row>
        <row r="1242">
          <cell r="M1242" t="str">
            <v>Repair &amp; Maintenance-SKT</v>
          </cell>
          <cell r="N1242">
            <v>1304010802</v>
          </cell>
        </row>
        <row r="1243">
          <cell r="M1243" t="str">
            <v>Financial Reporting &amp; Acc-SKT</v>
          </cell>
          <cell r="N1243">
            <v>1304010901</v>
          </cell>
        </row>
        <row r="1244">
          <cell r="M1244" t="str">
            <v>HR Operations-SKT</v>
          </cell>
          <cell r="N1244">
            <v>1304011001</v>
          </cell>
        </row>
        <row r="1245">
          <cell r="M1245" t="str">
            <v>Infrastructure Technology-SKT</v>
          </cell>
          <cell r="N1245">
            <v>1304011101</v>
          </cell>
        </row>
        <row r="1246">
          <cell r="M1246" t="str">
            <v>Legal Affairs-SKT</v>
          </cell>
          <cell r="N1246">
            <v>1304011301</v>
          </cell>
        </row>
        <row r="1247">
          <cell r="M1247" t="str">
            <v>Marketing &amp; Promotions-SKT</v>
          </cell>
          <cell r="N1247">
            <v>1304011501</v>
          </cell>
        </row>
        <row r="1248">
          <cell r="M1248" t="str">
            <v>Front of House-SKT</v>
          </cell>
          <cell r="N1248">
            <v>1304011701</v>
          </cell>
        </row>
        <row r="1249">
          <cell r="M1249" t="str">
            <v>Logistics &amp; Warehousing (D-WH)-SKT</v>
          </cell>
          <cell r="N1249">
            <v>1304011702</v>
          </cell>
        </row>
        <row r="1250">
          <cell r="M1250" t="str">
            <v>Store Operations -SKT</v>
          </cell>
          <cell r="N1250">
            <v>1304011703</v>
          </cell>
        </row>
        <row r="1251">
          <cell r="M1251" t="str">
            <v>Wastage &amp; Shrinkage -SKT</v>
          </cell>
          <cell r="N1251">
            <v>1304011704</v>
          </cell>
        </row>
        <row r="1252">
          <cell r="M1252" t="str">
            <v>Administration Services-Harr(D-WH)</v>
          </cell>
          <cell r="N1252">
            <v>1304400101</v>
          </cell>
        </row>
        <row r="1253">
          <cell r="M1253" t="str">
            <v>Security Services-Harr(D-WH)</v>
          </cell>
          <cell r="N1253">
            <v>1304400102</v>
          </cell>
        </row>
        <row r="1254">
          <cell r="M1254" t="str">
            <v>Common Cost Center-Harr(D-WH)</v>
          </cell>
          <cell r="N1254">
            <v>1304400501</v>
          </cell>
        </row>
        <row r="1255">
          <cell r="M1255" t="str">
            <v>EHS-Harr(D-WH)</v>
          </cell>
          <cell r="N1255">
            <v>1304400801</v>
          </cell>
        </row>
        <row r="1256">
          <cell r="M1256" t="str">
            <v>Repair &amp; Maintenance-Harr(D-WH)</v>
          </cell>
          <cell r="N1256">
            <v>1304400802</v>
          </cell>
        </row>
        <row r="1257">
          <cell r="M1257" t="str">
            <v>Financial Reporting &amp; Acc-Har(D-WH)</v>
          </cell>
          <cell r="N1257">
            <v>1304400901</v>
          </cell>
        </row>
        <row r="1258">
          <cell r="M1258" t="str">
            <v>HR Operations-Harr(D-WH)</v>
          </cell>
          <cell r="N1258">
            <v>1304401001</v>
          </cell>
        </row>
        <row r="1259">
          <cell r="M1259" t="str">
            <v>Infrastructure Technology-Harr(D-WH)</v>
          </cell>
          <cell r="N1259">
            <v>1304401101</v>
          </cell>
        </row>
        <row r="1260">
          <cell r="M1260" t="str">
            <v>Legal Affairs-Harr(D-WH)</v>
          </cell>
          <cell r="N1260">
            <v>1304401301</v>
          </cell>
        </row>
        <row r="1261">
          <cell r="M1261" t="str">
            <v>Warehousing Operations-Harr(D-WH)</v>
          </cell>
          <cell r="N1261">
            <v>1304401401</v>
          </cell>
        </row>
        <row r="1262">
          <cell r="M1262" t="str">
            <v>Logistics Operations-Harr(D-WH)</v>
          </cell>
          <cell r="N1262">
            <v>1304401402</v>
          </cell>
        </row>
        <row r="1263">
          <cell r="M1263" t="str">
            <v>SC Planning &amp; Management-Harr(D-WH)</v>
          </cell>
          <cell r="N1263">
            <v>1304401403</v>
          </cell>
        </row>
        <row r="1264">
          <cell r="M1264" t="str">
            <v>Quality Assurance-Harr(D-WH)</v>
          </cell>
          <cell r="N1264">
            <v>1304401404</v>
          </cell>
        </row>
        <row r="1265">
          <cell r="M1265" t="str">
            <v>Wastage &amp; Shrinkage-Harr(D-WH)</v>
          </cell>
          <cell r="N1265">
            <v>1304401405</v>
          </cell>
        </row>
        <row r="1266">
          <cell r="M1266" t="str">
            <v>Administration Services-SKTCuisine</v>
          </cell>
          <cell r="N1266">
            <v>1304800101</v>
          </cell>
        </row>
        <row r="1267">
          <cell r="M1267" t="str">
            <v>Security Services-SKTCuisine</v>
          </cell>
          <cell r="N1267">
            <v>1304800102</v>
          </cell>
        </row>
        <row r="1268">
          <cell r="M1268" t="str">
            <v>Common Cost Center-SKTCuisine</v>
          </cell>
          <cell r="N1268">
            <v>1304800501</v>
          </cell>
        </row>
        <row r="1269">
          <cell r="M1269" t="str">
            <v>EHS-SKTCuisine</v>
          </cell>
          <cell r="N1269">
            <v>1304800801</v>
          </cell>
        </row>
        <row r="1270">
          <cell r="M1270" t="str">
            <v>Repair &amp; Maintenance-SKTCuisine</v>
          </cell>
          <cell r="N1270">
            <v>1304800802</v>
          </cell>
        </row>
        <row r="1271">
          <cell r="M1271" t="str">
            <v>Financial Planning &amp; Budg.-SKTCuisine</v>
          </cell>
          <cell r="N1271">
            <v>1304800902</v>
          </cell>
        </row>
        <row r="1272">
          <cell r="M1272" t="str">
            <v>HR Operations-SKTCuisine</v>
          </cell>
          <cell r="N1272">
            <v>1304801001</v>
          </cell>
        </row>
        <row r="1273">
          <cell r="M1273" t="str">
            <v>Infrastructure Technology-SKTCuisine</v>
          </cell>
          <cell r="N1273">
            <v>1304801101</v>
          </cell>
        </row>
        <row r="1274">
          <cell r="M1274" t="str">
            <v>Legal Affairs-SKTCuisine</v>
          </cell>
          <cell r="N1274">
            <v>1304801301</v>
          </cell>
        </row>
        <row r="1275">
          <cell r="M1275" t="str">
            <v>Production Management-SKTCuisine</v>
          </cell>
          <cell r="N1275">
            <v>1304801601</v>
          </cell>
        </row>
        <row r="1276">
          <cell r="M1276" t="str">
            <v>Logistics &amp; Warehousing-SKTCuisine</v>
          </cell>
          <cell r="N1276">
            <v>1304801602</v>
          </cell>
        </row>
        <row r="1277">
          <cell r="M1277" t="str">
            <v>Production Operations-SKTCuisine (Bak)</v>
          </cell>
          <cell r="N1277">
            <v>1304801603</v>
          </cell>
        </row>
        <row r="1278">
          <cell r="M1278" t="str">
            <v>Quality Assurance-SKTCuisine</v>
          </cell>
          <cell r="N1278">
            <v>1304801604</v>
          </cell>
        </row>
        <row r="1279">
          <cell r="M1279" t="str">
            <v>Wastage &amp; Shrinkage-SKTCuisine</v>
          </cell>
          <cell r="N1279">
            <v>1304801605</v>
          </cell>
        </row>
        <row r="1280">
          <cell r="M1280" t="str">
            <v>Production Operations-SKTCuisine (LK)</v>
          </cell>
          <cell r="N1280">
            <v>1304801606</v>
          </cell>
        </row>
        <row r="1281">
          <cell r="M1281" t="str">
            <v>Administration Services-GJT</v>
          </cell>
          <cell r="N1281">
            <v>1305010101</v>
          </cell>
        </row>
        <row r="1282">
          <cell r="M1282" t="str">
            <v>Security Services-GJT</v>
          </cell>
          <cell r="N1282">
            <v>1305010102</v>
          </cell>
        </row>
        <row r="1283">
          <cell r="M1283" t="str">
            <v>Projects-GJT</v>
          </cell>
          <cell r="N1283">
            <v>1305010201</v>
          </cell>
        </row>
        <row r="1284">
          <cell r="M1284" t="str">
            <v>Common Cost Center-GJT</v>
          </cell>
          <cell r="N1284">
            <v>1305010501</v>
          </cell>
        </row>
        <row r="1285">
          <cell r="M1285" t="str">
            <v>EHS-GJT</v>
          </cell>
          <cell r="N1285">
            <v>1305010801</v>
          </cell>
        </row>
        <row r="1286">
          <cell r="M1286" t="str">
            <v>Repair &amp; Maintenance-GJT</v>
          </cell>
          <cell r="N1286">
            <v>1305010802</v>
          </cell>
        </row>
        <row r="1287">
          <cell r="M1287" t="str">
            <v>Financial Reporting &amp; Acc-GJT</v>
          </cell>
          <cell r="N1287">
            <v>1305010901</v>
          </cell>
        </row>
        <row r="1288">
          <cell r="M1288" t="str">
            <v>HR Operations-GJT</v>
          </cell>
          <cell r="N1288">
            <v>1305011001</v>
          </cell>
        </row>
        <row r="1289">
          <cell r="M1289" t="str">
            <v>Infrastructure Technology-GJT</v>
          </cell>
          <cell r="N1289">
            <v>1305011101</v>
          </cell>
        </row>
        <row r="1290">
          <cell r="M1290" t="str">
            <v>Legal Affairs-GJT</v>
          </cell>
          <cell r="N1290">
            <v>1305011301</v>
          </cell>
        </row>
        <row r="1291">
          <cell r="M1291" t="str">
            <v>Marketing &amp; Promotions-GJT</v>
          </cell>
          <cell r="N1291">
            <v>1305011501</v>
          </cell>
        </row>
        <row r="1292">
          <cell r="M1292" t="str">
            <v>Front of House-GJT</v>
          </cell>
          <cell r="N1292">
            <v>1305011701</v>
          </cell>
        </row>
        <row r="1293">
          <cell r="M1293" t="str">
            <v>Logistics &amp; Warehousing (D-WH)-GJT</v>
          </cell>
          <cell r="N1293">
            <v>1305011702</v>
          </cell>
        </row>
        <row r="1294">
          <cell r="M1294" t="str">
            <v>Store Operations -GJT</v>
          </cell>
          <cell r="N1294">
            <v>1305011703</v>
          </cell>
        </row>
        <row r="1295">
          <cell r="M1295" t="str">
            <v>Wastage &amp; Shrinkage -GJT</v>
          </cell>
          <cell r="N1295">
            <v>1305011704</v>
          </cell>
        </row>
        <row r="1296">
          <cell r="M1296" t="str">
            <v>Administration Services-GJTCuisine</v>
          </cell>
          <cell r="N1296">
            <v>1305800101</v>
          </cell>
        </row>
        <row r="1297">
          <cell r="M1297" t="str">
            <v>Security Services-GJTCuisine</v>
          </cell>
          <cell r="N1297">
            <v>1305800102</v>
          </cell>
        </row>
        <row r="1298">
          <cell r="M1298" t="str">
            <v>Common Cost Center-GJTCuisine</v>
          </cell>
          <cell r="N1298">
            <v>1305800501</v>
          </cell>
        </row>
        <row r="1299">
          <cell r="M1299" t="str">
            <v>EHS-GJTCuisine</v>
          </cell>
          <cell r="N1299">
            <v>1305800801</v>
          </cell>
        </row>
        <row r="1300">
          <cell r="M1300" t="str">
            <v>Repair &amp; Maintenance-GJTCuisine</v>
          </cell>
          <cell r="N1300">
            <v>1305800802</v>
          </cell>
        </row>
        <row r="1301">
          <cell r="M1301" t="str">
            <v>Financial Planning &amp; Budg.-GJTCuisine</v>
          </cell>
          <cell r="N1301">
            <v>1305800902</v>
          </cell>
        </row>
        <row r="1302">
          <cell r="M1302" t="str">
            <v>HR Operations-GJTCuisine</v>
          </cell>
          <cell r="N1302">
            <v>1305801001</v>
          </cell>
        </row>
        <row r="1303">
          <cell r="M1303" t="str">
            <v>Infrastructure Technology-GJTCuisine</v>
          </cell>
          <cell r="N1303">
            <v>1305801101</v>
          </cell>
        </row>
        <row r="1304">
          <cell r="M1304" t="str">
            <v>Legal Affairs-GJTCuisine</v>
          </cell>
          <cell r="N1304">
            <v>1305801301</v>
          </cell>
        </row>
        <row r="1305">
          <cell r="M1305" t="str">
            <v>Production Management-GJTCuisine</v>
          </cell>
          <cell r="N1305">
            <v>1305801601</v>
          </cell>
        </row>
        <row r="1306">
          <cell r="M1306" t="str">
            <v>Logistics &amp; Warehousing-GJTCuisine</v>
          </cell>
          <cell r="N1306">
            <v>1305801602</v>
          </cell>
        </row>
        <row r="1307">
          <cell r="M1307" t="str">
            <v>Production Operations-GJTCuisine (Bak)</v>
          </cell>
          <cell r="N1307">
            <v>1305801603</v>
          </cell>
        </row>
        <row r="1308">
          <cell r="M1308" t="str">
            <v>Quality Assurance-GJTCuisine</v>
          </cell>
          <cell r="N1308">
            <v>1305801604</v>
          </cell>
        </row>
        <row r="1309">
          <cell r="M1309" t="str">
            <v>Wastage &amp; Shrinkage-GJTCuisine</v>
          </cell>
          <cell r="N1309">
            <v>1305801605</v>
          </cell>
        </row>
        <row r="1310">
          <cell r="M1310" t="str">
            <v>Production Operations-GJTCuisine (LK)</v>
          </cell>
          <cell r="N1310">
            <v>1305801606</v>
          </cell>
        </row>
        <row r="1311">
          <cell r="M1311" t="str">
            <v>Administration Services-SGD</v>
          </cell>
          <cell r="N1311">
            <v>1306010101</v>
          </cell>
        </row>
        <row r="1312">
          <cell r="M1312" t="str">
            <v>Security Services-SGD</v>
          </cell>
          <cell r="N1312">
            <v>1306010102</v>
          </cell>
        </row>
        <row r="1313">
          <cell r="M1313" t="str">
            <v>Projects-SGD</v>
          </cell>
          <cell r="N1313">
            <v>1306010201</v>
          </cell>
        </row>
        <row r="1314">
          <cell r="M1314" t="str">
            <v>Common Cost Center-SGD</v>
          </cell>
          <cell r="N1314">
            <v>1306010501</v>
          </cell>
        </row>
        <row r="1315">
          <cell r="M1315" t="str">
            <v>EHS-SGD</v>
          </cell>
          <cell r="N1315">
            <v>1306010801</v>
          </cell>
        </row>
        <row r="1316">
          <cell r="M1316" t="str">
            <v>Repair &amp; Maintenance-SGD</v>
          </cell>
          <cell r="N1316">
            <v>1306010802</v>
          </cell>
        </row>
        <row r="1317">
          <cell r="M1317" t="str">
            <v>Financial Reporting &amp; Acc-SGD</v>
          </cell>
          <cell r="N1317">
            <v>1306010901</v>
          </cell>
        </row>
        <row r="1318">
          <cell r="M1318" t="str">
            <v>HR Operations-SGD</v>
          </cell>
          <cell r="N1318">
            <v>1306011001</v>
          </cell>
        </row>
        <row r="1319">
          <cell r="M1319" t="str">
            <v>Infrastructure Technology-SGD</v>
          </cell>
          <cell r="N1319">
            <v>1306011101</v>
          </cell>
        </row>
        <row r="1320">
          <cell r="M1320" t="str">
            <v>Legal Affairs-SGD</v>
          </cell>
          <cell r="N1320">
            <v>1306011301</v>
          </cell>
        </row>
        <row r="1321">
          <cell r="M1321" t="str">
            <v>Marketing &amp; Promotions-SGD</v>
          </cell>
          <cell r="N1321">
            <v>1306011501</v>
          </cell>
        </row>
        <row r="1322">
          <cell r="M1322" t="str">
            <v>Front of House-SGD</v>
          </cell>
          <cell r="N1322">
            <v>1306011701</v>
          </cell>
        </row>
        <row r="1323">
          <cell r="M1323" t="str">
            <v>Logistics &amp; Warehousing (D-WH)-SGD</v>
          </cell>
          <cell r="N1323">
            <v>1306011702</v>
          </cell>
        </row>
        <row r="1324">
          <cell r="M1324" t="str">
            <v>Store Operations -SGD</v>
          </cell>
          <cell r="N1324">
            <v>1306011703</v>
          </cell>
        </row>
        <row r="1325">
          <cell r="M1325" t="str">
            <v>Wastage &amp; Shrinkage -SGD</v>
          </cell>
          <cell r="N1325">
            <v>1306011704</v>
          </cell>
        </row>
        <row r="1326">
          <cell r="M1326" t="str">
            <v>Administration Services-SGDCuisine</v>
          </cell>
          <cell r="N1326">
            <v>1306800101</v>
          </cell>
        </row>
        <row r="1327">
          <cell r="M1327" t="str">
            <v>Security Services-SGDCuisine</v>
          </cell>
          <cell r="N1327">
            <v>1306800102</v>
          </cell>
        </row>
        <row r="1328">
          <cell r="M1328" t="str">
            <v>Common Cost Center-SGDCuisine</v>
          </cell>
          <cell r="N1328">
            <v>1306800501</v>
          </cell>
        </row>
        <row r="1329">
          <cell r="M1329" t="str">
            <v>EHS-SGDCuisine</v>
          </cell>
          <cell r="N1329">
            <v>1306800801</v>
          </cell>
        </row>
        <row r="1330">
          <cell r="M1330" t="str">
            <v>Repair &amp; Maintenance-SGDCuisine</v>
          </cell>
          <cell r="N1330">
            <v>1306800802</v>
          </cell>
        </row>
        <row r="1331">
          <cell r="M1331" t="str">
            <v>Financial Planning &amp; Budg.-SGDCuisine</v>
          </cell>
          <cell r="N1331">
            <v>1306800902</v>
          </cell>
        </row>
        <row r="1332">
          <cell r="M1332" t="str">
            <v>HR Operations-SGDCuisine</v>
          </cell>
          <cell r="N1332">
            <v>1306801001</v>
          </cell>
        </row>
        <row r="1333">
          <cell r="M1333" t="str">
            <v>Infrastructure Technology-SGDCuisine</v>
          </cell>
          <cell r="N1333">
            <v>1306801101</v>
          </cell>
        </row>
        <row r="1334">
          <cell r="M1334" t="str">
            <v>Legal Affairs-SGDCuisine</v>
          </cell>
          <cell r="N1334">
            <v>1306801301</v>
          </cell>
        </row>
        <row r="1335">
          <cell r="M1335" t="str">
            <v>Production Management-SGDCuisine</v>
          </cell>
          <cell r="N1335">
            <v>1306801601</v>
          </cell>
        </row>
        <row r="1336">
          <cell r="M1336" t="str">
            <v>Logistics &amp; Warehousing-SGDCuisine</v>
          </cell>
          <cell r="N1336">
            <v>1306801602</v>
          </cell>
        </row>
        <row r="1337">
          <cell r="M1337" t="str">
            <v>Production Operations-SGDCuisine (Bak)</v>
          </cell>
          <cell r="N1337">
            <v>1306801603</v>
          </cell>
        </row>
        <row r="1338">
          <cell r="M1338" t="str">
            <v>Quality Assurance-SGDCuisine</v>
          </cell>
          <cell r="N1338">
            <v>1306801604</v>
          </cell>
        </row>
        <row r="1339">
          <cell r="M1339" t="str">
            <v>Wastage &amp; Shrinkage-SGDCuisine</v>
          </cell>
          <cell r="N1339">
            <v>1306801605</v>
          </cell>
        </row>
        <row r="1340">
          <cell r="M1340" t="str">
            <v>Production Operations-SGDCuisine (LK)</v>
          </cell>
          <cell r="N1340">
            <v>1306801606</v>
          </cell>
        </row>
        <row r="1341">
          <cell r="M1341" t="str">
            <v>Production Operations-SGD-STND-NDMC</v>
          </cell>
          <cell r="N1341">
            <v>1306401603</v>
          </cell>
        </row>
        <row r="1342">
          <cell r="M1342" t="str">
            <v>Administration Services-SGDWH</v>
          </cell>
          <cell r="N1342">
            <v>1306400101</v>
          </cell>
        </row>
        <row r="1343">
          <cell r="M1343" t="str">
            <v>Security Services-SGDWH</v>
          </cell>
          <cell r="N1343">
            <v>1306400102</v>
          </cell>
        </row>
        <row r="1344">
          <cell r="M1344" t="str">
            <v>Common Cost Center-SGDWH</v>
          </cell>
          <cell r="N1344">
            <v>1306400501</v>
          </cell>
        </row>
        <row r="1345">
          <cell r="M1345" t="str">
            <v>EHS-SGDWH</v>
          </cell>
          <cell r="N1345">
            <v>1306400801</v>
          </cell>
        </row>
        <row r="1346">
          <cell r="M1346" t="str">
            <v>Repair &amp; Maintenance-SGDWH</v>
          </cell>
          <cell r="N1346">
            <v>1306400802</v>
          </cell>
        </row>
        <row r="1347">
          <cell r="M1347" t="str">
            <v>Financial Reporting &amp; Acc-SGDWH</v>
          </cell>
          <cell r="N1347">
            <v>1306400901</v>
          </cell>
        </row>
        <row r="1348">
          <cell r="M1348" t="str">
            <v>HR Operations-SGDWH</v>
          </cell>
          <cell r="N1348">
            <v>1306401001</v>
          </cell>
        </row>
        <row r="1349">
          <cell r="M1349" t="str">
            <v>Infrastructure Technology-SGDWH</v>
          </cell>
          <cell r="N1349">
            <v>1306401101</v>
          </cell>
        </row>
        <row r="1350">
          <cell r="M1350" t="str">
            <v>Legal Affairs-SGDWH</v>
          </cell>
          <cell r="N1350">
            <v>1306401301</v>
          </cell>
        </row>
        <row r="1351">
          <cell r="M1351" t="str">
            <v>Warehousing Operations-SGDWH</v>
          </cell>
          <cell r="N1351">
            <v>1306401401</v>
          </cell>
        </row>
        <row r="1352">
          <cell r="M1352" t="str">
            <v>Logistics Operations-SGDWH</v>
          </cell>
          <cell r="N1352">
            <v>1306401402</v>
          </cell>
        </row>
        <row r="1353">
          <cell r="M1353" t="str">
            <v>SC Planning &amp; Management-SGDWH</v>
          </cell>
          <cell r="N1353">
            <v>1306401403</v>
          </cell>
        </row>
        <row r="1354">
          <cell r="M1354" t="str">
            <v>Quality Assurance-SGDWH</v>
          </cell>
          <cell r="N1354">
            <v>1306401404</v>
          </cell>
        </row>
        <row r="1355">
          <cell r="M1355" t="str">
            <v>Wastage &amp; Shrinkage-SGDWH</v>
          </cell>
          <cell r="N1355">
            <v>1306401405</v>
          </cell>
        </row>
        <row r="1356">
          <cell r="M1356" t="str">
            <v>Administration Services-ISB RHO</v>
          </cell>
          <cell r="N1356">
            <v>1401010101</v>
          </cell>
        </row>
        <row r="1357">
          <cell r="M1357" t="str">
            <v>Security Services-ISB RHO</v>
          </cell>
          <cell r="N1357">
            <v>1401010102</v>
          </cell>
        </row>
        <row r="1358">
          <cell r="M1358" t="str">
            <v>Projects-ISB RHO</v>
          </cell>
          <cell r="N1358">
            <v>1401010201</v>
          </cell>
        </row>
        <row r="1359">
          <cell r="M1359" t="str">
            <v>Chairman-ISB RHO</v>
          </cell>
          <cell r="N1359">
            <v>1401010301</v>
          </cell>
        </row>
        <row r="1360">
          <cell r="M1360" t="str">
            <v>Director 1-ISB RHO</v>
          </cell>
          <cell r="N1360">
            <v>1401010302</v>
          </cell>
        </row>
        <row r="1361">
          <cell r="M1361" t="str">
            <v>Director 2-ISB RHO</v>
          </cell>
          <cell r="N1361">
            <v>1401010303</v>
          </cell>
        </row>
        <row r="1362">
          <cell r="M1362" t="str">
            <v>CAD-ISB RHO</v>
          </cell>
          <cell r="N1362">
            <v>1401010401</v>
          </cell>
        </row>
        <row r="1363">
          <cell r="M1363" t="str">
            <v>FMCG 1-ISB RHO</v>
          </cell>
          <cell r="N1363">
            <v>1401010402</v>
          </cell>
        </row>
        <row r="1364">
          <cell r="M1364" t="str">
            <v>FMCG 2-ISB RHO</v>
          </cell>
          <cell r="N1364">
            <v>1401010403</v>
          </cell>
        </row>
        <row r="1365">
          <cell r="M1365" t="str">
            <v>Non Food Hard-ISB RHO</v>
          </cell>
          <cell r="N1365">
            <v>1401010404</v>
          </cell>
        </row>
        <row r="1366">
          <cell r="M1366" t="str">
            <v>Fashion Good and Accessories-ISB RHO</v>
          </cell>
          <cell r="N1366">
            <v>1401010405</v>
          </cell>
        </row>
        <row r="1367">
          <cell r="M1367" t="str">
            <v>Pharmacy-ISB RHO</v>
          </cell>
          <cell r="N1367">
            <v>1401010406</v>
          </cell>
        </row>
        <row r="1368">
          <cell r="M1368" t="str">
            <v>Household-ISB RHO</v>
          </cell>
          <cell r="N1368">
            <v>1401010407</v>
          </cell>
        </row>
        <row r="1369">
          <cell r="M1369" t="str">
            <v>Consumer Electronics-ISB RHO</v>
          </cell>
          <cell r="N1369">
            <v>1401010408</v>
          </cell>
        </row>
        <row r="1370">
          <cell r="M1370" t="str">
            <v>Commodities-ISB RHO</v>
          </cell>
          <cell r="N1370">
            <v>1401010409</v>
          </cell>
        </row>
        <row r="1371">
          <cell r="M1371" t="str">
            <v>Cuisine-ISB RHO</v>
          </cell>
          <cell r="N1371">
            <v>1401010410</v>
          </cell>
        </row>
        <row r="1372">
          <cell r="M1372" t="str">
            <v>Imports-ISB RHO</v>
          </cell>
          <cell r="N1372">
            <v>1401010411</v>
          </cell>
        </row>
        <row r="1373">
          <cell r="M1373" t="str">
            <v>Common CC Commercial-ISB RHO</v>
          </cell>
          <cell r="N1373">
            <v>1401010412</v>
          </cell>
        </row>
        <row r="1374">
          <cell r="M1374" t="str">
            <v>Meat-ISB RHO</v>
          </cell>
          <cell r="N1374">
            <v>1401010413</v>
          </cell>
        </row>
        <row r="1375">
          <cell r="M1375" t="str">
            <v>Common Cost Center-ISB RHO</v>
          </cell>
          <cell r="N1375">
            <v>1401010501</v>
          </cell>
        </row>
        <row r="1376">
          <cell r="M1376" t="str">
            <v>Corporate Sales-ISB RHO</v>
          </cell>
          <cell r="N1376">
            <v>1401010601</v>
          </cell>
        </row>
        <row r="1377">
          <cell r="M1377" t="str">
            <v>E-Commerce-ISB RHO</v>
          </cell>
          <cell r="N1377">
            <v>1401010701</v>
          </cell>
        </row>
        <row r="1378">
          <cell r="M1378" t="str">
            <v>EHS-ISB RHO</v>
          </cell>
          <cell r="N1378">
            <v>1401010801</v>
          </cell>
        </row>
        <row r="1379">
          <cell r="M1379" t="str">
            <v>Repair &amp; Maintenance-ISB RHO</v>
          </cell>
          <cell r="N1379">
            <v>1401010802</v>
          </cell>
        </row>
        <row r="1380">
          <cell r="M1380" t="str">
            <v>Financial Reporting &amp; Acc-ISB RHO</v>
          </cell>
          <cell r="N1380">
            <v>1401010901</v>
          </cell>
        </row>
        <row r="1381">
          <cell r="M1381" t="str">
            <v>Financial Planning &amp; Budg.-ISB RHO</v>
          </cell>
          <cell r="N1381">
            <v>1401010903</v>
          </cell>
        </row>
        <row r="1382">
          <cell r="M1382" t="str">
            <v>Inventory &amp; CMS-ISB RHO</v>
          </cell>
          <cell r="N1382">
            <v>1401010904</v>
          </cell>
        </row>
        <row r="1383">
          <cell r="M1383" t="str">
            <v>Common CC Finance-ISB RHO</v>
          </cell>
          <cell r="N1383">
            <v>1401010905</v>
          </cell>
        </row>
        <row r="1384">
          <cell r="M1384" t="str">
            <v>HR Operations-ISB RHO</v>
          </cell>
          <cell r="N1384">
            <v>1401011001</v>
          </cell>
        </row>
        <row r="1385">
          <cell r="M1385" t="str">
            <v>Compensation &amp; Benefits-ISB RHO</v>
          </cell>
          <cell r="N1385">
            <v>1401011002</v>
          </cell>
        </row>
        <row r="1386">
          <cell r="M1386" t="str">
            <v>Learning &amp; OD-ISB RHO</v>
          </cell>
          <cell r="N1386">
            <v>1401011003</v>
          </cell>
        </row>
        <row r="1387">
          <cell r="M1387" t="str">
            <v>Talent Acquisition-ISB RHO</v>
          </cell>
          <cell r="N1387">
            <v>1401011004</v>
          </cell>
        </row>
        <row r="1388">
          <cell r="M1388" t="str">
            <v>Common CC HR-ISB RHO</v>
          </cell>
          <cell r="N1388">
            <v>1401011005</v>
          </cell>
        </row>
        <row r="1389">
          <cell r="M1389" t="str">
            <v>Infrastructure Technology-ISB RHO</v>
          </cell>
          <cell r="N1389">
            <v>1401011101</v>
          </cell>
        </row>
        <row r="1390">
          <cell r="M1390" t="str">
            <v>Business Technology-ISB RHO</v>
          </cell>
          <cell r="N1390">
            <v>1401011102</v>
          </cell>
        </row>
        <row r="1391">
          <cell r="M1391" t="str">
            <v>System Development-ISB RHO</v>
          </cell>
          <cell r="N1391">
            <v>1401011103</v>
          </cell>
        </row>
        <row r="1392">
          <cell r="M1392" t="str">
            <v>Common CC IT-ISB RHO</v>
          </cell>
          <cell r="N1392">
            <v>1401011104</v>
          </cell>
        </row>
        <row r="1393">
          <cell r="M1393" t="str">
            <v>Internal Audit-ISB RHO</v>
          </cell>
          <cell r="N1393">
            <v>1401011201</v>
          </cell>
        </row>
        <row r="1394">
          <cell r="M1394" t="str">
            <v>Legal Affairs-ISB RHO</v>
          </cell>
          <cell r="N1394">
            <v>1401011301</v>
          </cell>
        </row>
        <row r="1395">
          <cell r="M1395" t="str">
            <v>Consultancy-ISB RHO</v>
          </cell>
          <cell r="N1395">
            <v>1401011302</v>
          </cell>
        </row>
        <row r="1396">
          <cell r="M1396" t="str">
            <v>SC Planning &amp; Management-ISB RHO</v>
          </cell>
          <cell r="N1396">
            <v>1401011403</v>
          </cell>
        </row>
        <row r="1397">
          <cell r="M1397" t="str">
            <v>Marketing &amp; Promotions-ISB RHO</v>
          </cell>
          <cell r="N1397">
            <v>1401011501</v>
          </cell>
        </row>
        <row r="1398">
          <cell r="M1398" t="str">
            <v>Customer Care Center-ISB RHO</v>
          </cell>
          <cell r="N1398">
            <v>1401011502</v>
          </cell>
        </row>
        <row r="1399">
          <cell r="M1399" t="str">
            <v>Store Operations-ISB RHO</v>
          </cell>
          <cell r="N1399">
            <v>1401011703</v>
          </cell>
        </row>
        <row r="1400">
          <cell r="M1400" t="str">
            <v>Proc-ISB RHO</v>
          </cell>
          <cell r="N1400">
            <v>1401011801</v>
          </cell>
        </row>
        <row r="1401">
          <cell r="M1401" t="str">
            <v>Administration Services-ISBGT</v>
          </cell>
          <cell r="N1401">
            <v>1401020101</v>
          </cell>
        </row>
        <row r="1402">
          <cell r="M1402" t="str">
            <v>Security Services-ISBGT</v>
          </cell>
          <cell r="N1402">
            <v>1401020102</v>
          </cell>
        </row>
        <row r="1403">
          <cell r="M1403" t="str">
            <v>Projects-ISBGT</v>
          </cell>
          <cell r="N1403">
            <v>1401020201</v>
          </cell>
        </row>
        <row r="1404">
          <cell r="M1404" t="str">
            <v>Common Cost Center-ISBGT</v>
          </cell>
          <cell r="N1404">
            <v>1401020501</v>
          </cell>
        </row>
        <row r="1405">
          <cell r="M1405" t="str">
            <v>EHS-ISBGT</v>
          </cell>
          <cell r="N1405">
            <v>1401020801</v>
          </cell>
        </row>
        <row r="1406">
          <cell r="M1406" t="str">
            <v>Repair &amp; Maintenance-ISBGT</v>
          </cell>
          <cell r="N1406">
            <v>1401020802</v>
          </cell>
        </row>
        <row r="1407">
          <cell r="M1407" t="str">
            <v>Financial Reporting &amp; Acc-ISBGT</v>
          </cell>
          <cell r="N1407">
            <v>1401020901</v>
          </cell>
        </row>
        <row r="1408">
          <cell r="M1408" t="str">
            <v>HR Operations-ISBGT</v>
          </cell>
          <cell r="N1408">
            <v>1401021001</v>
          </cell>
        </row>
        <row r="1409">
          <cell r="M1409" t="str">
            <v>Infrastructure Technology-ISBGT</v>
          </cell>
          <cell r="N1409">
            <v>1401021101</v>
          </cell>
        </row>
        <row r="1410">
          <cell r="M1410" t="str">
            <v>Legal Affairs-ISBGT</v>
          </cell>
          <cell r="N1410">
            <v>1401021301</v>
          </cell>
        </row>
        <row r="1411">
          <cell r="M1411" t="str">
            <v>Marketing &amp; Promotions-ISBGT</v>
          </cell>
          <cell r="N1411">
            <v>1401021501</v>
          </cell>
        </row>
        <row r="1412">
          <cell r="M1412" t="str">
            <v>Front of House-ISBGT</v>
          </cell>
          <cell r="N1412">
            <v>1401021701</v>
          </cell>
        </row>
        <row r="1413">
          <cell r="M1413" t="str">
            <v>Logistics &amp; Warehousing (D-WH)-ISBGT</v>
          </cell>
          <cell r="N1413">
            <v>1401021702</v>
          </cell>
        </row>
        <row r="1414">
          <cell r="M1414" t="str">
            <v>Store Operations -ISBGT</v>
          </cell>
          <cell r="N1414">
            <v>1401021703</v>
          </cell>
        </row>
        <row r="1415">
          <cell r="M1415" t="str">
            <v>Wastage &amp; Shrinkage -ISBGT</v>
          </cell>
          <cell r="N1415">
            <v>1401021704</v>
          </cell>
        </row>
        <row r="1416">
          <cell r="M1416" t="str">
            <v>Administration Services-ISBGG</v>
          </cell>
          <cell r="N1416">
            <v>1401030101</v>
          </cell>
        </row>
        <row r="1417">
          <cell r="M1417" t="str">
            <v>Security Services-ISBGG</v>
          </cell>
          <cell r="N1417">
            <v>1401030102</v>
          </cell>
        </row>
        <row r="1418">
          <cell r="M1418" t="str">
            <v>Projects-ISBGG</v>
          </cell>
          <cell r="N1418">
            <v>1401030201</v>
          </cell>
        </row>
        <row r="1419">
          <cell r="M1419" t="str">
            <v>Common Cost Center-ISBGG</v>
          </cell>
          <cell r="N1419">
            <v>1401030501</v>
          </cell>
        </row>
        <row r="1420">
          <cell r="M1420" t="str">
            <v>EHS-ISBGG</v>
          </cell>
          <cell r="N1420">
            <v>1401030801</v>
          </cell>
        </row>
        <row r="1421">
          <cell r="M1421" t="str">
            <v>Repair &amp; Maintenance-ISBGG</v>
          </cell>
          <cell r="N1421">
            <v>1401030802</v>
          </cell>
        </row>
        <row r="1422">
          <cell r="M1422" t="str">
            <v>Financial Reporting &amp; Acc-ISBGG</v>
          </cell>
          <cell r="N1422">
            <v>1401030901</v>
          </cell>
        </row>
        <row r="1423">
          <cell r="M1423" t="str">
            <v>HR Operations-ISBGG</v>
          </cell>
          <cell r="N1423">
            <v>1401031001</v>
          </cell>
        </row>
        <row r="1424">
          <cell r="M1424" t="str">
            <v>Infrastructure Technology-ISBGG</v>
          </cell>
          <cell r="N1424">
            <v>1401031101</v>
          </cell>
        </row>
        <row r="1425">
          <cell r="M1425" t="str">
            <v>Legal Affairs-ISBGG</v>
          </cell>
          <cell r="N1425">
            <v>1401031301</v>
          </cell>
        </row>
        <row r="1426">
          <cell r="M1426" t="str">
            <v>Marketing &amp; Promotions-ISBGG</v>
          </cell>
          <cell r="N1426">
            <v>1401031501</v>
          </cell>
        </row>
        <row r="1427">
          <cell r="M1427" t="str">
            <v>Front of House-ISBGG</v>
          </cell>
          <cell r="N1427">
            <v>1401031701</v>
          </cell>
        </row>
        <row r="1428">
          <cell r="M1428" t="str">
            <v>Logistics &amp; Warehousing (D-WH)-ISBGG</v>
          </cell>
          <cell r="N1428">
            <v>1401031702</v>
          </cell>
        </row>
        <row r="1429">
          <cell r="M1429" t="str">
            <v>Store Operations -ISBGG</v>
          </cell>
          <cell r="N1429">
            <v>1401031703</v>
          </cell>
        </row>
        <row r="1430">
          <cell r="M1430" t="str">
            <v>Wastage &amp; Shrinkage -ISBGG</v>
          </cell>
          <cell r="N1430">
            <v>1401031704</v>
          </cell>
        </row>
        <row r="1431">
          <cell r="M1431" t="str">
            <v>Administration Services-ISBE-11</v>
          </cell>
          <cell r="N1431">
            <v>1401040101</v>
          </cell>
        </row>
        <row r="1432">
          <cell r="M1432" t="str">
            <v>Security Services-ISBE-11</v>
          </cell>
          <cell r="N1432">
            <v>1401040102</v>
          </cell>
        </row>
        <row r="1433">
          <cell r="M1433" t="str">
            <v>Projects-ISBE-11</v>
          </cell>
          <cell r="N1433">
            <v>1401040201</v>
          </cell>
        </row>
        <row r="1434">
          <cell r="M1434" t="str">
            <v>Common Cost Center-ISBE-11</v>
          </cell>
          <cell r="N1434">
            <v>1401040501</v>
          </cell>
        </row>
        <row r="1435">
          <cell r="M1435" t="str">
            <v>EHS-ISBE-11</v>
          </cell>
          <cell r="N1435">
            <v>1401040801</v>
          </cell>
        </row>
        <row r="1436">
          <cell r="M1436" t="str">
            <v>Repair &amp; Maintenance-ISBE-11</v>
          </cell>
          <cell r="N1436">
            <v>1401040802</v>
          </cell>
        </row>
        <row r="1437">
          <cell r="M1437" t="str">
            <v>Financial Reporting &amp; Acc-ISBE-11</v>
          </cell>
          <cell r="N1437">
            <v>1401040901</v>
          </cell>
        </row>
        <row r="1438">
          <cell r="M1438" t="str">
            <v>HR Operations-ISBE-11</v>
          </cell>
          <cell r="N1438">
            <v>1401041001</v>
          </cell>
        </row>
        <row r="1439">
          <cell r="M1439" t="str">
            <v>Infrastructure Technology-ISBE-11</v>
          </cell>
          <cell r="N1439">
            <v>1401041101</v>
          </cell>
        </row>
        <row r="1440">
          <cell r="M1440" t="str">
            <v>Legal Affairs-ISBE-11</v>
          </cell>
          <cell r="N1440">
            <v>1401041301</v>
          </cell>
        </row>
        <row r="1441">
          <cell r="M1441" t="str">
            <v>Marketing &amp; Promotions-ISBE-11</v>
          </cell>
          <cell r="N1441">
            <v>1401041501</v>
          </cell>
        </row>
        <row r="1442">
          <cell r="M1442" t="str">
            <v>Front of House-ISBE-11</v>
          </cell>
          <cell r="N1442">
            <v>1401041701</v>
          </cell>
        </row>
        <row r="1443">
          <cell r="M1443" t="str">
            <v>Logistics &amp; Warehousing (D-WH)-ISBE-11</v>
          </cell>
          <cell r="N1443">
            <v>1401041702</v>
          </cell>
        </row>
        <row r="1444">
          <cell r="M1444" t="str">
            <v>Store Operations -ISBE-11</v>
          </cell>
          <cell r="N1444">
            <v>1401041703</v>
          </cell>
        </row>
        <row r="1445">
          <cell r="M1445" t="str">
            <v>Wastage &amp; Shrinkage -ISBE-11</v>
          </cell>
          <cell r="N1445">
            <v>1401041704</v>
          </cell>
        </row>
        <row r="1446">
          <cell r="M1446" t="str">
            <v>Common Cost Center-ISB-SJC</v>
          </cell>
          <cell r="N1446">
            <v>1401050501</v>
          </cell>
        </row>
        <row r="1447">
          <cell r="M1447" t="str">
            <v>Administration Services-ISBSJ Center</v>
          </cell>
          <cell r="N1447">
            <v>1401050101</v>
          </cell>
        </row>
        <row r="1448">
          <cell r="M1448" t="str">
            <v>Security Services-ISBSJ Center</v>
          </cell>
          <cell r="N1448">
            <v>1401050102</v>
          </cell>
        </row>
        <row r="1449">
          <cell r="M1449" t="str">
            <v>Projects-ISBSJ Center</v>
          </cell>
          <cell r="N1449">
            <v>1401050201</v>
          </cell>
        </row>
        <row r="1450">
          <cell r="M1450" t="str">
            <v>EHS-ISBSJ Center</v>
          </cell>
          <cell r="N1450">
            <v>1401050801</v>
          </cell>
        </row>
        <row r="1451">
          <cell r="M1451" t="str">
            <v>Repair &amp; Maintenance-ISBSJ Center</v>
          </cell>
          <cell r="N1451">
            <v>1401050802</v>
          </cell>
        </row>
        <row r="1452">
          <cell r="M1452" t="str">
            <v>Financial Reporting &amp; Acc-ISBSJ Center</v>
          </cell>
          <cell r="N1452">
            <v>1401050901</v>
          </cell>
        </row>
        <row r="1453">
          <cell r="M1453" t="str">
            <v>HR Operations-ISBSJ Center</v>
          </cell>
          <cell r="N1453">
            <v>1401051001</v>
          </cell>
        </row>
        <row r="1454">
          <cell r="M1454" t="str">
            <v>Infrastructure Technology-ISBSJ Center</v>
          </cell>
          <cell r="N1454">
            <v>1401051101</v>
          </cell>
        </row>
        <row r="1455">
          <cell r="M1455" t="str">
            <v>Legal Affairs-ISBSJ Center</v>
          </cell>
          <cell r="N1455">
            <v>1401051301</v>
          </cell>
        </row>
        <row r="1456">
          <cell r="M1456" t="str">
            <v>Marketing &amp; Promotions-ISBSJ Center</v>
          </cell>
          <cell r="N1456">
            <v>1401051501</v>
          </cell>
        </row>
        <row r="1457">
          <cell r="M1457" t="str">
            <v>Front of House-ISBSJ Center</v>
          </cell>
          <cell r="N1457">
            <v>1401051701</v>
          </cell>
        </row>
        <row r="1458">
          <cell r="M1458" t="str">
            <v>Logistics &amp; Warehousing (D-WH)-ISBSJ Cen</v>
          </cell>
          <cell r="N1458">
            <v>1401051702</v>
          </cell>
        </row>
        <row r="1459">
          <cell r="M1459" t="str">
            <v>Store Operations -ISBSJ Center</v>
          </cell>
          <cell r="N1459">
            <v>1401051703</v>
          </cell>
        </row>
        <row r="1460">
          <cell r="M1460" t="str">
            <v>Wastage &amp; Shrinkage -ISBSJ Center</v>
          </cell>
          <cell r="N1460">
            <v>1401051704</v>
          </cell>
        </row>
        <row r="1461">
          <cell r="M1461" t="str">
            <v>Administration Services-HMK</v>
          </cell>
          <cell r="N1461">
            <v>1401400101</v>
          </cell>
        </row>
        <row r="1462">
          <cell r="M1462" t="str">
            <v>Security Services-HMK</v>
          </cell>
          <cell r="N1462">
            <v>1401400102</v>
          </cell>
        </row>
        <row r="1463">
          <cell r="M1463" t="str">
            <v>Common Cost Center-HMK</v>
          </cell>
          <cell r="N1463">
            <v>1401400501</v>
          </cell>
        </row>
        <row r="1464">
          <cell r="M1464" t="str">
            <v>EHS-HMK</v>
          </cell>
          <cell r="N1464">
            <v>1401400801</v>
          </cell>
        </row>
        <row r="1465">
          <cell r="M1465" t="str">
            <v>Repair &amp; Maintenance-HMK</v>
          </cell>
          <cell r="N1465">
            <v>1401400802</v>
          </cell>
        </row>
        <row r="1466">
          <cell r="M1466" t="str">
            <v>Financial Reporting &amp; Acc-HMK</v>
          </cell>
          <cell r="N1466">
            <v>1401400901</v>
          </cell>
        </row>
        <row r="1467">
          <cell r="M1467" t="str">
            <v>HR Operations-HMK</v>
          </cell>
          <cell r="N1467">
            <v>1401401001</v>
          </cell>
        </row>
        <row r="1468">
          <cell r="M1468" t="str">
            <v>Infrastructure Technology-HMK</v>
          </cell>
          <cell r="N1468">
            <v>1401401101</v>
          </cell>
        </row>
        <row r="1469">
          <cell r="M1469" t="str">
            <v>Legal Affairs-HMK</v>
          </cell>
          <cell r="N1469">
            <v>1401401301</v>
          </cell>
        </row>
        <row r="1470">
          <cell r="M1470" t="str">
            <v>Warehousing Operations-HMK</v>
          </cell>
          <cell r="N1470">
            <v>1401401401</v>
          </cell>
        </row>
        <row r="1471">
          <cell r="M1471" t="str">
            <v>Logistics Operations-HMK</v>
          </cell>
          <cell r="N1471">
            <v>1401401402</v>
          </cell>
        </row>
        <row r="1472">
          <cell r="M1472" t="str">
            <v>SC Planning &amp; Management-HMK</v>
          </cell>
          <cell r="N1472">
            <v>1401401403</v>
          </cell>
        </row>
        <row r="1473">
          <cell r="M1473" t="str">
            <v>Quality Assurance-HMK</v>
          </cell>
          <cell r="N1473">
            <v>1401401404</v>
          </cell>
        </row>
        <row r="1474">
          <cell r="M1474" t="str">
            <v>Wastage &amp; Shrinkage-HMK</v>
          </cell>
          <cell r="N1474">
            <v>1401401405</v>
          </cell>
        </row>
        <row r="1475">
          <cell r="M1475" t="str">
            <v>Administration Services-GT Cuisine</v>
          </cell>
          <cell r="N1475">
            <v>1401800101</v>
          </cell>
        </row>
        <row r="1476">
          <cell r="M1476" t="str">
            <v>Security Services-GT Cuisine</v>
          </cell>
          <cell r="N1476">
            <v>1401800102</v>
          </cell>
        </row>
        <row r="1477">
          <cell r="M1477" t="str">
            <v>Common Cost Center-GT Cuisine</v>
          </cell>
          <cell r="N1477">
            <v>1401800501</v>
          </cell>
        </row>
        <row r="1478">
          <cell r="M1478" t="str">
            <v>EHS-GT Cuisine</v>
          </cell>
          <cell r="N1478">
            <v>1401800801</v>
          </cell>
        </row>
        <row r="1479">
          <cell r="M1479" t="str">
            <v>Repair &amp; Maintenance-GT Cuisine</v>
          </cell>
          <cell r="N1479">
            <v>1401800802</v>
          </cell>
        </row>
        <row r="1480">
          <cell r="M1480" t="str">
            <v>Financial Planning &amp; Budg.-GT Cuisine</v>
          </cell>
          <cell r="N1480">
            <v>1401800902</v>
          </cell>
        </row>
        <row r="1481">
          <cell r="M1481" t="str">
            <v>HR Operations-GT Cuisine</v>
          </cell>
          <cell r="N1481">
            <v>1401801001</v>
          </cell>
        </row>
        <row r="1482">
          <cell r="M1482" t="str">
            <v>Infrastructure Technology-GT Cuisine</v>
          </cell>
          <cell r="N1482">
            <v>1401801101</v>
          </cell>
        </row>
        <row r="1483">
          <cell r="M1483" t="str">
            <v>Legal Affairs-GT Cuisine</v>
          </cell>
          <cell r="N1483">
            <v>1401801301</v>
          </cell>
        </row>
        <row r="1484">
          <cell r="M1484" t="str">
            <v>Production Management-GT Cuisine</v>
          </cell>
          <cell r="N1484">
            <v>1401801601</v>
          </cell>
        </row>
        <row r="1485">
          <cell r="M1485" t="str">
            <v>Logistics &amp; Warehousing-GT Cuisine</v>
          </cell>
          <cell r="N1485">
            <v>1401801602</v>
          </cell>
        </row>
        <row r="1486">
          <cell r="M1486" t="str">
            <v>Production Operations-GT Cuisine (Bak)</v>
          </cell>
          <cell r="N1486">
            <v>1401801603</v>
          </cell>
        </row>
        <row r="1487">
          <cell r="M1487" t="str">
            <v>Quality Assurance-GT Cuisine</v>
          </cell>
          <cell r="N1487">
            <v>1401801604</v>
          </cell>
        </row>
        <row r="1488">
          <cell r="M1488" t="str">
            <v>Wastage &amp; Shrinkage-GT Cuisine</v>
          </cell>
          <cell r="N1488">
            <v>1401801605</v>
          </cell>
        </row>
        <row r="1489">
          <cell r="M1489" t="str">
            <v>Production Operations-GT Cuisine (LK)</v>
          </cell>
          <cell r="N1489">
            <v>1401801606</v>
          </cell>
        </row>
        <row r="1490">
          <cell r="M1490" t="str">
            <v>Administration Services-ISBGG Cuisine</v>
          </cell>
          <cell r="N1490">
            <v>1401810101</v>
          </cell>
        </row>
        <row r="1491">
          <cell r="M1491" t="str">
            <v>Security Services-ISBGG Cuisine</v>
          </cell>
          <cell r="N1491">
            <v>1401810102</v>
          </cell>
        </row>
        <row r="1492">
          <cell r="M1492" t="str">
            <v>Common Cost Center-ISBGG Cuisine</v>
          </cell>
          <cell r="N1492">
            <v>1401810501</v>
          </cell>
        </row>
        <row r="1493">
          <cell r="M1493" t="str">
            <v>EHS-ISBGG Cuisine</v>
          </cell>
          <cell r="N1493">
            <v>1401810801</v>
          </cell>
        </row>
        <row r="1494">
          <cell r="M1494" t="str">
            <v>Repair &amp; Maintenance-ISBGG Cuisine</v>
          </cell>
          <cell r="N1494">
            <v>1401810802</v>
          </cell>
        </row>
        <row r="1495">
          <cell r="M1495" t="str">
            <v>Financial Planning &amp; Budg.-ISBGG Cuisine</v>
          </cell>
          <cell r="N1495">
            <v>1401810902</v>
          </cell>
        </row>
        <row r="1496">
          <cell r="M1496" t="str">
            <v>HR Operations-ISBGG Cuisine</v>
          </cell>
          <cell r="N1496">
            <v>1401811001</v>
          </cell>
        </row>
        <row r="1497">
          <cell r="M1497" t="str">
            <v>Infrastructure Technology-ISBGG Cuisine</v>
          </cell>
          <cell r="N1497">
            <v>1401811101</v>
          </cell>
        </row>
        <row r="1498">
          <cell r="M1498" t="str">
            <v>Legal Affairs-ISBGG Cuisine</v>
          </cell>
          <cell r="N1498">
            <v>1401811301</v>
          </cell>
        </row>
        <row r="1499">
          <cell r="M1499" t="str">
            <v>Production Management-ISBGG Cuisine</v>
          </cell>
          <cell r="N1499">
            <v>1401811601</v>
          </cell>
        </row>
        <row r="1500">
          <cell r="M1500" t="str">
            <v>Logistics &amp; Warehousing-ISBGG Cuisine</v>
          </cell>
          <cell r="N1500">
            <v>1401811602</v>
          </cell>
        </row>
        <row r="1501">
          <cell r="M1501" t="str">
            <v>Production Operations-ISBGG Cuisine(Bak)</v>
          </cell>
          <cell r="N1501">
            <v>1401811603</v>
          </cell>
        </row>
        <row r="1502">
          <cell r="M1502" t="str">
            <v>Quality Assurance-ISBGG Cuisine</v>
          </cell>
          <cell r="N1502">
            <v>1401811604</v>
          </cell>
        </row>
        <row r="1503">
          <cell r="M1503" t="str">
            <v>Wastage &amp; Shrinkage-ISBGG Cuisine</v>
          </cell>
          <cell r="N1503">
            <v>1401811605</v>
          </cell>
        </row>
        <row r="1504">
          <cell r="M1504" t="str">
            <v>&gt;&gt;&gt; No valid master record</v>
          </cell>
          <cell r="N1504">
            <v>1401811606</v>
          </cell>
        </row>
        <row r="1505">
          <cell r="M1505" t="str">
            <v>Administration Services-ISB SJC Cuisine</v>
          </cell>
          <cell r="N1505">
            <v>1401820101</v>
          </cell>
        </row>
        <row r="1506">
          <cell r="M1506" t="str">
            <v>Security Services-ISB SJC Cuisine</v>
          </cell>
          <cell r="N1506">
            <v>1401820102</v>
          </cell>
        </row>
        <row r="1507">
          <cell r="M1507" t="str">
            <v>Common Cost Center-ISB SJC Cuisine</v>
          </cell>
          <cell r="N1507">
            <v>1401820501</v>
          </cell>
        </row>
        <row r="1508">
          <cell r="M1508" t="str">
            <v>EHS-ISB SJC Cuisine</v>
          </cell>
          <cell r="N1508">
            <v>1401820801</v>
          </cell>
        </row>
        <row r="1509">
          <cell r="M1509" t="str">
            <v>Repair &amp; Maintenance-ISBSJC Cuisine</v>
          </cell>
          <cell r="N1509">
            <v>1401820802</v>
          </cell>
        </row>
        <row r="1510">
          <cell r="M1510" t="str">
            <v>Financial Planning &amp; Budg.-ISB SJC CUN</v>
          </cell>
          <cell r="N1510">
            <v>1401820902</v>
          </cell>
        </row>
        <row r="1511">
          <cell r="M1511" t="str">
            <v>HR Operations-ISB SJC Cuisine</v>
          </cell>
          <cell r="N1511">
            <v>1401821001</v>
          </cell>
        </row>
        <row r="1512">
          <cell r="M1512" t="str">
            <v>Infrastructure Technology-ISBSJC Cuisine</v>
          </cell>
          <cell r="N1512">
            <v>1401821101</v>
          </cell>
        </row>
        <row r="1513">
          <cell r="M1513" t="str">
            <v>Legal Affairs-ISB SJC Cuisine</v>
          </cell>
          <cell r="N1513">
            <v>1401821301</v>
          </cell>
        </row>
        <row r="1514">
          <cell r="M1514" t="str">
            <v>Production Management-ISBSJC Cuisine</v>
          </cell>
          <cell r="N1514">
            <v>1401821601</v>
          </cell>
        </row>
        <row r="1515">
          <cell r="M1515" t="str">
            <v>Logistics &amp; Warehousing-ISBSJC Cuisine</v>
          </cell>
          <cell r="N1515">
            <v>1401821602</v>
          </cell>
        </row>
        <row r="1516">
          <cell r="M1516" t="str">
            <v>Production Operations-ISBSJC Cuisine BAK</v>
          </cell>
          <cell r="N1516">
            <v>1401821603</v>
          </cell>
        </row>
        <row r="1517">
          <cell r="M1517" t="str">
            <v>Production Operations-ISBSJC Cuisine LK</v>
          </cell>
          <cell r="N1517">
            <v>1401821606</v>
          </cell>
        </row>
        <row r="1518">
          <cell r="M1518" t="str">
            <v>Quality Assurance-ISBSJC Cuisine</v>
          </cell>
          <cell r="N1518">
            <v>1401821604</v>
          </cell>
        </row>
        <row r="1519">
          <cell r="M1519" t="str">
            <v>Wastage &amp; Shrinkage-ISBSJC Cuisine</v>
          </cell>
          <cell r="N1519">
            <v>1401821605</v>
          </cell>
        </row>
        <row r="1520">
          <cell r="M1520" t="str">
            <v>Administration Services-ISB E11 Cuisine</v>
          </cell>
          <cell r="N1520">
            <v>1401830101</v>
          </cell>
        </row>
        <row r="1521">
          <cell r="M1521" t="str">
            <v>Security Services-ISB E11 Cuisine</v>
          </cell>
          <cell r="N1521">
            <v>1401830102</v>
          </cell>
        </row>
        <row r="1522">
          <cell r="M1522" t="str">
            <v>Common Cost Center-ISB E11 Cuisine</v>
          </cell>
          <cell r="N1522">
            <v>1401830501</v>
          </cell>
        </row>
        <row r="1523">
          <cell r="M1523" t="str">
            <v>EHS-ISB E11 Cuisine</v>
          </cell>
          <cell r="N1523">
            <v>1401830801</v>
          </cell>
        </row>
        <row r="1524">
          <cell r="M1524" t="str">
            <v>Repair &amp; Maintenance-ISBE11 Cuisine</v>
          </cell>
          <cell r="N1524">
            <v>1401830802</v>
          </cell>
        </row>
        <row r="1525">
          <cell r="M1525" t="str">
            <v>Financial Planning &amp; Budg.-ISB E11 CUN</v>
          </cell>
          <cell r="N1525">
            <v>1401830902</v>
          </cell>
        </row>
        <row r="1526">
          <cell r="M1526" t="str">
            <v>HR Operations-ISB E11 Cuisine</v>
          </cell>
          <cell r="N1526">
            <v>1401831001</v>
          </cell>
        </row>
        <row r="1527">
          <cell r="M1527" t="str">
            <v>Infrastructure Technology-ISBE11 Cuisine</v>
          </cell>
          <cell r="N1527">
            <v>1401831101</v>
          </cell>
        </row>
        <row r="1528">
          <cell r="M1528" t="str">
            <v>Legal Affairs-ISB E11 Cuisine</v>
          </cell>
          <cell r="N1528">
            <v>1401831301</v>
          </cell>
        </row>
        <row r="1529">
          <cell r="M1529" t="str">
            <v>Production Management-ISB E11 Cuisine</v>
          </cell>
          <cell r="N1529">
            <v>1401831601</v>
          </cell>
        </row>
        <row r="1530">
          <cell r="M1530" t="str">
            <v>Logistics &amp; Warehousing-ISB E11 Cuisine</v>
          </cell>
          <cell r="N1530">
            <v>1401831602</v>
          </cell>
        </row>
        <row r="1531">
          <cell r="M1531" t="str">
            <v>Production Operations-ISB E11 Cuisine BA</v>
          </cell>
          <cell r="N1531">
            <v>1401831603</v>
          </cell>
        </row>
        <row r="1532">
          <cell r="M1532" t="str">
            <v>Quality Assurance-ISB E11 Cuisine</v>
          </cell>
          <cell r="N1532">
            <v>1401831604</v>
          </cell>
        </row>
        <row r="1533">
          <cell r="M1533" t="str">
            <v>Wastage &amp; Shrinkage-ISB E11 Cuisine</v>
          </cell>
          <cell r="N1533">
            <v>1401831605</v>
          </cell>
        </row>
        <row r="1534">
          <cell r="M1534" t="str">
            <v>Production Operations-ISB E11 Cuisine LK</v>
          </cell>
          <cell r="N1534">
            <v>1401831606</v>
          </cell>
        </row>
        <row r="1535">
          <cell r="M1535" t="str">
            <v>Store Ops -RWP 6R</v>
          </cell>
          <cell r="N1535">
            <v>1403021703</v>
          </cell>
        </row>
        <row r="1536">
          <cell r="M1536" t="str">
            <v>Common Cost Center - RWP 6th Road</v>
          </cell>
          <cell r="N1536">
            <v>14030205</v>
          </cell>
        </row>
        <row r="1537">
          <cell r="M1537" t="str">
            <v>Administration Services-PSH</v>
          </cell>
          <cell r="N1537">
            <v>1402010101</v>
          </cell>
        </row>
        <row r="1538">
          <cell r="M1538" t="str">
            <v>Security Services-PSH</v>
          </cell>
          <cell r="N1538">
            <v>1402010102</v>
          </cell>
        </row>
        <row r="1539">
          <cell r="M1539" t="str">
            <v>Projects-PSH</v>
          </cell>
          <cell r="N1539">
            <v>1402010201</v>
          </cell>
        </row>
        <row r="1540">
          <cell r="M1540" t="str">
            <v>Common Cost Center-PSH</v>
          </cell>
          <cell r="N1540">
            <v>1402010501</v>
          </cell>
        </row>
        <row r="1541">
          <cell r="M1541" t="str">
            <v>EHS-PSH</v>
          </cell>
          <cell r="N1541">
            <v>1402010801</v>
          </cell>
        </row>
        <row r="1542">
          <cell r="M1542" t="str">
            <v>Repair &amp; Maintenance-PSH</v>
          </cell>
          <cell r="N1542">
            <v>1402010802</v>
          </cell>
        </row>
        <row r="1543">
          <cell r="M1543" t="str">
            <v>Financial Reporting &amp; Acc-PSH</v>
          </cell>
          <cell r="N1543">
            <v>1402010901</v>
          </cell>
        </row>
        <row r="1544">
          <cell r="M1544" t="str">
            <v>HR Operations-PSH</v>
          </cell>
          <cell r="N1544">
            <v>1402011001</v>
          </cell>
        </row>
        <row r="1545">
          <cell r="M1545" t="str">
            <v>Infrastructure Technology-PSH</v>
          </cell>
          <cell r="N1545">
            <v>1402011101</v>
          </cell>
        </row>
        <row r="1546">
          <cell r="M1546" t="str">
            <v>Legal Affairs-PSH</v>
          </cell>
          <cell r="N1546">
            <v>1402011301</v>
          </cell>
        </row>
        <row r="1547">
          <cell r="M1547" t="str">
            <v>Marketing &amp; Promotions-PSH</v>
          </cell>
          <cell r="N1547">
            <v>1402011501</v>
          </cell>
        </row>
        <row r="1548">
          <cell r="M1548" t="str">
            <v>Front of House-PSH</v>
          </cell>
          <cell r="N1548">
            <v>1402011701</v>
          </cell>
        </row>
        <row r="1549">
          <cell r="M1549" t="str">
            <v>Logistics &amp; Warehousing (D-WH)-PSH</v>
          </cell>
          <cell r="N1549">
            <v>1402011702</v>
          </cell>
        </row>
        <row r="1550">
          <cell r="M1550" t="str">
            <v>Store Operations -PSH</v>
          </cell>
          <cell r="N1550">
            <v>1402011703</v>
          </cell>
        </row>
        <row r="1551">
          <cell r="M1551" t="str">
            <v>Wastage &amp; Shrinkage -PSH</v>
          </cell>
          <cell r="N1551">
            <v>1402011704</v>
          </cell>
        </row>
        <row r="1552">
          <cell r="M1552" t="str">
            <v>Security Services-STND PSH</v>
          </cell>
          <cell r="N1552">
            <v>1402400102</v>
          </cell>
        </row>
        <row r="1553">
          <cell r="M1553" t="str">
            <v>Administration Services-STND PSH</v>
          </cell>
          <cell r="N1553">
            <v>1402400101</v>
          </cell>
        </row>
        <row r="1554">
          <cell r="M1554" t="str">
            <v>Repair &amp; Maintenance-STND PSH</v>
          </cell>
          <cell r="N1554">
            <v>1402400802</v>
          </cell>
        </row>
        <row r="1555">
          <cell r="M1555" t="str">
            <v>EHS-STND PSH</v>
          </cell>
          <cell r="N1555">
            <v>1402400801</v>
          </cell>
        </row>
        <row r="1556">
          <cell r="M1556" t="str">
            <v>Financial Reporting &amp; Acc-STND PSH</v>
          </cell>
          <cell r="N1556">
            <v>1402400901</v>
          </cell>
        </row>
        <row r="1557">
          <cell r="M1557" t="str">
            <v>HR Operations-STND PSH</v>
          </cell>
          <cell r="N1557">
            <v>1402401001</v>
          </cell>
        </row>
        <row r="1558">
          <cell r="M1558" t="str">
            <v>Infrastructure Technology-STND PSH</v>
          </cell>
          <cell r="N1558">
            <v>1402401101</v>
          </cell>
        </row>
        <row r="1559">
          <cell r="M1559" t="str">
            <v>Legal Affairs-STND PSH</v>
          </cell>
          <cell r="N1559">
            <v>1402401301</v>
          </cell>
        </row>
        <row r="1560">
          <cell r="M1560" t="str">
            <v>Wastage &amp; Shrinkage-STND PSH</v>
          </cell>
          <cell r="N1560">
            <v>1402401405</v>
          </cell>
        </row>
        <row r="1561">
          <cell r="M1561" t="str">
            <v>Quality Assurance-STND PSH</v>
          </cell>
          <cell r="N1561">
            <v>1402401404</v>
          </cell>
        </row>
        <row r="1562">
          <cell r="M1562" t="str">
            <v>SC Planning &amp; Management- STND PSH</v>
          </cell>
          <cell r="N1562">
            <v>1402401403</v>
          </cell>
        </row>
        <row r="1563">
          <cell r="M1563" t="str">
            <v>Logistics Operations-STND PSH</v>
          </cell>
          <cell r="N1563">
            <v>1402401402</v>
          </cell>
        </row>
        <row r="1564">
          <cell r="M1564" t="str">
            <v>Warehousing Operations-STND PSH</v>
          </cell>
          <cell r="N1564">
            <v>1402401401</v>
          </cell>
        </row>
        <row r="1565">
          <cell r="M1565" t="str">
            <v>Production Operations-STND PESHAWAR</v>
          </cell>
          <cell r="N1565">
            <v>1402401603</v>
          </cell>
        </row>
        <row r="1566">
          <cell r="M1566" t="str">
            <v>Common Cost Center- STND - PESHAWAR</v>
          </cell>
          <cell r="N1566">
            <v>1402400501</v>
          </cell>
        </row>
        <row r="1567">
          <cell r="M1567" t="str">
            <v>Administration Services-PSHCuisine</v>
          </cell>
          <cell r="N1567">
            <v>1402800101</v>
          </cell>
        </row>
        <row r="1568">
          <cell r="M1568" t="str">
            <v>Security Services-PSHCuisine</v>
          </cell>
          <cell r="N1568">
            <v>1402800102</v>
          </cell>
        </row>
        <row r="1569">
          <cell r="M1569" t="str">
            <v>Common Cost Center-PSHCuisine</v>
          </cell>
          <cell r="N1569">
            <v>1402800501</v>
          </cell>
        </row>
        <row r="1570">
          <cell r="M1570" t="str">
            <v>EHS-PSHCuisine</v>
          </cell>
          <cell r="N1570">
            <v>1402800801</v>
          </cell>
        </row>
        <row r="1571">
          <cell r="M1571" t="str">
            <v>Repair &amp; Maintenance-PSHCuisine</v>
          </cell>
          <cell r="N1571">
            <v>1402800802</v>
          </cell>
        </row>
        <row r="1572">
          <cell r="M1572" t="str">
            <v>Financial Planning &amp; Budg.-PSHCuisine</v>
          </cell>
          <cell r="N1572">
            <v>1402800902</v>
          </cell>
        </row>
        <row r="1573">
          <cell r="M1573" t="str">
            <v>HR Operations-PSHCuisine</v>
          </cell>
          <cell r="N1573">
            <v>1402801001</v>
          </cell>
        </row>
        <row r="1574">
          <cell r="M1574" t="str">
            <v>Infrastructure Technology-PSHCuisine</v>
          </cell>
          <cell r="N1574">
            <v>1402801101</v>
          </cell>
        </row>
        <row r="1575">
          <cell r="M1575" t="str">
            <v>Legal Affairs-PSHCuisine</v>
          </cell>
          <cell r="N1575">
            <v>1402801301</v>
          </cell>
        </row>
        <row r="1576">
          <cell r="M1576" t="str">
            <v>Production Management-PSHCuisine</v>
          </cell>
          <cell r="N1576">
            <v>1402801601</v>
          </cell>
        </row>
        <row r="1577">
          <cell r="M1577" t="str">
            <v>Logistics &amp; Warehousing-PSHCuisine</v>
          </cell>
          <cell r="N1577">
            <v>1402801602</v>
          </cell>
        </row>
        <row r="1578">
          <cell r="M1578" t="str">
            <v>Production Operations-PSHCuisine (Bak)</v>
          </cell>
          <cell r="N1578">
            <v>1402801603</v>
          </cell>
        </row>
        <row r="1579">
          <cell r="M1579" t="str">
            <v>Quality Assurance-PSHCuisine</v>
          </cell>
          <cell r="N1579">
            <v>1402801604</v>
          </cell>
        </row>
        <row r="1580">
          <cell r="M1580" t="str">
            <v>Wastage &amp; Shrinkage-PSHCuisine</v>
          </cell>
          <cell r="N1580">
            <v>1402801605</v>
          </cell>
        </row>
        <row r="1581">
          <cell r="M1581" t="str">
            <v>Production Operations-PSHCuisine (LK)</v>
          </cell>
          <cell r="N1581">
            <v>1402801606</v>
          </cell>
        </row>
        <row r="1582">
          <cell r="M1582" t="str">
            <v>Administration Services-BAGA K1</v>
          </cell>
          <cell r="N1582">
            <v>1303430101</v>
          </cell>
        </row>
        <row r="1583">
          <cell r="M1583" t="str">
            <v>Security Services-BAGA K1</v>
          </cell>
          <cell r="N1583">
            <v>1303430102</v>
          </cell>
        </row>
        <row r="1584">
          <cell r="M1584" t="str">
            <v>Common CC Jia Bagga K1</v>
          </cell>
          <cell r="N1584">
            <v>1303430501</v>
          </cell>
        </row>
        <row r="1585">
          <cell r="M1585" t="str">
            <v>EHS-BAGA K1</v>
          </cell>
          <cell r="N1585">
            <v>1303430801</v>
          </cell>
        </row>
        <row r="1586">
          <cell r="M1586" t="str">
            <v>Repair &amp; Maintenance-BAGA K1</v>
          </cell>
          <cell r="N1586">
            <v>1303430802</v>
          </cell>
        </row>
        <row r="1587">
          <cell r="M1587" t="str">
            <v>Financial Reporting &amp; Acc-BAGA K1</v>
          </cell>
          <cell r="N1587">
            <v>1303430901</v>
          </cell>
        </row>
        <row r="1588">
          <cell r="M1588" t="str">
            <v>HR Operations-BAGA K1</v>
          </cell>
          <cell r="N1588">
            <v>1303431001</v>
          </cell>
        </row>
        <row r="1589">
          <cell r="M1589" t="str">
            <v>Infrastructure Technology-BAGA K1</v>
          </cell>
          <cell r="N1589">
            <v>1303431101</v>
          </cell>
        </row>
        <row r="1590">
          <cell r="M1590" t="str">
            <v>Legal Affairs-BAGA K1</v>
          </cell>
          <cell r="N1590">
            <v>1303431301</v>
          </cell>
        </row>
        <row r="1591">
          <cell r="M1591" t="str">
            <v>Warehousing Operations-BAGA K1</v>
          </cell>
          <cell r="N1591">
            <v>1303431401</v>
          </cell>
        </row>
        <row r="1592">
          <cell r="M1592" t="str">
            <v>Logistics Operations-BAGA K1</v>
          </cell>
          <cell r="N1592">
            <v>1303431402</v>
          </cell>
        </row>
        <row r="1593">
          <cell r="M1593" t="str">
            <v>SC Planning &amp; Management-BAGA K1</v>
          </cell>
          <cell r="N1593">
            <v>1303431403</v>
          </cell>
        </row>
        <row r="1594">
          <cell r="M1594" t="str">
            <v>Quality Assurance-BAGA K1</v>
          </cell>
          <cell r="N1594">
            <v>1303431404</v>
          </cell>
        </row>
        <row r="1595">
          <cell r="M1595" t="str">
            <v>Wastage &amp; Shrinkage-BAGA K1</v>
          </cell>
          <cell r="N1595">
            <v>1303431405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Sheet"/>
      <sheetName val="Summary"/>
      <sheetName val="Sale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</sheetNames>
    <sheetDataSet>
      <sheetData sheetId="0">
        <row r="2">
          <cell r="A2">
            <v>33332</v>
          </cell>
          <cell r="B2" t="str">
            <v>Usman</v>
          </cell>
          <cell r="D2" t="str">
            <v>Daily Cash Collection - Gujranwala</v>
          </cell>
        </row>
        <row r="3">
          <cell r="A3">
            <v>48748</v>
          </cell>
          <cell r="B3" t="str">
            <v>Asghar Ali</v>
          </cell>
          <cell r="D3" t="str">
            <v>Daily Cash Collection - Faisalabad</v>
          </cell>
        </row>
        <row r="4">
          <cell r="A4">
            <v>49709</v>
          </cell>
          <cell r="B4" t="str">
            <v>Mehmood Ahmed</v>
          </cell>
          <cell r="D4" t="str">
            <v>Daily Cash Collection - GT.Islamabad</v>
          </cell>
        </row>
        <row r="5">
          <cell r="A5">
            <v>50134</v>
          </cell>
          <cell r="B5" t="str">
            <v>Asif Abbas</v>
          </cell>
          <cell r="D5" t="str">
            <v>Daily Cash Collection - GG.Islamabad</v>
          </cell>
        </row>
        <row r="6">
          <cell r="A6">
            <v>50266</v>
          </cell>
          <cell r="B6" t="str">
            <v>Riaz</v>
          </cell>
          <cell r="D6" t="str">
            <v>Daily Cash Collection - Lahore-1</v>
          </cell>
        </row>
        <row r="7">
          <cell r="A7">
            <v>50273</v>
          </cell>
          <cell r="B7" t="str">
            <v>Waseem</v>
          </cell>
          <cell r="D7" t="str">
            <v>Daily Cash Collection - Lahore-2</v>
          </cell>
        </row>
        <row r="8">
          <cell r="A8">
            <v>50313</v>
          </cell>
          <cell r="B8" t="str">
            <v>Waseem Raza</v>
          </cell>
          <cell r="D8" t="str">
            <v>Daily Cash Collection - Lahore-3</v>
          </cell>
        </row>
        <row r="9">
          <cell r="A9">
            <v>50314</v>
          </cell>
          <cell r="B9" t="str">
            <v>Hussnain Ashfaq</v>
          </cell>
          <cell r="D9" t="str">
            <v>Daily Cash Collection - Lahore-4</v>
          </cell>
        </row>
        <row r="10">
          <cell r="A10">
            <v>50315</v>
          </cell>
          <cell r="B10" t="str">
            <v>Hafiz Fahad Bhatti</v>
          </cell>
          <cell r="D10" t="str">
            <v>Daily Cash Collection - Lahore-5</v>
          </cell>
        </row>
        <row r="11">
          <cell r="A11">
            <v>50524</v>
          </cell>
          <cell r="B11" t="str">
            <v>Allah Rakha</v>
          </cell>
          <cell r="D11" t="str">
            <v>Daily Cash Collection - Sialkot</v>
          </cell>
        </row>
        <row r="12">
          <cell r="A12">
            <v>50648</v>
          </cell>
          <cell r="B12" t="str">
            <v>Shahzaib</v>
          </cell>
          <cell r="D12" t="str">
            <v>Daily Cash Collection - Gujrat</v>
          </cell>
        </row>
        <row r="13">
          <cell r="A13">
            <v>50921</v>
          </cell>
          <cell r="B13" t="str">
            <v>Raza Ali</v>
          </cell>
          <cell r="D13" t="str">
            <v>Daily Cash Collection - Sargodha</v>
          </cell>
        </row>
        <row r="14">
          <cell r="A14">
            <v>53893</v>
          </cell>
          <cell r="B14" t="str">
            <v>M Binyameen</v>
          </cell>
          <cell r="D14" t="str">
            <v>Daily Cash Collection - Vehari</v>
          </cell>
        </row>
        <row r="15">
          <cell r="A15">
            <v>54781</v>
          </cell>
          <cell r="B15" t="str">
            <v>Faisal Abbasi</v>
          </cell>
          <cell r="D15" t="str">
            <v>Daily Cash Collection - Peshawar</v>
          </cell>
        </row>
        <row r="16">
          <cell r="A16">
            <v>54806</v>
          </cell>
          <cell r="B16" t="str">
            <v>Shahbaz hayat</v>
          </cell>
          <cell r="D16" t="str">
            <v>Daily Cash Collection - Multan</v>
          </cell>
        </row>
        <row r="17">
          <cell r="A17">
            <v>55417</v>
          </cell>
          <cell r="B17" t="str">
            <v>M Imran</v>
          </cell>
        </row>
        <row r="18">
          <cell r="A18">
            <v>56189</v>
          </cell>
          <cell r="B18" t="str">
            <v>Iffat Sultan</v>
          </cell>
        </row>
        <row r="19">
          <cell r="A19">
            <v>57653</v>
          </cell>
          <cell r="B19" t="str">
            <v>Amanat ali</v>
          </cell>
        </row>
        <row r="20">
          <cell r="A20">
            <v>58112</v>
          </cell>
          <cell r="B20" t="str">
            <v>Shama</v>
          </cell>
        </row>
        <row r="21">
          <cell r="A21">
            <v>59257</v>
          </cell>
          <cell r="B21" t="str">
            <v>Saddiqa Maryam</v>
          </cell>
        </row>
        <row r="22">
          <cell r="A22">
            <v>60168</v>
          </cell>
          <cell r="B22" t="str">
            <v>Ali Hamza</v>
          </cell>
        </row>
        <row r="23">
          <cell r="A23">
            <v>60618</v>
          </cell>
          <cell r="B23" t="str">
            <v>Ali Hamza</v>
          </cell>
        </row>
        <row r="24">
          <cell r="A24">
            <v>61648</v>
          </cell>
          <cell r="B24" t="str">
            <v>Rizwan</v>
          </cell>
        </row>
        <row r="25">
          <cell r="A25">
            <v>63374</v>
          </cell>
          <cell r="B25" t="str">
            <v>Aftab Ali</v>
          </cell>
        </row>
        <row r="26">
          <cell r="A26">
            <v>63599</v>
          </cell>
          <cell r="B26" t="str">
            <v>Hafsa</v>
          </cell>
        </row>
        <row r="27">
          <cell r="A27">
            <v>63854</v>
          </cell>
          <cell r="B27" t="str">
            <v>Maham</v>
          </cell>
        </row>
        <row r="28">
          <cell r="A28">
            <v>63855</v>
          </cell>
          <cell r="B28" t="str">
            <v>Waheed</v>
          </cell>
        </row>
        <row r="29">
          <cell r="A29">
            <v>65299</v>
          </cell>
          <cell r="B29" t="str">
            <v>M Faisal</v>
          </cell>
        </row>
        <row r="30">
          <cell r="A30">
            <v>66117</v>
          </cell>
          <cell r="B30" t="str">
            <v>Jawad Aziz</v>
          </cell>
        </row>
        <row r="31">
          <cell r="A31">
            <v>67249</v>
          </cell>
          <cell r="B31" t="str">
            <v>Hanan Javaid</v>
          </cell>
        </row>
        <row r="32">
          <cell r="A32">
            <v>67250</v>
          </cell>
          <cell r="B32" t="str">
            <v>M Fiaz</v>
          </cell>
        </row>
        <row r="33">
          <cell r="A33">
            <v>67676</v>
          </cell>
          <cell r="B33" t="str">
            <v>M Arbaz</v>
          </cell>
        </row>
        <row r="34">
          <cell r="A34">
            <v>67799</v>
          </cell>
          <cell r="B34" t="str">
            <v>Hassan Raza</v>
          </cell>
        </row>
        <row r="35">
          <cell r="A35">
            <v>67801</v>
          </cell>
          <cell r="B35" t="str">
            <v>Zain Ali</v>
          </cell>
        </row>
        <row r="36">
          <cell r="A36">
            <v>67802</v>
          </cell>
          <cell r="B36" t="str">
            <v>Ali Ahmad</v>
          </cell>
        </row>
        <row r="37">
          <cell r="A37">
            <v>68107</v>
          </cell>
          <cell r="B37" t="str">
            <v>M Harris</v>
          </cell>
        </row>
        <row r="38">
          <cell r="A38">
            <v>68108</v>
          </cell>
          <cell r="B38" t="str">
            <v>Adnan</v>
          </cell>
        </row>
        <row r="39">
          <cell r="A39">
            <v>68473</v>
          </cell>
          <cell r="B39" t="str">
            <v>M Noman</v>
          </cell>
        </row>
        <row r="40">
          <cell r="A40">
            <v>68475</v>
          </cell>
          <cell r="B40" t="str">
            <v>M Azeem</v>
          </cell>
        </row>
        <row r="41">
          <cell r="A41">
            <v>68477</v>
          </cell>
          <cell r="B41" t="str">
            <v>Hamza Riaz</v>
          </cell>
        </row>
        <row r="42">
          <cell r="A42">
            <v>69209</v>
          </cell>
          <cell r="B42" t="str">
            <v>Abdul kareem</v>
          </cell>
        </row>
        <row r="43">
          <cell r="A43">
            <v>69210</v>
          </cell>
          <cell r="B43" t="str">
            <v>Taha Ashraf</v>
          </cell>
        </row>
        <row r="44">
          <cell r="A44">
            <v>69211</v>
          </cell>
          <cell r="B44" t="str">
            <v>Inam ullah</v>
          </cell>
        </row>
        <row r="45">
          <cell r="A45">
            <v>69213</v>
          </cell>
          <cell r="B45" t="str">
            <v>Muhammad Shahbaz</v>
          </cell>
        </row>
        <row r="46">
          <cell r="A46">
            <v>69725</v>
          </cell>
          <cell r="B46" t="str">
            <v>Amir Khan</v>
          </cell>
        </row>
        <row r="47">
          <cell r="A47">
            <v>69726</v>
          </cell>
          <cell r="B47" t="str">
            <v>M Arslan</v>
          </cell>
        </row>
        <row r="48">
          <cell r="A48">
            <v>69728</v>
          </cell>
          <cell r="B48" t="str">
            <v>Hafiz Hafeez Ur Rehman</v>
          </cell>
        </row>
        <row r="49">
          <cell r="A49">
            <v>69731</v>
          </cell>
          <cell r="B49" t="str">
            <v>M usman</v>
          </cell>
        </row>
        <row r="50">
          <cell r="A50">
            <v>69732</v>
          </cell>
          <cell r="B50" t="str">
            <v>Abdul Hafeez</v>
          </cell>
        </row>
        <row r="51">
          <cell r="A51">
            <v>70246</v>
          </cell>
          <cell r="B51" t="str">
            <v>Ali Imran</v>
          </cell>
        </row>
        <row r="52">
          <cell r="A52">
            <v>70247</v>
          </cell>
          <cell r="B52" t="str">
            <v>M Nafees</v>
          </cell>
        </row>
        <row r="53">
          <cell r="A53">
            <v>71205</v>
          </cell>
          <cell r="B53" t="str">
            <v>M Yaqoob</v>
          </cell>
        </row>
        <row r="54">
          <cell r="A54">
            <v>71787</v>
          </cell>
          <cell r="B54" t="str">
            <v>Abu Bakar</v>
          </cell>
        </row>
        <row r="55">
          <cell r="A55">
            <v>71788</v>
          </cell>
          <cell r="B55" t="str">
            <v>Saaim</v>
          </cell>
        </row>
        <row r="56">
          <cell r="A56">
            <v>72873</v>
          </cell>
          <cell r="B56" t="str">
            <v>M Shajee</v>
          </cell>
        </row>
        <row r="57">
          <cell r="A57">
            <v>73196</v>
          </cell>
          <cell r="B57" t="str">
            <v>Asma</v>
          </cell>
        </row>
        <row r="58">
          <cell r="A58">
            <v>73679</v>
          </cell>
          <cell r="B58" t="str">
            <v>Imran Waqar</v>
          </cell>
        </row>
        <row r="59">
          <cell r="A59">
            <v>74738</v>
          </cell>
          <cell r="B59" t="str">
            <v>Abdullah Ali</v>
          </cell>
        </row>
        <row r="60">
          <cell r="A60">
            <v>76411</v>
          </cell>
          <cell r="B60" t="str">
            <v>Zubair</v>
          </cell>
        </row>
        <row r="61">
          <cell r="A61">
            <v>77424</v>
          </cell>
          <cell r="B61" t="str">
            <v>M Husnain</v>
          </cell>
        </row>
        <row r="62">
          <cell r="A62">
            <v>77423</v>
          </cell>
          <cell r="B62" t="str">
            <v>Shoaib Akhtar</v>
          </cell>
        </row>
        <row r="63">
          <cell r="A63">
            <v>78242</v>
          </cell>
          <cell r="B63" t="str">
            <v>Hamad Mughal</v>
          </cell>
        </row>
        <row r="64">
          <cell r="A64">
            <v>71207</v>
          </cell>
          <cell r="B64" t="str">
            <v>Sajawal</v>
          </cell>
        </row>
        <row r="65">
          <cell r="A65">
            <v>79593</v>
          </cell>
          <cell r="B65" t="str">
            <v>Amir</v>
          </cell>
        </row>
        <row r="66">
          <cell r="A66">
            <v>50394</v>
          </cell>
          <cell r="B66" t="str">
            <v>Qasir Ali</v>
          </cell>
        </row>
        <row r="67">
          <cell r="A67">
            <v>75768</v>
          </cell>
          <cell r="B67" t="str">
            <v>Zuhaib</v>
          </cell>
        </row>
        <row r="68">
          <cell r="A68">
            <v>53874</v>
          </cell>
          <cell r="B68" t="str">
            <v>Ahmad Raza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2" displayName="Table2" ref="B5:U37" totalsRowShown="0" headerRowDxfId="250" dataDxfId="249">
  <autoFilter ref="B5:U37" xr:uid="{00000000-0009-0000-0100-000001000000}"/>
  <tableColumns count="20">
    <tableColumn id="1" xr3:uid="{00000000-0010-0000-0000-000001000000}" name="1" dataDxfId="248"/>
    <tableColumn id="2" xr3:uid="{00000000-0010-0000-0000-000002000000}" name="2" dataDxfId="247"/>
    <tableColumn id="3" xr3:uid="{00000000-0010-0000-0000-000003000000}" name="3" dataDxfId="246"/>
    <tableColumn id="4" xr3:uid="{00000000-0010-0000-0000-000004000000}" name="4" dataDxfId="245"/>
    <tableColumn id="5" xr3:uid="{00000000-0010-0000-0000-000005000000}" name="5" dataDxfId="244"/>
    <tableColumn id="6" xr3:uid="{00000000-0010-0000-0000-000006000000}" name="6" dataDxfId="243"/>
    <tableColumn id="7" xr3:uid="{00000000-0010-0000-0000-000007000000}" name="7" dataDxfId="242"/>
    <tableColumn id="8" xr3:uid="{00000000-0010-0000-0000-000008000000}" name="8" dataDxfId="241"/>
    <tableColumn id="9" xr3:uid="{00000000-0010-0000-0000-000009000000}" name="9" dataDxfId="240"/>
    <tableColumn id="10" xr3:uid="{00000000-0010-0000-0000-00000A000000}" name="10" dataDxfId="239"/>
    <tableColumn id="11" xr3:uid="{00000000-0010-0000-0000-00000B000000}" name="11" dataDxfId="238"/>
    <tableColumn id="12" xr3:uid="{00000000-0010-0000-0000-00000C000000}" name="12" dataDxfId="237"/>
    <tableColumn id="13" xr3:uid="{00000000-0010-0000-0000-00000D000000}" name="13" dataDxfId="236"/>
    <tableColumn id="14" xr3:uid="{00000000-0010-0000-0000-00000E000000}" name="14" dataDxfId="235"/>
    <tableColumn id="15" xr3:uid="{00000000-0010-0000-0000-00000F000000}" name="15" dataDxfId="234"/>
    <tableColumn id="16" xr3:uid="{00000000-0010-0000-0000-000010000000}" name="16" dataDxfId="233"/>
    <tableColumn id="17" xr3:uid="{00000000-0010-0000-0000-000011000000}" name="17" dataDxfId="232"/>
    <tableColumn id="18" xr3:uid="{00000000-0010-0000-0000-000012000000}" name="18" dataDxfId="231"/>
    <tableColumn id="19" xr3:uid="{00000000-0010-0000-0000-000013000000}" name="19" dataDxfId="230"/>
    <tableColumn id="20" xr3:uid="{00000000-0010-0000-0000-000014000000}" name="20" dataDxfId="229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70"/>
  <sheetViews>
    <sheetView showGridLines="0" tabSelected="1" topLeftCell="A33" workbookViewId="0">
      <selection activeCell="A69" sqref="A69"/>
    </sheetView>
  </sheetViews>
  <sheetFormatPr defaultRowHeight="15" x14ac:dyDescent="0.25"/>
  <cols>
    <col min="1" max="1" width="15" customWidth="1"/>
    <col min="2" max="2" width="20" customWidth="1"/>
  </cols>
  <sheetData>
    <row r="1" spans="1:2" x14ac:dyDescent="0.25">
      <c r="A1" s="2" t="s">
        <v>25</v>
      </c>
      <c r="B1" s="2" t="s">
        <v>4</v>
      </c>
    </row>
    <row r="2" spans="1:2" x14ac:dyDescent="0.25">
      <c r="A2" s="3">
        <v>33332</v>
      </c>
      <c r="B2" s="3" t="s">
        <v>26</v>
      </c>
    </row>
    <row r="3" spans="1:2" x14ac:dyDescent="0.25">
      <c r="A3" s="3">
        <v>48748</v>
      </c>
      <c r="B3" s="3" t="s">
        <v>28</v>
      </c>
    </row>
    <row r="4" spans="1:2" x14ac:dyDescent="0.25">
      <c r="A4" s="3">
        <v>49709</v>
      </c>
      <c r="B4" s="3" t="s">
        <v>29</v>
      </c>
    </row>
    <row r="5" spans="1:2" x14ac:dyDescent="0.25">
      <c r="A5" s="3">
        <v>50134</v>
      </c>
      <c r="B5" s="3" t="s">
        <v>30</v>
      </c>
    </row>
    <row r="6" spans="1:2" x14ac:dyDescent="0.25">
      <c r="A6" s="3">
        <v>50266</v>
      </c>
      <c r="B6" s="3" t="s">
        <v>31</v>
      </c>
    </row>
    <row r="7" spans="1:2" x14ac:dyDescent="0.25">
      <c r="A7" s="3">
        <v>50273</v>
      </c>
      <c r="B7" s="3" t="s">
        <v>32</v>
      </c>
    </row>
    <row r="8" spans="1:2" x14ac:dyDescent="0.25">
      <c r="A8" s="3">
        <v>50313</v>
      </c>
      <c r="B8" s="3" t="s">
        <v>27</v>
      </c>
    </row>
    <row r="9" spans="1:2" x14ac:dyDescent="0.25">
      <c r="A9" s="3">
        <v>50314</v>
      </c>
      <c r="B9" s="3" t="s">
        <v>33</v>
      </c>
    </row>
    <row r="10" spans="1:2" x14ac:dyDescent="0.25">
      <c r="A10" s="3">
        <v>50315</v>
      </c>
      <c r="B10" s="3" t="s">
        <v>34</v>
      </c>
    </row>
    <row r="11" spans="1:2" x14ac:dyDescent="0.25">
      <c r="A11" s="3">
        <v>50524</v>
      </c>
      <c r="B11" s="3" t="s">
        <v>35</v>
      </c>
    </row>
    <row r="12" spans="1:2" x14ac:dyDescent="0.25">
      <c r="A12" s="3">
        <v>50648</v>
      </c>
      <c r="B12" s="3" t="s">
        <v>36</v>
      </c>
    </row>
    <row r="13" spans="1:2" x14ac:dyDescent="0.25">
      <c r="A13" s="3">
        <v>50921</v>
      </c>
      <c r="B13" s="3" t="s">
        <v>37</v>
      </c>
    </row>
    <row r="14" spans="1:2" x14ac:dyDescent="0.25">
      <c r="A14" s="3">
        <v>53893</v>
      </c>
      <c r="B14" s="3" t="s">
        <v>38</v>
      </c>
    </row>
    <row r="15" spans="1:2" x14ac:dyDescent="0.25">
      <c r="A15" s="3">
        <v>54781</v>
      </c>
      <c r="B15" s="3" t="s">
        <v>39</v>
      </c>
    </row>
    <row r="16" spans="1:2" x14ac:dyDescent="0.25">
      <c r="A16" s="3">
        <v>54806</v>
      </c>
      <c r="B16" s="3" t="s">
        <v>40</v>
      </c>
    </row>
    <row r="17" spans="1:2" x14ac:dyDescent="0.25">
      <c r="A17" s="3">
        <v>55417</v>
      </c>
      <c r="B17" s="3" t="s">
        <v>41</v>
      </c>
    </row>
    <row r="18" spans="1:2" x14ac:dyDescent="0.25">
      <c r="A18" s="3">
        <v>56189</v>
      </c>
      <c r="B18" s="3" t="s">
        <v>42</v>
      </c>
    </row>
    <row r="19" spans="1:2" x14ac:dyDescent="0.25">
      <c r="A19" s="3">
        <v>57653</v>
      </c>
      <c r="B19" s="3" t="s">
        <v>43</v>
      </c>
    </row>
    <row r="20" spans="1:2" x14ac:dyDescent="0.25">
      <c r="A20" s="3">
        <v>58112</v>
      </c>
      <c r="B20" s="3" t="s">
        <v>44</v>
      </c>
    </row>
    <row r="21" spans="1:2" x14ac:dyDescent="0.25">
      <c r="A21" s="3">
        <v>59257</v>
      </c>
      <c r="B21" s="3" t="s">
        <v>45</v>
      </c>
    </row>
    <row r="22" spans="1:2" x14ac:dyDescent="0.25">
      <c r="A22" s="3">
        <v>60168</v>
      </c>
      <c r="B22" s="3" t="s">
        <v>46</v>
      </c>
    </row>
    <row r="23" spans="1:2" x14ac:dyDescent="0.25">
      <c r="A23" s="3">
        <v>61648</v>
      </c>
      <c r="B23" s="3" t="s">
        <v>47</v>
      </c>
    </row>
    <row r="24" spans="1:2" x14ac:dyDescent="0.25">
      <c r="A24" s="3">
        <v>63374</v>
      </c>
      <c r="B24" s="3" t="s">
        <v>48</v>
      </c>
    </row>
    <row r="25" spans="1:2" x14ac:dyDescent="0.25">
      <c r="A25" s="3">
        <v>63599</v>
      </c>
      <c r="B25" s="3" t="s">
        <v>49</v>
      </c>
    </row>
    <row r="26" spans="1:2" x14ac:dyDescent="0.25">
      <c r="A26" s="3">
        <v>63854</v>
      </c>
      <c r="B26" s="3" t="s">
        <v>50</v>
      </c>
    </row>
    <row r="27" spans="1:2" x14ac:dyDescent="0.25">
      <c r="A27" s="3">
        <v>63855</v>
      </c>
      <c r="B27" s="3" t="s">
        <v>51</v>
      </c>
    </row>
    <row r="28" spans="1:2" x14ac:dyDescent="0.25">
      <c r="A28" s="3">
        <v>65299</v>
      </c>
      <c r="B28" s="3" t="s">
        <v>52</v>
      </c>
    </row>
    <row r="29" spans="1:2" x14ac:dyDescent="0.25">
      <c r="A29" s="3">
        <v>66117</v>
      </c>
      <c r="B29" s="3" t="s">
        <v>53</v>
      </c>
    </row>
    <row r="30" spans="1:2" x14ac:dyDescent="0.25">
      <c r="A30" s="3">
        <v>67249</v>
      </c>
      <c r="B30" s="3" t="s">
        <v>54</v>
      </c>
    </row>
    <row r="31" spans="1:2" x14ac:dyDescent="0.25">
      <c r="A31" s="3">
        <v>67250</v>
      </c>
      <c r="B31" s="3" t="s">
        <v>55</v>
      </c>
    </row>
    <row r="32" spans="1:2" x14ac:dyDescent="0.25">
      <c r="A32" s="3">
        <v>67676</v>
      </c>
      <c r="B32" s="3" t="s">
        <v>56</v>
      </c>
    </row>
    <row r="33" spans="1:2" x14ac:dyDescent="0.25">
      <c r="A33" s="3">
        <v>67799</v>
      </c>
      <c r="B33" s="3" t="s">
        <v>57</v>
      </c>
    </row>
    <row r="34" spans="1:2" x14ac:dyDescent="0.25">
      <c r="A34" s="3">
        <v>67801</v>
      </c>
      <c r="B34" s="3" t="s">
        <v>58</v>
      </c>
    </row>
    <row r="35" spans="1:2" x14ac:dyDescent="0.25">
      <c r="A35" s="3">
        <v>67802</v>
      </c>
      <c r="B35" s="3" t="s">
        <v>59</v>
      </c>
    </row>
    <row r="36" spans="1:2" x14ac:dyDescent="0.25">
      <c r="A36" s="3">
        <v>68107</v>
      </c>
      <c r="B36" s="3" t="s">
        <v>60</v>
      </c>
    </row>
    <row r="37" spans="1:2" x14ac:dyDescent="0.25">
      <c r="A37" s="3">
        <v>68108</v>
      </c>
      <c r="B37" s="3" t="s">
        <v>61</v>
      </c>
    </row>
    <row r="38" spans="1:2" x14ac:dyDescent="0.25">
      <c r="A38" s="3">
        <v>68473</v>
      </c>
      <c r="B38" s="3" t="s">
        <v>62</v>
      </c>
    </row>
    <row r="39" spans="1:2" x14ac:dyDescent="0.25">
      <c r="A39" s="3">
        <v>68475</v>
      </c>
      <c r="B39" s="3" t="s">
        <v>63</v>
      </c>
    </row>
    <row r="40" spans="1:2" x14ac:dyDescent="0.25">
      <c r="A40" s="3">
        <v>68477</v>
      </c>
      <c r="B40" s="3" t="s">
        <v>64</v>
      </c>
    </row>
    <row r="41" spans="1:2" x14ac:dyDescent="0.25">
      <c r="A41" s="3">
        <v>69209</v>
      </c>
      <c r="B41" s="3" t="s">
        <v>65</v>
      </c>
    </row>
    <row r="42" spans="1:2" x14ac:dyDescent="0.25">
      <c r="A42" s="3">
        <v>69210</v>
      </c>
      <c r="B42" s="3" t="s">
        <v>66</v>
      </c>
    </row>
    <row r="43" spans="1:2" x14ac:dyDescent="0.25">
      <c r="A43" s="3">
        <v>69211</v>
      </c>
      <c r="B43" s="3" t="s">
        <v>67</v>
      </c>
    </row>
    <row r="44" spans="1:2" x14ac:dyDescent="0.25">
      <c r="A44" s="3">
        <v>69213</v>
      </c>
      <c r="B44" s="3" t="s">
        <v>68</v>
      </c>
    </row>
    <row r="45" spans="1:2" x14ac:dyDescent="0.25">
      <c r="A45" s="3">
        <v>69725</v>
      </c>
      <c r="B45" s="3" t="s">
        <v>69</v>
      </c>
    </row>
    <row r="46" spans="1:2" x14ac:dyDescent="0.25">
      <c r="A46" s="3">
        <v>69726</v>
      </c>
      <c r="B46" s="3" t="s">
        <v>70</v>
      </c>
    </row>
    <row r="47" spans="1:2" x14ac:dyDescent="0.25">
      <c r="A47" s="3">
        <v>69728</v>
      </c>
      <c r="B47" s="3" t="s">
        <v>71</v>
      </c>
    </row>
    <row r="48" spans="1:2" x14ac:dyDescent="0.25">
      <c r="A48" s="3">
        <v>69731</v>
      </c>
      <c r="B48" s="3" t="s">
        <v>72</v>
      </c>
    </row>
    <row r="49" spans="1:2" x14ac:dyDescent="0.25">
      <c r="A49" s="3">
        <v>69732</v>
      </c>
      <c r="B49" s="3" t="s">
        <v>73</v>
      </c>
    </row>
    <row r="50" spans="1:2" x14ac:dyDescent="0.25">
      <c r="A50" s="3">
        <v>70246</v>
      </c>
      <c r="B50" s="3" t="s">
        <v>74</v>
      </c>
    </row>
    <row r="51" spans="1:2" x14ac:dyDescent="0.25">
      <c r="A51" s="3">
        <v>70247</v>
      </c>
      <c r="B51" s="3" t="s">
        <v>75</v>
      </c>
    </row>
    <row r="52" spans="1:2" x14ac:dyDescent="0.25">
      <c r="A52" s="3">
        <v>71205</v>
      </c>
      <c r="B52" s="3" t="s">
        <v>76</v>
      </c>
    </row>
    <row r="53" spans="1:2" x14ac:dyDescent="0.25">
      <c r="A53" s="3">
        <v>71787</v>
      </c>
      <c r="B53" s="3" t="s">
        <v>77</v>
      </c>
    </row>
    <row r="54" spans="1:2" x14ac:dyDescent="0.25">
      <c r="A54" s="3">
        <v>71788</v>
      </c>
      <c r="B54" s="3" t="s">
        <v>78</v>
      </c>
    </row>
    <row r="55" spans="1:2" x14ac:dyDescent="0.25">
      <c r="A55" s="3">
        <v>72873</v>
      </c>
      <c r="B55" s="3" t="s">
        <v>79</v>
      </c>
    </row>
    <row r="56" spans="1:2" x14ac:dyDescent="0.25">
      <c r="A56" s="3">
        <v>73196</v>
      </c>
      <c r="B56" s="3" t="s">
        <v>80</v>
      </c>
    </row>
    <row r="57" spans="1:2" x14ac:dyDescent="0.25">
      <c r="A57" s="3">
        <v>73679</v>
      </c>
      <c r="B57" s="3" t="s">
        <v>81</v>
      </c>
    </row>
    <row r="58" spans="1:2" x14ac:dyDescent="0.25">
      <c r="A58" s="3">
        <v>74738</v>
      </c>
      <c r="B58" s="3" t="s">
        <v>82</v>
      </c>
    </row>
    <row r="59" spans="1:2" x14ac:dyDescent="0.25">
      <c r="A59" s="3">
        <v>76411</v>
      </c>
      <c r="B59" s="3" t="s">
        <v>83</v>
      </c>
    </row>
    <row r="60" spans="1:2" x14ac:dyDescent="0.25">
      <c r="A60" s="3">
        <v>77424</v>
      </c>
      <c r="B60" s="3" t="s">
        <v>84</v>
      </c>
    </row>
    <row r="61" spans="1:2" x14ac:dyDescent="0.25">
      <c r="A61" s="3">
        <v>77423</v>
      </c>
      <c r="B61" s="3" t="s">
        <v>85</v>
      </c>
    </row>
    <row r="62" spans="1:2" x14ac:dyDescent="0.25">
      <c r="A62" s="3">
        <v>78242</v>
      </c>
      <c r="B62" s="3" t="s">
        <v>86</v>
      </c>
    </row>
    <row r="63" spans="1:2" x14ac:dyDescent="0.25">
      <c r="A63" s="3">
        <v>71207</v>
      </c>
      <c r="B63" s="3" t="s">
        <v>87</v>
      </c>
    </row>
    <row r="64" spans="1:2" x14ac:dyDescent="0.25">
      <c r="A64" s="3">
        <v>79593</v>
      </c>
      <c r="B64" s="3" t="s">
        <v>88</v>
      </c>
    </row>
    <row r="65" spans="1:2" x14ac:dyDescent="0.25">
      <c r="A65" s="3">
        <v>50394</v>
      </c>
      <c r="B65" s="3" t="s">
        <v>89</v>
      </c>
    </row>
    <row r="66" spans="1:2" x14ac:dyDescent="0.25">
      <c r="A66" s="3">
        <v>75768</v>
      </c>
      <c r="B66" s="3" t="s">
        <v>90</v>
      </c>
    </row>
    <row r="67" spans="1:2" x14ac:dyDescent="0.25">
      <c r="A67" s="3">
        <v>53874</v>
      </c>
      <c r="B67" s="3" t="s">
        <v>91</v>
      </c>
    </row>
    <row r="68" spans="1:2" x14ac:dyDescent="0.25">
      <c r="A68" s="3">
        <v>76242</v>
      </c>
      <c r="B68" s="3" t="s">
        <v>307</v>
      </c>
    </row>
    <row r="69" spans="1:2" x14ac:dyDescent="0.25">
      <c r="A69" s="3">
        <v>76412</v>
      </c>
      <c r="B69" s="3" t="s">
        <v>313</v>
      </c>
    </row>
    <row r="70" spans="1:2" x14ac:dyDescent="0.25">
      <c r="A70" s="3"/>
      <c r="B70" s="3"/>
    </row>
  </sheetData>
  <conditionalFormatting sqref="A2:B70">
    <cfRule type="duplicateValues" dxfId="228" priority="1"/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B3:AK37"/>
  <sheetViews>
    <sheetView showGridLines="0" topLeftCell="A3" zoomScale="80" zoomScaleNormal="80" workbookViewId="0">
      <selection activeCell="K8" sqref="K8"/>
    </sheetView>
  </sheetViews>
  <sheetFormatPr defaultRowHeight="15" x14ac:dyDescent="0.3"/>
  <cols>
    <col min="1" max="1" width="2.5703125" style="12" customWidth="1"/>
    <col min="2" max="2" width="10.85546875" style="12" bestFit="1" customWidth="1"/>
    <col min="3" max="3" width="10.85546875" style="12" customWidth="1"/>
    <col min="4" max="4" width="4.28515625" style="12" customWidth="1"/>
    <col min="5" max="6" width="14.28515625" style="12" bestFit="1" customWidth="1"/>
    <col min="7" max="8" width="13.140625" style="12" bestFit="1" customWidth="1"/>
    <col min="9" max="9" width="13" style="12" customWidth="1"/>
    <col min="10" max="10" width="4.28515625" style="12" customWidth="1"/>
    <col min="11" max="12" width="15.140625" style="12" customWidth="1"/>
    <col min="13" max="13" width="5.42578125" style="12" customWidth="1"/>
    <col min="14" max="14" width="13.85546875" style="12" bestFit="1" customWidth="1"/>
    <col min="15" max="15" width="5.42578125" style="12" customWidth="1"/>
    <col min="16" max="17" width="16.140625" style="12" customWidth="1"/>
    <col min="18" max="18" width="5.42578125" style="12" customWidth="1"/>
    <col min="19" max="19" width="12.28515625" style="12" customWidth="1"/>
    <col min="20" max="20" width="5.42578125" style="12" customWidth="1"/>
    <col min="21" max="21" width="15.140625" style="12" customWidth="1"/>
    <col min="22" max="23" width="13" style="12" bestFit="1" customWidth="1"/>
    <col min="24" max="24" width="8.85546875" style="12" hidden="1" customWidth="1"/>
    <col min="25" max="25" width="9.140625" style="12" hidden="1" customWidth="1"/>
    <col min="26" max="27" width="10.28515625" style="12" hidden="1" customWidth="1"/>
    <col min="28" max="29" width="10.5703125" style="12" hidden="1" customWidth="1"/>
    <col min="30" max="30" width="10" style="12" hidden="1" customWidth="1"/>
    <col min="31" max="31" width="9.140625" style="12" hidden="1" customWidth="1"/>
    <col min="32" max="32" width="0.42578125" style="12" hidden="1" customWidth="1"/>
    <col min="33" max="33" width="7.140625" style="12" hidden="1" customWidth="1"/>
    <col min="34" max="34" width="0.42578125" style="12" hidden="1" customWidth="1"/>
    <col min="35" max="35" width="9.140625" style="12" hidden="1" customWidth="1"/>
    <col min="36" max="36" width="13" style="12" bestFit="1" customWidth="1"/>
    <col min="37" max="37" width="13.7109375" style="12" bestFit="1" customWidth="1"/>
    <col min="38" max="16384" width="9.140625" style="12"/>
  </cols>
  <sheetData>
    <row r="3" spans="2:37" s="7" customFormat="1" ht="18" x14ac:dyDescent="0.35">
      <c r="B3" s="5"/>
      <c r="C3" s="5"/>
      <c r="D3" s="5"/>
      <c r="E3" s="51" t="s">
        <v>101</v>
      </c>
      <c r="F3" s="51"/>
      <c r="G3" s="51"/>
      <c r="H3" s="51"/>
      <c r="I3" s="51"/>
      <c r="J3" s="51"/>
      <c r="K3" s="51"/>
      <c r="L3" s="51"/>
      <c r="M3" s="5"/>
      <c r="N3" s="5"/>
      <c r="O3" s="5"/>
      <c r="P3" s="51" t="s">
        <v>102</v>
      </c>
      <c r="Q3" s="51"/>
      <c r="R3" s="5"/>
      <c r="S3" s="5"/>
      <c r="T3" s="5"/>
      <c r="U3" s="6" t="s">
        <v>103</v>
      </c>
    </row>
    <row r="4" spans="2:37" ht="29.25" customHeight="1" x14ac:dyDescent="0.3">
      <c r="B4" s="8" t="s">
        <v>2</v>
      </c>
      <c r="C4" s="8" t="s">
        <v>104</v>
      </c>
      <c r="D4" s="9"/>
      <c r="E4" s="8" t="s">
        <v>105</v>
      </c>
      <c r="F4" s="8" t="s">
        <v>106</v>
      </c>
      <c r="G4" s="8" t="s">
        <v>107</v>
      </c>
      <c r="H4" s="8" t="s">
        <v>108</v>
      </c>
      <c r="I4" s="8" t="s">
        <v>97</v>
      </c>
      <c r="J4" s="8"/>
      <c r="K4" s="8" t="s">
        <v>109</v>
      </c>
      <c r="L4" s="8" t="s">
        <v>110</v>
      </c>
      <c r="M4" s="9"/>
      <c r="N4" s="10" t="s">
        <v>111</v>
      </c>
      <c r="O4" s="9"/>
      <c r="P4" s="8" t="s">
        <v>112</v>
      </c>
      <c r="Q4" s="8" t="s">
        <v>113</v>
      </c>
      <c r="R4" s="9"/>
      <c r="S4" s="11" t="s">
        <v>111</v>
      </c>
      <c r="T4" s="9"/>
      <c r="U4" s="8" t="s">
        <v>103</v>
      </c>
      <c r="X4" s="12" t="s">
        <v>105</v>
      </c>
      <c r="Y4" s="12" t="s">
        <v>106</v>
      </c>
      <c r="Z4" s="12" t="s">
        <v>107</v>
      </c>
      <c r="AA4" s="12" t="s">
        <v>108</v>
      </c>
      <c r="AB4" s="12" t="s">
        <v>114</v>
      </c>
      <c r="AD4" s="12" t="s">
        <v>110</v>
      </c>
      <c r="AF4" s="12" t="s">
        <v>112</v>
      </c>
      <c r="AG4" s="12" t="s">
        <v>113</v>
      </c>
    </row>
    <row r="5" spans="2:37" ht="1.5" customHeight="1" x14ac:dyDescent="0.3">
      <c r="B5" s="42" t="s">
        <v>15</v>
      </c>
      <c r="C5" s="42" t="s">
        <v>14</v>
      </c>
      <c r="D5" s="43" t="s">
        <v>115</v>
      </c>
      <c r="E5" s="42" t="s">
        <v>116</v>
      </c>
      <c r="F5" s="42" t="s">
        <v>13</v>
      </c>
      <c r="G5" s="42" t="s">
        <v>117</v>
      </c>
      <c r="H5" s="42" t="s">
        <v>118</v>
      </c>
      <c r="I5" s="42" t="s">
        <v>119</v>
      </c>
      <c r="J5" s="42" t="s">
        <v>120</v>
      </c>
      <c r="K5" s="42" t="s">
        <v>12</v>
      </c>
      <c r="L5" s="42" t="s">
        <v>121</v>
      </c>
      <c r="M5" s="42" t="s">
        <v>122</v>
      </c>
      <c r="N5" s="42" t="s">
        <v>123</v>
      </c>
      <c r="O5" s="42" t="s">
        <v>124</v>
      </c>
      <c r="P5" s="42" t="s">
        <v>125</v>
      </c>
      <c r="Q5" s="42" t="s">
        <v>126</v>
      </c>
      <c r="R5" s="42" t="s">
        <v>127</v>
      </c>
      <c r="S5" s="42" t="s">
        <v>128</v>
      </c>
      <c r="T5" s="42" t="s">
        <v>129</v>
      </c>
      <c r="U5" s="42" t="s">
        <v>11</v>
      </c>
    </row>
    <row r="6" spans="2:37" x14ac:dyDescent="0.3">
      <c r="B6" s="13">
        <v>46204</v>
      </c>
      <c r="C6" s="13" t="str">
        <f>TEXT(B6,"ddd")</f>
        <v>Wed</v>
      </c>
      <c r="D6" s="14"/>
      <c r="E6" s="15">
        <f>'1'!F35</f>
        <v>2500500</v>
      </c>
      <c r="F6" s="16">
        <f>'1'!J35</f>
        <v>4301500</v>
      </c>
      <c r="G6" s="16">
        <f>'1'!N35</f>
        <v>0</v>
      </c>
      <c r="H6" s="16">
        <f>'1'!R35</f>
        <v>0</v>
      </c>
      <c r="I6" s="17">
        <f>'1'!AD35</f>
        <v>75905</v>
      </c>
      <c r="J6" s="18"/>
      <c r="K6" s="19">
        <f t="shared" ref="K6:K36" si="0">SUM(E6:I6)</f>
        <v>6877905</v>
      </c>
      <c r="L6" s="17">
        <f>'1'!AE35</f>
        <v>6876713</v>
      </c>
      <c r="M6" s="20"/>
      <c r="N6" s="20">
        <f>+K6-L6</f>
        <v>1192</v>
      </c>
      <c r="O6" s="20"/>
      <c r="P6" s="15">
        <f>'1'!AI35</f>
        <v>16028027.32</v>
      </c>
      <c r="Q6" s="17">
        <f>'1'!AJ35</f>
        <v>16028016.59</v>
      </c>
      <c r="R6" s="20"/>
      <c r="S6" s="20">
        <f>+P6-Q6</f>
        <v>10.730000000447035</v>
      </c>
      <c r="T6" s="20"/>
      <c r="U6" s="16">
        <f>+K6+Q6</f>
        <v>22905921.59</v>
      </c>
      <c r="V6" s="21"/>
      <c r="W6" s="21"/>
      <c r="AJ6" s="21"/>
      <c r="AK6" s="21"/>
    </row>
    <row r="7" spans="2:37" x14ac:dyDescent="0.3">
      <c r="B7" s="13">
        <f>+B6+1</f>
        <v>46205</v>
      </c>
      <c r="C7" s="13" t="str">
        <f t="shared" ref="C7:C36" si="1">TEXT(B7,"ddd")</f>
        <v>Thu</v>
      </c>
      <c r="D7" s="14"/>
      <c r="E7" s="15">
        <f>'2'!F35</f>
        <v>2832500</v>
      </c>
      <c r="F7" s="16">
        <f>'2'!J35</f>
        <v>4698500</v>
      </c>
      <c r="G7" s="16">
        <f>'2'!N35</f>
        <v>0</v>
      </c>
      <c r="H7" s="16">
        <f>'2'!R35</f>
        <v>0</v>
      </c>
      <c r="I7" s="17">
        <f>'2'!AD35</f>
        <v>67350</v>
      </c>
      <c r="J7" s="18"/>
      <c r="K7" s="19">
        <f t="shared" si="0"/>
        <v>7598350</v>
      </c>
      <c r="L7" s="17">
        <f>'2'!AE35</f>
        <v>7585015.3200000003</v>
      </c>
      <c r="M7" s="20"/>
      <c r="N7" s="20">
        <f t="shared" ref="N7:N36" si="2">+K7-L7</f>
        <v>13334.679999999702</v>
      </c>
      <c r="O7" s="20"/>
      <c r="P7" s="15">
        <f>'2'!AI35</f>
        <v>14051289.110000001</v>
      </c>
      <c r="Q7" s="17">
        <f>'2'!AJ35</f>
        <v>14037724.800000001</v>
      </c>
      <c r="R7" s="20"/>
      <c r="S7" s="20">
        <f t="shared" ref="S7:S36" si="3">+P7-Q7</f>
        <v>13564.310000000522</v>
      </c>
      <c r="T7" s="20"/>
      <c r="U7" s="16">
        <f t="shared" ref="U7:U36" si="4">+K7+Q7</f>
        <v>21636074.800000001</v>
      </c>
      <c r="V7" s="21"/>
      <c r="W7" s="21"/>
      <c r="AJ7" s="21"/>
      <c r="AK7" s="21"/>
    </row>
    <row r="8" spans="2:37" x14ac:dyDescent="0.3">
      <c r="B8" s="13">
        <f t="shared" ref="B8:B36" si="5">+B7+1</f>
        <v>46206</v>
      </c>
      <c r="C8" s="13" t="str">
        <f t="shared" si="1"/>
        <v>Fri</v>
      </c>
      <c r="D8" s="14"/>
      <c r="E8" s="15">
        <f>'3'!F36</f>
        <v>2678500</v>
      </c>
      <c r="F8" s="16">
        <f>'3'!J36</f>
        <v>4670000</v>
      </c>
      <c r="G8" s="16">
        <f>'3'!N36</f>
        <v>0</v>
      </c>
      <c r="H8" s="16">
        <f>'3'!R36</f>
        <v>0</v>
      </c>
      <c r="I8" s="17">
        <f>'3'!AD36</f>
        <v>83340</v>
      </c>
      <c r="J8" s="18"/>
      <c r="K8" s="19">
        <f t="shared" si="0"/>
        <v>7431840</v>
      </c>
      <c r="L8" s="17"/>
      <c r="M8" s="20"/>
      <c r="N8" s="20">
        <f t="shared" si="2"/>
        <v>7431840</v>
      </c>
      <c r="O8" s="20"/>
      <c r="P8" s="15"/>
      <c r="Q8" s="17"/>
      <c r="R8" s="20"/>
      <c r="S8" s="20">
        <f t="shared" si="3"/>
        <v>0</v>
      </c>
      <c r="T8" s="20"/>
      <c r="U8" s="16">
        <f t="shared" si="4"/>
        <v>7431840</v>
      </c>
      <c r="V8" s="21"/>
      <c r="W8" s="21"/>
      <c r="AJ8" s="21"/>
      <c r="AK8" s="21"/>
    </row>
    <row r="9" spans="2:37" x14ac:dyDescent="0.3">
      <c r="B9" s="13">
        <f t="shared" si="5"/>
        <v>46207</v>
      </c>
      <c r="C9" s="13" t="str">
        <f t="shared" si="1"/>
        <v>Sat</v>
      </c>
      <c r="D9" s="14"/>
      <c r="E9" s="15"/>
      <c r="F9" s="16"/>
      <c r="G9" s="16"/>
      <c r="H9" s="16"/>
      <c r="I9" s="17"/>
      <c r="J9" s="18"/>
      <c r="K9" s="19">
        <f t="shared" si="0"/>
        <v>0</v>
      </c>
      <c r="L9" s="17"/>
      <c r="M9" s="20"/>
      <c r="N9" s="20">
        <f t="shared" si="2"/>
        <v>0</v>
      </c>
      <c r="O9" s="20"/>
      <c r="P9" s="15"/>
      <c r="Q9" s="17"/>
      <c r="R9" s="20"/>
      <c r="S9" s="20">
        <f t="shared" si="3"/>
        <v>0</v>
      </c>
      <c r="T9" s="20"/>
      <c r="U9" s="16">
        <f t="shared" si="4"/>
        <v>0</v>
      </c>
      <c r="V9" s="21"/>
      <c r="W9" s="21"/>
      <c r="AJ9" s="21"/>
      <c r="AK9" s="21"/>
    </row>
    <row r="10" spans="2:37" x14ac:dyDescent="0.3">
      <c r="B10" s="13">
        <f t="shared" si="5"/>
        <v>46208</v>
      </c>
      <c r="C10" s="13" t="str">
        <f t="shared" si="1"/>
        <v>Sun</v>
      </c>
      <c r="D10" s="14"/>
      <c r="E10" s="15"/>
      <c r="F10" s="16"/>
      <c r="G10" s="16"/>
      <c r="H10" s="16"/>
      <c r="I10" s="17"/>
      <c r="J10" s="18"/>
      <c r="K10" s="19">
        <f t="shared" si="0"/>
        <v>0</v>
      </c>
      <c r="L10" s="17"/>
      <c r="M10" s="20"/>
      <c r="N10" s="20">
        <f t="shared" si="2"/>
        <v>0</v>
      </c>
      <c r="O10" s="20"/>
      <c r="P10" s="15"/>
      <c r="Q10" s="17"/>
      <c r="R10" s="20"/>
      <c r="S10" s="20">
        <f t="shared" si="3"/>
        <v>0</v>
      </c>
      <c r="T10" s="20"/>
      <c r="U10" s="16">
        <f t="shared" si="4"/>
        <v>0</v>
      </c>
      <c r="V10" s="21"/>
      <c r="W10" s="21"/>
      <c r="AJ10" s="21"/>
      <c r="AK10" s="21"/>
    </row>
    <row r="11" spans="2:37" x14ac:dyDescent="0.3">
      <c r="B11" s="13">
        <f t="shared" si="5"/>
        <v>46209</v>
      </c>
      <c r="C11" s="13" t="str">
        <f t="shared" si="1"/>
        <v>Mon</v>
      </c>
      <c r="D11" s="14"/>
      <c r="E11" s="15"/>
      <c r="F11" s="16"/>
      <c r="G11" s="16"/>
      <c r="H11" s="16"/>
      <c r="I11" s="17"/>
      <c r="J11" s="18"/>
      <c r="K11" s="19">
        <f t="shared" si="0"/>
        <v>0</v>
      </c>
      <c r="L11" s="17"/>
      <c r="M11" s="20"/>
      <c r="N11" s="20">
        <f t="shared" si="2"/>
        <v>0</v>
      </c>
      <c r="O11" s="20"/>
      <c r="P11" s="15"/>
      <c r="Q11" s="17"/>
      <c r="R11" s="20"/>
      <c r="S11" s="20">
        <f t="shared" si="3"/>
        <v>0</v>
      </c>
      <c r="T11" s="20"/>
      <c r="U11" s="16">
        <f t="shared" si="4"/>
        <v>0</v>
      </c>
      <c r="V11" s="21"/>
      <c r="W11" s="21"/>
      <c r="AJ11" s="21"/>
      <c r="AK11" s="21"/>
    </row>
    <row r="12" spans="2:37" x14ac:dyDescent="0.3">
      <c r="B12" s="13">
        <f t="shared" si="5"/>
        <v>46210</v>
      </c>
      <c r="C12" s="13" t="str">
        <f t="shared" si="1"/>
        <v>Tue</v>
      </c>
      <c r="D12" s="14"/>
      <c r="E12" s="15"/>
      <c r="F12" s="16"/>
      <c r="G12" s="16"/>
      <c r="H12" s="16"/>
      <c r="I12" s="17"/>
      <c r="J12" s="18"/>
      <c r="K12" s="19">
        <f t="shared" si="0"/>
        <v>0</v>
      </c>
      <c r="L12" s="17"/>
      <c r="M12" s="20"/>
      <c r="N12" s="20">
        <f t="shared" si="2"/>
        <v>0</v>
      </c>
      <c r="O12" s="20"/>
      <c r="P12" s="15"/>
      <c r="Q12" s="17"/>
      <c r="R12" s="20"/>
      <c r="S12" s="20">
        <f t="shared" si="3"/>
        <v>0</v>
      </c>
      <c r="T12" s="20"/>
      <c r="U12" s="16">
        <f t="shared" si="4"/>
        <v>0</v>
      </c>
      <c r="V12" s="21"/>
      <c r="W12" s="21"/>
      <c r="AJ12" s="21"/>
      <c r="AK12" s="21"/>
    </row>
    <row r="13" spans="2:37" x14ac:dyDescent="0.3">
      <c r="B13" s="13">
        <f t="shared" si="5"/>
        <v>46211</v>
      </c>
      <c r="C13" s="13" t="str">
        <f t="shared" si="1"/>
        <v>Wed</v>
      </c>
      <c r="D13" s="14"/>
      <c r="E13" s="15"/>
      <c r="F13" s="16"/>
      <c r="G13" s="16"/>
      <c r="H13" s="16"/>
      <c r="I13" s="17"/>
      <c r="J13" s="18"/>
      <c r="K13" s="19">
        <f t="shared" si="0"/>
        <v>0</v>
      </c>
      <c r="L13" s="17"/>
      <c r="M13" s="20"/>
      <c r="N13" s="20">
        <f t="shared" si="2"/>
        <v>0</v>
      </c>
      <c r="O13" s="20"/>
      <c r="P13" s="15"/>
      <c r="Q13" s="17"/>
      <c r="R13" s="20"/>
      <c r="S13" s="20">
        <f t="shared" si="3"/>
        <v>0</v>
      </c>
      <c r="T13" s="20"/>
      <c r="U13" s="16">
        <f t="shared" si="4"/>
        <v>0</v>
      </c>
      <c r="V13" s="21"/>
      <c r="W13" s="21"/>
      <c r="AJ13" s="21"/>
      <c r="AK13" s="21"/>
    </row>
    <row r="14" spans="2:37" x14ac:dyDescent="0.3">
      <c r="B14" s="13">
        <f t="shared" si="5"/>
        <v>46212</v>
      </c>
      <c r="C14" s="13" t="str">
        <f t="shared" si="1"/>
        <v>Thu</v>
      </c>
      <c r="D14" s="14"/>
      <c r="E14" s="15"/>
      <c r="F14" s="16"/>
      <c r="G14" s="16"/>
      <c r="H14" s="16"/>
      <c r="I14" s="17"/>
      <c r="J14" s="18"/>
      <c r="K14" s="19">
        <f t="shared" si="0"/>
        <v>0</v>
      </c>
      <c r="L14" s="17"/>
      <c r="M14" s="20"/>
      <c r="N14" s="20">
        <f t="shared" si="2"/>
        <v>0</v>
      </c>
      <c r="O14" s="20"/>
      <c r="P14" s="15"/>
      <c r="Q14" s="17"/>
      <c r="R14" s="20"/>
      <c r="S14" s="20">
        <f t="shared" si="3"/>
        <v>0</v>
      </c>
      <c r="T14" s="20"/>
      <c r="U14" s="16">
        <f t="shared" si="4"/>
        <v>0</v>
      </c>
      <c r="V14" s="21"/>
      <c r="W14" s="21"/>
      <c r="AJ14" s="21"/>
      <c r="AK14" s="21"/>
    </row>
    <row r="15" spans="2:37" x14ac:dyDescent="0.3">
      <c r="B15" s="13">
        <f t="shared" si="5"/>
        <v>46213</v>
      </c>
      <c r="C15" s="13" t="str">
        <f t="shared" si="1"/>
        <v>Fri</v>
      </c>
      <c r="D15" s="14"/>
      <c r="E15" s="15"/>
      <c r="F15" s="16"/>
      <c r="G15" s="16"/>
      <c r="H15" s="16"/>
      <c r="I15" s="17"/>
      <c r="J15" s="18"/>
      <c r="K15" s="19">
        <f t="shared" si="0"/>
        <v>0</v>
      </c>
      <c r="L15" s="17"/>
      <c r="M15" s="20"/>
      <c r="N15" s="20">
        <f t="shared" si="2"/>
        <v>0</v>
      </c>
      <c r="O15" s="20"/>
      <c r="P15" s="15"/>
      <c r="Q15" s="17"/>
      <c r="R15" s="20"/>
      <c r="S15" s="20">
        <f t="shared" si="3"/>
        <v>0</v>
      </c>
      <c r="T15" s="20"/>
      <c r="U15" s="16">
        <f t="shared" si="4"/>
        <v>0</v>
      </c>
      <c r="X15" s="12" t="s">
        <v>130</v>
      </c>
      <c r="Y15" s="12" t="s">
        <v>131</v>
      </c>
      <c r="Z15" s="12" t="s">
        <v>132</v>
      </c>
      <c r="AA15" s="12" t="s">
        <v>133</v>
      </c>
      <c r="AB15" s="12" t="s">
        <v>134</v>
      </c>
      <c r="AD15" s="12" t="s">
        <v>135</v>
      </c>
      <c r="AF15" s="12" t="s">
        <v>136</v>
      </c>
      <c r="AG15" s="12" t="s">
        <v>137</v>
      </c>
      <c r="AJ15" s="21"/>
      <c r="AK15" s="21"/>
    </row>
    <row r="16" spans="2:37" x14ac:dyDescent="0.3">
      <c r="B16" s="13">
        <f t="shared" si="5"/>
        <v>46214</v>
      </c>
      <c r="C16" s="13" t="str">
        <f t="shared" si="1"/>
        <v>Sat</v>
      </c>
      <c r="D16" s="14"/>
      <c r="E16" s="15"/>
      <c r="F16" s="16"/>
      <c r="G16" s="16"/>
      <c r="H16" s="16"/>
      <c r="I16" s="17"/>
      <c r="J16" s="18"/>
      <c r="K16" s="19">
        <f t="shared" si="0"/>
        <v>0</v>
      </c>
      <c r="L16" s="17"/>
      <c r="M16" s="20"/>
      <c r="N16" s="20">
        <f t="shared" si="2"/>
        <v>0</v>
      </c>
      <c r="O16" s="20"/>
      <c r="P16" s="15"/>
      <c r="Q16" s="17"/>
      <c r="R16" s="20"/>
      <c r="S16" s="20">
        <f t="shared" si="3"/>
        <v>0</v>
      </c>
      <c r="T16" s="20"/>
      <c r="U16" s="16">
        <f t="shared" si="4"/>
        <v>0</v>
      </c>
      <c r="X16" s="12" t="s">
        <v>138</v>
      </c>
      <c r="Y16" s="12" t="s">
        <v>139</v>
      </c>
      <c r="Z16" s="12" t="s">
        <v>140</v>
      </c>
      <c r="AA16" s="12" t="s">
        <v>141</v>
      </c>
      <c r="AB16" s="12" t="s">
        <v>142</v>
      </c>
      <c r="AD16" s="12" t="s">
        <v>143</v>
      </c>
      <c r="AF16" s="12" t="s">
        <v>144</v>
      </c>
      <c r="AG16" s="12" t="s">
        <v>145</v>
      </c>
      <c r="AJ16" s="21"/>
      <c r="AK16" s="21"/>
    </row>
    <row r="17" spans="2:37" x14ac:dyDescent="0.3">
      <c r="B17" s="13">
        <f t="shared" si="5"/>
        <v>46215</v>
      </c>
      <c r="C17" s="13" t="str">
        <f t="shared" si="1"/>
        <v>Sun</v>
      </c>
      <c r="D17" s="14"/>
      <c r="E17" s="15"/>
      <c r="F17" s="16"/>
      <c r="G17" s="16"/>
      <c r="H17" s="16"/>
      <c r="I17" s="17"/>
      <c r="J17" s="18"/>
      <c r="K17" s="19">
        <f t="shared" si="0"/>
        <v>0</v>
      </c>
      <c r="L17" s="17"/>
      <c r="M17" s="20"/>
      <c r="N17" s="20">
        <f t="shared" si="2"/>
        <v>0</v>
      </c>
      <c r="O17" s="20"/>
      <c r="P17" s="15"/>
      <c r="Q17" s="17"/>
      <c r="R17" s="20"/>
      <c r="S17" s="20">
        <f t="shared" si="3"/>
        <v>0</v>
      </c>
      <c r="T17" s="20"/>
      <c r="U17" s="16">
        <f t="shared" si="4"/>
        <v>0</v>
      </c>
      <c r="X17" s="12" t="s">
        <v>146</v>
      </c>
      <c r="Y17" s="12" t="s">
        <v>147</v>
      </c>
      <c r="Z17" s="12" t="s">
        <v>148</v>
      </c>
      <c r="AA17" s="12" t="s">
        <v>149</v>
      </c>
      <c r="AB17" s="12" t="s">
        <v>150</v>
      </c>
      <c r="AD17" s="12" t="s">
        <v>151</v>
      </c>
      <c r="AF17" s="12" t="s">
        <v>152</v>
      </c>
      <c r="AG17" s="12" t="s">
        <v>153</v>
      </c>
      <c r="AJ17" s="21"/>
      <c r="AK17" s="21"/>
    </row>
    <row r="18" spans="2:37" x14ac:dyDescent="0.3">
      <c r="B18" s="13">
        <f t="shared" si="5"/>
        <v>46216</v>
      </c>
      <c r="C18" s="13" t="str">
        <f t="shared" si="1"/>
        <v>Mon</v>
      </c>
      <c r="D18" s="14"/>
      <c r="E18" s="15"/>
      <c r="F18" s="16"/>
      <c r="G18" s="16"/>
      <c r="H18" s="16"/>
      <c r="I18" s="17"/>
      <c r="J18" s="18"/>
      <c r="K18" s="19">
        <f t="shared" si="0"/>
        <v>0</v>
      </c>
      <c r="L18" s="17"/>
      <c r="M18" s="20"/>
      <c r="N18" s="20">
        <f t="shared" si="2"/>
        <v>0</v>
      </c>
      <c r="O18" s="20"/>
      <c r="P18" s="15"/>
      <c r="Q18" s="17"/>
      <c r="R18" s="20"/>
      <c r="S18" s="20">
        <f t="shared" si="3"/>
        <v>0</v>
      </c>
      <c r="T18" s="20"/>
      <c r="U18" s="16">
        <f t="shared" si="4"/>
        <v>0</v>
      </c>
      <c r="X18" s="12" t="s">
        <v>154</v>
      </c>
      <c r="Y18" s="12" t="s">
        <v>155</v>
      </c>
      <c r="Z18" s="12" t="s">
        <v>156</v>
      </c>
      <c r="AA18" s="12" t="s">
        <v>157</v>
      </c>
      <c r="AB18" s="12" t="s">
        <v>158</v>
      </c>
      <c r="AD18" s="12" t="s">
        <v>159</v>
      </c>
      <c r="AF18" s="12" t="s">
        <v>160</v>
      </c>
      <c r="AG18" s="12" t="s">
        <v>161</v>
      </c>
      <c r="AJ18" s="21"/>
      <c r="AK18" s="21"/>
    </row>
    <row r="19" spans="2:37" x14ac:dyDescent="0.3">
      <c r="B19" s="13">
        <f t="shared" si="5"/>
        <v>46217</v>
      </c>
      <c r="C19" s="13" t="str">
        <f t="shared" si="1"/>
        <v>Tue</v>
      </c>
      <c r="D19" s="14"/>
      <c r="E19" s="15"/>
      <c r="F19" s="16"/>
      <c r="G19" s="16"/>
      <c r="H19" s="16"/>
      <c r="I19" s="17"/>
      <c r="J19" s="18"/>
      <c r="K19" s="19">
        <f t="shared" si="0"/>
        <v>0</v>
      </c>
      <c r="L19" s="17"/>
      <c r="M19" s="20"/>
      <c r="N19" s="20">
        <f t="shared" si="2"/>
        <v>0</v>
      </c>
      <c r="O19" s="20"/>
      <c r="P19" s="15"/>
      <c r="Q19" s="17"/>
      <c r="R19" s="20"/>
      <c r="S19" s="20">
        <f t="shared" si="3"/>
        <v>0</v>
      </c>
      <c r="T19" s="20"/>
      <c r="U19" s="16">
        <f t="shared" si="4"/>
        <v>0</v>
      </c>
      <c r="X19" s="12" t="s">
        <v>162</v>
      </c>
      <c r="Y19" s="12" t="s">
        <v>163</v>
      </c>
      <c r="Z19" s="12" t="s">
        <v>164</v>
      </c>
      <c r="AA19" s="12" t="s">
        <v>165</v>
      </c>
      <c r="AB19" s="12" t="s">
        <v>166</v>
      </c>
      <c r="AD19" s="12" t="s">
        <v>167</v>
      </c>
      <c r="AF19" s="12" t="s">
        <v>168</v>
      </c>
      <c r="AG19" s="12" t="s">
        <v>169</v>
      </c>
      <c r="AJ19" s="21"/>
      <c r="AK19" s="21"/>
    </row>
    <row r="20" spans="2:37" x14ac:dyDescent="0.3">
      <c r="B20" s="13">
        <f t="shared" si="5"/>
        <v>46218</v>
      </c>
      <c r="C20" s="13" t="str">
        <f t="shared" si="1"/>
        <v>Wed</v>
      </c>
      <c r="D20" s="14"/>
      <c r="E20" s="15"/>
      <c r="F20" s="16"/>
      <c r="G20" s="16"/>
      <c r="H20" s="16"/>
      <c r="I20" s="17"/>
      <c r="J20" s="18"/>
      <c r="K20" s="19">
        <f t="shared" si="0"/>
        <v>0</v>
      </c>
      <c r="L20" s="17"/>
      <c r="M20" s="20"/>
      <c r="N20" s="20">
        <f t="shared" si="2"/>
        <v>0</v>
      </c>
      <c r="O20" s="20"/>
      <c r="P20" s="15"/>
      <c r="Q20" s="17"/>
      <c r="R20" s="20"/>
      <c r="S20" s="20">
        <f t="shared" si="3"/>
        <v>0</v>
      </c>
      <c r="T20" s="20"/>
      <c r="U20" s="16">
        <f t="shared" si="4"/>
        <v>0</v>
      </c>
      <c r="X20" s="12" t="s">
        <v>170</v>
      </c>
      <c r="Y20" s="12" t="s">
        <v>171</v>
      </c>
      <c r="Z20" s="12" t="s">
        <v>172</v>
      </c>
      <c r="AA20" s="12" t="s">
        <v>173</v>
      </c>
      <c r="AB20" s="12" t="s">
        <v>174</v>
      </c>
      <c r="AD20" s="12" t="s">
        <v>175</v>
      </c>
      <c r="AF20" s="12" t="s">
        <v>176</v>
      </c>
      <c r="AG20" s="12" t="s">
        <v>177</v>
      </c>
      <c r="AJ20" s="21"/>
      <c r="AK20" s="21"/>
    </row>
    <row r="21" spans="2:37" x14ac:dyDescent="0.3">
      <c r="B21" s="13">
        <f t="shared" si="5"/>
        <v>46219</v>
      </c>
      <c r="C21" s="13" t="str">
        <f t="shared" si="1"/>
        <v>Thu</v>
      </c>
      <c r="D21" s="14"/>
      <c r="E21" s="15"/>
      <c r="F21" s="16"/>
      <c r="G21" s="16"/>
      <c r="H21" s="16"/>
      <c r="I21" s="17"/>
      <c r="J21" s="18"/>
      <c r="K21" s="19">
        <f t="shared" si="0"/>
        <v>0</v>
      </c>
      <c r="L21" s="17"/>
      <c r="M21" s="20"/>
      <c r="N21" s="20">
        <f t="shared" si="2"/>
        <v>0</v>
      </c>
      <c r="O21" s="20"/>
      <c r="P21" s="15"/>
      <c r="Q21" s="17"/>
      <c r="R21" s="20"/>
      <c r="S21" s="20">
        <f t="shared" si="3"/>
        <v>0</v>
      </c>
      <c r="T21" s="20"/>
      <c r="U21" s="16">
        <f>+K21+Q21</f>
        <v>0</v>
      </c>
      <c r="X21" s="12" t="s">
        <v>178</v>
      </c>
      <c r="Y21" s="12" t="s">
        <v>179</v>
      </c>
      <c r="Z21" s="12" t="s">
        <v>180</v>
      </c>
      <c r="AA21" s="12" t="s">
        <v>181</v>
      </c>
      <c r="AB21" s="12" t="s">
        <v>182</v>
      </c>
      <c r="AD21" s="12" t="s">
        <v>183</v>
      </c>
      <c r="AF21" s="12" t="s">
        <v>184</v>
      </c>
      <c r="AG21" s="12" t="s">
        <v>185</v>
      </c>
      <c r="AJ21" s="21"/>
      <c r="AK21" s="21"/>
    </row>
    <row r="22" spans="2:37" x14ac:dyDescent="0.3">
      <c r="B22" s="13">
        <f t="shared" si="5"/>
        <v>46220</v>
      </c>
      <c r="C22" s="13" t="str">
        <f t="shared" si="1"/>
        <v>Fri</v>
      </c>
      <c r="D22" s="14"/>
      <c r="E22" s="15"/>
      <c r="F22" s="16"/>
      <c r="G22" s="16"/>
      <c r="H22" s="16"/>
      <c r="I22" s="17"/>
      <c r="J22" s="18"/>
      <c r="K22" s="19">
        <f t="shared" si="0"/>
        <v>0</v>
      </c>
      <c r="L22" s="17"/>
      <c r="M22" s="20"/>
      <c r="N22" s="20">
        <f t="shared" si="2"/>
        <v>0</v>
      </c>
      <c r="O22" s="20"/>
      <c r="P22" s="15"/>
      <c r="Q22" s="17"/>
      <c r="R22" s="20"/>
      <c r="S22" s="20">
        <f t="shared" si="3"/>
        <v>0</v>
      </c>
      <c r="T22" s="20"/>
      <c r="U22" s="16">
        <f t="shared" si="4"/>
        <v>0</v>
      </c>
      <c r="X22" s="12" t="s">
        <v>186</v>
      </c>
      <c r="Y22" s="12" t="s">
        <v>187</v>
      </c>
      <c r="Z22" s="12" t="s">
        <v>188</v>
      </c>
      <c r="AA22" s="12" t="s">
        <v>189</v>
      </c>
      <c r="AB22" s="12" t="s">
        <v>190</v>
      </c>
      <c r="AD22" s="12" t="s">
        <v>191</v>
      </c>
      <c r="AF22" s="12" t="s">
        <v>192</v>
      </c>
      <c r="AG22" s="12" t="s">
        <v>193</v>
      </c>
      <c r="AJ22" s="21"/>
      <c r="AK22" s="21"/>
    </row>
    <row r="23" spans="2:37" x14ac:dyDescent="0.3">
      <c r="B23" s="13">
        <f t="shared" si="5"/>
        <v>46221</v>
      </c>
      <c r="C23" s="13" t="str">
        <f t="shared" si="1"/>
        <v>Sat</v>
      </c>
      <c r="D23" s="14"/>
      <c r="E23" s="15"/>
      <c r="F23" s="16"/>
      <c r="G23" s="16"/>
      <c r="H23" s="16"/>
      <c r="I23" s="17"/>
      <c r="J23" s="18"/>
      <c r="K23" s="19">
        <f t="shared" si="0"/>
        <v>0</v>
      </c>
      <c r="L23" s="17"/>
      <c r="M23" s="20"/>
      <c r="N23" s="20">
        <f t="shared" si="2"/>
        <v>0</v>
      </c>
      <c r="O23" s="20"/>
      <c r="P23" s="15"/>
      <c r="Q23" s="17"/>
      <c r="R23" s="20"/>
      <c r="S23" s="20">
        <f t="shared" si="3"/>
        <v>0</v>
      </c>
      <c r="T23" s="20"/>
      <c r="U23" s="16">
        <f t="shared" si="4"/>
        <v>0</v>
      </c>
      <c r="X23" s="12" t="s">
        <v>194</v>
      </c>
      <c r="Y23" s="12" t="s">
        <v>195</v>
      </c>
      <c r="Z23" s="12" t="s">
        <v>196</v>
      </c>
      <c r="AA23" s="12" t="s">
        <v>197</v>
      </c>
      <c r="AB23" s="12" t="s">
        <v>198</v>
      </c>
      <c r="AD23" s="12" t="s">
        <v>199</v>
      </c>
      <c r="AF23" s="12" t="s">
        <v>200</v>
      </c>
      <c r="AG23" s="12" t="s">
        <v>201</v>
      </c>
      <c r="AJ23" s="21"/>
      <c r="AK23" s="21"/>
    </row>
    <row r="24" spans="2:37" x14ac:dyDescent="0.3">
      <c r="B24" s="13">
        <f t="shared" si="5"/>
        <v>46222</v>
      </c>
      <c r="C24" s="13" t="str">
        <f t="shared" si="1"/>
        <v>Sun</v>
      </c>
      <c r="D24" s="14"/>
      <c r="E24" s="15"/>
      <c r="F24" s="16"/>
      <c r="G24" s="16"/>
      <c r="H24" s="16"/>
      <c r="I24" s="17"/>
      <c r="J24" s="18"/>
      <c r="K24" s="19">
        <f t="shared" si="0"/>
        <v>0</v>
      </c>
      <c r="L24" s="17"/>
      <c r="M24" s="20"/>
      <c r="N24" s="20">
        <f t="shared" si="2"/>
        <v>0</v>
      </c>
      <c r="O24" s="20"/>
      <c r="P24" s="15"/>
      <c r="Q24" s="17"/>
      <c r="R24" s="20"/>
      <c r="S24" s="20">
        <f t="shared" si="3"/>
        <v>0</v>
      </c>
      <c r="T24" s="20"/>
      <c r="U24" s="16">
        <f t="shared" si="4"/>
        <v>0</v>
      </c>
      <c r="X24" s="12" t="s">
        <v>202</v>
      </c>
      <c r="Y24" s="12" t="s">
        <v>203</v>
      </c>
      <c r="Z24" s="12" t="s">
        <v>204</v>
      </c>
      <c r="AA24" s="12" t="s">
        <v>205</v>
      </c>
      <c r="AB24" s="12" t="s">
        <v>206</v>
      </c>
      <c r="AD24" s="12" t="s">
        <v>207</v>
      </c>
      <c r="AF24" s="12" t="s">
        <v>208</v>
      </c>
      <c r="AG24" s="12" t="s">
        <v>209</v>
      </c>
      <c r="AJ24" s="21"/>
      <c r="AK24" s="21"/>
    </row>
    <row r="25" spans="2:37" x14ac:dyDescent="0.3">
      <c r="B25" s="13">
        <f t="shared" si="5"/>
        <v>46223</v>
      </c>
      <c r="C25" s="13" t="str">
        <f t="shared" si="1"/>
        <v>Mon</v>
      </c>
      <c r="D25" s="14"/>
      <c r="E25" s="15"/>
      <c r="F25" s="16"/>
      <c r="G25" s="16"/>
      <c r="H25" s="16"/>
      <c r="I25" s="17"/>
      <c r="J25" s="18"/>
      <c r="K25" s="19">
        <f t="shared" si="0"/>
        <v>0</v>
      </c>
      <c r="L25" s="17"/>
      <c r="M25" s="20"/>
      <c r="N25" s="20">
        <f t="shared" si="2"/>
        <v>0</v>
      </c>
      <c r="O25" s="20"/>
      <c r="P25" s="15"/>
      <c r="Q25" s="17"/>
      <c r="R25" s="20"/>
      <c r="S25" s="20">
        <f t="shared" si="3"/>
        <v>0</v>
      </c>
      <c r="T25" s="20"/>
      <c r="U25" s="16">
        <f t="shared" si="4"/>
        <v>0</v>
      </c>
      <c r="X25" s="12" t="s">
        <v>210</v>
      </c>
      <c r="Y25" s="12" t="s">
        <v>211</v>
      </c>
      <c r="Z25" s="12" t="s">
        <v>212</v>
      </c>
      <c r="AA25" s="12" t="s">
        <v>213</v>
      </c>
      <c r="AB25" s="12" t="s">
        <v>214</v>
      </c>
      <c r="AD25" s="12" t="s">
        <v>215</v>
      </c>
      <c r="AF25" s="12" t="s">
        <v>216</v>
      </c>
      <c r="AG25" s="12" t="s">
        <v>217</v>
      </c>
      <c r="AJ25" s="21"/>
      <c r="AK25" s="21"/>
    </row>
    <row r="26" spans="2:37" x14ac:dyDescent="0.3">
      <c r="B26" s="13">
        <f t="shared" si="5"/>
        <v>46224</v>
      </c>
      <c r="C26" s="13" t="str">
        <f t="shared" si="1"/>
        <v>Tue</v>
      </c>
      <c r="D26" s="14"/>
      <c r="E26" s="15"/>
      <c r="F26" s="16"/>
      <c r="G26" s="16"/>
      <c r="H26" s="16"/>
      <c r="I26" s="17"/>
      <c r="J26" s="18"/>
      <c r="K26" s="19">
        <f t="shared" si="0"/>
        <v>0</v>
      </c>
      <c r="L26" s="17"/>
      <c r="M26" s="20"/>
      <c r="N26" s="20">
        <f t="shared" si="2"/>
        <v>0</v>
      </c>
      <c r="O26" s="20"/>
      <c r="P26" s="15"/>
      <c r="Q26" s="17"/>
      <c r="R26" s="20"/>
      <c r="S26" s="20">
        <f t="shared" si="3"/>
        <v>0</v>
      </c>
      <c r="T26" s="20"/>
      <c r="U26" s="16">
        <f t="shared" si="4"/>
        <v>0</v>
      </c>
      <c r="X26" s="12" t="s">
        <v>218</v>
      </c>
      <c r="Y26" s="12" t="s">
        <v>219</v>
      </c>
      <c r="Z26" s="12" t="s">
        <v>220</v>
      </c>
      <c r="AA26" s="12" t="s">
        <v>221</v>
      </c>
      <c r="AB26" s="12" t="s">
        <v>222</v>
      </c>
      <c r="AD26" s="12" t="s">
        <v>223</v>
      </c>
      <c r="AF26" s="12" t="s">
        <v>224</v>
      </c>
      <c r="AG26" s="12" t="s">
        <v>225</v>
      </c>
    </row>
    <row r="27" spans="2:37" x14ac:dyDescent="0.3">
      <c r="B27" s="13">
        <f t="shared" si="5"/>
        <v>46225</v>
      </c>
      <c r="C27" s="13" t="str">
        <f t="shared" si="1"/>
        <v>Wed</v>
      </c>
      <c r="D27" s="14"/>
      <c r="E27" s="15"/>
      <c r="F27" s="16"/>
      <c r="G27" s="16"/>
      <c r="H27" s="16"/>
      <c r="I27" s="17"/>
      <c r="J27" s="18"/>
      <c r="K27" s="19">
        <f t="shared" si="0"/>
        <v>0</v>
      </c>
      <c r="L27" s="17"/>
      <c r="M27" s="20"/>
      <c r="N27" s="20">
        <f t="shared" si="2"/>
        <v>0</v>
      </c>
      <c r="O27" s="20"/>
      <c r="P27" s="15"/>
      <c r="Q27" s="17"/>
      <c r="R27" s="20"/>
      <c r="S27" s="20">
        <f t="shared" si="3"/>
        <v>0</v>
      </c>
      <c r="T27" s="20"/>
      <c r="U27" s="16">
        <f t="shared" si="4"/>
        <v>0</v>
      </c>
      <c r="X27" s="12" t="s">
        <v>226</v>
      </c>
      <c r="Y27" s="12" t="s">
        <v>227</v>
      </c>
      <c r="Z27" s="12" t="s">
        <v>228</v>
      </c>
      <c r="AA27" s="12" t="s">
        <v>229</v>
      </c>
      <c r="AB27" s="12" t="s">
        <v>230</v>
      </c>
      <c r="AD27" s="12" t="s">
        <v>231</v>
      </c>
      <c r="AF27" s="12" t="s">
        <v>232</v>
      </c>
      <c r="AG27" s="12" t="s">
        <v>233</v>
      </c>
    </row>
    <row r="28" spans="2:37" x14ac:dyDescent="0.3">
      <c r="B28" s="13">
        <f t="shared" si="5"/>
        <v>46226</v>
      </c>
      <c r="C28" s="13" t="str">
        <f t="shared" si="1"/>
        <v>Thu</v>
      </c>
      <c r="D28" s="14"/>
      <c r="E28" s="15"/>
      <c r="F28" s="16"/>
      <c r="G28" s="16"/>
      <c r="H28" s="16"/>
      <c r="I28" s="17"/>
      <c r="J28" s="18"/>
      <c r="K28" s="19">
        <f t="shared" si="0"/>
        <v>0</v>
      </c>
      <c r="L28" s="17"/>
      <c r="M28" s="20"/>
      <c r="N28" s="20">
        <f t="shared" si="2"/>
        <v>0</v>
      </c>
      <c r="O28" s="20"/>
      <c r="P28" s="15"/>
      <c r="Q28" s="17"/>
      <c r="R28" s="20"/>
      <c r="S28" s="20">
        <f t="shared" si="3"/>
        <v>0</v>
      </c>
      <c r="T28" s="20"/>
      <c r="U28" s="16">
        <f t="shared" si="4"/>
        <v>0</v>
      </c>
      <c r="X28" s="12" t="s">
        <v>234</v>
      </c>
      <c r="Y28" s="12" t="s">
        <v>235</v>
      </c>
      <c r="Z28" s="12" t="s">
        <v>236</v>
      </c>
      <c r="AA28" s="12" t="s">
        <v>237</v>
      </c>
      <c r="AB28" s="12" t="s">
        <v>238</v>
      </c>
      <c r="AD28" s="12" t="s">
        <v>239</v>
      </c>
      <c r="AF28" s="12" t="s">
        <v>240</v>
      </c>
      <c r="AG28" s="12" t="s">
        <v>241</v>
      </c>
    </row>
    <row r="29" spans="2:37" x14ac:dyDescent="0.3">
      <c r="B29" s="13">
        <f t="shared" si="5"/>
        <v>46227</v>
      </c>
      <c r="C29" s="13" t="str">
        <f t="shared" si="1"/>
        <v>Fri</v>
      </c>
      <c r="D29" s="14"/>
      <c r="E29" s="15"/>
      <c r="F29" s="16"/>
      <c r="G29" s="16"/>
      <c r="H29" s="16"/>
      <c r="I29" s="17"/>
      <c r="J29" s="18"/>
      <c r="K29" s="19">
        <f t="shared" si="0"/>
        <v>0</v>
      </c>
      <c r="L29" s="17"/>
      <c r="M29" s="20"/>
      <c r="N29" s="20">
        <f t="shared" si="2"/>
        <v>0</v>
      </c>
      <c r="O29" s="20"/>
      <c r="P29" s="15"/>
      <c r="Q29" s="17"/>
      <c r="R29" s="20"/>
      <c r="S29" s="20">
        <f t="shared" si="3"/>
        <v>0</v>
      </c>
      <c r="T29" s="20"/>
      <c r="U29" s="16">
        <f t="shared" si="4"/>
        <v>0</v>
      </c>
      <c r="X29" s="12" t="s">
        <v>242</v>
      </c>
      <c r="Y29" s="12" t="s">
        <v>243</v>
      </c>
      <c r="Z29" s="12" t="s">
        <v>244</v>
      </c>
      <c r="AA29" s="12" t="s">
        <v>245</v>
      </c>
      <c r="AB29" s="12" t="s">
        <v>246</v>
      </c>
      <c r="AD29" s="12" t="s">
        <v>247</v>
      </c>
      <c r="AF29" s="12" t="s">
        <v>248</v>
      </c>
      <c r="AG29" s="12" t="s">
        <v>249</v>
      </c>
    </row>
    <row r="30" spans="2:37" x14ac:dyDescent="0.3">
      <c r="B30" s="13">
        <f t="shared" si="5"/>
        <v>46228</v>
      </c>
      <c r="C30" s="13" t="str">
        <f t="shared" si="1"/>
        <v>Sat</v>
      </c>
      <c r="D30" s="14"/>
      <c r="E30" s="15"/>
      <c r="F30" s="16"/>
      <c r="G30" s="16"/>
      <c r="H30" s="16"/>
      <c r="I30" s="17"/>
      <c r="J30" s="18"/>
      <c r="K30" s="19">
        <f t="shared" si="0"/>
        <v>0</v>
      </c>
      <c r="L30" s="17"/>
      <c r="M30" s="20"/>
      <c r="N30" s="20">
        <f t="shared" si="2"/>
        <v>0</v>
      </c>
      <c r="O30" s="20"/>
      <c r="P30" s="15"/>
      <c r="Q30" s="17"/>
      <c r="R30" s="20"/>
      <c r="S30" s="20">
        <f t="shared" si="3"/>
        <v>0</v>
      </c>
      <c r="T30" s="20"/>
      <c r="U30" s="16">
        <f t="shared" si="4"/>
        <v>0</v>
      </c>
      <c r="X30" s="12" t="s">
        <v>250</v>
      </c>
      <c r="Y30" s="12" t="s">
        <v>251</v>
      </c>
      <c r="Z30" s="12" t="s">
        <v>252</v>
      </c>
      <c r="AA30" s="12" t="s">
        <v>253</v>
      </c>
      <c r="AB30" s="12" t="s">
        <v>254</v>
      </c>
      <c r="AD30" s="12" t="s">
        <v>255</v>
      </c>
      <c r="AF30" s="12" t="s">
        <v>256</v>
      </c>
      <c r="AG30" s="12" t="s">
        <v>257</v>
      </c>
    </row>
    <row r="31" spans="2:37" x14ac:dyDescent="0.3">
      <c r="B31" s="13">
        <f t="shared" si="5"/>
        <v>46229</v>
      </c>
      <c r="C31" s="13" t="str">
        <f t="shared" si="1"/>
        <v>Sun</v>
      </c>
      <c r="D31" s="14"/>
      <c r="E31" s="15"/>
      <c r="F31" s="16"/>
      <c r="G31" s="16"/>
      <c r="H31" s="16"/>
      <c r="I31" s="17"/>
      <c r="J31" s="18"/>
      <c r="K31" s="19">
        <f t="shared" si="0"/>
        <v>0</v>
      </c>
      <c r="L31" s="17"/>
      <c r="M31" s="20"/>
      <c r="N31" s="20">
        <f t="shared" si="2"/>
        <v>0</v>
      </c>
      <c r="O31" s="20"/>
      <c r="P31" s="15"/>
      <c r="Q31" s="17"/>
      <c r="R31" s="20"/>
      <c r="S31" s="20">
        <f t="shared" si="3"/>
        <v>0</v>
      </c>
      <c r="T31" s="20"/>
      <c r="U31" s="16">
        <f t="shared" si="4"/>
        <v>0</v>
      </c>
      <c r="X31" s="12" t="s">
        <v>258</v>
      </c>
      <c r="Y31" s="12" t="s">
        <v>259</v>
      </c>
      <c r="Z31" s="12" t="s">
        <v>260</v>
      </c>
      <c r="AA31" s="12" t="s">
        <v>261</v>
      </c>
      <c r="AB31" s="12" t="s">
        <v>262</v>
      </c>
      <c r="AD31" s="12" t="s">
        <v>263</v>
      </c>
      <c r="AF31" s="12" t="s">
        <v>264</v>
      </c>
      <c r="AG31" s="12" t="s">
        <v>265</v>
      </c>
    </row>
    <row r="32" spans="2:37" x14ac:dyDescent="0.3">
      <c r="B32" s="13">
        <f t="shared" si="5"/>
        <v>46230</v>
      </c>
      <c r="C32" s="13" t="str">
        <f t="shared" si="1"/>
        <v>Mon</v>
      </c>
      <c r="D32" s="14"/>
      <c r="E32" s="15"/>
      <c r="F32" s="16"/>
      <c r="G32" s="16"/>
      <c r="H32" s="16"/>
      <c r="I32" s="17"/>
      <c r="J32" s="18"/>
      <c r="K32" s="19">
        <f t="shared" si="0"/>
        <v>0</v>
      </c>
      <c r="L32" s="17"/>
      <c r="M32" s="20"/>
      <c r="N32" s="20">
        <f t="shared" si="2"/>
        <v>0</v>
      </c>
      <c r="O32" s="20"/>
      <c r="P32" s="15"/>
      <c r="Q32" s="17"/>
      <c r="R32" s="20"/>
      <c r="S32" s="20">
        <f t="shared" si="3"/>
        <v>0</v>
      </c>
      <c r="T32" s="20"/>
      <c r="U32" s="16">
        <f t="shared" si="4"/>
        <v>0</v>
      </c>
      <c r="X32" s="12" t="s">
        <v>266</v>
      </c>
      <c r="Y32" s="12" t="s">
        <v>267</v>
      </c>
      <c r="Z32" s="12" t="s">
        <v>268</v>
      </c>
      <c r="AA32" s="12" t="s">
        <v>269</v>
      </c>
      <c r="AB32" s="12" t="s">
        <v>270</v>
      </c>
      <c r="AD32" s="12" t="s">
        <v>271</v>
      </c>
      <c r="AF32" s="12" t="s">
        <v>272</v>
      </c>
      <c r="AG32" s="12" t="s">
        <v>273</v>
      </c>
    </row>
    <row r="33" spans="2:33" x14ac:dyDescent="0.3">
      <c r="B33" s="13">
        <f t="shared" si="5"/>
        <v>46231</v>
      </c>
      <c r="C33" s="13" t="str">
        <f t="shared" si="1"/>
        <v>Tue</v>
      </c>
      <c r="D33" s="14"/>
      <c r="E33" s="15"/>
      <c r="F33" s="16"/>
      <c r="G33" s="16"/>
      <c r="H33" s="16"/>
      <c r="I33" s="17"/>
      <c r="J33" s="18"/>
      <c r="K33" s="19">
        <f t="shared" si="0"/>
        <v>0</v>
      </c>
      <c r="L33" s="17"/>
      <c r="M33" s="20"/>
      <c r="N33" s="20">
        <f t="shared" si="2"/>
        <v>0</v>
      </c>
      <c r="O33" s="20"/>
      <c r="P33" s="15"/>
      <c r="Q33" s="17"/>
      <c r="R33" s="20"/>
      <c r="S33" s="20">
        <f t="shared" si="3"/>
        <v>0</v>
      </c>
      <c r="T33" s="20"/>
      <c r="U33" s="16">
        <f t="shared" si="4"/>
        <v>0</v>
      </c>
      <c r="X33" s="12" t="s">
        <v>274</v>
      </c>
      <c r="Y33" s="12" t="s">
        <v>275</v>
      </c>
      <c r="Z33" s="12" t="s">
        <v>276</v>
      </c>
      <c r="AA33" s="12" t="s">
        <v>277</v>
      </c>
      <c r="AB33" s="12" t="s">
        <v>278</v>
      </c>
      <c r="AD33" s="12" t="s">
        <v>279</v>
      </c>
      <c r="AF33" s="12" t="s">
        <v>280</v>
      </c>
      <c r="AG33" s="12" t="s">
        <v>281</v>
      </c>
    </row>
    <row r="34" spans="2:33" x14ac:dyDescent="0.3">
      <c r="B34" s="13">
        <f t="shared" si="5"/>
        <v>46232</v>
      </c>
      <c r="C34" s="13" t="str">
        <f t="shared" si="1"/>
        <v>Wed</v>
      </c>
      <c r="D34" s="14"/>
      <c r="E34" s="15"/>
      <c r="F34" s="16"/>
      <c r="G34" s="16"/>
      <c r="H34" s="16"/>
      <c r="I34" s="17"/>
      <c r="J34" s="18"/>
      <c r="K34" s="19">
        <f t="shared" si="0"/>
        <v>0</v>
      </c>
      <c r="L34" s="17"/>
      <c r="M34" s="20"/>
      <c r="N34" s="20">
        <f t="shared" si="2"/>
        <v>0</v>
      </c>
      <c r="O34" s="20"/>
      <c r="P34" s="15"/>
      <c r="Q34" s="17"/>
      <c r="R34" s="20"/>
      <c r="S34" s="20">
        <f t="shared" si="3"/>
        <v>0</v>
      </c>
      <c r="T34" s="20"/>
      <c r="U34" s="16">
        <f t="shared" si="4"/>
        <v>0</v>
      </c>
      <c r="X34" s="12" t="s">
        <v>282</v>
      </c>
      <c r="Y34" s="12" t="s">
        <v>283</v>
      </c>
      <c r="Z34" s="12" t="s">
        <v>284</v>
      </c>
      <c r="AA34" s="12" t="s">
        <v>285</v>
      </c>
      <c r="AB34" s="12" t="s">
        <v>286</v>
      </c>
      <c r="AD34" s="12" t="s">
        <v>287</v>
      </c>
      <c r="AF34" s="12" t="s">
        <v>288</v>
      </c>
      <c r="AG34" s="12" t="s">
        <v>289</v>
      </c>
    </row>
    <row r="35" spans="2:33" x14ac:dyDescent="0.3">
      <c r="B35" s="13">
        <f t="shared" si="5"/>
        <v>46233</v>
      </c>
      <c r="C35" s="13" t="str">
        <f t="shared" si="1"/>
        <v>Thu</v>
      </c>
      <c r="D35" s="14"/>
      <c r="E35" s="15"/>
      <c r="F35" s="16"/>
      <c r="G35" s="16"/>
      <c r="H35" s="16"/>
      <c r="I35" s="17"/>
      <c r="J35" s="18"/>
      <c r="K35" s="19">
        <f t="shared" si="0"/>
        <v>0</v>
      </c>
      <c r="L35" s="17"/>
      <c r="M35" s="20"/>
      <c r="N35" s="20">
        <f t="shared" si="2"/>
        <v>0</v>
      </c>
      <c r="O35" s="20"/>
      <c r="P35" s="15"/>
      <c r="Q35" s="17"/>
      <c r="R35" s="20"/>
      <c r="S35" s="20">
        <f t="shared" si="3"/>
        <v>0</v>
      </c>
      <c r="T35" s="20"/>
      <c r="U35" s="16">
        <f t="shared" si="4"/>
        <v>0</v>
      </c>
      <c r="X35" s="12" t="s">
        <v>290</v>
      </c>
      <c r="Y35" s="12" t="s">
        <v>291</v>
      </c>
      <c r="Z35" s="12" t="s">
        <v>292</v>
      </c>
      <c r="AA35" s="12" t="s">
        <v>293</v>
      </c>
      <c r="AB35" s="12" t="s">
        <v>294</v>
      </c>
      <c r="AD35" s="12" t="s">
        <v>295</v>
      </c>
      <c r="AF35" s="12" t="s">
        <v>296</v>
      </c>
      <c r="AG35" s="12" t="s">
        <v>297</v>
      </c>
    </row>
    <row r="36" spans="2:33" x14ac:dyDescent="0.3">
      <c r="B36" s="13">
        <f t="shared" si="5"/>
        <v>46234</v>
      </c>
      <c r="C36" s="13" t="str">
        <f t="shared" si="1"/>
        <v>Fri</v>
      </c>
      <c r="D36" s="14"/>
      <c r="E36" s="15"/>
      <c r="F36" s="16"/>
      <c r="G36" s="16"/>
      <c r="H36" s="16"/>
      <c r="I36" s="17"/>
      <c r="J36" s="18"/>
      <c r="K36" s="19">
        <f t="shared" si="0"/>
        <v>0</v>
      </c>
      <c r="L36" s="17"/>
      <c r="M36" s="20"/>
      <c r="N36" s="20">
        <f t="shared" si="2"/>
        <v>0</v>
      </c>
      <c r="O36" s="20"/>
      <c r="P36" s="15"/>
      <c r="Q36" s="17"/>
      <c r="R36" s="20"/>
      <c r="S36" s="20">
        <f t="shared" si="3"/>
        <v>0</v>
      </c>
      <c r="T36" s="20"/>
      <c r="U36" s="16">
        <f t="shared" si="4"/>
        <v>0</v>
      </c>
      <c r="X36" s="12" t="s">
        <v>298</v>
      </c>
      <c r="Y36" s="12" t="s">
        <v>299</v>
      </c>
      <c r="Z36" s="12" t="s">
        <v>300</v>
      </c>
      <c r="AA36" s="12" t="s">
        <v>301</v>
      </c>
      <c r="AB36" s="12" t="s">
        <v>302</v>
      </c>
      <c r="AD36" s="12" t="s">
        <v>303</v>
      </c>
      <c r="AF36" s="12" t="s">
        <v>304</v>
      </c>
      <c r="AG36" s="12" t="s">
        <v>305</v>
      </c>
    </row>
    <row r="37" spans="2:33" x14ac:dyDescent="0.3">
      <c r="B37" s="22"/>
      <c r="C37" s="22"/>
      <c r="D37" s="22"/>
      <c r="E37" s="23">
        <f>SUM(E6:E36)</f>
        <v>8011500</v>
      </c>
      <c r="F37" s="23">
        <f>SUM(F6:F36)</f>
        <v>13670000</v>
      </c>
      <c r="G37" s="23">
        <f>SUM(G6:G36)</f>
        <v>0</v>
      </c>
      <c r="H37" s="23">
        <f>SUM(H6:H36)</f>
        <v>0</v>
      </c>
      <c r="I37" s="23">
        <f>SUM(I6:I36)</f>
        <v>226595</v>
      </c>
      <c r="J37" s="22"/>
      <c r="K37" s="23">
        <f>SUM(K6:K36)</f>
        <v>21908095</v>
      </c>
      <c r="L37" s="23">
        <f>SUM(L6:L36)</f>
        <v>14461728.32</v>
      </c>
      <c r="M37" s="22"/>
      <c r="N37" s="23">
        <f>SUM(N6:N36)</f>
        <v>7446366.6799999997</v>
      </c>
      <c r="O37" s="22"/>
      <c r="P37" s="23">
        <f>SUM(P6:P36)</f>
        <v>30079316.43</v>
      </c>
      <c r="Q37" s="23">
        <f>SUM(Q6:Q36)</f>
        <v>30065741.390000001</v>
      </c>
      <c r="R37" s="23"/>
      <c r="S37" s="23">
        <f>SUM(S6:S36)</f>
        <v>13575.040000000969</v>
      </c>
      <c r="T37" s="22"/>
      <c r="U37" s="23">
        <f>SUM(U6:U36)</f>
        <v>51973836.390000001</v>
      </c>
    </row>
  </sheetData>
  <mergeCells count="2">
    <mergeCell ref="E3:L3"/>
    <mergeCell ref="P3:Q3"/>
  </mergeCells>
  <pageMargins left="0.7" right="0.7" top="0.75" bottom="0.75" header="0.3" footer="0.3"/>
  <pageSetup scale="51" orientation="landscape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FF0000"/>
  </sheetPr>
  <dimension ref="A1:AM35"/>
  <sheetViews>
    <sheetView showGridLines="0" zoomScale="78" zoomScaleNormal="78" workbookViewId="0">
      <pane xSplit="1" topLeftCell="Z1" activePane="topRight" state="frozen"/>
      <selection pane="topRight" activeCell="AK7" sqref="AK7"/>
    </sheetView>
  </sheetViews>
  <sheetFormatPr defaultRowHeight="15" x14ac:dyDescent="0.25"/>
  <cols>
    <col min="1" max="1" width="11.85546875" customWidth="1"/>
    <col min="2" max="2" width="20.5703125" customWidth="1"/>
    <col min="6" max="6" width="14.42578125" bestFit="1" customWidth="1"/>
    <col min="10" max="10" width="14.42578125" bestFit="1" customWidth="1"/>
    <col min="14" max="14" width="14.42578125" bestFit="1" customWidth="1"/>
    <col min="18" max="18" width="14.42578125" bestFit="1" customWidth="1"/>
    <col min="30" max="31" width="18" customWidth="1"/>
    <col min="32" max="32" width="20" customWidth="1"/>
    <col min="33" max="33" width="14" customWidth="1"/>
    <col min="35" max="35" width="18" customWidth="1"/>
    <col min="36" max="36" width="22" customWidth="1"/>
    <col min="37" max="37" width="16" customWidth="1"/>
    <col min="38" max="38" width="14" customWidth="1"/>
  </cols>
  <sheetData>
    <row r="1" spans="1:39" ht="43.5" customHeight="1" x14ac:dyDescent="0.25">
      <c r="A1" s="48" t="s">
        <v>306</v>
      </c>
      <c r="B1" s="48"/>
    </row>
    <row r="2" spans="1:39" ht="13.5" customHeight="1" x14ac:dyDescent="0.25">
      <c r="A2" s="30">
        <v>46204</v>
      </c>
    </row>
    <row r="3" spans="1:39" ht="24" customHeight="1" x14ac:dyDescent="0.25">
      <c r="A3" s="49" t="s">
        <v>0</v>
      </c>
      <c r="B3" s="49"/>
      <c r="C3" s="49" t="s">
        <v>93</v>
      </c>
      <c r="D3" s="50"/>
      <c r="E3" s="50"/>
      <c r="F3" s="50"/>
      <c r="G3" s="49" t="s">
        <v>94</v>
      </c>
      <c r="H3" s="50"/>
      <c r="I3" s="50"/>
      <c r="J3" s="50"/>
      <c r="K3" s="49" t="s">
        <v>95</v>
      </c>
      <c r="L3" s="50"/>
      <c r="M3" s="50"/>
      <c r="N3" s="50"/>
      <c r="O3" s="49" t="s">
        <v>96</v>
      </c>
      <c r="P3" s="50"/>
      <c r="Q3" s="50"/>
      <c r="R3" s="50"/>
      <c r="S3" s="45" t="s">
        <v>1</v>
      </c>
      <c r="T3" s="46"/>
      <c r="U3" s="46"/>
      <c r="V3" s="46"/>
      <c r="W3" s="46"/>
      <c r="X3" s="46"/>
      <c r="Y3" s="46"/>
      <c r="Z3" s="46"/>
      <c r="AA3" s="46"/>
      <c r="AB3" s="46"/>
      <c r="AC3" s="46"/>
      <c r="AD3" s="47" t="s">
        <v>97</v>
      </c>
      <c r="AE3" s="46"/>
      <c r="AF3" s="46"/>
      <c r="AG3" s="46"/>
      <c r="AH3" s="47" t="s">
        <v>98</v>
      </c>
      <c r="AI3" s="46"/>
      <c r="AJ3" s="46"/>
      <c r="AK3" s="46"/>
      <c r="AL3" s="46"/>
      <c r="AM3" s="46"/>
    </row>
    <row r="4" spans="1:39" ht="27.95" customHeight="1" x14ac:dyDescent="0.25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92</v>
      </c>
      <c r="G4" s="1" t="s">
        <v>5</v>
      </c>
      <c r="H4" s="1" t="s">
        <v>6</v>
      </c>
      <c r="I4" s="1" t="s">
        <v>7</v>
      </c>
      <c r="J4" s="1" t="s">
        <v>92</v>
      </c>
      <c r="K4" s="1" t="s">
        <v>5</v>
      </c>
      <c r="L4" s="1" t="s">
        <v>6</v>
      </c>
      <c r="M4" s="1" t="s">
        <v>7</v>
      </c>
      <c r="N4" s="1" t="s">
        <v>92</v>
      </c>
      <c r="O4" s="1" t="s">
        <v>5</v>
      </c>
      <c r="P4" s="1" t="s">
        <v>6</v>
      </c>
      <c r="Q4" s="1" t="s">
        <v>7</v>
      </c>
      <c r="R4" s="1" t="s">
        <v>92</v>
      </c>
      <c r="S4" s="1" t="s">
        <v>5</v>
      </c>
      <c r="T4" s="1" t="s">
        <v>6</v>
      </c>
      <c r="U4" s="1" t="s">
        <v>7</v>
      </c>
      <c r="V4" s="1" t="s">
        <v>8</v>
      </c>
      <c r="W4" s="1" t="s">
        <v>9</v>
      </c>
      <c r="X4" s="1" t="s">
        <v>10</v>
      </c>
      <c r="Y4" s="1" t="s">
        <v>11</v>
      </c>
      <c r="Z4" s="1" t="s">
        <v>12</v>
      </c>
      <c r="AA4" s="1" t="s">
        <v>13</v>
      </c>
      <c r="AB4" s="1" t="s">
        <v>14</v>
      </c>
      <c r="AC4" s="1" t="s">
        <v>15</v>
      </c>
      <c r="AD4" s="1" t="s">
        <v>16</v>
      </c>
      <c r="AE4" s="1" t="s">
        <v>17</v>
      </c>
      <c r="AF4" s="1" t="s">
        <v>18</v>
      </c>
      <c r="AG4" s="1" t="s">
        <v>19</v>
      </c>
      <c r="AH4" s="1" t="s">
        <v>20</v>
      </c>
      <c r="AI4" s="4" t="s">
        <v>99</v>
      </c>
      <c r="AJ4" s="1" t="s">
        <v>21</v>
      </c>
      <c r="AK4" s="1" t="s">
        <v>22</v>
      </c>
      <c r="AL4" s="1" t="s">
        <v>23</v>
      </c>
      <c r="AM4" s="4" t="s">
        <v>100</v>
      </c>
    </row>
    <row r="5" spans="1:39" ht="12.75" customHeight="1" x14ac:dyDescent="0.25">
      <c r="A5" s="31">
        <v>68107</v>
      </c>
      <c r="B5" s="32" t="str">
        <f>IF(A5="","",VLOOKUP(A5,'Employee Database'!A:B,2,FALSE))</f>
        <v>M Harris</v>
      </c>
      <c r="C5" s="31">
        <v>22</v>
      </c>
      <c r="D5" s="31">
        <v>96</v>
      </c>
      <c r="E5" s="31">
        <v>3</v>
      </c>
      <c r="F5" s="39">
        <f>IF(COUNT(C5:E5)=0,0,SUMPRODUCT({5000,1000,500},C5:E5))</f>
        <v>207500</v>
      </c>
      <c r="G5" s="31"/>
      <c r="H5" s="31"/>
      <c r="I5" s="31"/>
      <c r="J5" s="39">
        <f>IF(COUNT(G5:I5)=0,0,SUMPRODUCT({5000,1000,500},G5:I5))</f>
        <v>0</v>
      </c>
      <c r="K5" s="31"/>
      <c r="L5" s="31"/>
      <c r="M5" s="31"/>
      <c r="N5" s="39">
        <f>IF(COUNT(K5:M5)=0,0,SUMPRODUCT({5000,1000,500},K5:M5))</f>
        <v>0</v>
      </c>
      <c r="O5" s="31"/>
      <c r="P5" s="31"/>
      <c r="Q5" s="31"/>
      <c r="R5" s="39">
        <f>IF(COUNT(O5:Q5)=0,0,SUMPRODUCT({5000,1000,500},O5:Q5))</f>
        <v>0</v>
      </c>
      <c r="S5" s="31"/>
      <c r="T5" s="31"/>
      <c r="U5" s="31"/>
      <c r="V5" s="31">
        <v>1</v>
      </c>
      <c r="W5" s="31"/>
      <c r="X5" s="31">
        <v>49</v>
      </c>
      <c r="Y5" s="31"/>
      <c r="Z5" s="31">
        <v>78</v>
      </c>
      <c r="AA5" s="31"/>
      <c r="AB5" s="31">
        <v>2</v>
      </c>
      <c r="AC5" s="31">
        <v>1</v>
      </c>
      <c r="AD5" s="34">
        <f>IF(COUNT(S5:AC5)=0,0,SUMPRODUCT({5000,1000,500,100,75,50,20,10,5,2,1}, S5:AC5))</f>
        <v>3335</v>
      </c>
      <c r="AE5" s="33">
        <v>210846</v>
      </c>
      <c r="AF5" s="24">
        <f>IF(AND(COUNT(C5:E5)=0,COUNT(G5:I5)=0,COUNT(K5:M5)=0,COUNT(O5:Q5)=0,COUNT(S5:AC5)=0,AE5=""),"",(IF(COUNT(C5:E5)=0,0,SUMPRODUCT({5000,1000,500},C5:E5))+IF(COUNT(G5:I5)=0,0,SUMPRODUCT({5000,1000,500},G5:I5))+IF(COUNT(K5:M5)=0,0,SUMPRODUCT({5000,1000,500},K5:M5))+IF(COUNT(O5:Q5)=0,0,SUMPRODUCT({5000,1000,500},O5:Q5))+AD5)-N(AE5))</f>
        <v>-11</v>
      </c>
      <c r="AG5" s="35" t="str">
        <f t="shared" ref="AG5:AG34" si="0">IF(AF5="","",IF(AF5&gt;0,"Excess",IF(AF5&lt;0,"Short","Balanced")))</f>
        <v>Short</v>
      </c>
      <c r="AH5" s="38"/>
      <c r="AI5" s="36">
        <v>454245</v>
      </c>
      <c r="AJ5" s="37">
        <f>59833+394411+1</f>
        <v>454245</v>
      </c>
      <c r="AK5" s="26">
        <f t="shared" ref="AK5:AK18" si="1">IF(AND(AI5="",AJ5=""),"",N(AI5)-N(AJ5))</f>
        <v>0</v>
      </c>
      <c r="AL5" s="25" t="str">
        <f>IF(AK5="","",IF(AK5&gt;0,"Bank Short",IF(AK5&lt;0,"Bank Excess","Matched")))</f>
        <v>Matched</v>
      </c>
      <c r="AM5" s="38"/>
    </row>
    <row r="6" spans="1:39" ht="12.75" customHeight="1" x14ac:dyDescent="0.25">
      <c r="A6" s="31">
        <v>67249</v>
      </c>
      <c r="B6" s="32" t="str">
        <f>IF(A6="","",VLOOKUP(A6,'Employee Database'!A:B,2,FALSE))</f>
        <v>Hanan Javaid</v>
      </c>
      <c r="C6" s="31">
        <v>2</v>
      </c>
      <c r="D6" s="31">
        <v>32</v>
      </c>
      <c r="E6" s="31">
        <v>5</v>
      </c>
      <c r="F6" s="39">
        <f>IF(COUNT(C6:E6)=0,0,SUMPRODUCT({5000,1000,500},C6:E6))</f>
        <v>44500</v>
      </c>
      <c r="G6" s="31"/>
      <c r="H6" s="31"/>
      <c r="I6" s="31"/>
      <c r="J6" s="39">
        <f>IF(COUNT(G6:I6)=0,0,SUMPRODUCT({5000,1000,500},G6:I6))</f>
        <v>0</v>
      </c>
      <c r="K6" s="31"/>
      <c r="L6" s="31"/>
      <c r="M6" s="31"/>
      <c r="N6" s="39">
        <f>IF(COUNT(K6:M6)=0,0,SUMPRODUCT({5000,1000,500},K6:M6))</f>
        <v>0</v>
      </c>
      <c r="O6" s="31"/>
      <c r="P6" s="31"/>
      <c r="Q6" s="31"/>
      <c r="R6" s="39">
        <f>IF(COUNT(O6:Q6)=0,0,SUMPRODUCT({5000,1000,500},O6:Q6))</f>
        <v>0</v>
      </c>
      <c r="S6" s="31"/>
      <c r="T6" s="31"/>
      <c r="U6" s="31"/>
      <c r="V6" s="31">
        <v>6</v>
      </c>
      <c r="W6" s="31"/>
      <c r="X6" s="31">
        <v>111</v>
      </c>
      <c r="Y6" s="31"/>
      <c r="Z6" s="31">
        <v>97</v>
      </c>
      <c r="AA6" s="31"/>
      <c r="AB6" s="31"/>
      <c r="AC6" s="31"/>
      <c r="AD6" s="34">
        <f>IF(COUNT(S6:AC6)=0,0,SUMPRODUCT({5000,1000,500,100,75,50,20,10,5,2,1}, S6:AC6))</f>
        <v>7120</v>
      </c>
      <c r="AE6" s="33">
        <v>51641</v>
      </c>
      <c r="AF6" s="24">
        <f>IF(AND(COUNT(C6:E6)=0,COUNT(G6:I6)=0,COUNT(K6:M6)=0,COUNT(O6:Q6)=0,COUNT(S6:AC6)=0,AE6=""),"",(IF(COUNT(C6:E6)=0,0,SUMPRODUCT({5000,1000,500},C6:E6))+IF(COUNT(G6:I6)=0,0,SUMPRODUCT({5000,1000,500},G6:I6))+IF(COUNT(K6:M6)=0,0,SUMPRODUCT({5000,1000,500},K6:M6))+IF(COUNT(O6:Q6)=0,0,SUMPRODUCT({5000,1000,500},O6:Q6))+AD6)-N(AE6))</f>
        <v>-21</v>
      </c>
      <c r="AG6" s="35" t="str">
        <f t="shared" si="0"/>
        <v>Short</v>
      </c>
      <c r="AH6" s="38"/>
      <c r="AI6" s="36">
        <v>24756</v>
      </c>
      <c r="AJ6" s="37">
        <f>13330+11426</f>
        <v>24756</v>
      </c>
      <c r="AK6" s="26">
        <f t="shared" si="1"/>
        <v>0</v>
      </c>
      <c r="AL6" s="25" t="str">
        <f t="shared" ref="AL6:AL18" si="2">IF(AK6="","",IF(AK6&gt;0,"POS Excess",IF(AK6&lt;0,"Bank Short","Matched")))</f>
        <v>Matched</v>
      </c>
      <c r="AM6" s="38"/>
    </row>
    <row r="7" spans="1:39" ht="12.75" customHeight="1" x14ac:dyDescent="0.25">
      <c r="A7" s="31">
        <v>72873</v>
      </c>
      <c r="B7" s="32" t="str">
        <f>IF(A7="","",VLOOKUP(A7,'Employee Database'!A:B,2,FALSE))</f>
        <v>M Shajee</v>
      </c>
      <c r="C7" s="31">
        <v>62</v>
      </c>
      <c r="D7" s="31">
        <v>191</v>
      </c>
      <c r="E7" s="31">
        <v>10</v>
      </c>
      <c r="F7" s="39">
        <f>IF(COUNT(C7:E7)=0,0,SUMPRODUCT({5000,1000,500},C7:E7))</f>
        <v>506000</v>
      </c>
      <c r="G7" s="31"/>
      <c r="H7" s="31"/>
      <c r="I7" s="31"/>
      <c r="J7" s="39">
        <f>IF(COUNT(G7:I7)=0,0,SUMPRODUCT({5000,1000,500},G7:I7))</f>
        <v>0</v>
      </c>
      <c r="K7" s="31"/>
      <c r="L7" s="31"/>
      <c r="M7" s="31"/>
      <c r="N7" s="39">
        <f>IF(COUNT(K7:M7)=0,0,SUMPRODUCT({5000,1000,500},K7:M7))</f>
        <v>0</v>
      </c>
      <c r="O7" s="31"/>
      <c r="P7" s="31"/>
      <c r="Q7" s="31"/>
      <c r="R7" s="39">
        <f>IF(COUNT(O7:Q7)=0,0,SUMPRODUCT({5000,1000,500},O7:Q7))</f>
        <v>0</v>
      </c>
      <c r="S7" s="31"/>
      <c r="T7" s="31"/>
      <c r="U7" s="31"/>
      <c r="V7" s="31"/>
      <c r="W7" s="31"/>
      <c r="X7" s="31">
        <v>7</v>
      </c>
      <c r="Y7" s="31"/>
      <c r="Z7" s="31">
        <v>22</v>
      </c>
      <c r="AA7" s="31"/>
      <c r="AB7" s="31"/>
      <c r="AC7" s="31"/>
      <c r="AD7" s="34">
        <f>IF(COUNT(S7:AC7)=0,0,SUMPRODUCT({5000,1000,500,100,75,50,20,10,5,2,1}, S7:AC7))</f>
        <v>570</v>
      </c>
      <c r="AE7" s="33">
        <v>505522</v>
      </c>
      <c r="AF7" s="24">
        <f>IF(AND(COUNT(C7:E7)=0,COUNT(G7:I7)=0,COUNT(K7:M7)=0,COUNT(O7:Q7)=0,COUNT(S7:AC7)=0,AE7=""),"",(IF(COUNT(C7:E7)=0,0,SUMPRODUCT({5000,1000,500},C7:E7))+IF(COUNT(G7:I7)=0,0,SUMPRODUCT({5000,1000,500},G7:I7))+IF(COUNT(K7:M7)=0,0,SUMPRODUCT({5000,1000,500},K7:M7))+IF(COUNT(O7:Q7)=0,0,SUMPRODUCT({5000,1000,500},O7:Q7))+AD7)-N(AE7))</f>
        <v>1048</v>
      </c>
      <c r="AG7" s="35" t="str">
        <f t="shared" si="0"/>
        <v>Excess</v>
      </c>
      <c r="AH7" s="38"/>
      <c r="AI7" s="36">
        <v>803582</v>
      </c>
      <c r="AJ7" s="37">
        <f>472623+330959</f>
        <v>803582</v>
      </c>
      <c r="AK7" s="26">
        <f t="shared" si="1"/>
        <v>0</v>
      </c>
      <c r="AL7" s="25" t="str">
        <f t="shared" si="2"/>
        <v>Matched</v>
      </c>
      <c r="AM7" s="38"/>
    </row>
    <row r="8" spans="1:39" ht="12.75" customHeight="1" x14ac:dyDescent="0.25">
      <c r="A8" s="31">
        <v>65299</v>
      </c>
      <c r="B8" s="32" t="str">
        <f>IF(A8="","",VLOOKUP(A8,'Employee Database'!A:B,2,FALSE))</f>
        <v>M Faisal</v>
      </c>
      <c r="C8" s="31">
        <v>22</v>
      </c>
      <c r="D8" s="31">
        <v>81</v>
      </c>
      <c r="E8" s="31"/>
      <c r="F8" s="39">
        <f>IF(COUNT(C8:E8)=0,0,SUMPRODUCT({5000,1000,500},C8:E8))</f>
        <v>191000</v>
      </c>
      <c r="G8" s="31"/>
      <c r="H8" s="31"/>
      <c r="I8" s="31"/>
      <c r="J8" s="39">
        <f>IF(COUNT(G8:I8)=0,0,SUMPRODUCT({5000,1000,500},G8:I8))</f>
        <v>0</v>
      </c>
      <c r="K8" s="31"/>
      <c r="L8" s="31"/>
      <c r="M8" s="31"/>
      <c r="N8" s="39">
        <f>IF(COUNT(K8:M8)=0,0,SUMPRODUCT({5000,1000,500},K8:M8))</f>
        <v>0</v>
      </c>
      <c r="O8" s="31"/>
      <c r="P8" s="31"/>
      <c r="Q8" s="31"/>
      <c r="R8" s="39">
        <f>IF(COUNT(O8:Q8)=0,0,SUMPRODUCT({5000,1000,500},O8:Q8))</f>
        <v>0</v>
      </c>
      <c r="S8" s="31"/>
      <c r="T8" s="31"/>
      <c r="U8" s="31"/>
      <c r="V8" s="31"/>
      <c r="W8" s="31"/>
      <c r="X8" s="31">
        <v>47</v>
      </c>
      <c r="Y8" s="31"/>
      <c r="Z8" s="31">
        <v>52</v>
      </c>
      <c r="AA8" s="31"/>
      <c r="AB8" s="31"/>
      <c r="AC8" s="31"/>
      <c r="AD8" s="34">
        <f>IF(COUNT(S8:AC8)=0,0,SUMPRODUCT({5000,1000,500,100,75,50,20,10,5,2,1}, S8:AC8))</f>
        <v>2870</v>
      </c>
      <c r="AE8" s="33">
        <v>193888</v>
      </c>
      <c r="AF8" s="24">
        <f>IF(AND(COUNT(C8:E8)=0,COUNT(G8:I8)=0,COUNT(K8:M8)=0,COUNT(O8:Q8)=0,COUNT(S8:AC8)=0,AE8=""),"",(IF(COUNT(C8:E8)=0,0,SUMPRODUCT({5000,1000,500},C8:E8))+IF(COUNT(G8:I8)=0,0,SUMPRODUCT({5000,1000,500},G8:I8))+IF(COUNT(K8:M8)=0,0,SUMPRODUCT({5000,1000,500},K8:M8))+IF(COUNT(O8:Q8)=0,0,SUMPRODUCT({5000,1000,500},O8:Q8))+AD8)-N(AE8))</f>
        <v>-18</v>
      </c>
      <c r="AG8" s="35" t="str">
        <f t="shared" si="0"/>
        <v>Short</v>
      </c>
      <c r="AH8" s="38"/>
      <c r="AI8" s="36">
        <v>756891</v>
      </c>
      <c r="AJ8" s="37">
        <f>407718+349173</f>
        <v>756891</v>
      </c>
      <c r="AK8" s="26">
        <f t="shared" si="1"/>
        <v>0</v>
      </c>
      <c r="AL8" s="25" t="str">
        <f t="shared" si="2"/>
        <v>Matched</v>
      </c>
      <c r="AM8" s="38"/>
    </row>
    <row r="9" spans="1:39" ht="12.75" customHeight="1" x14ac:dyDescent="0.25">
      <c r="A9" s="31">
        <v>73196</v>
      </c>
      <c r="B9" s="32" t="str">
        <f>IF(A9="","",VLOOKUP(A9,'Employee Database'!A:B,2,FALSE))</f>
        <v>Asma</v>
      </c>
      <c r="C9" s="31">
        <v>47</v>
      </c>
      <c r="D9" s="31">
        <v>81</v>
      </c>
      <c r="E9" s="31">
        <v>18</v>
      </c>
      <c r="F9" s="39">
        <f>IF(COUNT(C9:E9)=0,0,SUMPRODUCT({5000,1000,500},C9:E9))</f>
        <v>325000</v>
      </c>
      <c r="G9" s="31"/>
      <c r="H9" s="31"/>
      <c r="I9" s="31"/>
      <c r="J9" s="39">
        <f>IF(COUNT(G9:I9)=0,0,SUMPRODUCT({5000,1000,500},G9:I9))</f>
        <v>0</v>
      </c>
      <c r="K9" s="31"/>
      <c r="L9" s="31"/>
      <c r="M9" s="31"/>
      <c r="N9" s="39">
        <f>IF(COUNT(K9:M9)=0,0,SUMPRODUCT({5000,1000,500},K9:M9))</f>
        <v>0</v>
      </c>
      <c r="O9" s="31"/>
      <c r="P9" s="31"/>
      <c r="Q9" s="31"/>
      <c r="R9" s="39">
        <f>IF(COUNT(O9:Q9)=0,0,SUMPRODUCT({5000,1000,500},O9:Q9))</f>
        <v>0</v>
      </c>
      <c r="S9" s="31"/>
      <c r="T9" s="31"/>
      <c r="U9" s="31"/>
      <c r="V9" s="31"/>
      <c r="W9" s="31"/>
      <c r="X9" s="31">
        <v>3</v>
      </c>
      <c r="Y9" s="31"/>
      <c r="Z9" s="31">
        <v>16</v>
      </c>
      <c r="AA9" s="31"/>
      <c r="AB9" s="31"/>
      <c r="AC9" s="31"/>
      <c r="AD9" s="34">
        <f>IF(COUNT(S9:AC9)=0,0,SUMPRODUCT({5000,1000,500,100,75,50,20,10,5,2,1}, S9:AC9))</f>
        <v>310</v>
      </c>
      <c r="AE9" s="33">
        <v>325367</v>
      </c>
      <c r="AF9" s="24">
        <f>IF(AND(COUNT(C9:E9)=0,COUNT(G9:I9)=0,COUNT(K9:M9)=0,COUNT(O9:Q9)=0,COUNT(S9:AC9)=0,AE9=""),"",(IF(COUNT(C9:E9)=0,0,SUMPRODUCT({5000,1000,500},C9:E9))+IF(COUNT(G9:I9)=0,0,SUMPRODUCT({5000,1000,500},G9:I9))+IF(COUNT(K9:M9)=0,0,SUMPRODUCT({5000,1000,500},K9:M9))+IF(COUNT(O9:Q9)=0,0,SUMPRODUCT({5000,1000,500},O9:Q9))+AD9)-N(AE9))</f>
        <v>-57</v>
      </c>
      <c r="AG9" s="35" t="str">
        <f t="shared" si="0"/>
        <v>Short</v>
      </c>
      <c r="AH9" s="38"/>
      <c r="AI9" s="36">
        <f>5091+797258</f>
        <v>802349</v>
      </c>
      <c r="AJ9" s="37">
        <f>5091+397161+400096+1</f>
        <v>802349</v>
      </c>
      <c r="AK9" s="26">
        <f t="shared" si="1"/>
        <v>0</v>
      </c>
      <c r="AL9" s="25" t="str">
        <f t="shared" si="2"/>
        <v>Matched</v>
      </c>
      <c r="AM9" s="38"/>
    </row>
    <row r="10" spans="1:39" ht="12.75" customHeight="1" x14ac:dyDescent="0.25">
      <c r="A10" s="31">
        <v>57653</v>
      </c>
      <c r="B10" s="32" t="str">
        <f>IF(A10="","",VLOOKUP(A10,'Employee Database'!A:B,2,FALSE))</f>
        <v>Amanat ali</v>
      </c>
      <c r="C10" s="31">
        <v>88</v>
      </c>
      <c r="D10" s="31">
        <v>178</v>
      </c>
      <c r="E10" s="31">
        <v>23</v>
      </c>
      <c r="F10" s="39">
        <f>IF(COUNT(C10:E10)=0,0,SUMPRODUCT({5000,1000,500},C10:E10))</f>
        <v>629500</v>
      </c>
      <c r="G10" s="31"/>
      <c r="H10" s="31"/>
      <c r="I10" s="31"/>
      <c r="J10" s="39">
        <f>IF(COUNT(G10:I10)=0,0,SUMPRODUCT({5000,1000,500},G10:I10))</f>
        <v>0</v>
      </c>
      <c r="K10" s="31"/>
      <c r="L10" s="31"/>
      <c r="M10" s="31"/>
      <c r="N10" s="39">
        <f>IF(COUNT(K10:M10)=0,0,SUMPRODUCT({5000,1000,500},K10:M10))</f>
        <v>0</v>
      </c>
      <c r="O10" s="31"/>
      <c r="P10" s="31"/>
      <c r="Q10" s="31"/>
      <c r="R10" s="39">
        <f>IF(COUNT(O10:Q10)=0,0,SUMPRODUCT({5000,1000,500},O10:Q10))</f>
        <v>0</v>
      </c>
      <c r="S10" s="31"/>
      <c r="T10" s="31"/>
      <c r="U10" s="31"/>
      <c r="V10" s="31">
        <v>1</v>
      </c>
      <c r="W10" s="31"/>
      <c r="X10" s="31">
        <v>51</v>
      </c>
      <c r="Y10" s="31"/>
      <c r="Z10" s="31">
        <v>15</v>
      </c>
      <c r="AA10" s="31"/>
      <c r="AB10" s="31"/>
      <c r="AC10" s="31"/>
      <c r="AD10" s="34">
        <f>IF(COUNT(S10:AC10)=0,0,SUMPRODUCT({5000,1000,500,100,75,50,20,10,5,2,1}, S10:AC10))</f>
        <v>2800</v>
      </c>
      <c r="AE10" s="33">
        <v>632245</v>
      </c>
      <c r="AF10" s="24">
        <f>IF(AND(COUNT(C10:E10)=0,COUNT(G10:I10)=0,COUNT(K10:M10)=0,COUNT(O10:Q10)=0,COUNT(S10:AC10)=0,AE10=""),"",(IF(COUNT(C10:E10)=0,0,SUMPRODUCT({5000,1000,500},C10:E10))+IF(COUNT(G10:I10)=0,0,SUMPRODUCT({5000,1000,500},G10:I10))+IF(COUNT(K10:M10)=0,0,SUMPRODUCT({5000,1000,500},K10:M10))+IF(COUNT(O10:Q10)=0,0,SUMPRODUCT({5000,1000,500},O10:Q10))+AD10)-N(AE10))</f>
        <v>55</v>
      </c>
      <c r="AG10" s="35" t="str">
        <f t="shared" si="0"/>
        <v>Excess</v>
      </c>
      <c r="AH10" s="38"/>
      <c r="AI10" s="36">
        <v>922878</v>
      </c>
      <c r="AJ10" s="37">
        <v>922878</v>
      </c>
      <c r="AK10" s="26">
        <f t="shared" si="1"/>
        <v>0</v>
      </c>
      <c r="AL10" s="25" t="str">
        <f t="shared" si="2"/>
        <v>Matched</v>
      </c>
      <c r="AM10" s="38"/>
    </row>
    <row r="11" spans="1:39" ht="12.75" customHeight="1" x14ac:dyDescent="0.25">
      <c r="A11" s="31">
        <v>56189</v>
      </c>
      <c r="B11" s="32" t="str">
        <f>IF(A11="","",VLOOKUP(A11,'Employee Database'!A:B,2,FALSE))</f>
        <v>Iffat Sultan</v>
      </c>
      <c r="C11" s="31">
        <v>17</v>
      </c>
      <c r="D11" s="31">
        <v>78</v>
      </c>
      <c r="E11" s="31"/>
      <c r="F11" s="39">
        <f>IF(COUNT(C11:E11)=0,0,SUMPRODUCT({5000,1000,500},C11:E11))</f>
        <v>163000</v>
      </c>
      <c r="G11" s="31"/>
      <c r="H11" s="31"/>
      <c r="I11" s="31"/>
      <c r="J11" s="39">
        <f>IF(COUNT(G11:I11)=0,0,SUMPRODUCT({5000,1000,500},G11:I11))</f>
        <v>0</v>
      </c>
      <c r="K11" s="31"/>
      <c r="L11" s="31"/>
      <c r="M11" s="31"/>
      <c r="N11" s="39">
        <f>IF(COUNT(K11:M11)=0,0,SUMPRODUCT({5000,1000,500},K11:M11))</f>
        <v>0</v>
      </c>
      <c r="O11" s="31"/>
      <c r="P11" s="31"/>
      <c r="Q11" s="31"/>
      <c r="R11" s="39">
        <f>IF(COUNT(O11:Q11)=0,0,SUMPRODUCT({5000,1000,500},O11:Q11))</f>
        <v>0</v>
      </c>
      <c r="S11" s="31"/>
      <c r="T11" s="31"/>
      <c r="U11" s="31"/>
      <c r="V11" s="31"/>
      <c r="W11" s="31"/>
      <c r="X11" s="31">
        <v>7</v>
      </c>
      <c r="Y11" s="31"/>
      <c r="Z11" s="31">
        <v>10</v>
      </c>
      <c r="AA11" s="31"/>
      <c r="AB11" s="31"/>
      <c r="AC11" s="31"/>
      <c r="AD11" s="34">
        <f>IF(COUNT(S11:AC11)=0,0,SUMPRODUCT({5000,1000,500,100,75,50,20,10,5,2,1}, S11:AC11))</f>
        <v>450</v>
      </c>
      <c r="AE11" s="33">
        <v>163314</v>
      </c>
      <c r="AF11" s="24">
        <f>IF(AND(COUNT(C11:E11)=0,COUNT(G11:I11)=0,COUNT(K11:M11)=0,COUNT(O11:Q11)=0,COUNT(S11:AC11)=0,AE11=""),"",(IF(COUNT(C11:E11)=0,0,SUMPRODUCT({5000,1000,500},C11:E11))+IF(COUNT(G11:I11)=0,0,SUMPRODUCT({5000,1000,500},G11:I11))+IF(COUNT(K11:M11)=0,0,SUMPRODUCT({5000,1000,500},K11:M11))+IF(COUNT(O11:Q11)=0,0,SUMPRODUCT({5000,1000,500},O11:Q11))+AD11)-N(AE11))</f>
        <v>136</v>
      </c>
      <c r="AG11" s="35" t="str">
        <f t="shared" si="0"/>
        <v>Excess</v>
      </c>
      <c r="AH11" s="38"/>
      <c r="AI11" s="36">
        <f>985856+5698.41</f>
        <v>991554.41</v>
      </c>
      <c r="AJ11" s="37">
        <f>333562+5698+652294.41</f>
        <v>991554.41</v>
      </c>
      <c r="AK11" s="26">
        <f t="shared" si="1"/>
        <v>0</v>
      </c>
      <c r="AL11" s="25" t="str">
        <f t="shared" si="2"/>
        <v>Matched</v>
      </c>
      <c r="AM11" s="38"/>
    </row>
    <row r="12" spans="1:39" ht="12.75" customHeight="1" x14ac:dyDescent="0.25">
      <c r="A12" s="31">
        <v>50266</v>
      </c>
      <c r="B12" s="32" t="str">
        <f>IF(A12="","",VLOOKUP(A12,'Employee Database'!A:B,2,FALSE))</f>
        <v>Riaz</v>
      </c>
      <c r="C12" s="31">
        <v>21</v>
      </c>
      <c r="D12" s="31">
        <v>20</v>
      </c>
      <c r="E12" s="31">
        <v>2</v>
      </c>
      <c r="F12" s="39">
        <f>IF(COUNT(C12:E12)=0,0,SUMPRODUCT({5000,1000,500},C12:E12))</f>
        <v>126000</v>
      </c>
      <c r="G12" s="31"/>
      <c r="H12" s="31"/>
      <c r="I12" s="31"/>
      <c r="J12" s="39">
        <f>IF(COUNT(G12:I12)=0,0,SUMPRODUCT({5000,1000,500},G12:I12))</f>
        <v>0</v>
      </c>
      <c r="K12" s="31"/>
      <c r="L12" s="31"/>
      <c r="M12" s="31"/>
      <c r="N12" s="39">
        <f>IF(COUNT(K12:M12)=0,0,SUMPRODUCT({5000,1000,500},K12:M12))</f>
        <v>0</v>
      </c>
      <c r="O12" s="31"/>
      <c r="P12" s="31"/>
      <c r="Q12" s="31"/>
      <c r="R12" s="39">
        <f>IF(COUNT(O12:Q12)=0,0,SUMPRODUCT({5000,1000,500},O12:Q12))</f>
        <v>0</v>
      </c>
      <c r="S12" s="31"/>
      <c r="T12" s="31"/>
      <c r="U12" s="31"/>
      <c r="V12" s="31"/>
      <c r="W12" s="31"/>
      <c r="X12" s="31">
        <v>75</v>
      </c>
      <c r="Y12" s="31"/>
      <c r="Z12" s="31">
        <v>65</v>
      </c>
      <c r="AA12" s="31"/>
      <c r="AB12" s="31"/>
      <c r="AC12" s="31"/>
      <c r="AD12" s="34">
        <f>IF(COUNT(S12:AC12)=0,0,SUMPRODUCT({5000,1000,500,100,75,50,20,10,5,2,1}, S12:AC12))</f>
        <v>4400</v>
      </c>
      <c r="AE12" s="33">
        <v>130298</v>
      </c>
      <c r="AF12" s="24">
        <f>IF(AND(COUNT(C12:E12)=0,COUNT(G12:I12)=0,COUNT(K12:M12)=0,COUNT(O12:Q12)=0,COUNT(S12:AC12)=0,AE12=""),"",(IF(COUNT(C12:E12)=0,0,SUMPRODUCT({5000,1000,500},C12:E12))+IF(COUNT(G12:I12)=0,0,SUMPRODUCT({5000,1000,500},G12:I12))+IF(COUNT(K12:M12)=0,0,SUMPRODUCT({5000,1000,500},K12:M12))+IF(COUNT(O12:Q12)=0,0,SUMPRODUCT({5000,1000,500},O12:Q12))+AD12)-N(AE12))</f>
        <v>102</v>
      </c>
      <c r="AG12" s="35" t="str">
        <f t="shared" si="0"/>
        <v>Excess</v>
      </c>
      <c r="AH12" s="38"/>
      <c r="AI12" s="36">
        <v>431781</v>
      </c>
      <c r="AJ12" s="37">
        <f>139821+291960</f>
        <v>431781</v>
      </c>
      <c r="AK12" s="26">
        <f t="shared" si="1"/>
        <v>0</v>
      </c>
      <c r="AL12" s="25" t="str">
        <f t="shared" si="2"/>
        <v>Matched</v>
      </c>
      <c r="AM12" s="38"/>
    </row>
    <row r="13" spans="1:39" ht="12.75" customHeight="1" x14ac:dyDescent="0.25">
      <c r="A13" s="31">
        <v>63854</v>
      </c>
      <c r="B13" s="32" t="str">
        <f>IF(A13="","",VLOOKUP(A13,'Employee Database'!A:B,2,FALSE))</f>
        <v>Maham</v>
      </c>
      <c r="C13" s="31">
        <v>26</v>
      </c>
      <c r="D13" s="31">
        <v>163</v>
      </c>
      <c r="E13" s="31">
        <v>30</v>
      </c>
      <c r="F13" s="39">
        <f>IF(COUNT(C13:E13)=0,0,SUMPRODUCT({5000,1000,500},C13:E13))</f>
        <v>308000</v>
      </c>
      <c r="G13" s="31"/>
      <c r="H13" s="31"/>
      <c r="I13" s="31"/>
      <c r="J13" s="39">
        <f>IF(COUNT(G13:I13)=0,0,SUMPRODUCT({5000,1000,500},G13:I13))</f>
        <v>0</v>
      </c>
      <c r="K13" s="31"/>
      <c r="L13" s="31"/>
      <c r="M13" s="31"/>
      <c r="N13" s="39">
        <f>IF(COUNT(K13:M13)=0,0,SUMPRODUCT({5000,1000,500},K13:M13))</f>
        <v>0</v>
      </c>
      <c r="O13" s="31"/>
      <c r="P13" s="31"/>
      <c r="Q13" s="31"/>
      <c r="R13" s="39">
        <f>IF(COUNT(O13:Q13)=0,0,SUMPRODUCT({5000,1000,500},O13:Q13))</f>
        <v>0</v>
      </c>
      <c r="S13" s="31"/>
      <c r="T13" s="31"/>
      <c r="U13" s="31"/>
      <c r="V13" s="31">
        <v>1</v>
      </c>
      <c r="W13" s="31"/>
      <c r="X13" s="31">
        <v>11</v>
      </c>
      <c r="Y13" s="31"/>
      <c r="Z13" s="31">
        <v>4</v>
      </c>
      <c r="AA13" s="31"/>
      <c r="AB13" s="31"/>
      <c r="AC13" s="31"/>
      <c r="AD13" s="34">
        <f>IF(COUNT(S13:AC13)=0,0,SUMPRODUCT({5000,1000,500,100,75,50,20,10,5,2,1}, S13:AC13))</f>
        <v>690</v>
      </c>
      <c r="AE13" s="33">
        <v>308595</v>
      </c>
      <c r="AF13" s="24">
        <f>IF(AND(COUNT(C13:E13)=0,COUNT(G13:I13)=0,COUNT(K13:M13)=0,COUNT(O13:Q13)=0,COUNT(S13:AC13)=0,AE13=""),"",(IF(COUNT(C13:E13)=0,0,SUMPRODUCT({5000,1000,500},C13:E13))+IF(COUNT(G13:I13)=0,0,SUMPRODUCT({5000,1000,500},G13:I13))+IF(COUNT(K13:M13)=0,0,SUMPRODUCT({5000,1000,500},K13:M13))+IF(COUNT(O13:Q13)=0,0,SUMPRODUCT({5000,1000,500},O13:Q13))+AD13)-N(AE13))</f>
        <v>95</v>
      </c>
      <c r="AG13" s="35" t="str">
        <f t="shared" si="0"/>
        <v>Excess</v>
      </c>
      <c r="AH13" s="38"/>
      <c r="AI13" s="36">
        <f>315+304128</f>
        <v>304443</v>
      </c>
      <c r="AJ13" s="37">
        <f>161473+315+142655</f>
        <v>304443</v>
      </c>
      <c r="AK13" s="26">
        <f t="shared" si="1"/>
        <v>0</v>
      </c>
      <c r="AL13" s="25" t="str">
        <f t="shared" si="2"/>
        <v>Matched</v>
      </c>
      <c r="AM13" s="38"/>
    </row>
    <row r="14" spans="1:39" ht="12.75" customHeight="1" x14ac:dyDescent="0.25">
      <c r="A14" s="31">
        <v>55417</v>
      </c>
      <c r="B14" s="32" t="str">
        <f>IF(A14="","",VLOOKUP(A14,'Employee Database'!A:B,2,FALSE))</f>
        <v>M Imran</v>
      </c>
      <c r="C14" s="31"/>
      <c r="D14" s="31"/>
      <c r="E14" s="31"/>
      <c r="F14" s="39">
        <f>IF(COUNT(C14:E14)=0,0,SUMPRODUCT({5000,1000,500},C14:E14))</f>
        <v>0</v>
      </c>
      <c r="G14" s="31">
        <v>11</v>
      </c>
      <c r="H14" s="31">
        <v>10</v>
      </c>
      <c r="I14" s="31">
        <v>4</v>
      </c>
      <c r="J14" s="39">
        <f>IF(COUNT(G14:I14)=0,0,SUMPRODUCT({5000,1000,500},G14:I14))</f>
        <v>67000</v>
      </c>
      <c r="K14" s="31"/>
      <c r="L14" s="31"/>
      <c r="M14" s="31"/>
      <c r="N14" s="39">
        <f>IF(COUNT(K14:M14)=0,0,SUMPRODUCT({5000,1000,500},K14:M14))</f>
        <v>0</v>
      </c>
      <c r="O14" s="31"/>
      <c r="P14" s="31"/>
      <c r="Q14" s="31"/>
      <c r="R14" s="39">
        <f>IF(COUNT(O14:Q14)=0,0,SUMPRODUCT({5000,1000,500},O14:Q14))</f>
        <v>0</v>
      </c>
      <c r="S14" s="31"/>
      <c r="T14" s="31"/>
      <c r="U14" s="31"/>
      <c r="V14" s="31">
        <v>1</v>
      </c>
      <c r="W14" s="31"/>
      <c r="X14" s="31">
        <v>82</v>
      </c>
      <c r="Y14" s="31"/>
      <c r="Z14" s="31">
        <v>93</v>
      </c>
      <c r="AA14" s="31"/>
      <c r="AB14" s="31"/>
      <c r="AC14" s="31"/>
      <c r="AD14" s="34">
        <f>IF(COUNT(S14:AC14)=0,0,SUMPRODUCT({5000,1000,500,100,75,50,20,10,5,2,1}, S14:AC14))</f>
        <v>5130</v>
      </c>
      <c r="AE14" s="33">
        <v>72124</v>
      </c>
      <c r="AF14" s="24">
        <f>IF(AND(COUNT(C14:E14)=0,COUNT(G14:I14)=0,COUNT(K14:M14)=0,COUNT(O14:Q14)=0,COUNT(S14:AC14)=0,AE14=""),"",(IF(COUNT(C14:E14)=0,0,SUMPRODUCT({5000,1000,500},C14:E14))+IF(COUNT(G14:I14)=0,0,SUMPRODUCT({5000,1000,500},G14:I14))+IF(COUNT(K14:M14)=0,0,SUMPRODUCT({5000,1000,500},K14:M14))+IF(COUNT(O14:Q14)=0,0,SUMPRODUCT({5000,1000,500},O14:Q14))+AD14)-N(AE14))</f>
        <v>6</v>
      </c>
      <c r="AG14" s="35" t="str">
        <f t="shared" si="0"/>
        <v>Excess</v>
      </c>
      <c r="AH14" s="38"/>
      <c r="AI14" s="36">
        <v>412634.78</v>
      </c>
      <c r="AJ14" s="37">
        <v>412634.78</v>
      </c>
      <c r="AK14" s="26">
        <f t="shared" si="1"/>
        <v>0</v>
      </c>
      <c r="AL14" s="25" t="str">
        <f t="shared" si="2"/>
        <v>Matched</v>
      </c>
      <c r="AM14" s="38"/>
    </row>
    <row r="15" spans="1:39" ht="12.75" customHeight="1" x14ac:dyDescent="0.25">
      <c r="A15" s="31">
        <v>50134</v>
      </c>
      <c r="B15" s="32" t="str">
        <f>IF(A15="","",VLOOKUP(A15,'Employee Database'!A:B,2,FALSE))</f>
        <v>Asif Abbas</v>
      </c>
      <c r="C15" s="31"/>
      <c r="D15" s="31"/>
      <c r="E15" s="31"/>
      <c r="F15" s="39">
        <f>IF(COUNT(C15:E15)=0,0,SUMPRODUCT({5000,1000,500},C15:E15))</f>
        <v>0</v>
      </c>
      <c r="G15" s="31">
        <v>7</v>
      </c>
      <c r="H15" s="31">
        <v>16</v>
      </c>
      <c r="I15" s="31">
        <v>10</v>
      </c>
      <c r="J15" s="39">
        <f>IF(COUNT(G15:I15)=0,0,SUMPRODUCT({5000,1000,500},G15:I15))</f>
        <v>56000</v>
      </c>
      <c r="K15" s="31"/>
      <c r="L15" s="31"/>
      <c r="M15" s="31"/>
      <c r="N15" s="39">
        <f>IF(COUNT(K15:M15)=0,0,SUMPRODUCT({5000,1000,500},K15:M15))</f>
        <v>0</v>
      </c>
      <c r="O15" s="31"/>
      <c r="P15" s="31"/>
      <c r="Q15" s="31"/>
      <c r="R15" s="39">
        <f>IF(COUNT(O15:Q15)=0,0,SUMPRODUCT({5000,1000,500},O15:Q15))</f>
        <v>0</v>
      </c>
      <c r="S15" s="31"/>
      <c r="T15" s="31"/>
      <c r="U15" s="31"/>
      <c r="V15" s="31"/>
      <c r="W15" s="31"/>
      <c r="X15" s="31">
        <v>6</v>
      </c>
      <c r="Y15" s="31"/>
      <c r="Z15" s="31">
        <v>74</v>
      </c>
      <c r="AA15" s="31"/>
      <c r="AB15" s="31"/>
      <c r="AC15" s="31"/>
      <c r="AD15" s="34">
        <f>IF(COUNT(S15:AC15)=0,0,SUMPRODUCT({5000,1000,500,100,75,50,20,10,5,2,1}, S15:AC15))</f>
        <v>1040</v>
      </c>
      <c r="AE15" s="33">
        <v>57019</v>
      </c>
      <c r="AF15" s="24">
        <f>IF(AND(COUNT(C15:E15)=0,COUNT(G15:I15)=0,COUNT(K15:M15)=0,COUNT(O15:Q15)=0,COUNT(S15:AC15)=0,AE15=""),"",(IF(COUNT(C15:E15)=0,0,SUMPRODUCT({5000,1000,500},C15:E15))+IF(COUNT(G15:I15)=0,0,SUMPRODUCT({5000,1000,500},G15:I15))+IF(COUNT(K15:M15)=0,0,SUMPRODUCT({5000,1000,500},K15:M15))+IF(COUNT(O15:Q15)=0,0,SUMPRODUCT({5000,1000,500},O15:Q15))+AD15)-N(AE15))</f>
        <v>21</v>
      </c>
      <c r="AG15" s="35" t="str">
        <f t="shared" si="0"/>
        <v>Excess</v>
      </c>
      <c r="AH15" s="38"/>
      <c r="AI15" s="36">
        <f>63344.6+96275.1</f>
        <v>159619.70000000001</v>
      </c>
      <c r="AJ15" s="37">
        <f>63344.6+96275.1</f>
        <v>159619.70000000001</v>
      </c>
      <c r="AK15" s="26">
        <f t="shared" si="1"/>
        <v>0</v>
      </c>
      <c r="AL15" s="25" t="str">
        <f t="shared" si="2"/>
        <v>Matched</v>
      </c>
      <c r="AM15" s="38"/>
    </row>
    <row r="16" spans="1:39" ht="12.75" customHeight="1" x14ac:dyDescent="0.25">
      <c r="A16" s="31">
        <v>71788</v>
      </c>
      <c r="B16" s="32" t="str">
        <f>IF(A16="","",VLOOKUP(A16,'Employee Database'!A:B,2,FALSE))</f>
        <v>Saaim</v>
      </c>
      <c r="C16" s="31"/>
      <c r="D16" s="31"/>
      <c r="E16" s="31"/>
      <c r="F16" s="39">
        <f>IF(COUNT(C16:E16)=0,0,SUMPRODUCT({5000,1000,500},C16:E16))</f>
        <v>0</v>
      </c>
      <c r="G16" s="31">
        <v>48</v>
      </c>
      <c r="H16" s="31">
        <v>53</v>
      </c>
      <c r="I16" s="31">
        <v>2</v>
      </c>
      <c r="J16" s="39">
        <f>IF(COUNT(G16:I16)=0,0,SUMPRODUCT({5000,1000,500},G16:I16))</f>
        <v>294000</v>
      </c>
      <c r="K16" s="31"/>
      <c r="L16" s="31"/>
      <c r="M16" s="31"/>
      <c r="N16" s="39">
        <f>IF(COUNT(K16:M16)=0,0,SUMPRODUCT({5000,1000,500},K16:M16))</f>
        <v>0</v>
      </c>
      <c r="O16" s="31"/>
      <c r="P16" s="31"/>
      <c r="Q16" s="31"/>
      <c r="R16" s="39">
        <f>IF(COUNT(O16:Q16)=0,0,SUMPRODUCT({5000,1000,500},O16:Q16))</f>
        <v>0</v>
      </c>
      <c r="S16" s="31"/>
      <c r="T16" s="31"/>
      <c r="U16" s="31"/>
      <c r="V16" s="31"/>
      <c r="W16" s="31"/>
      <c r="X16" s="31">
        <v>25</v>
      </c>
      <c r="Y16" s="31">
        <v>1</v>
      </c>
      <c r="Z16" s="31">
        <v>66</v>
      </c>
      <c r="AA16" s="31"/>
      <c r="AB16" s="31"/>
      <c r="AC16" s="31"/>
      <c r="AD16" s="34">
        <f>IF(COUNT(S16:AC16)=0,0,SUMPRODUCT({5000,1000,500,100,75,50,20,10,5,2,1}, S16:AC16))</f>
        <v>1930</v>
      </c>
      <c r="AE16" s="33">
        <v>296104</v>
      </c>
      <c r="AF16" s="24">
        <f>IF(AND(COUNT(C16:E16)=0,COUNT(G16:I16)=0,COUNT(K16:M16)=0,COUNT(O16:Q16)=0,COUNT(S16:AC16)=0,AE16=""),"",(IF(COUNT(C16:E16)=0,0,SUMPRODUCT({5000,1000,500},C16:E16))+IF(COUNT(G16:I16)=0,0,SUMPRODUCT({5000,1000,500},G16:I16))+IF(COUNT(K16:M16)=0,0,SUMPRODUCT({5000,1000,500},K16:M16))+IF(COUNT(O16:Q16)=0,0,SUMPRODUCT({5000,1000,500},O16:Q16))+AD16)-N(AE16))</f>
        <v>-174</v>
      </c>
      <c r="AG16" s="35" t="str">
        <f t="shared" si="0"/>
        <v>Short</v>
      </c>
      <c r="AH16" s="38"/>
      <c r="AI16" s="36">
        <v>982781.9</v>
      </c>
      <c r="AJ16" s="37">
        <f>227614.09+147143.84+608023.97</f>
        <v>982781.89999999991</v>
      </c>
      <c r="AK16" s="26">
        <f t="shared" si="1"/>
        <v>1.1641532182693481E-10</v>
      </c>
      <c r="AL16" s="25" t="str">
        <f t="shared" si="2"/>
        <v>POS Excess</v>
      </c>
      <c r="AM16" s="38"/>
    </row>
    <row r="17" spans="1:39" ht="12.75" customHeight="1" x14ac:dyDescent="0.25">
      <c r="A17" s="31">
        <v>67799</v>
      </c>
      <c r="B17" s="32" t="str">
        <f>IF(A17="","",VLOOKUP(A17,'Employee Database'!A:B,2,FALSE))</f>
        <v>Hassan Raza</v>
      </c>
      <c r="C17" s="31"/>
      <c r="D17" s="31"/>
      <c r="E17" s="31"/>
      <c r="F17" s="39">
        <f>IF(COUNT(C17:E17)=0,0,SUMPRODUCT({5000,1000,500},C17:E17))</f>
        <v>0</v>
      </c>
      <c r="G17" s="31">
        <v>96</v>
      </c>
      <c r="H17" s="31">
        <v>111</v>
      </c>
      <c r="I17" s="31">
        <v>12</v>
      </c>
      <c r="J17" s="39">
        <f>IF(COUNT(G17:I17)=0,0,SUMPRODUCT({5000,1000,500},G17:I17))</f>
        <v>597000</v>
      </c>
      <c r="K17" s="31"/>
      <c r="L17" s="31"/>
      <c r="M17" s="31"/>
      <c r="N17" s="39">
        <f>IF(COUNT(K17:M17)=0,0,SUMPRODUCT({5000,1000,500},K17:M17))</f>
        <v>0</v>
      </c>
      <c r="O17" s="31"/>
      <c r="P17" s="31"/>
      <c r="Q17" s="31"/>
      <c r="R17" s="39">
        <f>IF(COUNT(O17:Q17)=0,0,SUMPRODUCT({5000,1000,500},O17:Q17))</f>
        <v>0</v>
      </c>
      <c r="S17" s="31"/>
      <c r="T17" s="31"/>
      <c r="U17" s="31"/>
      <c r="V17" s="31">
        <v>3</v>
      </c>
      <c r="W17" s="31"/>
      <c r="X17" s="31">
        <v>89</v>
      </c>
      <c r="Y17" s="31">
        <v>2</v>
      </c>
      <c r="Z17" s="31">
        <v>70</v>
      </c>
      <c r="AA17" s="31"/>
      <c r="AB17" s="31"/>
      <c r="AC17" s="31"/>
      <c r="AD17" s="34">
        <f>IF(COUNT(S17:AC17)=0,0,SUMPRODUCT({5000,1000,500,100,75,50,20,10,5,2,1}, S17:AC17))</f>
        <v>5490</v>
      </c>
      <c r="AE17" s="33">
        <v>602684</v>
      </c>
      <c r="AF17" s="24">
        <f>IF(AND(COUNT(C17:E17)=0,COUNT(G17:I17)=0,COUNT(K17:M17)=0,COUNT(O17:Q17)=0,COUNT(S17:AC17)=0,AE17=""),"",(IF(COUNT(C17:E17)=0,0,SUMPRODUCT({5000,1000,500},C17:E17))+IF(COUNT(G17:I17)=0,0,SUMPRODUCT({5000,1000,500},G17:I17))+IF(COUNT(K17:M17)=0,0,SUMPRODUCT({5000,1000,500},K17:M17))+IF(COUNT(O17:Q17)=0,0,SUMPRODUCT({5000,1000,500},O17:Q17))+AD17)-N(AE17))</f>
        <v>-194</v>
      </c>
      <c r="AG17" s="35" t="str">
        <f t="shared" si="0"/>
        <v>Short</v>
      </c>
      <c r="AH17" s="38"/>
      <c r="AI17" s="36">
        <v>356402.04</v>
      </c>
      <c r="AJ17" s="37">
        <f>44760.81+291864.5+19776</f>
        <v>356401.31</v>
      </c>
      <c r="AK17" s="26">
        <f t="shared" si="1"/>
        <v>0.72999999998137355</v>
      </c>
      <c r="AL17" s="25" t="str">
        <f t="shared" si="2"/>
        <v>POS Excess</v>
      </c>
      <c r="AM17" s="38"/>
    </row>
    <row r="18" spans="1:39" ht="12.75" customHeight="1" x14ac:dyDescent="0.25">
      <c r="A18" s="31">
        <v>63599</v>
      </c>
      <c r="B18" s="32" t="str">
        <f>IF(A18="","",VLOOKUP(A18,'Employee Database'!A:B,2,FALSE))</f>
        <v>Hafsa</v>
      </c>
      <c r="C18" s="31"/>
      <c r="D18" s="31"/>
      <c r="E18" s="31"/>
      <c r="F18" s="39">
        <f>IF(COUNT(C18:E18)=0,0,SUMPRODUCT({5000,1000,500},C18:E18))</f>
        <v>0</v>
      </c>
      <c r="G18" s="31">
        <v>24</v>
      </c>
      <c r="H18" s="31">
        <v>30</v>
      </c>
      <c r="I18" s="31">
        <v>1</v>
      </c>
      <c r="J18" s="39">
        <f>IF(COUNT(G18:I18)=0,0,SUMPRODUCT({5000,1000,500},G18:I18))</f>
        <v>150500</v>
      </c>
      <c r="K18" s="31"/>
      <c r="L18" s="31"/>
      <c r="M18" s="31"/>
      <c r="N18" s="39">
        <f>IF(COUNT(K18:M18)=0,0,SUMPRODUCT({5000,1000,500},K18:M18))</f>
        <v>0</v>
      </c>
      <c r="O18" s="31"/>
      <c r="P18" s="31"/>
      <c r="Q18" s="31"/>
      <c r="R18" s="39">
        <f>IF(COUNT(O18:Q18)=0,0,SUMPRODUCT({5000,1000,500},O18:Q18))</f>
        <v>0</v>
      </c>
      <c r="S18" s="31"/>
      <c r="T18" s="31"/>
      <c r="U18" s="31"/>
      <c r="V18" s="31">
        <v>1</v>
      </c>
      <c r="W18" s="31"/>
      <c r="X18" s="31">
        <v>48</v>
      </c>
      <c r="Y18" s="31"/>
      <c r="Z18" s="31">
        <v>78</v>
      </c>
      <c r="AA18" s="31"/>
      <c r="AB18" s="31"/>
      <c r="AC18" s="31"/>
      <c r="AD18" s="34">
        <f>IF(COUNT(S18:AC18)=0,0,SUMPRODUCT({5000,1000,500,100,75,50,20,10,5,2,1}, S18:AC18))</f>
        <v>3280</v>
      </c>
      <c r="AE18" s="33">
        <v>153739</v>
      </c>
      <c r="AF18" s="24">
        <f>IF(AND(COUNT(C18:E18)=0,COUNT(G18:I18)=0,COUNT(K18:M18)=0,COUNT(O18:Q18)=0,COUNT(S18:AC18)=0,AE18=""),"",(IF(COUNT(C18:E18)=0,0,SUMPRODUCT({5000,1000,500},C18:E18))+IF(COUNT(G18:I18)=0,0,SUMPRODUCT({5000,1000,500},G18:I18))+IF(COUNT(K18:M18)=0,0,SUMPRODUCT({5000,1000,500},K18:M18))+IF(COUNT(O18:Q18)=0,0,SUMPRODUCT({5000,1000,500},O18:Q18))+AD18)-N(AE18))</f>
        <v>41</v>
      </c>
      <c r="AG18" s="35" t="str">
        <f t="shared" si="0"/>
        <v>Excess</v>
      </c>
      <c r="AH18" s="38"/>
      <c r="AI18" s="36">
        <v>576068.36</v>
      </c>
      <c r="AJ18" s="37">
        <v>576068.36</v>
      </c>
      <c r="AK18" s="26">
        <f t="shared" si="1"/>
        <v>0</v>
      </c>
      <c r="AL18" s="25" t="str">
        <f t="shared" si="2"/>
        <v>Matched</v>
      </c>
      <c r="AM18" s="38"/>
    </row>
    <row r="19" spans="1:39" ht="12.75" customHeight="1" x14ac:dyDescent="0.25">
      <c r="A19" s="31">
        <v>61648</v>
      </c>
      <c r="B19" s="32" t="str">
        <f>IF(A19="","",VLOOKUP(A19,'Employee Database'!A:B,2,FALSE))</f>
        <v>Rizwan</v>
      </c>
      <c r="C19" s="31"/>
      <c r="D19" s="31"/>
      <c r="E19" s="31"/>
      <c r="F19" s="39">
        <f>IF(COUNT(C19:E19)=0,0,SUMPRODUCT({5000,1000,500},C19:E19))</f>
        <v>0</v>
      </c>
      <c r="G19" s="31">
        <v>17</v>
      </c>
      <c r="H19" s="31">
        <v>27</v>
      </c>
      <c r="I19" s="31">
        <v>10</v>
      </c>
      <c r="J19" s="39">
        <f>IF(COUNT(G19:I19)=0,0,SUMPRODUCT({5000,1000,500},G19:I19))</f>
        <v>117000</v>
      </c>
      <c r="K19" s="31"/>
      <c r="L19" s="31"/>
      <c r="M19" s="31"/>
      <c r="N19" s="39">
        <f>IF(COUNT(K19:M19)=0,0,SUMPRODUCT({5000,1000,500},K19:M19))</f>
        <v>0</v>
      </c>
      <c r="O19" s="31"/>
      <c r="P19" s="31"/>
      <c r="Q19" s="31"/>
      <c r="R19" s="39">
        <f>IF(COUNT(O19:Q19)=0,0,SUMPRODUCT({5000,1000,500},O19:Q19))</f>
        <v>0</v>
      </c>
      <c r="S19" s="31"/>
      <c r="T19" s="31"/>
      <c r="U19" s="31"/>
      <c r="V19" s="31">
        <v>1</v>
      </c>
      <c r="W19" s="31"/>
      <c r="X19" s="31">
        <v>68</v>
      </c>
      <c r="Y19" s="31">
        <v>2</v>
      </c>
      <c r="Z19" s="31">
        <v>94</v>
      </c>
      <c r="AA19" s="31"/>
      <c r="AB19" s="31"/>
      <c r="AC19" s="31"/>
      <c r="AD19" s="34">
        <f>IF(COUNT(S19:AC19)=0,0,SUMPRODUCT({5000,1000,500,100,75,50,20,10,5,2,1}, S19:AC19))</f>
        <v>4480</v>
      </c>
      <c r="AE19" s="33">
        <v>121454</v>
      </c>
      <c r="AF19" s="24">
        <f>IF(AND(COUNT(C19:E19)=0,COUNT(G19:I19)=0,COUNT(K19:M19)=0,COUNT(O19:Q19)=0,COUNT(S19:AC19)=0,AE19=""),"",(IF(COUNT(C19:E19)=0,0,SUMPRODUCT({5000,1000,500},C19:E19))+IF(COUNT(G19:I19)=0,0,SUMPRODUCT({5000,1000,500},G19:I19))+IF(COUNT(K19:M19)=0,0,SUMPRODUCT({5000,1000,500},K19:M19))+IF(COUNT(O19:Q19)=0,0,SUMPRODUCT({5000,1000,500},O19:Q19))+AD19)-N(AE19))</f>
        <v>26</v>
      </c>
      <c r="AG19" s="35" t="str">
        <f t="shared" si="0"/>
        <v>Excess</v>
      </c>
      <c r="AH19" s="38"/>
      <c r="AI19" s="36">
        <f>44473.91+134259.28+204829.35</f>
        <v>383562.54000000004</v>
      </c>
      <c r="AJ19" s="37">
        <f>2906+131353.28+7416.82+37057.09+160687.44+44141.91</f>
        <v>383562.54000000004</v>
      </c>
      <c r="AK19" s="26">
        <f t="shared" ref="AK19:AK34" si="3">IF(AND(AI19="",AJ19=""),"",N(AI19)-N(AJ19))</f>
        <v>0</v>
      </c>
      <c r="AL19" s="25" t="str">
        <f t="shared" ref="AL19:AL34" si="4">IF(AK19="","",IF(AK19&gt;0,"POS Excess",IF(AK19&lt;0,"Bank Short","Matched")))</f>
        <v>Matched</v>
      </c>
      <c r="AM19" s="38"/>
    </row>
    <row r="20" spans="1:39" ht="12.75" customHeight="1" x14ac:dyDescent="0.25">
      <c r="A20" s="31">
        <v>69732</v>
      </c>
      <c r="B20" s="32" t="str">
        <f>IF(A20="","",VLOOKUP(A20,'Employee Database'!A:B,2,FALSE))</f>
        <v>Abdul Hafeez</v>
      </c>
      <c r="C20" s="31"/>
      <c r="D20" s="31"/>
      <c r="E20" s="31"/>
      <c r="F20" s="39">
        <f>IF(COUNT(C20:E20)=0,0,SUMPRODUCT({5000,1000,500},C20:E20))</f>
        <v>0</v>
      </c>
      <c r="G20" s="31">
        <v>27</v>
      </c>
      <c r="H20" s="31">
        <v>159</v>
      </c>
      <c r="I20" s="31">
        <v>16</v>
      </c>
      <c r="J20" s="39">
        <f>IF(COUNT(G20:I20)=0,0,SUMPRODUCT({5000,1000,500},G20:I20))</f>
        <v>302000</v>
      </c>
      <c r="K20" s="31"/>
      <c r="L20" s="31"/>
      <c r="M20" s="31"/>
      <c r="N20" s="39">
        <f>IF(COUNT(K20:M20)=0,0,SUMPRODUCT({5000,1000,500},K20:M20))</f>
        <v>0</v>
      </c>
      <c r="O20" s="31"/>
      <c r="P20" s="31"/>
      <c r="Q20" s="31"/>
      <c r="R20" s="39">
        <f>IF(COUNT(O20:Q20)=0,0,SUMPRODUCT({5000,1000,500},O20:Q20))</f>
        <v>0</v>
      </c>
      <c r="S20" s="31"/>
      <c r="T20" s="31"/>
      <c r="U20" s="31"/>
      <c r="V20" s="31">
        <v>9</v>
      </c>
      <c r="W20" s="31"/>
      <c r="X20" s="31">
        <v>12</v>
      </c>
      <c r="Y20" s="31"/>
      <c r="Z20" s="31">
        <v>37</v>
      </c>
      <c r="AA20" s="31"/>
      <c r="AB20" s="31"/>
      <c r="AC20" s="31"/>
      <c r="AD20" s="34">
        <f>IF(COUNT(S20:AC20)=0,0,SUMPRODUCT({5000,1000,500,100,75,50,20,10,5,2,1}, S20:AC20))</f>
        <v>1870</v>
      </c>
      <c r="AE20" s="33">
        <v>303851</v>
      </c>
      <c r="AF20" s="24">
        <f>IF(AND(COUNT(C20:E20)=0,COUNT(G20:I20)=0,COUNT(K20:M20)=0,COUNT(O20:Q20)=0,COUNT(S20:AC20)=0,AE20=""),"",(IF(COUNT(C20:E20)=0,0,SUMPRODUCT({5000,1000,500},C20:E20))+IF(COUNT(G20:I20)=0,0,SUMPRODUCT({5000,1000,500},G20:I20))+IF(COUNT(K20:M20)=0,0,SUMPRODUCT({5000,1000,500},K20:M20))+IF(COUNT(O20:Q20)=0,0,SUMPRODUCT({5000,1000,500},O20:Q20))+AD20)-N(AE20))</f>
        <v>19</v>
      </c>
      <c r="AG20" s="35" t="str">
        <f t="shared" si="0"/>
        <v>Excess</v>
      </c>
      <c r="AH20" s="38"/>
      <c r="AI20" s="36">
        <v>548945.02</v>
      </c>
      <c r="AJ20" s="37">
        <f>5899.94+543045.08</f>
        <v>548945.0199999999</v>
      </c>
      <c r="AK20" s="26">
        <f t="shared" si="3"/>
        <v>1.1641532182693481E-10</v>
      </c>
      <c r="AL20" s="25" t="str">
        <f t="shared" si="4"/>
        <v>POS Excess</v>
      </c>
      <c r="AM20" s="38"/>
    </row>
    <row r="21" spans="1:39" ht="12.75" customHeight="1" x14ac:dyDescent="0.25">
      <c r="A21" s="31">
        <v>68475</v>
      </c>
      <c r="B21" s="32" t="str">
        <f>IF(A21="","",VLOOKUP(A21,'Employee Database'!A:B,2,FALSE))</f>
        <v>M Azeem</v>
      </c>
      <c r="C21" s="31"/>
      <c r="D21" s="31"/>
      <c r="E21" s="31"/>
      <c r="F21" s="39">
        <f>IF(COUNT(C21:E21)=0,0,SUMPRODUCT({5000,1000,500},C21:E21))</f>
        <v>0</v>
      </c>
      <c r="G21" s="31">
        <v>30</v>
      </c>
      <c r="H21" s="31">
        <v>84</v>
      </c>
      <c r="I21" s="31">
        <v>16</v>
      </c>
      <c r="J21" s="39">
        <f>IF(COUNT(G21:I21)=0,0,SUMPRODUCT({5000,1000,500},G21:I21))</f>
        <v>242000</v>
      </c>
      <c r="K21" s="31"/>
      <c r="L21" s="31"/>
      <c r="M21" s="31"/>
      <c r="N21" s="39">
        <f>IF(COUNT(K21:M21)=0,0,SUMPRODUCT({5000,1000,500},K21:M21))</f>
        <v>0</v>
      </c>
      <c r="O21" s="31"/>
      <c r="P21" s="31"/>
      <c r="Q21" s="31"/>
      <c r="R21" s="39">
        <f>IF(COUNT(O21:Q21)=0,0,SUMPRODUCT({5000,1000,500},O21:Q21))</f>
        <v>0</v>
      </c>
      <c r="S21" s="31"/>
      <c r="T21" s="31"/>
      <c r="U21" s="31"/>
      <c r="V21" s="31">
        <v>6</v>
      </c>
      <c r="W21" s="31"/>
      <c r="X21" s="31">
        <v>6</v>
      </c>
      <c r="Y21" s="31"/>
      <c r="Z21" s="31">
        <v>57</v>
      </c>
      <c r="AA21" s="31"/>
      <c r="AB21" s="31"/>
      <c r="AC21" s="31"/>
      <c r="AD21" s="34">
        <f>IF(COUNT(S21:AC21)=0,0,SUMPRODUCT({5000,1000,500,100,75,50,20,10,5,2,1}, S21:AC21))</f>
        <v>1470</v>
      </c>
      <c r="AE21" s="33">
        <v>243454</v>
      </c>
      <c r="AF21" s="24">
        <f>IF(AND(COUNT(C21:E21)=0,COUNT(G21:I21)=0,COUNT(K21:M21)=0,COUNT(O21:Q21)=0,COUNT(S21:AC21)=0,AE21=""),"",(IF(COUNT(C21:E21)=0,0,SUMPRODUCT({5000,1000,500},C21:E21))+IF(COUNT(G21:I21)=0,0,SUMPRODUCT({5000,1000,500},G21:I21))+IF(COUNT(K21:M21)=0,0,SUMPRODUCT({5000,1000,500},K21:M21))+IF(COUNT(O21:Q21)=0,0,SUMPRODUCT({5000,1000,500},O21:Q21))+AD21)-N(AE21))</f>
        <v>16</v>
      </c>
      <c r="AG21" s="35" t="str">
        <f t="shared" si="0"/>
        <v>Excess</v>
      </c>
      <c r="AH21" s="38"/>
      <c r="AI21" s="36">
        <v>807508.87</v>
      </c>
      <c r="AJ21" s="37">
        <f>480338.26+327170.61</f>
        <v>807508.87</v>
      </c>
      <c r="AK21" s="26">
        <f t="shared" si="3"/>
        <v>0</v>
      </c>
      <c r="AL21" s="25" t="str">
        <f t="shared" si="4"/>
        <v>Matched</v>
      </c>
      <c r="AM21" s="38"/>
    </row>
    <row r="22" spans="1:39" ht="12.75" customHeight="1" x14ac:dyDescent="0.25">
      <c r="A22" s="31">
        <v>69728</v>
      </c>
      <c r="B22" s="32" t="str">
        <f>IF(A22="","",VLOOKUP(A22,'Employee Database'!A:B,2,FALSE))</f>
        <v>Hafiz Hafeez Ur Rehman</v>
      </c>
      <c r="C22" s="31"/>
      <c r="D22" s="31"/>
      <c r="E22" s="31"/>
      <c r="F22" s="39">
        <f>IF(COUNT(C22:E22)=0,0,SUMPRODUCT({5000,1000,500},C22:E22))</f>
        <v>0</v>
      </c>
      <c r="G22" s="31">
        <v>44</v>
      </c>
      <c r="H22" s="31">
        <v>76</v>
      </c>
      <c r="I22" s="31">
        <v>104</v>
      </c>
      <c r="J22" s="39">
        <f>IF(COUNT(G22:I22)=0,0,SUMPRODUCT({5000,1000,500},G22:I22))</f>
        <v>348000</v>
      </c>
      <c r="K22" s="31"/>
      <c r="L22" s="31"/>
      <c r="M22" s="31"/>
      <c r="N22" s="39">
        <f>IF(COUNT(K22:M22)=0,0,SUMPRODUCT({5000,1000,500},K22:M22))</f>
        <v>0</v>
      </c>
      <c r="O22" s="31"/>
      <c r="P22" s="31"/>
      <c r="Q22" s="31"/>
      <c r="R22" s="39">
        <f>IF(COUNT(O22:Q22)=0,0,SUMPRODUCT({5000,1000,500},O22:Q22))</f>
        <v>0</v>
      </c>
      <c r="S22" s="31"/>
      <c r="T22" s="31"/>
      <c r="U22" s="31"/>
      <c r="V22" s="31">
        <v>18</v>
      </c>
      <c r="W22" s="31"/>
      <c r="X22" s="31">
        <v>37</v>
      </c>
      <c r="Y22" s="31">
        <v>1</v>
      </c>
      <c r="Z22" s="31">
        <v>60</v>
      </c>
      <c r="AA22" s="31"/>
      <c r="AB22" s="31"/>
      <c r="AC22" s="31"/>
      <c r="AD22" s="34">
        <f>IF(COUNT(S22:AC22)=0,0,SUMPRODUCT({5000,1000,500,100,75,50,20,10,5,2,1}, S22:AC22))</f>
        <v>4270</v>
      </c>
      <c r="AE22" s="33">
        <v>352271</v>
      </c>
      <c r="AF22" s="24">
        <f>IF(AND(COUNT(C22:E22)=0,COUNT(G22:I22)=0,COUNT(K22:M22)=0,COUNT(O22:Q22)=0,COUNT(S22:AC22)=0,AE22=""),"",(IF(COUNT(C22:E22)=0,0,SUMPRODUCT({5000,1000,500},C22:E22))+IF(COUNT(G22:I22)=0,0,SUMPRODUCT({5000,1000,500},G22:I22))+IF(COUNT(K22:M22)=0,0,SUMPRODUCT({5000,1000,500},K22:M22))+IF(COUNT(O22:Q22)=0,0,SUMPRODUCT({5000,1000,500},O22:Q22))+AD22)-N(AE22))</f>
        <v>-1</v>
      </c>
      <c r="AG22" s="35" t="str">
        <f t="shared" si="0"/>
        <v>Short</v>
      </c>
      <c r="AH22" s="38"/>
      <c r="AI22" s="36">
        <f>288577.04+953245.41+26735</f>
        <v>1268557.45</v>
      </c>
      <c r="AJ22" s="37">
        <f>953245.41+288577.04+26735</f>
        <v>1268557.45</v>
      </c>
      <c r="AK22" s="26">
        <f t="shared" si="3"/>
        <v>0</v>
      </c>
      <c r="AL22" s="25" t="str">
        <f t="shared" si="4"/>
        <v>Matched</v>
      </c>
      <c r="AM22" s="38"/>
    </row>
    <row r="23" spans="1:39" ht="12.75" customHeight="1" x14ac:dyDescent="0.25">
      <c r="A23" s="31">
        <v>75768</v>
      </c>
      <c r="B23" s="32" t="str">
        <f>IF(A23="","",VLOOKUP(A23,'Employee Database'!A:B,2,FALSE))</f>
        <v>Zuhaib</v>
      </c>
      <c r="C23" s="31"/>
      <c r="D23" s="31"/>
      <c r="E23" s="31"/>
      <c r="F23" s="39">
        <f>IF(COUNT(C23:E23)=0,0,SUMPRODUCT({5000,1000,500},C23:E23))</f>
        <v>0</v>
      </c>
      <c r="G23" s="31">
        <v>60</v>
      </c>
      <c r="H23" s="31">
        <v>77</v>
      </c>
      <c r="I23" s="31">
        <v>44</v>
      </c>
      <c r="J23" s="39">
        <f>IF(COUNT(G23:I23)=0,0,SUMPRODUCT({5000,1000,500},G23:I23))</f>
        <v>399000</v>
      </c>
      <c r="K23" s="31"/>
      <c r="L23" s="31"/>
      <c r="M23" s="31"/>
      <c r="N23" s="39">
        <f>IF(COUNT(K23:M23)=0,0,SUMPRODUCT({5000,1000,500},K23:M23))</f>
        <v>0</v>
      </c>
      <c r="O23" s="31"/>
      <c r="P23" s="31"/>
      <c r="Q23" s="31"/>
      <c r="R23" s="39">
        <f>IF(COUNT(O23:Q23)=0,0,SUMPRODUCT({5000,1000,500},O23:Q23))</f>
        <v>0</v>
      </c>
      <c r="S23" s="31"/>
      <c r="T23" s="31"/>
      <c r="U23" s="31"/>
      <c r="V23" s="31">
        <v>3</v>
      </c>
      <c r="W23" s="31"/>
      <c r="X23" s="31">
        <v>51</v>
      </c>
      <c r="Y23" s="31">
        <v>3</v>
      </c>
      <c r="Z23" s="31">
        <v>40</v>
      </c>
      <c r="AA23" s="31"/>
      <c r="AB23" s="31"/>
      <c r="AC23" s="31"/>
      <c r="AD23" s="34">
        <f>IF(COUNT(S23:AC23)=0,0,SUMPRODUCT({5000,1000,500,100,75,50,20,10,5,2,1}, S23:AC23))</f>
        <v>3310</v>
      </c>
      <c r="AE23" s="33">
        <v>402272</v>
      </c>
      <c r="AF23" s="24">
        <f>IF(AND(COUNT(C23:E23)=0,COUNT(G23:I23)=0,COUNT(K23:M23)=0,COUNT(O23:Q23)=0,COUNT(S23:AC23)=0,AE23=""),"",(IF(COUNT(C23:E23)=0,0,SUMPRODUCT({5000,1000,500},C23:E23))+IF(COUNT(G23:I23)=0,0,SUMPRODUCT({5000,1000,500},G23:I23))+IF(COUNT(K23:M23)=0,0,SUMPRODUCT({5000,1000,500},K23:M23))+IF(COUNT(O23:Q23)=0,0,SUMPRODUCT({5000,1000,500},O23:Q23))+AD23)-N(AE23))</f>
        <v>38</v>
      </c>
      <c r="AG23" s="35" t="str">
        <f t="shared" si="0"/>
        <v>Excess</v>
      </c>
      <c r="AH23" s="38"/>
      <c r="AI23" s="36">
        <f>769332.53+229532.97</f>
        <v>998865.5</v>
      </c>
      <c r="AJ23" s="37">
        <f>94927.04+674405.49+229532.97</f>
        <v>998865.5</v>
      </c>
      <c r="AK23" s="26">
        <f t="shared" si="3"/>
        <v>0</v>
      </c>
      <c r="AL23" s="25" t="str">
        <f t="shared" si="4"/>
        <v>Matched</v>
      </c>
      <c r="AM23" s="38"/>
    </row>
    <row r="24" spans="1:39" ht="12.75" customHeight="1" x14ac:dyDescent="0.25">
      <c r="A24" s="31">
        <v>73679</v>
      </c>
      <c r="B24" s="32" t="str">
        <f>IF(A24="","",VLOOKUP(A24,'Employee Database'!A:B,2,FALSE))</f>
        <v>Imran Waqar</v>
      </c>
      <c r="C24" s="31"/>
      <c r="D24" s="31"/>
      <c r="E24" s="31"/>
      <c r="F24" s="39">
        <f>IF(COUNT(C24:E24)=0,0,SUMPRODUCT({5000,1000,500},C24:E24))</f>
        <v>0</v>
      </c>
      <c r="G24" s="31">
        <v>31</v>
      </c>
      <c r="H24" s="31">
        <v>165</v>
      </c>
      <c r="I24" s="31">
        <v>16</v>
      </c>
      <c r="J24" s="39">
        <f>IF(COUNT(G24:I24)=0,0,SUMPRODUCT({5000,1000,500},G24:I24))</f>
        <v>328000</v>
      </c>
      <c r="K24" s="31"/>
      <c r="L24" s="31"/>
      <c r="M24" s="31"/>
      <c r="N24" s="39">
        <f>IF(COUNT(K24:M24)=0,0,SUMPRODUCT({5000,1000,500},K24:M24))</f>
        <v>0</v>
      </c>
      <c r="O24" s="31"/>
      <c r="P24" s="31"/>
      <c r="Q24" s="31"/>
      <c r="R24" s="39">
        <f>IF(COUNT(O24:Q24)=0,0,SUMPRODUCT({5000,1000,500},O24:Q24))</f>
        <v>0</v>
      </c>
      <c r="S24" s="31"/>
      <c r="T24" s="31"/>
      <c r="U24" s="31"/>
      <c r="V24" s="31">
        <v>1</v>
      </c>
      <c r="W24" s="31"/>
      <c r="X24" s="31">
        <v>126</v>
      </c>
      <c r="Y24" s="31"/>
      <c r="Z24" s="31">
        <v>53</v>
      </c>
      <c r="AA24" s="31"/>
      <c r="AB24" s="31"/>
      <c r="AC24" s="31"/>
      <c r="AD24" s="34">
        <f>IF(COUNT(S24:AC24)=0,0,SUMPRODUCT({5000,1000,500,100,75,50,20,10,5,2,1}, S24:AC24))</f>
        <v>6930</v>
      </c>
      <c r="AE24" s="33">
        <v>334897</v>
      </c>
      <c r="AF24" s="24">
        <f>IF(AND(COUNT(C24:E24)=0,COUNT(G24:I24)=0,COUNT(K24:M24)=0,COUNT(O24:Q24)=0,COUNT(S24:AC24)=0,AE24=""),"",(IF(COUNT(C24:E24)=0,0,SUMPRODUCT({5000,1000,500},C24:E24))+IF(COUNT(G24:I24)=0,0,SUMPRODUCT({5000,1000,500},G24:I24))+IF(COUNT(K24:M24)=0,0,SUMPRODUCT({5000,1000,500},K24:M24))+IF(COUNT(O24:Q24)=0,0,SUMPRODUCT({5000,1000,500},O24:Q24))+AD24)-N(AE24))</f>
        <v>33</v>
      </c>
      <c r="AG24" s="35" t="str">
        <f t="shared" si="0"/>
        <v>Excess</v>
      </c>
      <c r="AH24" s="38"/>
      <c r="AI24" s="36">
        <v>1077870.31</v>
      </c>
      <c r="AJ24" s="37">
        <f>3172.55+1074697.76</f>
        <v>1077870.31</v>
      </c>
      <c r="AK24" s="26">
        <f t="shared" si="3"/>
        <v>0</v>
      </c>
      <c r="AL24" s="25" t="str">
        <f t="shared" si="4"/>
        <v>Matched</v>
      </c>
      <c r="AM24" s="38"/>
    </row>
    <row r="25" spans="1:39" ht="12.75" customHeight="1" x14ac:dyDescent="0.25">
      <c r="A25" s="31">
        <v>79593</v>
      </c>
      <c r="B25" s="32" t="str">
        <f>IF(A25="","",VLOOKUP(A25,'Employee Database'!A:B,2,FALSE))</f>
        <v>Amir</v>
      </c>
      <c r="C25" s="31"/>
      <c r="D25" s="31"/>
      <c r="E25" s="31"/>
      <c r="F25" s="39">
        <f>IF(COUNT(C25:E25)=0,0,SUMPRODUCT({5000,1000,500},C25:E25))</f>
        <v>0</v>
      </c>
      <c r="G25" s="31">
        <v>68</v>
      </c>
      <c r="H25" s="31">
        <v>75</v>
      </c>
      <c r="I25" s="31">
        <v>12</v>
      </c>
      <c r="J25" s="39">
        <f>IF(COUNT(G25:I25)=0,0,SUMPRODUCT({5000,1000,500},G25:I25))</f>
        <v>421000</v>
      </c>
      <c r="K25" s="31"/>
      <c r="L25" s="31"/>
      <c r="M25" s="31"/>
      <c r="N25" s="39">
        <f>IF(COUNT(K25:M25)=0,0,SUMPRODUCT({5000,1000,500},K25:M25))</f>
        <v>0</v>
      </c>
      <c r="O25" s="31"/>
      <c r="P25" s="31"/>
      <c r="Q25" s="31"/>
      <c r="R25" s="39">
        <f>IF(COUNT(O25:Q25)=0,0,SUMPRODUCT({5000,1000,500},O25:Q25))</f>
        <v>0</v>
      </c>
      <c r="S25" s="31"/>
      <c r="T25" s="31"/>
      <c r="U25" s="31"/>
      <c r="V25" s="31">
        <v>7</v>
      </c>
      <c r="W25" s="31"/>
      <c r="X25" s="31">
        <v>3</v>
      </c>
      <c r="Y25" s="31"/>
      <c r="Z25" s="31">
        <v>43</v>
      </c>
      <c r="AA25" s="31"/>
      <c r="AB25" s="31"/>
      <c r="AC25" s="31"/>
      <c r="AD25" s="34">
        <f>IF(COUNT(S25:AC25)=0,0,SUMPRODUCT({5000,1000,500,100,75,50,20,10,5,2,1}, S25:AC25))</f>
        <v>1280</v>
      </c>
      <c r="AE25" s="33">
        <v>422255</v>
      </c>
      <c r="AF25" s="24">
        <f>IF(AND(COUNT(C25:E25)=0,COUNT(G25:I25)=0,COUNT(K25:M25)=0,COUNT(O25:Q25)=0,COUNT(S25:AC25)=0,AE25=""),"",(IF(COUNT(C25:E25)=0,0,SUMPRODUCT({5000,1000,500},C25:E25))+IF(COUNT(G25:I25)=0,0,SUMPRODUCT({5000,1000,500},G25:I25))+IF(COUNT(K25:M25)=0,0,SUMPRODUCT({5000,1000,500},K25:M25))+IF(COUNT(O25:Q25)=0,0,SUMPRODUCT({5000,1000,500},O25:Q25))+AD25)-N(AE25))</f>
        <v>25</v>
      </c>
      <c r="AG25" s="35" t="str">
        <f t="shared" si="0"/>
        <v>Excess</v>
      </c>
      <c r="AH25" s="38"/>
      <c r="AI25" s="36">
        <v>901998.62</v>
      </c>
      <c r="AJ25" s="37">
        <v>901988.62</v>
      </c>
      <c r="AK25" s="26">
        <f t="shared" si="3"/>
        <v>10</v>
      </c>
      <c r="AL25" s="25" t="str">
        <f t="shared" si="4"/>
        <v>POS Excess</v>
      </c>
      <c r="AM25" s="38"/>
    </row>
    <row r="26" spans="1:39" ht="12.75" customHeight="1" x14ac:dyDescent="0.25">
      <c r="A26" s="31">
        <v>53893</v>
      </c>
      <c r="B26" s="32" t="str">
        <f>IF(A26="","",VLOOKUP(A26,'Employee Database'!A:B,2,FALSE))</f>
        <v>M Binyameen</v>
      </c>
      <c r="C26" s="31"/>
      <c r="D26" s="31"/>
      <c r="E26" s="31"/>
      <c r="F26" s="39">
        <f>IF(COUNT(C26:E26)=0,0,SUMPRODUCT({5000,1000,500},C26:E26))</f>
        <v>0</v>
      </c>
      <c r="G26" s="31">
        <v>62</v>
      </c>
      <c r="H26" s="31">
        <v>149</v>
      </c>
      <c r="I26" s="31">
        <v>78</v>
      </c>
      <c r="J26" s="39">
        <f>IF(COUNT(G26:I26)=0,0,SUMPRODUCT({5000,1000,500},G26:I26))</f>
        <v>498000</v>
      </c>
      <c r="K26" s="31"/>
      <c r="L26" s="31"/>
      <c r="M26" s="31"/>
      <c r="N26" s="39">
        <f>IF(COUNT(K26:M26)=0,0,SUMPRODUCT({5000,1000,500},K26:M26))</f>
        <v>0</v>
      </c>
      <c r="O26" s="31"/>
      <c r="P26" s="31"/>
      <c r="Q26" s="31"/>
      <c r="R26" s="39">
        <f>IF(COUNT(O26:Q26)=0,0,SUMPRODUCT({5000,1000,500},O26:Q26))</f>
        <v>0</v>
      </c>
      <c r="S26" s="31"/>
      <c r="T26" s="31"/>
      <c r="U26" s="31"/>
      <c r="V26" s="31">
        <v>42</v>
      </c>
      <c r="W26" s="31"/>
      <c r="X26" s="31">
        <v>17</v>
      </c>
      <c r="Y26" s="31">
        <v>4</v>
      </c>
      <c r="Z26" s="31">
        <v>54</v>
      </c>
      <c r="AA26" s="31"/>
      <c r="AB26" s="31"/>
      <c r="AC26" s="31"/>
      <c r="AD26" s="34">
        <f>IF(COUNT(S26:AC26)=0,0,SUMPRODUCT({5000,1000,500,100,75,50,20,10,5,2,1}, S26:AC26))</f>
        <v>5670</v>
      </c>
      <c r="AE26" s="33">
        <v>503667</v>
      </c>
      <c r="AF26" s="24">
        <f>IF(AND(COUNT(C26:E26)=0,COUNT(G26:I26)=0,COUNT(K26:M26)=0,COUNT(O26:Q26)=0,COUNT(S26:AC26)=0,AE26=""),"",(IF(COUNT(C26:E26)=0,0,SUMPRODUCT({5000,1000,500},C26:E26))+IF(COUNT(G26:I26)=0,0,SUMPRODUCT({5000,1000,500},G26:I26))+IF(COUNT(K26:M26)=0,0,SUMPRODUCT({5000,1000,500},K26:M26))+IF(COUNT(O26:Q26)=0,0,SUMPRODUCT({5000,1000,500},O26:Q26))+AD26)-N(AE26))</f>
        <v>3</v>
      </c>
      <c r="AG26" s="35" t="str">
        <f t="shared" si="0"/>
        <v>Excess</v>
      </c>
      <c r="AH26" s="38"/>
      <c r="AI26" s="36">
        <f>551584.31+302944.4</f>
        <v>854528.71000000008</v>
      </c>
      <c r="AJ26" s="37">
        <f>114875.36+188069.04+551584.31</f>
        <v>854528.71000000008</v>
      </c>
      <c r="AK26" s="26">
        <f t="shared" si="3"/>
        <v>0</v>
      </c>
      <c r="AL26" s="25" t="str">
        <f t="shared" si="4"/>
        <v>Matched</v>
      </c>
      <c r="AM26" s="38"/>
    </row>
    <row r="27" spans="1:39" ht="12.75" customHeight="1" x14ac:dyDescent="0.25">
      <c r="A27" s="31">
        <v>78242</v>
      </c>
      <c r="B27" s="32" t="str">
        <f>IF(A27="","",VLOOKUP(A27,'Employee Database'!A:B,2,FALSE))</f>
        <v>Hamad Mughal</v>
      </c>
      <c r="C27" s="31"/>
      <c r="D27" s="31"/>
      <c r="E27" s="31"/>
      <c r="F27" s="39">
        <f>IF(COUNT(C27:E27)=0,0,SUMPRODUCT({5000,1000,500},C27:E27))</f>
        <v>0</v>
      </c>
      <c r="G27" s="31">
        <v>66</v>
      </c>
      <c r="H27" s="31">
        <v>50</v>
      </c>
      <c r="I27" s="31">
        <v>1</v>
      </c>
      <c r="J27" s="39">
        <f>IF(COUNT(G27:I27)=0,0,SUMPRODUCT({5000,1000,500},G27:I27))</f>
        <v>380500</v>
      </c>
      <c r="K27" s="31"/>
      <c r="L27" s="31"/>
      <c r="M27" s="31"/>
      <c r="N27" s="39">
        <f>IF(COUNT(K27:M27)=0,0,SUMPRODUCT({5000,1000,500},K27:M27))</f>
        <v>0</v>
      </c>
      <c r="O27" s="31"/>
      <c r="P27" s="31"/>
      <c r="Q27" s="31"/>
      <c r="R27" s="39">
        <f>IF(COUNT(O27:Q27)=0,0,SUMPRODUCT({5000,1000,500},O27:Q27))</f>
        <v>0</v>
      </c>
      <c r="S27" s="31"/>
      <c r="T27" s="31"/>
      <c r="U27" s="31"/>
      <c r="V27" s="31"/>
      <c r="W27" s="31"/>
      <c r="X27" s="31"/>
      <c r="Y27" s="31"/>
      <c r="Z27" s="31">
        <v>64</v>
      </c>
      <c r="AA27" s="31"/>
      <c r="AB27" s="31"/>
      <c r="AC27" s="31"/>
      <c r="AD27" s="34">
        <f>IF(COUNT(S27:AC27)=0,0,SUMPRODUCT({5000,1000,500,100,75,50,20,10,5,2,1}, S27:AC27))</f>
        <v>640</v>
      </c>
      <c r="AE27" s="33">
        <v>381133</v>
      </c>
      <c r="AF27" s="24">
        <f>IF(AND(COUNT(C27:E27)=0,COUNT(G27:I27)=0,COUNT(K27:M27)=0,COUNT(O27:Q27)=0,COUNT(S27:AC27)=0,AE27=""),"",(IF(COUNT(C27:E27)=0,0,SUMPRODUCT({5000,1000,500},C27:E27))+IF(COUNT(G27:I27)=0,0,SUMPRODUCT({5000,1000,500},G27:I27))+IF(COUNT(K27:M27)=0,0,SUMPRODUCT({5000,1000,500},K27:M27))+IF(COUNT(O27:Q27)=0,0,SUMPRODUCT({5000,1000,500},O27:Q27))+AD27)-N(AE27))</f>
        <v>7</v>
      </c>
      <c r="AG27" s="35" t="str">
        <f t="shared" si="0"/>
        <v>Excess</v>
      </c>
      <c r="AH27" s="38"/>
      <c r="AI27" s="36">
        <v>685298.11</v>
      </c>
      <c r="AJ27" s="37">
        <f>602780.16+82517.95</f>
        <v>685298.11</v>
      </c>
      <c r="AK27" s="26">
        <f t="shared" si="3"/>
        <v>0</v>
      </c>
      <c r="AL27" s="25" t="str">
        <f t="shared" si="4"/>
        <v>Matched</v>
      </c>
      <c r="AM27" s="38"/>
    </row>
    <row r="28" spans="1:39" ht="12.75" customHeight="1" x14ac:dyDescent="0.25">
      <c r="A28" s="31">
        <v>50524</v>
      </c>
      <c r="B28" s="32" t="str">
        <f>IF(A28="","",VLOOKUP(A28,'Employee Database'!A:B,2,FALSE))</f>
        <v>Allah Rakha</v>
      </c>
      <c r="C28" s="31"/>
      <c r="D28" s="31"/>
      <c r="E28" s="31"/>
      <c r="F28" s="39">
        <f>IF(COUNT(C28:E28)=0,0,SUMPRODUCT({5000,1000,500},C28:E28))</f>
        <v>0</v>
      </c>
      <c r="G28" s="31">
        <v>17</v>
      </c>
      <c r="H28" s="31">
        <v>12</v>
      </c>
      <c r="I28" s="31">
        <v>5</v>
      </c>
      <c r="J28" s="39">
        <f>IF(COUNT(G28:I28)=0,0,SUMPRODUCT({5000,1000,500},G28:I28))</f>
        <v>99500</v>
      </c>
      <c r="K28" s="31"/>
      <c r="L28" s="31"/>
      <c r="M28" s="31"/>
      <c r="N28" s="39">
        <f>IF(COUNT(K28:M28)=0,0,SUMPRODUCT({5000,1000,500},K28:M28))</f>
        <v>0</v>
      </c>
      <c r="O28" s="31"/>
      <c r="P28" s="31"/>
      <c r="Q28" s="31"/>
      <c r="R28" s="39">
        <f>IF(COUNT(O28:Q28)=0,0,SUMPRODUCT({5000,1000,500},O28:Q28))</f>
        <v>0</v>
      </c>
      <c r="S28" s="31"/>
      <c r="T28" s="31"/>
      <c r="U28" s="31"/>
      <c r="V28" s="31">
        <v>1</v>
      </c>
      <c r="W28" s="31"/>
      <c r="X28" s="31">
        <v>105</v>
      </c>
      <c r="Y28" s="31">
        <v>1</v>
      </c>
      <c r="Z28" s="31">
        <v>52</v>
      </c>
      <c r="AA28" s="31"/>
      <c r="AB28" s="31"/>
      <c r="AC28" s="31"/>
      <c r="AD28" s="34">
        <f>IF(COUNT(S28:AC28)=0,0,SUMPRODUCT({5000,1000,500,100,75,50,20,10,5,2,1}, S28:AC28))</f>
        <v>5890</v>
      </c>
      <c r="AE28" s="33">
        <v>105392</v>
      </c>
      <c r="AF28" s="24">
        <f>IF(AND(COUNT(C28:E28)=0,COUNT(G28:I28)=0,COUNT(K28:M28)=0,COUNT(O28:Q28)=0,COUNT(S28:AC28)=0,AE28=""),"",(IF(COUNT(C28:E28)=0,0,SUMPRODUCT({5000,1000,500},C28:E28))+IF(COUNT(G28:I28)=0,0,SUMPRODUCT({5000,1000,500},G28:I28))+IF(COUNT(K28:M28)=0,0,SUMPRODUCT({5000,1000,500},K28:M28))+IF(COUNT(O28:Q28)=0,0,SUMPRODUCT({5000,1000,500},O28:Q28))+AD28)-N(AE28))</f>
        <v>-2</v>
      </c>
      <c r="AG28" s="35" t="str">
        <f t="shared" si="0"/>
        <v>Short</v>
      </c>
      <c r="AH28" s="38"/>
      <c r="AI28" s="36">
        <v>520906</v>
      </c>
      <c r="AJ28" s="37">
        <f>183650.58+337255.42</f>
        <v>520906</v>
      </c>
      <c r="AK28" s="26">
        <f t="shared" si="3"/>
        <v>0</v>
      </c>
      <c r="AL28" s="25" t="str">
        <f t="shared" si="4"/>
        <v>Matched</v>
      </c>
      <c r="AM28" s="38"/>
    </row>
    <row r="29" spans="1:39" ht="12.75" customHeight="1" x14ac:dyDescent="0.25">
      <c r="A29" s="31">
        <v>50313</v>
      </c>
      <c r="B29" s="32" t="str">
        <f>IF(A29="","",VLOOKUP(A29,'Employee Database'!A:B,2,FALSE))</f>
        <v>Waseem Raza</v>
      </c>
      <c r="C29" s="31"/>
      <c r="D29" s="31"/>
      <c r="E29" s="31"/>
      <c r="F29" s="39">
        <f>IF(COUNT(C29:E29)=0,0,SUMPRODUCT({5000,1000,500},C29:E29))</f>
        <v>0</v>
      </c>
      <c r="G29" s="31">
        <v>0</v>
      </c>
      <c r="H29" s="31">
        <v>1</v>
      </c>
      <c r="I29" s="31">
        <v>2</v>
      </c>
      <c r="J29" s="39">
        <f>IF(COUNT(G29:I29)=0,0,SUMPRODUCT({5000,1000,500},G29:I29))</f>
        <v>2000</v>
      </c>
      <c r="K29" s="31"/>
      <c r="L29" s="31"/>
      <c r="M29" s="31"/>
      <c r="N29" s="39">
        <f>IF(COUNT(K29:M29)=0,0,SUMPRODUCT({5000,1000,500},K29:M29))</f>
        <v>0</v>
      </c>
      <c r="O29" s="31"/>
      <c r="P29" s="31"/>
      <c r="Q29" s="31"/>
      <c r="R29" s="39">
        <f>IF(COUNT(O29:Q29)=0,0,SUMPRODUCT({5000,1000,500},O29:Q29))</f>
        <v>0</v>
      </c>
      <c r="S29" s="31"/>
      <c r="T29" s="31"/>
      <c r="U29" s="31"/>
      <c r="V29" s="31">
        <v>2</v>
      </c>
      <c r="W29" s="31"/>
      <c r="X29" s="31">
        <v>9</v>
      </c>
      <c r="Y29" s="31"/>
      <c r="Z29" s="31">
        <v>3</v>
      </c>
      <c r="AA29" s="31"/>
      <c r="AB29" s="31"/>
      <c r="AC29" s="31"/>
      <c r="AD29" s="34">
        <f>IF(COUNT(S29:AC29)=0,0,SUMPRODUCT({5000,1000,500,100,75,50,20,10,5,2,1}, S29:AC29))</f>
        <v>680</v>
      </c>
      <c r="AE29" s="33">
        <v>2681</v>
      </c>
      <c r="AF29" s="24">
        <f>IF(AND(COUNT(C29:E29)=0,COUNT(G29:I29)=0,COUNT(K29:M29)=0,COUNT(O29:Q29)=0,COUNT(S29:AC29)=0,AE29=""),"",(IF(COUNT(C29:E29)=0,0,SUMPRODUCT({5000,1000,500},C29:E29))+IF(COUNT(G29:I29)=0,0,SUMPRODUCT({5000,1000,500},G29:I29))+IF(COUNT(K29:M29)=0,0,SUMPRODUCT({5000,1000,500},K29:M29))+IF(COUNT(O29:Q29)=0,0,SUMPRODUCT({5000,1000,500},O29:Q29))+AD29)-N(AE29))</f>
        <v>-1</v>
      </c>
      <c r="AG29" s="35" t="str">
        <f t="shared" si="0"/>
        <v>Short</v>
      </c>
      <c r="AH29" s="38"/>
      <c r="AI29" s="36"/>
      <c r="AJ29" s="37"/>
      <c r="AK29" s="26" t="str">
        <f t="shared" si="3"/>
        <v/>
      </c>
      <c r="AL29" s="25" t="str">
        <f t="shared" si="4"/>
        <v/>
      </c>
      <c r="AM29" s="38"/>
    </row>
    <row r="30" spans="1:39" ht="12.75" customHeight="1" x14ac:dyDescent="0.25">
      <c r="A30" s="31"/>
      <c r="B30" s="32" t="str">
        <f>IF(A30="","",VLOOKUP(A30,'Employee Database'!A:B,2,FALSE))</f>
        <v/>
      </c>
      <c r="C30" s="31"/>
      <c r="D30" s="31"/>
      <c r="E30" s="31"/>
      <c r="F30" s="39">
        <f>IF(COUNT(C30:E30)=0,0,SUMPRODUCT({5000,1000,500},C30:E30))</f>
        <v>0</v>
      </c>
      <c r="G30" s="31"/>
      <c r="H30" s="31"/>
      <c r="I30" s="31"/>
      <c r="J30" s="39">
        <f>IF(COUNT(G30:I30)=0,0,SUMPRODUCT({5000,1000,500},G30:I30))</f>
        <v>0</v>
      </c>
      <c r="K30" s="31"/>
      <c r="L30" s="31"/>
      <c r="M30" s="31"/>
      <c r="N30" s="39">
        <f>IF(COUNT(K30:M30)=0,0,SUMPRODUCT({5000,1000,500},K30:M30))</f>
        <v>0</v>
      </c>
      <c r="O30" s="31"/>
      <c r="P30" s="31"/>
      <c r="Q30" s="31"/>
      <c r="R30" s="39">
        <f>IF(COUNT(O30:Q30)=0,0,SUMPRODUCT({5000,1000,500},O30:Q30))</f>
        <v>0</v>
      </c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4">
        <f>IF(COUNT(S30:AC30)=0,0,SUMPRODUCT({5000,1000,500,100,75,50,20,10,5,2,1}, S30:AC30))</f>
        <v>0</v>
      </c>
      <c r="AE30" s="33"/>
      <c r="AF30" s="24" t="str">
        <f>IF(AND(COUNT(C30:E30)=0,COUNT(G30:I30)=0,COUNT(K30:M30)=0,COUNT(O30:Q30)=0,COUNT(S30:AC30)=0,AE30=""),"",(IF(COUNT(C30:E30)=0,0,SUMPRODUCT({5000,1000,500},C30:E30))+IF(COUNT(G30:I30)=0,0,SUMPRODUCT({5000,1000,500},G30:I30))+IF(COUNT(K30:M30)=0,0,SUMPRODUCT({5000,1000,500},K30:M30))+IF(COUNT(O30:Q30)=0,0,SUMPRODUCT({5000,1000,500},O30:Q30))+AD30)-N(AE30))</f>
        <v/>
      </c>
      <c r="AG30" s="35" t="str">
        <f t="shared" si="0"/>
        <v/>
      </c>
      <c r="AH30" s="38"/>
      <c r="AI30" s="36"/>
      <c r="AJ30" s="37"/>
      <c r="AK30" s="26" t="str">
        <f t="shared" si="3"/>
        <v/>
      </c>
      <c r="AL30" s="25" t="str">
        <f t="shared" si="4"/>
        <v/>
      </c>
      <c r="AM30" s="38"/>
    </row>
    <row r="31" spans="1:39" ht="12.75" customHeight="1" x14ac:dyDescent="0.25">
      <c r="A31" s="31"/>
      <c r="B31" s="32" t="str">
        <f>IF(A31="","",VLOOKUP(A31,'Employee Database'!A:B,2,FALSE))</f>
        <v/>
      </c>
      <c r="C31" s="31"/>
      <c r="D31" s="31"/>
      <c r="E31" s="31"/>
      <c r="F31" s="39">
        <f>IF(COUNT(C31:E31)=0,0,SUMPRODUCT({5000,1000,500},C31:E31))</f>
        <v>0</v>
      </c>
      <c r="G31" s="31"/>
      <c r="H31" s="31"/>
      <c r="I31" s="31"/>
      <c r="J31" s="39">
        <f>IF(COUNT(G31:I31)=0,0,SUMPRODUCT({5000,1000,500},G31:I31))</f>
        <v>0</v>
      </c>
      <c r="K31" s="31"/>
      <c r="L31" s="31"/>
      <c r="M31" s="31"/>
      <c r="N31" s="39">
        <f>IF(COUNT(K31:M31)=0,0,SUMPRODUCT({5000,1000,500},K31:M31))</f>
        <v>0</v>
      </c>
      <c r="O31" s="31"/>
      <c r="P31" s="31"/>
      <c r="Q31" s="31"/>
      <c r="R31" s="39">
        <f>IF(COUNT(O31:Q31)=0,0,SUMPRODUCT({5000,1000,500},O31:Q31))</f>
        <v>0</v>
      </c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4">
        <f>IF(COUNT(S31:AC31)=0,0,SUMPRODUCT({5000,1000,500,100,75,50,20,10,5,2,1}, S31:AC31))</f>
        <v>0</v>
      </c>
      <c r="AE31" s="33"/>
      <c r="AF31" s="24" t="str">
        <f>IF(AND(COUNT(C31:E31)=0,COUNT(G31:I31)=0,COUNT(K31:M31)=0,COUNT(O31:Q31)=0,COUNT(S31:AC31)=0,AE31=""),"",(IF(COUNT(C31:E31)=0,0,SUMPRODUCT({5000,1000,500},C31:E31))+IF(COUNT(G31:I31)=0,0,SUMPRODUCT({5000,1000,500},G31:I31))+IF(COUNT(K31:M31)=0,0,SUMPRODUCT({5000,1000,500},K31:M31))+IF(COUNT(O31:Q31)=0,0,SUMPRODUCT({5000,1000,500},O31:Q31))+AD31)-N(AE31))</f>
        <v/>
      </c>
      <c r="AG31" s="35" t="str">
        <f t="shared" si="0"/>
        <v/>
      </c>
      <c r="AH31" s="38"/>
      <c r="AI31" s="36"/>
      <c r="AJ31" s="37"/>
      <c r="AK31" s="26" t="str">
        <f t="shared" si="3"/>
        <v/>
      </c>
      <c r="AL31" s="25" t="str">
        <f t="shared" si="4"/>
        <v/>
      </c>
      <c r="AM31" s="38"/>
    </row>
    <row r="32" spans="1:39" ht="12.75" customHeight="1" x14ac:dyDescent="0.25">
      <c r="A32" s="31"/>
      <c r="B32" s="32" t="str">
        <f>IF(A32="","",VLOOKUP(A32,'Employee Database'!A:B,2,FALSE))</f>
        <v/>
      </c>
      <c r="C32" s="31"/>
      <c r="D32" s="31"/>
      <c r="E32" s="31"/>
      <c r="F32" s="39">
        <f>IF(COUNT(C32:E32)=0,0,SUMPRODUCT({5000,1000,500},C32:E32))</f>
        <v>0</v>
      </c>
      <c r="G32" s="31"/>
      <c r="H32" s="31"/>
      <c r="I32" s="31"/>
      <c r="J32" s="39">
        <f>IF(COUNT(G32:I32)=0,0,SUMPRODUCT({5000,1000,500},G32:I32))</f>
        <v>0</v>
      </c>
      <c r="K32" s="31"/>
      <c r="L32" s="31"/>
      <c r="M32" s="31"/>
      <c r="N32" s="39">
        <f>IF(COUNT(K32:M32)=0,0,SUMPRODUCT({5000,1000,500},K32:M32))</f>
        <v>0</v>
      </c>
      <c r="O32" s="31"/>
      <c r="P32" s="31"/>
      <c r="Q32" s="31"/>
      <c r="R32" s="39">
        <f>IF(COUNT(O32:Q32)=0,0,SUMPRODUCT({5000,1000,500},O32:Q32))</f>
        <v>0</v>
      </c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4">
        <f>IF(COUNT(S32:AC32)=0,0,SUMPRODUCT({5000,1000,500,100,75,50,20,10,5,2,1}, S32:AC32))</f>
        <v>0</v>
      </c>
      <c r="AE32" s="33"/>
      <c r="AF32" s="24" t="str">
        <f>IF(AND(COUNT(C32:E32)=0,COUNT(G32:I32)=0,COUNT(K32:M32)=0,COUNT(O32:Q32)=0,COUNT(S32:AC32)=0,AE32=""),"",(IF(COUNT(C32:E32)=0,0,SUMPRODUCT({5000,1000,500},C32:E32))+IF(COUNT(G32:I32)=0,0,SUMPRODUCT({5000,1000,500},G32:I32))+IF(COUNT(K32:M32)=0,0,SUMPRODUCT({5000,1000,500},K32:M32))+IF(COUNT(O32:Q32)=0,0,SUMPRODUCT({5000,1000,500},O32:Q32))+AD32)-N(AE32))</f>
        <v/>
      </c>
      <c r="AG32" s="35" t="str">
        <f t="shared" si="0"/>
        <v/>
      </c>
      <c r="AH32" s="38"/>
      <c r="AI32" s="36"/>
      <c r="AJ32" s="37"/>
      <c r="AK32" s="26" t="str">
        <f t="shared" si="3"/>
        <v/>
      </c>
      <c r="AL32" s="25" t="str">
        <f t="shared" si="4"/>
        <v/>
      </c>
      <c r="AM32" s="38"/>
    </row>
    <row r="33" spans="1:39" ht="12.75" customHeight="1" x14ac:dyDescent="0.25">
      <c r="A33" s="31"/>
      <c r="B33" s="32" t="str">
        <f>IF(A33="","",VLOOKUP(A33,'Employee Database'!A:B,2,FALSE))</f>
        <v/>
      </c>
      <c r="C33" s="31"/>
      <c r="D33" s="31"/>
      <c r="E33" s="31"/>
      <c r="F33" s="39">
        <f>IF(COUNT(C33:E33)=0,0,SUMPRODUCT({5000,1000,500},C33:E33))</f>
        <v>0</v>
      </c>
      <c r="G33" s="31"/>
      <c r="H33" s="31"/>
      <c r="I33" s="31"/>
      <c r="J33" s="39">
        <f>IF(COUNT(G33:I33)=0,0,SUMPRODUCT({5000,1000,500},G33:I33))</f>
        <v>0</v>
      </c>
      <c r="K33" s="31"/>
      <c r="L33" s="31"/>
      <c r="M33" s="31"/>
      <c r="N33" s="39">
        <f>IF(COUNT(K33:M33)=0,0,SUMPRODUCT({5000,1000,500},K33:M33))</f>
        <v>0</v>
      </c>
      <c r="O33" s="31"/>
      <c r="P33" s="31"/>
      <c r="Q33" s="31"/>
      <c r="R33" s="39">
        <f>IF(COUNT(O33:Q33)=0,0,SUMPRODUCT({5000,1000,500},O33:Q33))</f>
        <v>0</v>
      </c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4">
        <f>IF(COUNT(S33:AC33)=0,0,SUMPRODUCT({5000,1000,500,100,75,50,20,10,5,2,1}, S33:AC33))</f>
        <v>0</v>
      </c>
      <c r="AE33" s="33"/>
      <c r="AF33" s="24" t="str">
        <f>IF(AND(COUNT(C33:E33)=0,COUNT(G33:I33)=0,COUNT(K33:M33)=0,COUNT(O33:Q33)=0,COUNT(S33:AC33)=0,AE33=""),"",(IF(COUNT(C33:E33)=0,0,SUMPRODUCT({5000,1000,500},C33:E33))+IF(COUNT(G33:I33)=0,0,SUMPRODUCT({5000,1000,500},G33:I33))+IF(COUNT(K33:M33)=0,0,SUMPRODUCT({5000,1000,500},K33:M33))+IF(COUNT(O33:Q33)=0,0,SUMPRODUCT({5000,1000,500},O33:Q33))+AD33)-N(AE33))</f>
        <v/>
      </c>
      <c r="AG33" s="35" t="str">
        <f t="shared" si="0"/>
        <v/>
      </c>
      <c r="AH33" s="38"/>
      <c r="AI33" s="36"/>
      <c r="AJ33" s="37"/>
      <c r="AK33" s="26" t="str">
        <f t="shared" si="3"/>
        <v/>
      </c>
      <c r="AL33" s="25" t="str">
        <f t="shared" si="4"/>
        <v/>
      </c>
      <c r="AM33" s="38"/>
    </row>
    <row r="34" spans="1:39" ht="12.75" customHeight="1" x14ac:dyDescent="0.25">
      <c r="A34" s="31"/>
      <c r="B34" s="32" t="str">
        <f>IF(A34="","",VLOOKUP(A34,'Employee Database'!A:B,2,FALSE))</f>
        <v/>
      </c>
      <c r="C34" s="31"/>
      <c r="D34" s="31"/>
      <c r="E34" s="31"/>
      <c r="F34" s="39">
        <f>IF(COUNT(C34:E34)=0,0,SUMPRODUCT({5000,1000,500},C34:E34))</f>
        <v>0</v>
      </c>
      <c r="G34" s="31"/>
      <c r="H34" s="31"/>
      <c r="I34" s="31"/>
      <c r="J34" s="39">
        <f>IF(COUNT(G34:I34)=0,0,SUMPRODUCT({5000,1000,500},G34:I34))</f>
        <v>0</v>
      </c>
      <c r="K34" s="31"/>
      <c r="L34" s="31"/>
      <c r="M34" s="31"/>
      <c r="N34" s="39">
        <f>IF(COUNT(K34:M34)=0,0,SUMPRODUCT({5000,1000,500},K34:M34))</f>
        <v>0</v>
      </c>
      <c r="O34" s="31"/>
      <c r="P34" s="31"/>
      <c r="Q34" s="31"/>
      <c r="R34" s="39">
        <f>IF(COUNT(O34:Q34)=0,0,SUMPRODUCT({5000,1000,500},O34:Q34))</f>
        <v>0</v>
      </c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4">
        <f>IF(COUNT(S34:AC34)=0,0,SUMPRODUCT({5000,1000,500,100,75,50,20,10,5,2,1}, S34:AC34))</f>
        <v>0</v>
      </c>
      <c r="AE34" s="33"/>
      <c r="AF34" s="24" t="str">
        <f>IF(AND(COUNT(C34:E34)=0,COUNT(G34:I34)=0,COUNT(K34:M34)=0,COUNT(O34:Q34)=0,COUNT(S34:AC34)=0,AE34=""),"",(IF(COUNT(C34:E34)=0,0,SUMPRODUCT({5000,1000,500},C34:E34))+IF(COUNT(G34:I34)=0,0,SUMPRODUCT({5000,1000,500},G34:I34))+IF(COUNT(K34:M34)=0,0,SUMPRODUCT({5000,1000,500},K34:M34))+IF(COUNT(O34:Q34)=0,0,SUMPRODUCT({5000,1000,500},O34:Q34))+AD34)-N(AE34))</f>
        <v/>
      </c>
      <c r="AG34" s="35" t="str">
        <f t="shared" si="0"/>
        <v/>
      </c>
      <c r="AH34" s="38"/>
      <c r="AI34" s="36"/>
      <c r="AJ34" s="37"/>
      <c r="AK34" s="26" t="str">
        <f t="shared" si="3"/>
        <v/>
      </c>
      <c r="AL34" s="25" t="str">
        <f t="shared" si="4"/>
        <v/>
      </c>
      <c r="AM34" s="38"/>
    </row>
    <row r="35" spans="1:39" ht="22.5" customHeight="1" x14ac:dyDescent="0.25">
      <c r="A35" s="27" t="s">
        <v>24</v>
      </c>
      <c r="B35" s="27" t="s">
        <v>24</v>
      </c>
      <c r="C35" s="28">
        <f t="shared" ref="C35:AF35" si="5">SUM(C5:C34)</f>
        <v>307</v>
      </c>
      <c r="D35" s="28">
        <f t="shared" si="5"/>
        <v>920</v>
      </c>
      <c r="E35" s="28">
        <f t="shared" si="5"/>
        <v>91</v>
      </c>
      <c r="F35" s="40">
        <f t="shared" si="5"/>
        <v>2500500</v>
      </c>
      <c r="G35" s="28">
        <f t="shared" si="5"/>
        <v>608</v>
      </c>
      <c r="H35" s="28">
        <f t="shared" si="5"/>
        <v>1095</v>
      </c>
      <c r="I35" s="28">
        <f t="shared" si="5"/>
        <v>333</v>
      </c>
      <c r="J35" s="40">
        <f t="shared" si="5"/>
        <v>4301500</v>
      </c>
      <c r="K35" s="28">
        <f t="shared" si="5"/>
        <v>0</v>
      </c>
      <c r="L35" s="28">
        <f t="shared" si="5"/>
        <v>0</v>
      </c>
      <c r="M35" s="28">
        <f t="shared" si="5"/>
        <v>0</v>
      </c>
      <c r="N35" s="40">
        <f t="shared" si="5"/>
        <v>0</v>
      </c>
      <c r="O35" s="28">
        <f t="shared" si="5"/>
        <v>0</v>
      </c>
      <c r="P35" s="28">
        <f t="shared" si="5"/>
        <v>0</v>
      </c>
      <c r="Q35" s="28">
        <f t="shared" si="5"/>
        <v>0</v>
      </c>
      <c r="R35" s="40">
        <f t="shared" si="5"/>
        <v>0</v>
      </c>
      <c r="S35" s="28">
        <f t="shared" si="5"/>
        <v>0</v>
      </c>
      <c r="T35" s="28">
        <f t="shared" si="5"/>
        <v>0</v>
      </c>
      <c r="U35" s="28">
        <f t="shared" si="5"/>
        <v>0</v>
      </c>
      <c r="V35" s="28">
        <f t="shared" si="5"/>
        <v>104</v>
      </c>
      <c r="W35" s="28">
        <f t="shared" si="5"/>
        <v>0</v>
      </c>
      <c r="X35" s="28">
        <f t="shared" si="5"/>
        <v>1045</v>
      </c>
      <c r="Y35" s="28">
        <f t="shared" si="5"/>
        <v>14</v>
      </c>
      <c r="Z35" s="28">
        <f t="shared" si="5"/>
        <v>1297</v>
      </c>
      <c r="AA35" s="28">
        <f t="shared" si="5"/>
        <v>0</v>
      </c>
      <c r="AB35" s="28">
        <f t="shared" si="5"/>
        <v>2</v>
      </c>
      <c r="AC35" s="28">
        <f t="shared" si="5"/>
        <v>1</v>
      </c>
      <c r="AD35" s="40">
        <f t="shared" si="5"/>
        <v>75905</v>
      </c>
      <c r="AE35" s="41">
        <f t="shared" si="5"/>
        <v>6876713</v>
      </c>
      <c r="AF35" s="29">
        <f t="shared" si="5"/>
        <v>1192</v>
      </c>
      <c r="AG35" s="27" t="s">
        <v>24</v>
      </c>
      <c r="AH35" s="27" t="s">
        <v>24</v>
      </c>
      <c r="AI35" s="28">
        <f>SUM(AI5:AI34)</f>
        <v>16028027.32</v>
      </c>
      <c r="AJ35" s="28">
        <f>SUM(AJ5:AJ34)</f>
        <v>16028016.59</v>
      </c>
      <c r="AK35" s="28">
        <f>SUM(AK5:AK34)</f>
        <v>10.730000000214204</v>
      </c>
      <c r="AL35" s="28">
        <f>AJ35+AE35</f>
        <v>22904729.59</v>
      </c>
      <c r="AM35" s="28">
        <f>SUM(AM5:AM34)</f>
        <v>0</v>
      </c>
    </row>
  </sheetData>
  <sheetProtection algorithmName="SHA-512" hashValue="C7JgQvWu/gzGBUfS80vyjgg9m1kodSiDkj9tHSbXLiZGdDLvWW9D3Cyoee3Km9SyK6GaO9Ax+8mdWBO0Ir1Rgw==" saltValue="Scy8DUVYGK/eWcOynwoX6g==" spinCount="100000" sheet="1" objects="1" scenarios="1"/>
  <mergeCells count="9">
    <mergeCell ref="A1:B1"/>
    <mergeCell ref="AH3:AM3"/>
    <mergeCell ref="AD3:AG3"/>
    <mergeCell ref="S3:AC3"/>
    <mergeCell ref="C3:F3"/>
    <mergeCell ref="G3:J3"/>
    <mergeCell ref="K3:N3"/>
    <mergeCell ref="O3:R3"/>
    <mergeCell ref="A3:B3"/>
  </mergeCells>
  <conditionalFormatting sqref="A5">
    <cfRule type="duplicateValues" dxfId="227" priority="3"/>
    <cfRule type="duplicateValues" dxfId="226" priority="4"/>
  </conditionalFormatting>
  <conditionalFormatting sqref="A6">
    <cfRule type="duplicateValues" dxfId="225" priority="5"/>
    <cfRule type="duplicateValues" dxfId="224" priority="6"/>
  </conditionalFormatting>
  <conditionalFormatting sqref="A7:A34">
    <cfRule type="duplicateValues" dxfId="223" priority="1"/>
    <cfRule type="duplicateValues" dxfId="222" priority="2"/>
  </conditionalFormatting>
  <conditionalFormatting sqref="A35">
    <cfRule type="duplicateValues" dxfId="221" priority="7"/>
  </conditionalFormatting>
  <dataValidations count="1">
    <dataValidation type="list" allowBlank="1" showInputMessage="1" showErrorMessage="1" sqref="A1:B1" xr:uid="{00000000-0002-0000-0200-000000000000}">
      <formula1>Locations</formula1>
    </dataValidation>
  </dataValidation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FF0000"/>
  </sheetPr>
  <dimension ref="A1:AM35"/>
  <sheetViews>
    <sheetView showGridLines="0" topLeftCell="A7" zoomScale="85" zoomScaleNormal="85" workbookViewId="0">
      <pane xSplit="2" topLeftCell="AC1" activePane="topRight" state="frozen"/>
      <selection activeCell="A4" sqref="A4"/>
      <selection pane="topRight" activeCell="AK25" sqref="AK25"/>
    </sheetView>
  </sheetViews>
  <sheetFormatPr defaultRowHeight="15" x14ac:dyDescent="0.25"/>
  <cols>
    <col min="1" max="1" width="11.85546875" customWidth="1"/>
    <col min="2" max="2" width="20.5703125" customWidth="1"/>
    <col min="6" max="6" width="14.42578125" bestFit="1" customWidth="1"/>
    <col min="10" max="10" width="14.42578125" bestFit="1" customWidth="1"/>
    <col min="14" max="14" width="14.42578125" bestFit="1" customWidth="1"/>
    <col min="18" max="18" width="14.42578125" bestFit="1" customWidth="1"/>
    <col min="30" max="31" width="18" customWidth="1"/>
    <col min="32" max="32" width="20" customWidth="1"/>
    <col min="33" max="33" width="14" customWidth="1"/>
    <col min="35" max="35" width="18" customWidth="1"/>
    <col min="36" max="36" width="22" customWidth="1"/>
    <col min="37" max="37" width="16" customWidth="1"/>
    <col min="38" max="38" width="14" customWidth="1"/>
  </cols>
  <sheetData>
    <row r="1" spans="1:39" ht="43.5" customHeight="1" x14ac:dyDescent="0.25">
      <c r="A1" s="48" t="s">
        <v>306</v>
      </c>
      <c r="B1" s="48"/>
    </row>
    <row r="2" spans="1:39" ht="13.5" customHeight="1" x14ac:dyDescent="0.25">
      <c r="A2" s="30">
        <f>'1'!A2+1</f>
        <v>46205</v>
      </c>
    </row>
    <row r="3" spans="1:39" ht="24" customHeight="1" x14ac:dyDescent="0.25">
      <c r="A3" s="49" t="s">
        <v>0</v>
      </c>
      <c r="B3" s="49"/>
      <c r="C3" s="49" t="s">
        <v>93</v>
      </c>
      <c r="D3" s="50"/>
      <c r="E3" s="50"/>
      <c r="F3" s="50"/>
      <c r="G3" s="49" t="s">
        <v>94</v>
      </c>
      <c r="H3" s="50"/>
      <c r="I3" s="50"/>
      <c r="J3" s="50"/>
      <c r="K3" s="49" t="s">
        <v>95</v>
      </c>
      <c r="L3" s="50"/>
      <c r="M3" s="50"/>
      <c r="N3" s="50"/>
      <c r="O3" s="49" t="s">
        <v>96</v>
      </c>
      <c r="P3" s="50"/>
      <c r="Q3" s="50"/>
      <c r="R3" s="50"/>
      <c r="S3" s="45" t="s">
        <v>1</v>
      </c>
      <c r="T3" s="46"/>
      <c r="U3" s="46"/>
      <c r="V3" s="46"/>
      <c r="W3" s="46"/>
      <c r="X3" s="46"/>
      <c r="Y3" s="46"/>
      <c r="Z3" s="46"/>
      <c r="AA3" s="46"/>
      <c r="AB3" s="46"/>
      <c r="AC3" s="46"/>
      <c r="AD3" s="47" t="s">
        <v>97</v>
      </c>
      <c r="AE3" s="46"/>
      <c r="AF3" s="46"/>
      <c r="AG3" s="46"/>
      <c r="AH3" s="47" t="s">
        <v>98</v>
      </c>
      <c r="AI3" s="46"/>
      <c r="AJ3" s="46"/>
      <c r="AK3" s="46"/>
      <c r="AL3" s="46"/>
      <c r="AM3" s="46"/>
    </row>
    <row r="4" spans="1:39" ht="27.95" customHeight="1" x14ac:dyDescent="0.25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92</v>
      </c>
      <c r="G4" s="1" t="s">
        <v>5</v>
      </c>
      <c r="H4" s="1" t="s">
        <v>6</v>
      </c>
      <c r="I4" s="1" t="s">
        <v>7</v>
      </c>
      <c r="J4" s="1" t="s">
        <v>92</v>
      </c>
      <c r="K4" s="1" t="s">
        <v>5</v>
      </c>
      <c r="L4" s="1" t="s">
        <v>6</v>
      </c>
      <c r="M4" s="1" t="s">
        <v>7</v>
      </c>
      <c r="N4" s="1" t="s">
        <v>92</v>
      </c>
      <c r="O4" s="1" t="s">
        <v>5</v>
      </c>
      <c r="P4" s="1" t="s">
        <v>6</v>
      </c>
      <c r="Q4" s="1" t="s">
        <v>7</v>
      </c>
      <c r="R4" s="1" t="s">
        <v>92</v>
      </c>
      <c r="S4" s="1" t="s">
        <v>5</v>
      </c>
      <c r="T4" s="1" t="s">
        <v>6</v>
      </c>
      <c r="U4" s="1" t="s">
        <v>7</v>
      </c>
      <c r="V4" s="1" t="s">
        <v>8</v>
      </c>
      <c r="W4" s="1" t="s">
        <v>9</v>
      </c>
      <c r="X4" s="1" t="s">
        <v>10</v>
      </c>
      <c r="Y4" s="1" t="s">
        <v>11</v>
      </c>
      <c r="Z4" s="1" t="s">
        <v>12</v>
      </c>
      <c r="AA4" s="1" t="s">
        <v>13</v>
      </c>
      <c r="AB4" s="1" t="s">
        <v>14</v>
      </c>
      <c r="AC4" s="1" t="s">
        <v>15</v>
      </c>
      <c r="AD4" s="1" t="s">
        <v>16</v>
      </c>
      <c r="AE4" s="1" t="s">
        <v>17</v>
      </c>
      <c r="AF4" s="1" t="s">
        <v>18</v>
      </c>
      <c r="AG4" s="1" t="s">
        <v>19</v>
      </c>
      <c r="AH4" s="1" t="s">
        <v>20</v>
      </c>
      <c r="AI4" s="4" t="s">
        <v>99</v>
      </c>
      <c r="AJ4" s="1" t="s">
        <v>21</v>
      </c>
      <c r="AK4" s="1" t="s">
        <v>22</v>
      </c>
      <c r="AL4" s="1" t="s">
        <v>23</v>
      </c>
      <c r="AM4" s="4" t="s">
        <v>100</v>
      </c>
    </row>
    <row r="5" spans="1:39" ht="12.75" customHeight="1" x14ac:dyDescent="0.25">
      <c r="A5" s="31">
        <v>59257</v>
      </c>
      <c r="B5" s="32" t="str">
        <f>IF(A5="","",VLOOKUP(A5,'Employee Database'!A:B,2,FALSE))</f>
        <v>Saddiqa Maryam</v>
      </c>
      <c r="C5" s="31">
        <v>76</v>
      </c>
      <c r="D5" s="31">
        <v>114</v>
      </c>
      <c r="E5" s="31">
        <v>20</v>
      </c>
      <c r="F5" s="39">
        <f>IF(COUNT(C5:E5)=0,0,SUMPRODUCT({5000,1000,500},C5:E5))</f>
        <v>504000</v>
      </c>
      <c r="G5" s="31"/>
      <c r="H5" s="31"/>
      <c r="I5" s="31"/>
      <c r="J5" s="39">
        <f>IF(COUNT(G5:I5)=0,0,SUMPRODUCT({5000,1000,500},G5:I5))</f>
        <v>0</v>
      </c>
      <c r="K5" s="31"/>
      <c r="L5" s="31"/>
      <c r="M5" s="31"/>
      <c r="N5" s="39">
        <f>IF(COUNT(K5:M5)=0,0,SUMPRODUCT({5000,1000,500},K5:M5))</f>
        <v>0</v>
      </c>
      <c r="O5" s="31"/>
      <c r="P5" s="31"/>
      <c r="Q5" s="31"/>
      <c r="R5" s="39">
        <f>IF(COUNT(O5:Q5)=0,0,SUMPRODUCT({5000,1000,500},O5:Q5))</f>
        <v>0</v>
      </c>
      <c r="S5" s="31"/>
      <c r="T5" s="31"/>
      <c r="U5" s="31"/>
      <c r="V5" s="31">
        <v>1</v>
      </c>
      <c r="W5" s="31"/>
      <c r="X5" s="31">
        <v>32</v>
      </c>
      <c r="Y5" s="31"/>
      <c r="Z5" s="31">
        <v>22</v>
      </c>
      <c r="AA5" s="31"/>
      <c r="AB5" s="31"/>
      <c r="AC5" s="31"/>
      <c r="AD5" s="34">
        <f>IF(COUNT(S5:AC5)=0,0,SUMPRODUCT({5000,1000,500,100,75,50,20,10,5,2,1}, S5:AC5))</f>
        <v>1920</v>
      </c>
      <c r="AE5" s="33">
        <v>506105</v>
      </c>
      <c r="AF5" s="24">
        <f>IF(AND(COUNT(C5:E5)=0,COUNT(G5:I5)=0,COUNT(K5:M5)=0,COUNT(O5:Q5)=0,COUNT(S5:AC5)=0,AE5=""),"",(IF(COUNT(C5:E5)=0,0,SUMPRODUCT({5000,1000,500},C5:E5))+IF(COUNT(G5:I5)=0,0,SUMPRODUCT({5000,1000,500},G5:I5))+IF(COUNT(K5:M5)=0,0,SUMPRODUCT({5000,1000,500},K5:M5))+IF(COUNT(O5:Q5)=0,0,SUMPRODUCT({5000,1000,500},O5:Q5))+AD5)-N(AE5))</f>
        <v>-185</v>
      </c>
      <c r="AG5" s="35" t="str">
        <f t="shared" ref="AG5:AG34" si="0">IF(AF5="","",IF(AF5&gt;0,"Excess",IF(AF5&lt;0,"Short","Balanced")))</f>
        <v>Short</v>
      </c>
      <c r="AH5" s="38"/>
      <c r="AI5" s="36">
        <v>865057.98</v>
      </c>
      <c r="AJ5" s="37">
        <f>338490.16+526567.82</f>
        <v>865057.98</v>
      </c>
      <c r="AK5" s="26">
        <f t="shared" ref="AK5:AK18" si="1">IF(AND(AI5="",AJ5=""),"",N(AI5)-N(AJ5))</f>
        <v>0</v>
      </c>
      <c r="AL5" s="25" t="str">
        <f t="shared" ref="AL5:AL18" si="2">IF(AK5="","",IF(AK5&gt;0,"POS Excess",IF(AK5&lt;0,"Bank Short","Matched")))</f>
        <v>Matched</v>
      </c>
      <c r="AM5" s="38"/>
    </row>
    <row r="6" spans="1:39" ht="12.75" customHeight="1" x14ac:dyDescent="0.25">
      <c r="A6" s="31">
        <v>58112</v>
      </c>
      <c r="B6" s="32" t="str">
        <f>IF(A6="","",VLOOKUP(A6,'Employee Database'!A:B,2,FALSE))</f>
        <v>Shama</v>
      </c>
      <c r="C6" s="31">
        <v>63</v>
      </c>
      <c r="D6" s="31">
        <v>232</v>
      </c>
      <c r="E6" s="31">
        <v>10</v>
      </c>
      <c r="F6" s="39">
        <f>IF(COUNT(C6:E6)=0,0,SUMPRODUCT({5000,1000,500},C6:E6))</f>
        <v>552000</v>
      </c>
      <c r="G6" s="31"/>
      <c r="H6" s="31"/>
      <c r="I6" s="31"/>
      <c r="J6" s="39">
        <f>IF(COUNT(G6:I6)=0,0,SUMPRODUCT({5000,1000,500},G6:I6))</f>
        <v>0</v>
      </c>
      <c r="K6" s="31"/>
      <c r="L6" s="31"/>
      <c r="M6" s="31"/>
      <c r="N6" s="39">
        <f>IF(COUNT(K6:M6)=0,0,SUMPRODUCT({5000,1000,500},K6:M6))</f>
        <v>0</v>
      </c>
      <c r="O6" s="31"/>
      <c r="P6" s="31"/>
      <c r="Q6" s="31"/>
      <c r="R6" s="39">
        <f>IF(COUNT(O6:Q6)=0,0,SUMPRODUCT({5000,1000,500},O6:Q6))</f>
        <v>0</v>
      </c>
      <c r="S6" s="31"/>
      <c r="T6" s="31"/>
      <c r="U6" s="31"/>
      <c r="V6" s="31"/>
      <c r="W6" s="31"/>
      <c r="X6" s="31"/>
      <c r="Y6" s="31"/>
      <c r="Z6" s="31">
        <v>55</v>
      </c>
      <c r="AA6" s="31"/>
      <c r="AB6" s="31"/>
      <c r="AC6" s="31"/>
      <c r="AD6" s="34">
        <f>IF(COUNT(S6:AC6)=0,0,SUMPRODUCT({5000,1000,500,100,75,50,20,10,5,2,1}, S6:AC6))</f>
        <v>550</v>
      </c>
      <c r="AE6" s="33">
        <v>552561</v>
      </c>
      <c r="AF6" s="24">
        <f>IF(AND(COUNT(C6:E6)=0,COUNT(G6:I6)=0,COUNT(K6:M6)=0,COUNT(O6:Q6)=0,COUNT(S6:AC6)=0,AE6=""),"",(IF(COUNT(C6:E6)=0,0,SUMPRODUCT({5000,1000,500},C6:E6))+IF(COUNT(G6:I6)=0,0,SUMPRODUCT({5000,1000,500},G6:I6))+IF(COUNT(K6:M6)=0,0,SUMPRODUCT({5000,1000,500},K6:M6))+IF(COUNT(O6:Q6)=0,0,SUMPRODUCT({5000,1000,500},O6:Q6))+AD6)-N(AE6))</f>
        <v>-11</v>
      </c>
      <c r="AG6" s="35" t="str">
        <f t="shared" si="0"/>
        <v>Short</v>
      </c>
      <c r="AH6" s="38"/>
      <c r="AI6" s="36">
        <v>791931.54</v>
      </c>
      <c r="AJ6" s="37">
        <f>455817.66+336113.88</f>
        <v>791931.54</v>
      </c>
      <c r="AK6" s="26">
        <f t="shared" si="1"/>
        <v>0</v>
      </c>
      <c r="AL6" s="25" t="str">
        <f t="shared" si="2"/>
        <v>Matched</v>
      </c>
      <c r="AM6" s="38"/>
    </row>
    <row r="7" spans="1:39" ht="12.75" customHeight="1" x14ac:dyDescent="0.25">
      <c r="A7" s="31">
        <v>69726</v>
      </c>
      <c r="B7" s="32" t="str">
        <f>IF(A7="","",VLOOKUP(A7,'Employee Database'!A:B,2,FALSE))</f>
        <v>M Arslan</v>
      </c>
      <c r="C7" s="31">
        <v>17</v>
      </c>
      <c r="D7" s="31">
        <v>42</v>
      </c>
      <c r="E7" s="31">
        <v>4</v>
      </c>
      <c r="F7" s="39">
        <f>IF(COUNT(C7:E7)=0,0,SUMPRODUCT({5000,1000,500},C7:E7))</f>
        <v>129000</v>
      </c>
      <c r="G7" s="31"/>
      <c r="H7" s="31"/>
      <c r="I7" s="31"/>
      <c r="J7" s="39">
        <f>IF(COUNT(G7:I7)=0,0,SUMPRODUCT({5000,1000,500},G7:I7))</f>
        <v>0</v>
      </c>
      <c r="K7" s="31"/>
      <c r="L7" s="31"/>
      <c r="M7" s="31"/>
      <c r="N7" s="39">
        <f>IF(COUNT(K7:M7)=0,0,SUMPRODUCT({5000,1000,500},K7:M7))</f>
        <v>0</v>
      </c>
      <c r="O7" s="31"/>
      <c r="P7" s="31"/>
      <c r="Q7" s="31"/>
      <c r="R7" s="39">
        <f>IF(COUNT(O7:Q7)=0,0,SUMPRODUCT({5000,1000,500},O7:Q7))</f>
        <v>0</v>
      </c>
      <c r="S7" s="31"/>
      <c r="T7" s="31"/>
      <c r="U7" s="31"/>
      <c r="V7" s="31"/>
      <c r="W7" s="31"/>
      <c r="X7" s="31">
        <v>3</v>
      </c>
      <c r="Y7" s="31"/>
      <c r="Z7" s="31">
        <v>44</v>
      </c>
      <c r="AA7" s="31"/>
      <c r="AB7" s="31"/>
      <c r="AC7" s="31"/>
      <c r="AD7" s="34">
        <f>IF(COUNT(S7:AC7)=0,0,SUMPRODUCT({5000,1000,500,100,75,50,20,10,5,2,1}, S7:AC7))</f>
        <v>590</v>
      </c>
      <c r="AE7" s="33">
        <v>129550</v>
      </c>
      <c r="AF7" s="24">
        <f>IF(AND(COUNT(C7:E7)=0,COUNT(G7:I7)=0,COUNT(K7:M7)=0,COUNT(O7:Q7)=0,COUNT(S7:AC7)=0,AE7=""),"",(IF(COUNT(C7:E7)=0,0,SUMPRODUCT({5000,1000,500},C7:E7))+IF(COUNT(G7:I7)=0,0,SUMPRODUCT({5000,1000,500},G7:I7))+IF(COUNT(K7:M7)=0,0,SUMPRODUCT({5000,1000,500},K7:M7))+IF(COUNT(O7:Q7)=0,0,SUMPRODUCT({5000,1000,500},O7:Q7))+AD7)-N(AE7))</f>
        <v>40</v>
      </c>
      <c r="AG7" s="35" t="str">
        <f t="shared" si="0"/>
        <v>Excess</v>
      </c>
      <c r="AH7" s="38"/>
      <c r="AI7" s="36">
        <v>257699.68</v>
      </c>
      <c r="AJ7" s="37">
        <v>257699.68</v>
      </c>
      <c r="AK7" s="26">
        <f t="shared" si="1"/>
        <v>0</v>
      </c>
      <c r="AL7" s="25" t="str">
        <f t="shared" si="2"/>
        <v>Matched</v>
      </c>
      <c r="AM7" s="38"/>
    </row>
    <row r="8" spans="1:39" ht="12.75" customHeight="1" x14ac:dyDescent="0.25">
      <c r="A8" s="31">
        <v>63854</v>
      </c>
      <c r="B8" s="32" t="str">
        <f>IF(A8="","",VLOOKUP(A8,'Employee Database'!A:B,2,FALSE))</f>
        <v>Maham</v>
      </c>
      <c r="C8" s="31">
        <v>3</v>
      </c>
      <c r="D8" s="31">
        <v>19</v>
      </c>
      <c r="E8" s="31">
        <v>4</v>
      </c>
      <c r="F8" s="39">
        <f>IF(COUNT(C8:E8)=0,0,SUMPRODUCT({5000,1000,500},C8:E8))</f>
        <v>36000</v>
      </c>
      <c r="G8" s="31"/>
      <c r="H8" s="31"/>
      <c r="I8" s="31"/>
      <c r="J8" s="39">
        <f>IF(COUNT(G8:I8)=0,0,SUMPRODUCT({5000,1000,500},G8:I8))</f>
        <v>0</v>
      </c>
      <c r="K8" s="31"/>
      <c r="L8" s="31"/>
      <c r="M8" s="31"/>
      <c r="N8" s="39">
        <f>IF(COUNT(K8:M8)=0,0,SUMPRODUCT({5000,1000,500},K8:M8))</f>
        <v>0</v>
      </c>
      <c r="O8" s="31"/>
      <c r="P8" s="31"/>
      <c r="Q8" s="31"/>
      <c r="R8" s="39">
        <f>IF(COUNT(O8:Q8)=0,0,SUMPRODUCT({5000,1000,500},O8:Q8))</f>
        <v>0</v>
      </c>
      <c r="S8" s="31"/>
      <c r="T8" s="31"/>
      <c r="U8" s="31"/>
      <c r="V8" s="31"/>
      <c r="W8" s="31"/>
      <c r="X8" s="31">
        <v>8</v>
      </c>
      <c r="Y8" s="31"/>
      <c r="Z8" s="31">
        <v>12</v>
      </c>
      <c r="AA8" s="31"/>
      <c r="AB8" s="31"/>
      <c r="AC8" s="31"/>
      <c r="AD8" s="34">
        <f>IF(COUNT(S8:AC8)=0,0,SUMPRODUCT({5000,1000,500,100,75,50,20,10,5,2,1}, S8:AC8))</f>
        <v>520</v>
      </c>
      <c r="AE8" s="33">
        <v>36483</v>
      </c>
      <c r="AF8" s="24">
        <f>IF(AND(COUNT(C8:E8)=0,COUNT(G8:I8)=0,COUNT(K8:M8)=0,COUNT(O8:Q8)=0,COUNT(S8:AC8)=0,AE8=""),"",(IF(COUNT(C8:E8)=0,0,SUMPRODUCT({5000,1000,500},C8:E8))+IF(COUNT(G8:I8)=0,0,SUMPRODUCT({5000,1000,500},G8:I8))+IF(COUNT(K8:M8)=0,0,SUMPRODUCT({5000,1000,500},K8:M8))+IF(COUNT(O8:Q8)=0,0,SUMPRODUCT({5000,1000,500},O8:Q8))+AD8)-N(AE8))</f>
        <v>37</v>
      </c>
      <c r="AG8" s="35" t="str">
        <f t="shared" si="0"/>
        <v>Excess</v>
      </c>
      <c r="AH8" s="38"/>
      <c r="AI8" s="36">
        <v>50144.49</v>
      </c>
      <c r="AJ8" s="37">
        <f>40719.05+9425.44</f>
        <v>50144.490000000005</v>
      </c>
      <c r="AK8" s="26">
        <f t="shared" si="1"/>
        <v>-7.2759576141834259E-12</v>
      </c>
      <c r="AL8" s="25" t="str">
        <f t="shared" si="2"/>
        <v>Bank Short</v>
      </c>
      <c r="AM8" s="38"/>
    </row>
    <row r="9" spans="1:39" ht="12.75" customHeight="1" x14ac:dyDescent="0.25">
      <c r="A9" s="31">
        <v>76411</v>
      </c>
      <c r="B9" s="32" t="str">
        <f>IF(A9="","",VLOOKUP(A9,'Employee Database'!A:B,2,FALSE))</f>
        <v>Zubair</v>
      </c>
      <c r="C9" s="31">
        <v>68</v>
      </c>
      <c r="D9" s="31">
        <v>144</v>
      </c>
      <c r="E9" s="31">
        <v>18</v>
      </c>
      <c r="F9" s="39">
        <f>IF(COUNT(C9:E9)=0,0,SUMPRODUCT({5000,1000,500},C9:E9))</f>
        <v>493000</v>
      </c>
      <c r="G9" s="31"/>
      <c r="H9" s="31"/>
      <c r="I9" s="31"/>
      <c r="J9" s="39">
        <f>IF(COUNT(G9:I9)=0,0,SUMPRODUCT({5000,1000,500},G9:I9))</f>
        <v>0</v>
      </c>
      <c r="K9" s="31"/>
      <c r="L9" s="31"/>
      <c r="M9" s="31"/>
      <c r="N9" s="39">
        <f>IF(COUNT(K9:M9)=0,0,SUMPRODUCT({5000,1000,500},K9:M9))</f>
        <v>0</v>
      </c>
      <c r="O9" s="31"/>
      <c r="P9" s="31"/>
      <c r="Q9" s="31"/>
      <c r="R9" s="39">
        <f>IF(COUNT(O9:Q9)=0,0,SUMPRODUCT({5000,1000,500},O9:Q9))</f>
        <v>0</v>
      </c>
      <c r="S9" s="31"/>
      <c r="T9" s="31"/>
      <c r="U9" s="31"/>
      <c r="V9" s="31"/>
      <c r="W9" s="31"/>
      <c r="X9" s="31">
        <v>3</v>
      </c>
      <c r="Y9" s="31"/>
      <c r="Z9" s="31">
        <v>9</v>
      </c>
      <c r="AA9" s="31"/>
      <c r="AB9" s="31"/>
      <c r="AC9" s="31"/>
      <c r="AD9" s="34">
        <f>IF(COUNT(S9:AC9)=0,0,SUMPRODUCT({5000,1000,500,100,75,50,20,10,5,2,1}, S9:AC9))</f>
        <v>240</v>
      </c>
      <c r="AE9" s="33">
        <v>493195</v>
      </c>
      <c r="AF9" s="24">
        <f>IF(AND(COUNT(C9:E9)=0,COUNT(G9:I9)=0,COUNT(K9:M9)=0,COUNT(O9:Q9)=0,COUNT(S9:AC9)=0,AE9=""),"",(IF(COUNT(C9:E9)=0,0,SUMPRODUCT({5000,1000,500},C9:E9))+IF(COUNT(G9:I9)=0,0,SUMPRODUCT({5000,1000,500},G9:I9))+IF(COUNT(K9:M9)=0,0,SUMPRODUCT({5000,1000,500},K9:M9))+IF(COUNT(O9:Q9)=0,0,SUMPRODUCT({5000,1000,500},O9:Q9))+AD9)-N(AE9))</f>
        <v>45</v>
      </c>
      <c r="AG9" s="35" t="str">
        <f t="shared" si="0"/>
        <v>Excess</v>
      </c>
      <c r="AH9" s="38"/>
      <c r="AI9" s="36">
        <f>308733.47+342758.45</f>
        <v>651491.91999999993</v>
      </c>
      <c r="AJ9" s="37">
        <f>342758.45+308733.47</f>
        <v>651491.91999999993</v>
      </c>
      <c r="AK9" s="26">
        <f t="shared" si="1"/>
        <v>0</v>
      </c>
      <c r="AL9" s="25" t="str">
        <f t="shared" si="2"/>
        <v>Matched</v>
      </c>
      <c r="AM9" s="38"/>
    </row>
    <row r="10" spans="1:39" ht="12.75" customHeight="1" x14ac:dyDescent="0.25">
      <c r="A10" s="31">
        <v>77423</v>
      </c>
      <c r="B10" s="32" t="str">
        <f>IF(A10="","",VLOOKUP(A10,'Employee Database'!A:B,2,FALSE))</f>
        <v>Shoaib Akhtar</v>
      </c>
      <c r="C10" s="31">
        <v>53</v>
      </c>
      <c r="D10" s="31">
        <v>139</v>
      </c>
      <c r="E10" s="31">
        <v>49</v>
      </c>
      <c r="F10" s="39">
        <f>IF(COUNT(C10:E10)=0,0,SUMPRODUCT({5000,1000,500},C10:E10))</f>
        <v>428500</v>
      </c>
      <c r="G10" s="31"/>
      <c r="H10" s="31"/>
      <c r="I10" s="31"/>
      <c r="J10" s="39">
        <f>IF(COUNT(G10:I10)=0,0,SUMPRODUCT({5000,1000,500},G10:I10))</f>
        <v>0</v>
      </c>
      <c r="K10" s="31"/>
      <c r="L10" s="31"/>
      <c r="M10" s="31"/>
      <c r="N10" s="39">
        <f>IF(COUNT(K10:M10)=0,0,SUMPRODUCT({5000,1000,500},K10:M10))</f>
        <v>0</v>
      </c>
      <c r="O10" s="31"/>
      <c r="P10" s="31"/>
      <c r="Q10" s="31"/>
      <c r="R10" s="39">
        <f>IF(COUNT(O10:Q10)=0,0,SUMPRODUCT({5000,1000,500},O10:Q10))</f>
        <v>0</v>
      </c>
      <c r="S10" s="31"/>
      <c r="T10" s="31"/>
      <c r="U10" s="31"/>
      <c r="V10" s="31"/>
      <c r="W10" s="31"/>
      <c r="X10" s="31">
        <v>10</v>
      </c>
      <c r="Y10" s="31"/>
      <c r="Z10" s="31">
        <v>80</v>
      </c>
      <c r="AA10" s="31"/>
      <c r="AB10" s="31"/>
      <c r="AC10" s="31"/>
      <c r="AD10" s="34">
        <f>IF(COUNT(S10:AC10)=0,0,SUMPRODUCT({5000,1000,500,100,75,50,20,10,5,2,1}, S10:AC10))</f>
        <v>1300</v>
      </c>
      <c r="AE10" s="33">
        <v>429977</v>
      </c>
      <c r="AF10" s="24">
        <f>IF(AND(COUNT(C10:E10)=0,COUNT(G10:I10)=0,COUNT(K10:M10)=0,COUNT(O10:Q10)=0,COUNT(S10:AC10)=0,AE10=""),"",(IF(COUNT(C10:E10)=0,0,SUMPRODUCT({5000,1000,500},C10:E10))+IF(COUNT(G10:I10)=0,0,SUMPRODUCT({5000,1000,500},G10:I10))+IF(COUNT(K10:M10)=0,0,SUMPRODUCT({5000,1000,500},K10:M10))+IF(COUNT(O10:Q10)=0,0,SUMPRODUCT({5000,1000,500},O10:Q10))+AD10)-N(AE10))</f>
        <v>-177</v>
      </c>
      <c r="AG10" s="35" t="str">
        <f t="shared" si="0"/>
        <v>Short</v>
      </c>
      <c r="AH10" s="38"/>
      <c r="AI10" s="36">
        <v>871565.17</v>
      </c>
      <c r="AJ10" s="37">
        <f>543208.14+328357.03</f>
        <v>871565.17</v>
      </c>
      <c r="AK10" s="26">
        <f t="shared" si="1"/>
        <v>0</v>
      </c>
      <c r="AL10" s="25" t="str">
        <f t="shared" si="2"/>
        <v>Matched</v>
      </c>
      <c r="AM10" s="38"/>
    </row>
    <row r="11" spans="1:39" ht="12.75" customHeight="1" x14ac:dyDescent="0.25">
      <c r="A11" s="31">
        <v>68107</v>
      </c>
      <c r="B11" s="32" t="str">
        <f>IF(A11="","",VLOOKUP(A11,'Employee Database'!A:B,2,FALSE))</f>
        <v>M Harris</v>
      </c>
      <c r="C11" s="31">
        <v>26</v>
      </c>
      <c r="D11" s="31">
        <v>17</v>
      </c>
      <c r="E11" s="31">
        <v>0</v>
      </c>
      <c r="F11" s="39">
        <f>IF(COUNT(C11:E11)=0,0,SUMPRODUCT({5000,1000,500},C11:E11))</f>
        <v>147000</v>
      </c>
      <c r="G11" s="31"/>
      <c r="H11" s="31"/>
      <c r="I11" s="31"/>
      <c r="J11" s="39">
        <f>IF(COUNT(G11:I11)=0,0,SUMPRODUCT({5000,1000,500},G11:I11))</f>
        <v>0</v>
      </c>
      <c r="K11" s="31"/>
      <c r="L11" s="31"/>
      <c r="M11" s="31"/>
      <c r="N11" s="39">
        <f>IF(COUNT(K11:M11)=0,0,SUMPRODUCT({5000,1000,500},K11:M11))</f>
        <v>0</v>
      </c>
      <c r="O11" s="31"/>
      <c r="P11" s="31"/>
      <c r="Q11" s="31"/>
      <c r="R11" s="39">
        <f>IF(COUNT(O11:Q11)=0,0,SUMPRODUCT({5000,1000,500},O11:Q11))</f>
        <v>0</v>
      </c>
      <c r="S11" s="31"/>
      <c r="T11" s="31"/>
      <c r="U11" s="31"/>
      <c r="V11" s="31"/>
      <c r="W11" s="31"/>
      <c r="X11" s="31">
        <v>8</v>
      </c>
      <c r="Y11" s="31">
        <v>1</v>
      </c>
      <c r="Z11" s="31">
        <v>28</v>
      </c>
      <c r="AA11" s="31"/>
      <c r="AB11" s="31"/>
      <c r="AC11" s="31"/>
      <c r="AD11" s="34">
        <f>IF(COUNT(S11:AC11)=0,0,SUMPRODUCT({5000,1000,500,100,75,50,20,10,5,2,1}, S11:AC11))</f>
        <v>700</v>
      </c>
      <c r="AE11" s="33">
        <v>147772</v>
      </c>
      <c r="AF11" s="24">
        <f>IF(AND(COUNT(C11:E11)=0,COUNT(G11:I11)=0,COUNT(K11:M11)=0,COUNT(O11:Q11)=0,COUNT(S11:AC11)=0,AE11=""),"",(IF(COUNT(C11:E11)=0,0,SUMPRODUCT({5000,1000,500},C11:E11))+IF(COUNT(G11:I11)=0,0,SUMPRODUCT({5000,1000,500},G11:I11))+IF(COUNT(K11:M11)=0,0,SUMPRODUCT({5000,1000,500},K11:M11))+IF(COUNT(O11:Q11)=0,0,SUMPRODUCT({5000,1000,500},O11:Q11))+AD11)-N(AE11))</f>
        <v>-72</v>
      </c>
      <c r="AG11" s="35" t="str">
        <f t="shared" si="0"/>
        <v>Short</v>
      </c>
      <c r="AH11" s="38"/>
      <c r="AI11" s="36">
        <v>135064</v>
      </c>
      <c r="AJ11" s="37">
        <f>85046.34+50017.84</f>
        <v>135064.18</v>
      </c>
      <c r="AK11" s="26">
        <f t="shared" si="1"/>
        <v>-0.17999999999301508</v>
      </c>
      <c r="AL11" s="25" t="str">
        <f t="shared" si="2"/>
        <v>Bank Short</v>
      </c>
      <c r="AM11" s="38"/>
    </row>
    <row r="12" spans="1:39" ht="12.75" customHeight="1" x14ac:dyDescent="0.25">
      <c r="A12" s="31">
        <v>67249</v>
      </c>
      <c r="B12" s="32" t="str">
        <f>IF(A12="","",VLOOKUP(A12,'Employee Database'!A:B,2,FALSE))</f>
        <v>Hanan Javaid</v>
      </c>
      <c r="C12" s="31">
        <v>43</v>
      </c>
      <c r="D12" s="31">
        <v>155</v>
      </c>
      <c r="E12" s="31">
        <v>26</v>
      </c>
      <c r="F12" s="39">
        <f>IF(COUNT(C12:E12)=0,0,SUMPRODUCT({5000,1000,500},C12:E12))</f>
        <v>383000</v>
      </c>
      <c r="G12" s="31"/>
      <c r="H12" s="31"/>
      <c r="I12" s="31"/>
      <c r="J12" s="39">
        <f>IF(COUNT(G12:I12)=0,0,SUMPRODUCT({5000,1000,500},G12:I12))</f>
        <v>0</v>
      </c>
      <c r="K12" s="31"/>
      <c r="L12" s="31"/>
      <c r="M12" s="31"/>
      <c r="N12" s="39">
        <f>IF(COUNT(K12:M12)=0,0,SUMPRODUCT({5000,1000,500},K12:M12))</f>
        <v>0</v>
      </c>
      <c r="O12" s="31"/>
      <c r="P12" s="31"/>
      <c r="Q12" s="31"/>
      <c r="R12" s="39">
        <f>IF(COUNT(O12:Q12)=0,0,SUMPRODUCT({5000,1000,500},O12:Q12))</f>
        <v>0</v>
      </c>
      <c r="S12" s="31"/>
      <c r="T12" s="31"/>
      <c r="U12" s="31"/>
      <c r="V12" s="31"/>
      <c r="W12" s="31"/>
      <c r="X12" s="31">
        <v>93</v>
      </c>
      <c r="Y12" s="31"/>
      <c r="Z12" s="31">
        <v>9</v>
      </c>
      <c r="AA12" s="31"/>
      <c r="AB12" s="31"/>
      <c r="AC12" s="31"/>
      <c r="AD12" s="34">
        <f>IF(COUNT(S12:AC12)=0,0,SUMPRODUCT({5000,1000,500,100,75,50,20,10,5,2,1}, S12:AC12))</f>
        <v>4740</v>
      </c>
      <c r="AE12" s="33">
        <v>387768</v>
      </c>
      <c r="AF12" s="24">
        <f>IF(AND(COUNT(C12:E12)=0,COUNT(G12:I12)=0,COUNT(K12:M12)=0,COUNT(O12:Q12)=0,COUNT(S12:AC12)=0,AE12=""),"",(IF(COUNT(C12:E12)=0,0,SUMPRODUCT({5000,1000,500},C12:E12))+IF(COUNT(G12:I12)=0,0,SUMPRODUCT({5000,1000,500},G12:I12))+IF(COUNT(K12:M12)=0,0,SUMPRODUCT({5000,1000,500},K12:M12))+IF(COUNT(O12:Q12)=0,0,SUMPRODUCT({5000,1000,500},O12:Q12))+AD12)-N(AE12))</f>
        <v>-28</v>
      </c>
      <c r="AG12" s="35" t="str">
        <f t="shared" si="0"/>
        <v>Short</v>
      </c>
      <c r="AH12" s="38"/>
      <c r="AI12" s="36">
        <f>257058.26+9618.53</f>
        <v>266676.79000000004</v>
      </c>
      <c r="AJ12" s="37">
        <f>112745.51+144312.75+9618.53</f>
        <v>266676.79000000004</v>
      </c>
      <c r="AK12" s="26">
        <f t="shared" si="1"/>
        <v>0</v>
      </c>
      <c r="AL12" s="25" t="str">
        <f t="shared" si="2"/>
        <v>Matched</v>
      </c>
      <c r="AM12" s="38"/>
    </row>
    <row r="13" spans="1:39" ht="12.75" customHeight="1" x14ac:dyDescent="0.25">
      <c r="A13" s="31">
        <v>50313</v>
      </c>
      <c r="B13" s="32" t="str">
        <f>IF(A13="","",VLOOKUP(A13,'Employee Database'!A:B,2,FALSE))</f>
        <v>Waseem Raza</v>
      </c>
      <c r="C13" s="31">
        <v>11</v>
      </c>
      <c r="D13" s="31">
        <v>105</v>
      </c>
      <c r="E13" s="31"/>
      <c r="F13" s="39">
        <f>IF(COUNT(C13:E13)=0,0,SUMPRODUCT({5000,1000,500},C13:E13))</f>
        <v>160000</v>
      </c>
      <c r="G13" s="31"/>
      <c r="H13" s="31">
        <v>2</v>
      </c>
      <c r="I13" s="31"/>
      <c r="J13" s="39">
        <f>IF(COUNT(G13:I13)=0,0,SUMPRODUCT({5000,1000,500},G13:I13))</f>
        <v>2000</v>
      </c>
      <c r="K13" s="31"/>
      <c r="L13" s="31"/>
      <c r="M13" s="31"/>
      <c r="N13" s="39">
        <f>IF(COUNT(K13:M13)=0,0,SUMPRODUCT({5000,1000,500},K13:M13))</f>
        <v>0</v>
      </c>
      <c r="O13" s="31"/>
      <c r="P13" s="31"/>
      <c r="Q13" s="31"/>
      <c r="R13" s="39">
        <f>IF(COUNT(O13:Q13)=0,0,SUMPRODUCT({5000,1000,500},O13:Q13))</f>
        <v>0</v>
      </c>
      <c r="S13" s="31"/>
      <c r="T13" s="31"/>
      <c r="U13" s="31"/>
      <c r="V13" s="31"/>
      <c r="W13" s="31"/>
      <c r="X13" s="31">
        <v>26</v>
      </c>
      <c r="Y13" s="31"/>
      <c r="Z13" s="31">
        <v>5</v>
      </c>
      <c r="AA13" s="31"/>
      <c r="AB13" s="31"/>
      <c r="AC13" s="31"/>
      <c r="AD13" s="34">
        <f>IF(COUNT(S13:AC13)=0,0,SUMPRODUCT({5000,1000,500,100,75,50,20,10,5,2,1}, S13:AC13))</f>
        <v>1350</v>
      </c>
      <c r="AE13" s="33">
        <v>163359</v>
      </c>
      <c r="AF13" s="24">
        <f>IF(AND(COUNT(C13:E13)=0,COUNT(G13:I13)=0,COUNT(K13:M13)=0,COUNT(O13:Q13)=0,COUNT(S13:AC13)=0,AE13=""),"",(IF(COUNT(C13:E13)=0,0,SUMPRODUCT({5000,1000,500},C13:E13))+IF(COUNT(G13:I13)=0,0,SUMPRODUCT({5000,1000,500},G13:I13))+IF(COUNT(K13:M13)=0,0,SUMPRODUCT({5000,1000,500},K13:M13))+IF(COUNT(O13:Q13)=0,0,SUMPRODUCT({5000,1000,500},O13:Q13))+AD13)-N(AE13))</f>
        <v>-9</v>
      </c>
      <c r="AG13" s="35" t="str">
        <f t="shared" si="0"/>
        <v>Short</v>
      </c>
      <c r="AH13" s="38"/>
      <c r="AI13" s="36">
        <v>215996.15</v>
      </c>
      <c r="AJ13" s="37">
        <v>215996.15</v>
      </c>
      <c r="AK13" s="26">
        <f t="shared" si="1"/>
        <v>0</v>
      </c>
      <c r="AL13" s="25" t="str">
        <f t="shared" si="2"/>
        <v>Matched</v>
      </c>
      <c r="AM13" s="38"/>
    </row>
    <row r="14" spans="1:39" ht="12.75" customHeight="1" x14ac:dyDescent="0.25">
      <c r="A14" s="31">
        <v>69732</v>
      </c>
      <c r="B14" s="32" t="str">
        <f>IF(A14="","",VLOOKUP(A14,'Employee Database'!A:B,2,FALSE))</f>
        <v>Abdul Hafeez</v>
      </c>
      <c r="C14" s="31"/>
      <c r="D14" s="31"/>
      <c r="E14" s="31"/>
      <c r="F14" s="39">
        <f>IF(COUNT(C14:E14)=0,0,SUMPRODUCT({5000,1000,500},C14:E14))</f>
        <v>0</v>
      </c>
      <c r="G14" s="31">
        <v>20</v>
      </c>
      <c r="H14" s="31">
        <v>37</v>
      </c>
      <c r="I14" s="31">
        <v>6</v>
      </c>
      <c r="J14" s="39">
        <f>IF(COUNT(G14:I14)=0,0,SUMPRODUCT({5000,1000,500},G14:I14))</f>
        <v>140000</v>
      </c>
      <c r="K14" s="31"/>
      <c r="L14" s="31"/>
      <c r="M14" s="31"/>
      <c r="N14" s="39">
        <f>IF(COUNT(K14:M14)=0,0,SUMPRODUCT({5000,1000,500},K14:M14))</f>
        <v>0</v>
      </c>
      <c r="O14" s="31"/>
      <c r="P14" s="31"/>
      <c r="Q14" s="31"/>
      <c r="R14" s="39">
        <f>IF(COUNT(O14:Q14)=0,0,SUMPRODUCT({5000,1000,500},O14:Q14))</f>
        <v>0</v>
      </c>
      <c r="S14" s="31"/>
      <c r="T14" s="31"/>
      <c r="U14" s="31"/>
      <c r="V14" s="31"/>
      <c r="W14" s="31"/>
      <c r="X14" s="31">
        <v>15</v>
      </c>
      <c r="Y14" s="31"/>
      <c r="Z14" s="31">
        <v>12</v>
      </c>
      <c r="AA14" s="31"/>
      <c r="AB14" s="31"/>
      <c r="AC14" s="31"/>
      <c r="AD14" s="34">
        <f>IF(COUNT(S14:AC14)=0,0,SUMPRODUCT({5000,1000,500,100,75,50,20,10,5,2,1}, S14:AC14))</f>
        <v>870</v>
      </c>
      <c r="AE14" s="33">
        <v>140839</v>
      </c>
      <c r="AF14" s="24">
        <f>IF(AND(COUNT(C14:E14)=0,COUNT(G14:I14)=0,COUNT(K14:M14)=0,COUNT(O14:Q14)=0,COUNT(S14:AC14)=0,AE14=""),"",(IF(COUNT(C14:E14)=0,0,SUMPRODUCT({5000,1000,500},C14:E14))+IF(COUNT(G14:I14)=0,0,SUMPRODUCT({5000,1000,500},G14:I14))+IF(COUNT(K14:M14)=0,0,SUMPRODUCT({5000,1000,500},K14:M14))+IF(COUNT(O14:Q14)=0,0,SUMPRODUCT({5000,1000,500},O14:Q14))+AD14)-N(AE14))</f>
        <v>31</v>
      </c>
      <c r="AG14" s="35" t="str">
        <f t="shared" si="0"/>
        <v>Excess</v>
      </c>
      <c r="AH14" s="38"/>
      <c r="AI14" s="36">
        <v>437728.37</v>
      </c>
      <c r="AJ14" s="37">
        <f>329588.43+108139.94</f>
        <v>437728.37</v>
      </c>
      <c r="AK14" s="26">
        <f t="shared" si="1"/>
        <v>0</v>
      </c>
      <c r="AL14" s="25" t="str">
        <f t="shared" si="2"/>
        <v>Matched</v>
      </c>
      <c r="AM14" s="38"/>
    </row>
    <row r="15" spans="1:39" ht="12.75" customHeight="1" x14ac:dyDescent="0.25">
      <c r="A15" s="31">
        <v>67250</v>
      </c>
      <c r="B15" s="32" t="str">
        <f>IF(A15="","",VLOOKUP(A15,'Employee Database'!A:B,2,FALSE))</f>
        <v>M Fiaz</v>
      </c>
      <c r="C15" s="31"/>
      <c r="D15" s="31"/>
      <c r="E15" s="31"/>
      <c r="F15" s="39">
        <f>IF(COUNT(C15:E15)=0,0,SUMPRODUCT({5000,1000,500},C15:E15))</f>
        <v>0</v>
      </c>
      <c r="G15" s="31">
        <v>45</v>
      </c>
      <c r="H15" s="31">
        <v>240</v>
      </c>
      <c r="I15" s="31">
        <v>43</v>
      </c>
      <c r="J15" s="39">
        <f>IF(COUNT(G15:I15)=0,0,SUMPRODUCT({5000,1000,500},G15:I15))</f>
        <v>486500</v>
      </c>
      <c r="K15" s="31"/>
      <c r="L15" s="31"/>
      <c r="M15" s="31"/>
      <c r="N15" s="39">
        <f>IF(COUNT(K15:M15)=0,0,SUMPRODUCT({5000,1000,500},K15:M15))</f>
        <v>0</v>
      </c>
      <c r="O15" s="31"/>
      <c r="P15" s="31"/>
      <c r="Q15" s="31"/>
      <c r="R15" s="39">
        <f>IF(COUNT(O15:Q15)=0,0,SUMPRODUCT({5000,1000,500},O15:Q15))</f>
        <v>0</v>
      </c>
      <c r="S15" s="31"/>
      <c r="T15" s="31"/>
      <c r="U15" s="31"/>
      <c r="V15" s="31"/>
      <c r="W15" s="31"/>
      <c r="X15" s="31">
        <v>26</v>
      </c>
      <c r="Y15" s="31"/>
      <c r="Z15" s="31">
        <v>14</v>
      </c>
      <c r="AA15" s="31"/>
      <c r="AB15" s="31"/>
      <c r="AC15" s="31"/>
      <c r="AD15" s="34">
        <f>IF(COUNT(S15:AC15)=0,0,SUMPRODUCT({5000,1000,500,100,75,50,20,10,5,2,1}, S15:AC15))</f>
        <v>1440</v>
      </c>
      <c r="AE15" s="33">
        <v>487951</v>
      </c>
      <c r="AF15" s="24">
        <f>IF(AND(COUNT(C15:E15)=0,COUNT(G15:I15)=0,COUNT(K15:M15)=0,COUNT(O15:Q15)=0,COUNT(S15:AC15)=0,AE15=""),"",(IF(COUNT(C15:E15)=0,0,SUMPRODUCT({5000,1000,500},C15:E15))+IF(COUNT(G15:I15)=0,0,SUMPRODUCT({5000,1000,500},G15:I15))+IF(COUNT(K15:M15)=0,0,SUMPRODUCT({5000,1000,500},K15:M15))+IF(COUNT(O15:Q15)=0,0,SUMPRODUCT({5000,1000,500},O15:Q15))+AD15)-N(AE15))</f>
        <v>-11</v>
      </c>
      <c r="AG15" s="35" t="str">
        <f t="shared" si="0"/>
        <v>Short</v>
      </c>
      <c r="AH15" s="38"/>
      <c r="AI15" s="36">
        <v>898045.99</v>
      </c>
      <c r="AJ15" s="37">
        <v>898045.99</v>
      </c>
      <c r="AK15" s="26">
        <f t="shared" si="1"/>
        <v>0</v>
      </c>
      <c r="AL15" s="25" t="str">
        <f t="shared" si="2"/>
        <v>Matched</v>
      </c>
      <c r="AM15" s="38"/>
    </row>
    <row r="16" spans="1:39" ht="12.75" customHeight="1" x14ac:dyDescent="0.25">
      <c r="A16" s="31">
        <v>50134</v>
      </c>
      <c r="B16" s="32" t="str">
        <f>IF(A16="","",VLOOKUP(A16,'Employee Database'!A:B,2,FALSE))</f>
        <v>Asif Abbas</v>
      </c>
      <c r="C16" s="31"/>
      <c r="D16" s="31"/>
      <c r="E16" s="31"/>
      <c r="F16" s="39">
        <f>IF(COUNT(C16:E16)=0,0,SUMPRODUCT({5000,1000,500},C16:E16))</f>
        <v>0</v>
      </c>
      <c r="G16" s="31">
        <v>18</v>
      </c>
      <c r="H16" s="31">
        <v>124</v>
      </c>
      <c r="I16" s="31">
        <v>0</v>
      </c>
      <c r="J16" s="39">
        <f>IF(COUNT(G16:I16)=0,0,SUMPRODUCT({5000,1000,500},G16:I16))</f>
        <v>214000</v>
      </c>
      <c r="K16" s="31"/>
      <c r="L16" s="31"/>
      <c r="M16" s="31"/>
      <c r="N16" s="39">
        <f>IF(COUNT(K16:M16)=0,0,SUMPRODUCT({5000,1000,500},K16:M16))</f>
        <v>0</v>
      </c>
      <c r="O16" s="31"/>
      <c r="P16" s="31"/>
      <c r="Q16" s="31"/>
      <c r="R16" s="39">
        <f>IF(COUNT(O16:Q16)=0,0,SUMPRODUCT({5000,1000,500},O16:Q16))</f>
        <v>0</v>
      </c>
      <c r="S16" s="31"/>
      <c r="T16" s="31"/>
      <c r="U16" s="31"/>
      <c r="V16" s="31">
        <v>4</v>
      </c>
      <c r="W16" s="31"/>
      <c r="X16" s="31">
        <v>46</v>
      </c>
      <c r="Y16" s="31"/>
      <c r="Z16" s="31">
        <v>77</v>
      </c>
      <c r="AA16" s="31"/>
      <c r="AB16" s="31"/>
      <c r="AC16" s="31"/>
      <c r="AD16" s="34">
        <f>IF(COUNT(S16:AC16)=0,0,SUMPRODUCT({5000,1000,500,100,75,50,20,10,5,2,1}, S16:AC16))</f>
        <v>3470</v>
      </c>
      <c r="AE16" s="33">
        <v>217470</v>
      </c>
      <c r="AF16" s="24">
        <f>IF(AND(COUNT(C16:E16)=0,COUNT(G16:I16)=0,COUNT(K16:M16)=0,COUNT(O16:Q16)=0,COUNT(S16:AC16)=0,AE16=""),"",(IF(COUNT(C16:E16)=0,0,SUMPRODUCT({5000,1000,500},C16:E16))+IF(COUNT(G16:I16)=0,0,SUMPRODUCT({5000,1000,500},G16:I16))+IF(COUNT(K16:M16)=0,0,SUMPRODUCT({5000,1000,500},K16:M16))+IF(COUNT(O16:Q16)=0,0,SUMPRODUCT({5000,1000,500},O16:Q16))+AD16)-N(AE16))</f>
        <v>0</v>
      </c>
      <c r="AG16" s="35" t="str">
        <f t="shared" si="0"/>
        <v>Balanced</v>
      </c>
      <c r="AH16" s="38"/>
      <c r="AI16" s="36">
        <v>448080.74</v>
      </c>
      <c r="AJ16" s="37">
        <v>448080.74</v>
      </c>
      <c r="AK16" s="26">
        <f t="shared" si="1"/>
        <v>0</v>
      </c>
      <c r="AL16" s="25" t="str">
        <f t="shared" si="2"/>
        <v>Matched</v>
      </c>
      <c r="AM16" s="38"/>
    </row>
    <row r="17" spans="1:39" ht="12.75" customHeight="1" x14ac:dyDescent="0.25">
      <c r="A17" s="31">
        <v>53893</v>
      </c>
      <c r="B17" s="32" t="str">
        <f>IF(A17="","",VLOOKUP(A17,'Employee Database'!A:B,2,FALSE))</f>
        <v>M Binyameen</v>
      </c>
      <c r="C17" s="31"/>
      <c r="D17" s="31"/>
      <c r="E17" s="31"/>
      <c r="F17" s="39">
        <f>IF(COUNT(C17:E17)=0,0,SUMPRODUCT({5000,1000,500},C17:E17))</f>
        <v>0</v>
      </c>
      <c r="G17" s="31">
        <v>29</v>
      </c>
      <c r="H17" s="31">
        <v>137</v>
      </c>
      <c r="I17" s="31">
        <v>1</v>
      </c>
      <c r="J17" s="39">
        <f>IF(COUNT(G17:I17)=0,0,SUMPRODUCT({5000,1000,500},G17:I17))</f>
        <v>282500</v>
      </c>
      <c r="K17" s="31"/>
      <c r="L17" s="31"/>
      <c r="M17" s="31"/>
      <c r="N17" s="39">
        <f>IF(COUNT(K17:M17)=0,0,SUMPRODUCT({5000,1000,500},K17:M17))</f>
        <v>0</v>
      </c>
      <c r="O17" s="31"/>
      <c r="P17" s="31"/>
      <c r="Q17" s="31"/>
      <c r="R17" s="39">
        <f>IF(COUNT(O17:Q17)=0,0,SUMPRODUCT({5000,1000,500},O17:Q17))</f>
        <v>0</v>
      </c>
      <c r="S17" s="31"/>
      <c r="T17" s="31"/>
      <c r="U17" s="31"/>
      <c r="V17" s="31">
        <v>4</v>
      </c>
      <c r="W17" s="31"/>
      <c r="X17" s="31">
        <v>6</v>
      </c>
      <c r="Y17" s="31">
        <v>1</v>
      </c>
      <c r="Z17" s="31">
        <v>72</v>
      </c>
      <c r="AA17" s="31"/>
      <c r="AB17" s="31"/>
      <c r="AC17" s="31"/>
      <c r="AD17" s="34">
        <f>IF(COUNT(S17:AC17)=0,0,SUMPRODUCT({5000,1000,500,100,75,50,20,10,5,2,1}, S17:AC17))</f>
        <v>1440</v>
      </c>
      <c r="AE17" s="33">
        <v>283951</v>
      </c>
      <c r="AF17" s="24">
        <f>IF(AND(COUNT(C17:E17)=0,COUNT(G17:I17)=0,COUNT(K17:M17)=0,COUNT(O17:Q17)=0,COUNT(S17:AC17)=0,AE17=""),"",(IF(COUNT(C17:E17)=0,0,SUMPRODUCT({5000,1000,500},C17:E17))+IF(COUNT(G17:I17)=0,0,SUMPRODUCT({5000,1000,500},G17:I17))+IF(COUNT(K17:M17)=0,0,SUMPRODUCT({5000,1000,500},K17:M17))+IF(COUNT(O17:Q17)=0,0,SUMPRODUCT({5000,1000,500},O17:Q17))+AD17)-N(AE17))</f>
        <v>-11</v>
      </c>
      <c r="AG17" s="35" t="str">
        <f t="shared" si="0"/>
        <v>Short</v>
      </c>
      <c r="AH17" s="38"/>
      <c r="AI17" s="36">
        <f>66575+577127.5</f>
        <v>643702.5</v>
      </c>
      <c r="AJ17" s="37">
        <f>66575+577127.5</f>
        <v>643702.5</v>
      </c>
      <c r="AK17" s="26">
        <f t="shared" si="1"/>
        <v>0</v>
      </c>
      <c r="AL17" s="25" t="str">
        <f t="shared" si="2"/>
        <v>Matched</v>
      </c>
      <c r="AM17" s="38"/>
    </row>
    <row r="18" spans="1:39" ht="12.75" customHeight="1" x14ac:dyDescent="0.25">
      <c r="A18" s="31">
        <v>71788</v>
      </c>
      <c r="B18" s="32" t="str">
        <f>IF(A18="","",VLOOKUP(A18,'Employee Database'!A:B,2,FALSE))</f>
        <v>Saaim</v>
      </c>
      <c r="C18" s="31"/>
      <c r="D18" s="31"/>
      <c r="E18" s="31"/>
      <c r="F18" s="39">
        <f>IF(COUNT(C18:E18)=0,0,SUMPRODUCT({5000,1000,500},C18:E18))</f>
        <v>0</v>
      </c>
      <c r="G18" s="31">
        <v>85</v>
      </c>
      <c r="H18" s="31">
        <v>181</v>
      </c>
      <c r="I18" s="31"/>
      <c r="J18" s="39">
        <f>IF(COUNT(G18:I18)=0,0,SUMPRODUCT({5000,1000,500},G18:I18))</f>
        <v>606000</v>
      </c>
      <c r="K18" s="31"/>
      <c r="L18" s="31"/>
      <c r="M18" s="31"/>
      <c r="N18" s="39">
        <f>IF(COUNT(K18:M18)=0,0,SUMPRODUCT({5000,1000,500},K18:M18))</f>
        <v>0</v>
      </c>
      <c r="O18" s="31"/>
      <c r="P18" s="31"/>
      <c r="Q18" s="31"/>
      <c r="R18" s="39">
        <f>IF(COUNT(O18:Q18)=0,0,SUMPRODUCT({5000,1000,500},O18:Q18))</f>
        <v>0</v>
      </c>
      <c r="S18" s="31"/>
      <c r="T18" s="31"/>
      <c r="U18" s="31"/>
      <c r="V18" s="31"/>
      <c r="W18" s="31"/>
      <c r="X18" s="31">
        <v>8</v>
      </c>
      <c r="Y18" s="31">
        <v>1</v>
      </c>
      <c r="Z18" s="31">
        <v>46</v>
      </c>
      <c r="AA18" s="31"/>
      <c r="AB18" s="31"/>
      <c r="AC18" s="31"/>
      <c r="AD18" s="34">
        <f>IF(COUNT(S18:AC18)=0,0,SUMPRODUCT({5000,1000,500,100,75,50,20,10,5,2,1}, S18:AC18))</f>
        <v>880</v>
      </c>
      <c r="AE18" s="33">
        <v>606924</v>
      </c>
      <c r="AF18" s="24">
        <f>IF(AND(COUNT(C18:E18)=0,COUNT(G18:I18)=0,COUNT(K18:M18)=0,COUNT(O18:Q18)=0,COUNT(S18:AC18)=0,AE18=""),"",(IF(COUNT(C18:E18)=0,0,SUMPRODUCT({5000,1000,500},C18:E18))+IF(COUNT(G18:I18)=0,0,SUMPRODUCT({5000,1000,500},G18:I18))+IF(COUNT(K18:M18)=0,0,SUMPRODUCT({5000,1000,500},K18:M18))+IF(COUNT(O18:Q18)=0,0,SUMPRODUCT({5000,1000,500},O18:Q18))+AD18)-N(AE18))</f>
        <v>-44</v>
      </c>
      <c r="AG18" s="35" t="str">
        <f t="shared" si="0"/>
        <v>Short</v>
      </c>
      <c r="AH18" s="38"/>
      <c r="AI18" s="36">
        <v>852868.9</v>
      </c>
      <c r="AJ18" s="37">
        <f>554810.45+90961.71+207096.74</f>
        <v>852868.89999999991</v>
      </c>
      <c r="AK18" s="26">
        <f t="shared" si="1"/>
        <v>1.1641532182693481E-10</v>
      </c>
      <c r="AL18" s="25" t="str">
        <f t="shared" si="2"/>
        <v>POS Excess</v>
      </c>
      <c r="AM18" s="38"/>
    </row>
    <row r="19" spans="1:39" ht="12.75" customHeight="1" x14ac:dyDescent="0.25">
      <c r="A19" s="31">
        <v>69213</v>
      </c>
      <c r="B19" s="32" t="str">
        <f>IF(A19="","",VLOOKUP(A19,'Employee Database'!A:B,2,FALSE))</f>
        <v>Muhammad Shahbaz</v>
      </c>
      <c r="C19" s="31"/>
      <c r="D19" s="31"/>
      <c r="E19" s="31"/>
      <c r="F19" s="39">
        <f>IF(COUNT(C19:E19)=0,0,SUMPRODUCT({5000,1000,500},C19:E19))</f>
        <v>0</v>
      </c>
      <c r="G19" s="31">
        <v>5</v>
      </c>
      <c r="H19" s="31">
        <v>11</v>
      </c>
      <c r="I19" s="31">
        <v>5</v>
      </c>
      <c r="J19" s="39">
        <f>IF(COUNT(G19:I19)=0,0,SUMPRODUCT({5000,1000,500},G19:I19))</f>
        <v>38500</v>
      </c>
      <c r="K19" s="31"/>
      <c r="L19" s="31"/>
      <c r="M19" s="31"/>
      <c r="N19" s="39">
        <f>IF(COUNT(K19:M19)=0,0,SUMPRODUCT({5000,1000,500},K19:M19))</f>
        <v>0</v>
      </c>
      <c r="O19" s="31"/>
      <c r="P19" s="31"/>
      <c r="Q19" s="31"/>
      <c r="R19" s="39">
        <f>IF(COUNT(O19:Q19)=0,0,SUMPRODUCT({5000,1000,500},O19:Q19))</f>
        <v>0</v>
      </c>
      <c r="S19" s="31"/>
      <c r="T19" s="31"/>
      <c r="U19" s="31"/>
      <c r="V19" s="31">
        <v>2</v>
      </c>
      <c r="W19" s="31"/>
      <c r="X19" s="31">
        <v>48</v>
      </c>
      <c r="Y19" s="31"/>
      <c r="Z19" s="31">
        <v>72</v>
      </c>
      <c r="AA19" s="31"/>
      <c r="AB19" s="31"/>
      <c r="AC19" s="31"/>
      <c r="AD19" s="34">
        <f>IF(COUNT(S19:AC19)=0,0,SUMPRODUCT({5000,1000,500,100,75,50,20,10,5,2,1}, S19:AC19))</f>
        <v>3320</v>
      </c>
      <c r="AE19" s="33">
        <v>41870</v>
      </c>
      <c r="AF19" s="24">
        <f>IF(AND(COUNT(C19:E19)=0,COUNT(G19:I19)=0,COUNT(K19:M19)=0,COUNT(O19:Q19)=0,COUNT(S19:AC19)=0,AE19=""),"",(IF(COUNT(C19:E19)=0,0,SUMPRODUCT({5000,1000,500},C19:E19))+IF(COUNT(G19:I19)=0,0,SUMPRODUCT({5000,1000,500},G19:I19))+IF(COUNT(K19:M19)=0,0,SUMPRODUCT({5000,1000,500},K19:M19))+IF(COUNT(O19:Q19)=0,0,SUMPRODUCT({5000,1000,500},O19:Q19))+AD19)-N(AE19))</f>
        <v>-50</v>
      </c>
      <c r="AG19" s="35" t="str">
        <f t="shared" si="0"/>
        <v>Short</v>
      </c>
      <c r="AH19" s="38"/>
      <c r="AI19" s="36">
        <v>95328</v>
      </c>
      <c r="AJ19" s="37">
        <v>95328</v>
      </c>
      <c r="AK19" s="26">
        <f t="shared" ref="AK19:AK34" si="3">IF(AND(AI19="",AJ19=""),"",N(AI19)-N(AJ19))</f>
        <v>0</v>
      </c>
      <c r="AL19" s="25" t="str">
        <f t="shared" ref="AL19:AL34" si="4">IF(AK19="","",IF(AK19&gt;0,"POS Excess",IF(AK19&lt;0,"Bank Short","Matched")))</f>
        <v>Matched</v>
      </c>
      <c r="AM19" s="38"/>
    </row>
    <row r="20" spans="1:39" ht="12.75" customHeight="1" x14ac:dyDescent="0.25">
      <c r="A20" s="31">
        <v>67799</v>
      </c>
      <c r="B20" s="32" t="str">
        <f>IF(A20="","",VLOOKUP(A20,'Employee Database'!A:B,2,FALSE))</f>
        <v>Hassan Raza</v>
      </c>
      <c r="C20" s="31"/>
      <c r="D20" s="31"/>
      <c r="E20" s="31"/>
      <c r="F20" s="39">
        <f>IF(COUNT(C20:E20)=0,0,SUMPRODUCT({5000,1000,500},C20:E20))</f>
        <v>0</v>
      </c>
      <c r="G20" s="31">
        <v>18</v>
      </c>
      <c r="H20" s="31">
        <v>43</v>
      </c>
      <c r="I20" s="31">
        <v>1</v>
      </c>
      <c r="J20" s="39">
        <f>IF(COUNT(G20:I20)=0,0,SUMPRODUCT({5000,1000,500},G20:I20))</f>
        <v>133500</v>
      </c>
      <c r="K20" s="31"/>
      <c r="L20" s="31"/>
      <c r="M20" s="31"/>
      <c r="N20" s="39">
        <f>IF(COUNT(K20:M20)=0,0,SUMPRODUCT({5000,1000,500},K20:M20))</f>
        <v>0</v>
      </c>
      <c r="O20" s="31"/>
      <c r="P20" s="31"/>
      <c r="Q20" s="31"/>
      <c r="R20" s="39">
        <f>IF(COUNT(O20:Q20)=0,0,SUMPRODUCT({5000,1000,500},O20:Q20))</f>
        <v>0</v>
      </c>
      <c r="S20" s="31"/>
      <c r="T20" s="31"/>
      <c r="U20" s="31"/>
      <c r="V20" s="31"/>
      <c r="W20" s="31"/>
      <c r="X20" s="31">
        <v>44</v>
      </c>
      <c r="Y20" s="31"/>
      <c r="Z20" s="31">
        <v>83</v>
      </c>
      <c r="AA20" s="31"/>
      <c r="AB20" s="31"/>
      <c r="AC20" s="31"/>
      <c r="AD20" s="34">
        <f>IF(COUNT(S20:AC20)=0,0,SUMPRODUCT({5000,1000,500,100,75,50,20,10,5,2,1}, S20:AC20))</f>
        <v>3030</v>
      </c>
      <c r="AE20" s="33">
        <v>136507</v>
      </c>
      <c r="AF20" s="24">
        <f>IF(AND(COUNT(C20:E20)=0,COUNT(G20:I20)=0,COUNT(K20:M20)=0,COUNT(O20:Q20)=0,COUNT(S20:AC20)=0,AE20=""),"",(IF(COUNT(C20:E20)=0,0,SUMPRODUCT({5000,1000,500},C20:E20))+IF(COUNT(G20:I20)=0,0,SUMPRODUCT({5000,1000,500},G20:I20))+IF(COUNT(K20:M20)=0,0,SUMPRODUCT({5000,1000,500},K20:M20))+IF(COUNT(O20:Q20)=0,0,SUMPRODUCT({5000,1000,500},O20:Q20))+AD20)-N(AE20))</f>
        <v>23</v>
      </c>
      <c r="AG20" s="35" t="str">
        <f t="shared" si="0"/>
        <v>Excess</v>
      </c>
      <c r="AH20" s="38"/>
      <c r="AI20" s="36">
        <v>466827.28</v>
      </c>
      <c r="AJ20" s="37">
        <v>466827.28</v>
      </c>
      <c r="AK20" s="26">
        <f t="shared" si="3"/>
        <v>0</v>
      </c>
      <c r="AL20" s="25" t="str">
        <f t="shared" si="4"/>
        <v>Matched</v>
      </c>
      <c r="AM20" s="38"/>
    </row>
    <row r="21" spans="1:39" ht="12.75" customHeight="1" x14ac:dyDescent="0.25">
      <c r="A21" s="31">
        <v>77424</v>
      </c>
      <c r="B21" s="32" t="str">
        <f>IF(A21="","",VLOOKUP(A21,'Employee Database'!A:B,2,FALSE))</f>
        <v>M Husnain</v>
      </c>
      <c r="C21" s="31"/>
      <c r="D21" s="31"/>
      <c r="E21" s="31"/>
      <c r="F21" s="39">
        <f>IF(COUNT(C21:E21)=0,0,SUMPRODUCT({5000,1000,500},C21:E21))</f>
        <v>0</v>
      </c>
      <c r="G21" s="31">
        <v>42</v>
      </c>
      <c r="H21" s="31">
        <v>156</v>
      </c>
      <c r="I21" s="31">
        <v>56</v>
      </c>
      <c r="J21" s="39">
        <f>IF(COUNT(G21:I21)=0,0,SUMPRODUCT({5000,1000,500},G21:I21))</f>
        <v>394000</v>
      </c>
      <c r="K21" s="31"/>
      <c r="L21" s="31"/>
      <c r="M21" s="31"/>
      <c r="N21" s="39">
        <f>IF(COUNT(K21:M21)=0,0,SUMPRODUCT({5000,1000,500},K21:M21))</f>
        <v>0</v>
      </c>
      <c r="O21" s="31"/>
      <c r="P21" s="31"/>
      <c r="Q21" s="31"/>
      <c r="R21" s="39">
        <f>IF(COUNT(O21:Q21)=0,0,SUMPRODUCT({5000,1000,500},O21:Q21))</f>
        <v>0</v>
      </c>
      <c r="S21" s="31"/>
      <c r="T21" s="31"/>
      <c r="U21" s="31"/>
      <c r="V21" s="31">
        <v>5</v>
      </c>
      <c r="W21" s="31"/>
      <c r="X21" s="31">
        <v>52</v>
      </c>
      <c r="Y21" s="31"/>
      <c r="Z21" s="31">
        <v>46</v>
      </c>
      <c r="AA21" s="31"/>
      <c r="AB21" s="31"/>
      <c r="AC21" s="31"/>
      <c r="AD21" s="34">
        <f>IF(COUNT(S21:AC21)=0,0,SUMPRODUCT({5000,1000,500,100,75,50,20,10,5,2,1}, S21:AC21))</f>
        <v>3560</v>
      </c>
      <c r="AE21" s="33">
        <v>397548</v>
      </c>
      <c r="AF21" s="24">
        <f>IF(AND(COUNT(C21:E21)=0,COUNT(G21:I21)=0,COUNT(K21:M21)=0,COUNT(O21:Q21)=0,COUNT(S21:AC21)=0,AE21=""),"",(IF(COUNT(C21:E21)=0,0,SUMPRODUCT({5000,1000,500},C21:E21))+IF(COUNT(G21:I21)=0,0,SUMPRODUCT({5000,1000,500},G21:I21))+IF(COUNT(K21:M21)=0,0,SUMPRODUCT({5000,1000,500},K21:M21))+IF(COUNT(O21:Q21)=0,0,SUMPRODUCT({5000,1000,500},O21:Q21))+AD21)-N(AE21))</f>
        <v>12</v>
      </c>
      <c r="AG21" s="35" t="str">
        <f t="shared" si="0"/>
        <v>Excess</v>
      </c>
      <c r="AH21" s="38"/>
      <c r="AI21" s="36">
        <v>992278.55</v>
      </c>
      <c r="AJ21" s="37">
        <v>992278.55</v>
      </c>
      <c r="AK21" s="26">
        <f t="shared" si="3"/>
        <v>0</v>
      </c>
      <c r="AL21" s="25" t="str">
        <f t="shared" si="4"/>
        <v>Matched</v>
      </c>
      <c r="AM21" s="38"/>
    </row>
    <row r="22" spans="1:39" ht="12.75" customHeight="1" x14ac:dyDescent="0.25">
      <c r="A22" s="31">
        <v>78242</v>
      </c>
      <c r="B22" s="32" t="str">
        <f>IF(A22="","",VLOOKUP(A22,'Employee Database'!A:B,2,FALSE))</f>
        <v>Hamad Mughal</v>
      </c>
      <c r="C22" s="31"/>
      <c r="D22" s="31"/>
      <c r="E22" s="31"/>
      <c r="F22" s="39">
        <f>IF(COUNT(C22:E22)=0,0,SUMPRODUCT({5000,1000,500},C22:E22))</f>
        <v>0</v>
      </c>
      <c r="G22" s="31">
        <v>29</v>
      </c>
      <c r="H22" s="31">
        <v>73</v>
      </c>
      <c r="I22" s="31">
        <v>25</v>
      </c>
      <c r="J22" s="39">
        <f>IF(COUNT(G22:I22)=0,0,SUMPRODUCT({5000,1000,500},G22:I22))</f>
        <v>230500</v>
      </c>
      <c r="K22" s="31"/>
      <c r="L22" s="31"/>
      <c r="M22" s="31"/>
      <c r="N22" s="39">
        <f>IF(COUNT(K22:M22)=0,0,SUMPRODUCT({5000,1000,500},K22:M22))</f>
        <v>0</v>
      </c>
      <c r="O22" s="31"/>
      <c r="P22" s="31"/>
      <c r="Q22" s="31"/>
      <c r="R22" s="39">
        <f>IF(COUNT(O22:Q22)=0,0,SUMPRODUCT({5000,1000,500},O22:Q22))</f>
        <v>0</v>
      </c>
      <c r="S22" s="31"/>
      <c r="T22" s="31"/>
      <c r="U22" s="31"/>
      <c r="V22" s="31">
        <v>10</v>
      </c>
      <c r="W22" s="31"/>
      <c r="X22" s="31">
        <v>19</v>
      </c>
      <c r="Y22" s="31"/>
      <c r="Z22" s="31">
        <v>6</v>
      </c>
      <c r="AA22" s="31"/>
      <c r="AB22" s="31"/>
      <c r="AC22" s="31"/>
      <c r="AD22" s="34">
        <f>IF(COUNT(S22:AC22)=0,0,SUMPRODUCT({5000,1000,500,100,75,50,20,10,5,2,1}, S22:AC22))</f>
        <v>2010</v>
      </c>
      <c r="AE22" s="33">
        <v>232477</v>
      </c>
      <c r="AF22" s="24">
        <f>IF(AND(COUNT(C22:E22)=0,COUNT(G22:I22)=0,COUNT(K22:M22)=0,COUNT(O22:Q22)=0,COUNT(S22:AC22)=0,AE22=""),"",(IF(COUNT(C22:E22)=0,0,SUMPRODUCT({5000,1000,500},C22:E22))+IF(COUNT(G22:I22)=0,0,SUMPRODUCT({5000,1000,500},G22:I22))+IF(COUNT(K22:M22)=0,0,SUMPRODUCT({5000,1000,500},K22:M22))+IF(COUNT(O22:Q22)=0,0,SUMPRODUCT({5000,1000,500},O22:Q22))+AD22)-N(AE22))</f>
        <v>33</v>
      </c>
      <c r="AG22" s="35" t="str">
        <f t="shared" si="0"/>
        <v>Excess</v>
      </c>
      <c r="AH22" s="38"/>
      <c r="AI22" s="36">
        <f>38823.2+697932.52+11449.01</f>
        <v>748204.73</v>
      </c>
      <c r="AJ22" s="37">
        <f>547167.27+150765.25+38823.2+11449.01</f>
        <v>748204.73</v>
      </c>
      <c r="AK22" s="26">
        <f t="shared" si="3"/>
        <v>0</v>
      </c>
      <c r="AL22" s="25" t="str">
        <f t="shared" si="4"/>
        <v>Matched</v>
      </c>
      <c r="AM22" s="38"/>
    </row>
    <row r="23" spans="1:39" ht="12.75" customHeight="1" x14ac:dyDescent="0.25">
      <c r="A23" s="31">
        <v>63374</v>
      </c>
      <c r="B23" s="32" t="str">
        <f>IF(A23="","",VLOOKUP(A23,'Employee Database'!A:B,2,FALSE))</f>
        <v>Aftab Ali</v>
      </c>
      <c r="C23" s="31"/>
      <c r="D23" s="31"/>
      <c r="E23" s="31"/>
      <c r="F23" s="39">
        <f>IF(COUNT(C23:E23)=0,0,SUMPRODUCT({5000,1000,500},C23:E23))</f>
        <v>0</v>
      </c>
      <c r="G23" s="31">
        <v>48</v>
      </c>
      <c r="H23" s="31">
        <v>206</v>
      </c>
      <c r="I23" s="31">
        <v>3</v>
      </c>
      <c r="J23" s="39">
        <f>IF(COUNT(G23:I23)=0,0,SUMPRODUCT({5000,1000,500},G23:I23))</f>
        <v>447500</v>
      </c>
      <c r="K23" s="31"/>
      <c r="L23" s="31"/>
      <c r="M23" s="31"/>
      <c r="N23" s="39">
        <f>IF(COUNT(K23:M23)=0,0,SUMPRODUCT({5000,1000,500},K23:M23))</f>
        <v>0</v>
      </c>
      <c r="O23" s="31"/>
      <c r="P23" s="31"/>
      <c r="Q23" s="31"/>
      <c r="R23" s="39">
        <f>IF(COUNT(O23:Q23)=0,0,SUMPRODUCT({5000,1000,500},O23:Q23))</f>
        <v>0</v>
      </c>
      <c r="S23" s="31"/>
      <c r="T23" s="31"/>
      <c r="U23" s="31"/>
      <c r="V23" s="31">
        <v>1</v>
      </c>
      <c r="W23" s="31"/>
      <c r="X23" s="31">
        <v>30</v>
      </c>
      <c r="Y23" s="31">
        <v>2</v>
      </c>
      <c r="Z23" s="31">
        <v>83</v>
      </c>
      <c r="AA23" s="31"/>
      <c r="AB23" s="31"/>
      <c r="AC23" s="31"/>
      <c r="AD23" s="34">
        <f>IF(COUNT(S23:AC23)=0,0,SUMPRODUCT({5000,1000,500,100,75,50,20,10,5,2,1}, S23:AC23))</f>
        <v>2470</v>
      </c>
      <c r="AE23" s="33">
        <v>450017</v>
      </c>
      <c r="AF23" s="24">
        <f>IF(AND(COUNT(C23:E23)=0,COUNT(G23:I23)=0,COUNT(K23:M23)=0,COUNT(O23:Q23)=0,COUNT(S23:AC23)=0,AE23=""),"",(IF(COUNT(C23:E23)=0,0,SUMPRODUCT({5000,1000,500},C23:E23))+IF(COUNT(G23:I23)=0,0,SUMPRODUCT({5000,1000,500},G23:I23))+IF(COUNT(K23:M23)=0,0,SUMPRODUCT({5000,1000,500},K23:M23))+IF(COUNT(O23:Q23)=0,0,SUMPRODUCT({5000,1000,500},O23:Q23))+AD23)-N(AE23))</f>
        <v>-47</v>
      </c>
      <c r="AG23" s="35" t="str">
        <f t="shared" si="0"/>
        <v>Short</v>
      </c>
      <c r="AH23" s="38"/>
      <c r="AI23" s="36">
        <v>763085.2</v>
      </c>
      <c r="AJ23" s="37">
        <f>585065.81+178019.39</f>
        <v>763085.20000000007</v>
      </c>
      <c r="AK23" s="26">
        <f t="shared" si="3"/>
        <v>-1.1641532182693481E-10</v>
      </c>
      <c r="AL23" s="25" t="str">
        <f t="shared" si="4"/>
        <v>Bank Short</v>
      </c>
      <c r="AM23" s="38"/>
    </row>
    <row r="24" spans="1:39" ht="12.75" customHeight="1" x14ac:dyDescent="0.25">
      <c r="A24" s="31">
        <v>69728</v>
      </c>
      <c r="B24" s="32" t="str">
        <f>IF(A24="","",VLOOKUP(A24,'Employee Database'!A:B,2,FALSE))</f>
        <v>Hafiz Hafeez Ur Rehman</v>
      </c>
      <c r="C24" s="31"/>
      <c r="D24" s="31"/>
      <c r="E24" s="31"/>
      <c r="F24" s="39">
        <f>IF(COUNT(C24:E24)=0,0,SUMPRODUCT({5000,1000,500},C24:E24))</f>
        <v>0</v>
      </c>
      <c r="G24" s="31">
        <v>70</v>
      </c>
      <c r="H24" s="31">
        <v>163</v>
      </c>
      <c r="I24" s="31">
        <v>4</v>
      </c>
      <c r="J24" s="39">
        <f>IF(COUNT(G24:I24)=0,0,SUMPRODUCT({5000,1000,500},G24:I24))</f>
        <v>515000</v>
      </c>
      <c r="K24" s="31"/>
      <c r="L24" s="31"/>
      <c r="M24" s="31"/>
      <c r="N24" s="39">
        <f>IF(COUNT(K24:M24)=0,0,SUMPRODUCT({5000,1000,500},K24:M24))</f>
        <v>0</v>
      </c>
      <c r="O24" s="31"/>
      <c r="P24" s="31"/>
      <c r="Q24" s="31"/>
      <c r="R24" s="39">
        <f>IF(COUNT(O24:Q24)=0,0,SUMPRODUCT({5000,1000,500},O24:Q24))</f>
        <v>0</v>
      </c>
      <c r="S24" s="31"/>
      <c r="T24" s="31"/>
      <c r="U24" s="31"/>
      <c r="V24" s="31"/>
      <c r="W24" s="31"/>
      <c r="X24" s="31">
        <v>308</v>
      </c>
      <c r="Y24" s="31"/>
      <c r="Z24" s="31">
        <v>251</v>
      </c>
      <c r="AA24" s="31"/>
      <c r="AB24" s="31"/>
      <c r="AC24" s="31"/>
      <c r="AD24" s="34">
        <f>IF(COUNT(S24:AC24)=0,0,SUMPRODUCT({5000,1000,500,100,75,50,20,10,5,2,1}, S24:AC24))</f>
        <v>17910</v>
      </c>
      <c r="AE24" s="33">
        <v>532859</v>
      </c>
      <c r="AF24" s="24">
        <f>IF(AND(COUNT(C24:E24)=0,COUNT(G24:I24)=0,COUNT(K24:M24)=0,COUNT(O24:Q24)=0,COUNT(S24:AC24)=0,AE24=""),"",(IF(COUNT(C24:E24)=0,0,SUMPRODUCT({5000,1000,500},C24:E24))+IF(COUNT(G24:I24)=0,0,SUMPRODUCT({5000,1000,500},G24:I24))+IF(COUNT(K24:M24)=0,0,SUMPRODUCT({5000,1000,500},K24:M24))+IF(COUNT(O24:Q24)=0,0,SUMPRODUCT({5000,1000,500},O24:Q24))+AD24)-N(AE24))</f>
        <v>51</v>
      </c>
      <c r="AG24" s="35" t="str">
        <f t="shared" si="0"/>
        <v>Excess</v>
      </c>
      <c r="AH24" s="38"/>
      <c r="AI24" s="36">
        <f>101845.07+687315.62</f>
        <v>789160.69</v>
      </c>
      <c r="AJ24" s="37">
        <f>101845.07+687315.62</f>
        <v>789160.69</v>
      </c>
      <c r="AK24" s="26">
        <f t="shared" si="3"/>
        <v>0</v>
      </c>
      <c r="AL24" s="25" t="str">
        <f t="shared" si="4"/>
        <v>Matched</v>
      </c>
      <c r="AM24" s="38"/>
    </row>
    <row r="25" spans="1:39" ht="12.75" customHeight="1" x14ac:dyDescent="0.25">
      <c r="A25" s="31">
        <v>75768</v>
      </c>
      <c r="B25" s="32" t="str">
        <f>IF(A25="","",VLOOKUP(A25,'Employee Database'!A:B,2,FALSE))</f>
        <v>Zuhaib</v>
      </c>
      <c r="C25" s="31"/>
      <c r="D25" s="31"/>
      <c r="E25" s="31"/>
      <c r="F25" s="39">
        <f>IF(COUNT(C25:E25)=0,0,SUMPRODUCT({5000,1000,500},C25:E25))</f>
        <v>0</v>
      </c>
      <c r="G25" s="31">
        <v>73</v>
      </c>
      <c r="H25" s="31">
        <v>97</v>
      </c>
      <c r="I25" s="31">
        <v>34</v>
      </c>
      <c r="J25" s="39">
        <f>IF(COUNT(G25:I25)=0,0,SUMPRODUCT({5000,1000,500},G25:I25))</f>
        <v>479000</v>
      </c>
      <c r="K25" s="31"/>
      <c r="L25" s="31"/>
      <c r="M25" s="31"/>
      <c r="N25" s="39">
        <f>IF(COUNT(K25:M25)=0,0,SUMPRODUCT({5000,1000,500},K25:M25))</f>
        <v>0</v>
      </c>
      <c r="O25" s="31"/>
      <c r="P25" s="31"/>
      <c r="Q25" s="31"/>
      <c r="R25" s="39">
        <f>IF(COUNT(O25:Q25)=0,0,SUMPRODUCT({5000,1000,500},O25:Q25))</f>
        <v>0</v>
      </c>
      <c r="S25" s="31"/>
      <c r="T25" s="31"/>
      <c r="U25" s="31"/>
      <c r="V25" s="31">
        <v>8</v>
      </c>
      <c r="W25" s="31"/>
      <c r="X25" s="31">
        <v>73</v>
      </c>
      <c r="Y25" s="31">
        <v>1</v>
      </c>
      <c r="Z25" s="31">
        <v>53</v>
      </c>
      <c r="AA25" s="31"/>
      <c r="AB25" s="31"/>
      <c r="AC25" s="31"/>
      <c r="AD25" s="34">
        <f>IF(COUNT(S25:AC25)=0,0,SUMPRODUCT({5000,1000,500,100,75,50,20,10,5,2,1}, S25:AC25))</f>
        <v>5000</v>
      </c>
      <c r="AE25" s="33">
        <v>470394.32</v>
      </c>
      <c r="AF25" s="24">
        <f>IF(AND(COUNT(C25:E25)=0,COUNT(G25:I25)=0,COUNT(K25:M25)=0,COUNT(O25:Q25)=0,COUNT(S25:AC25)=0,AE25=""),"",(IF(COUNT(C25:E25)=0,0,SUMPRODUCT({5000,1000,500},C25:E25))+IF(COUNT(G25:I25)=0,0,SUMPRODUCT({5000,1000,500},G25:I25))+IF(COUNT(K25:M25)=0,0,SUMPRODUCT({5000,1000,500},K25:M25))+IF(COUNT(O25:Q25)=0,0,SUMPRODUCT({5000,1000,500},O25:Q25))+AD25)-N(AE25))</f>
        <v>13605.679999999993</v>
      </c>
      <c r="AG25" s="35" t="str">
        <f t="shared" si="0"/>
        <v>Excess</v>
      </c>
      <c r="AH25" s="38"/>
      <c r="AI25" s="36">
        <v>1295791.52</v>
      </c>
      <c r="AJ25" s="37">
        <v>1282225.03</v>
      </c>
      <c r="AK25" s="26">
        <f t="shared" si="3"/>
        <v>13566.489999999991</v>
      </c>
      <c r="AL25" s="25" t="str">
        <f t="shared" si="4"/>
        <v>POS Excess</v>
      </c>
      <c r="AM25" s="38"/>
    </row>
    <row r="26" spans="1:39" ht="12.75" customHeight="1" x14ac:dyDescent="0.25">
      <c r="A26" s="31">
        <v>61648</v>
      </c>
      <c r="B26" s="32" t="str">
        <f>IF(A26="","",VLOOKUP(A26,'Employee Database'!A:B,2,FALSE))</f>
        <v>Rizwan</v>
      </c>
      <c r="C26" s="31"/>
      <c r="D26" s="31"/>
      <c r="E26" s="31"/>
      <c r="F26" s="39">
        <f>IF(COUNT(C26:E26)=0,0,SUMPRODUCT({5000,1000,500},C26:E26))</f>
        <v>0</v>
      </c>
      <c r="G26" s="31">
        <v>8</v>
      </c>
      <c r="H26" s="31">
        <v>14</v>
      </c>
      <c r="I26" s="31">
        <v>2</v>
      </c>
      <c r="J26" s="39">
        <f>IF(COUNT(G26:I26)=0,0,SUMPRODUCT({5000,1000,500},G26:I26))</f>
        <v>55000</v>
      </c>
      <c r="K26" s="31"/>
      <c r="L26" s="31"/>
      <c r="M26" s="31"/>
      <c r="N26" s="39">
        <f>IF(COUNT(K26:M26)=0,0,SUMPRODUCT({5000,1000,500},K26:M26))</f>
        <v>0</v>
      </c>
      <c r="O26" s="31"/>
      <c r="P26" s="31"/>
      <c r="Q26" s="31"/>
      <c r="R26" s="39">
        <f>IF(COUNT(O26:Q26)=0,0,SUMPRODUCT({5000,1000,500},O26:Q26))</f>
        <v>0</v>
      </c>
      <c r="S26" s="31"/>
      <c r="T26" s="31"/>
      <c r="U26" s="31"/>
      <c r="V26" s="31"/>
      <c r="W26" s="31"/>
      <c r="X26" s="31">
        <v>53</v>
      </c>
      <c r="Y26" s="31"/>
      <c r="Z26" s="31">
        <v>7</v>
      </c>
      <c r="AA26" s="31"/>
      <c r="AB26" s="31"/>
      <c r="AC26" s="31"/>
      <c r="AD26" s="34">
        <f>IF(COUNT(S26:AC26)=0,0,SUMPRODUCT({5000,1000,500,100,75,50,20,10,5,2,1}, S26:AC26))</f>
        <v>2720</v>
      </c>
      <c r="AE26" s="33">
        <v>57669</v>
      </c>
      <c r="AF26" s="24">
        <f>IF(AND(COUNT(C26:E26)=0,COUNT(G26:I26)=0,COUNT(K26:M26)=0,COUNT(O26:Q26)=0,COUNT(S26:AC26)=0,AE26=""),"",(IF(COUNT(C26:E26)=0,0,SUMPRODUCT({5000,1000,500},C26:E26))+IF(COUNT(G26:I26)=0,0,SUMPRODUCT({5000,1000,500},G26:I26))+IF(COUNT(K26:M26)=0,0,SUMPRODUCT({5000,1000,500},K26:M26))+IF(COUNT(O26:Q26)=0,0,SUMPRODUCT({5000,1000,500},O26:Q26))+AD26)-N(AE26))</f>
        <v>51</v>
      </c>
      <c r="AG26" s="35" t="str">
        <f t="shared" si="0"/>
        <v>Excess</v>
      </c>
      <c r="AH26" s="38"/>
      <c r="AI26" s="36">
        <v>42480.74</v>
      </c>
      <c r="AJ26" s="37">
        <f>18094.8+24387.94</f>
        <v>42482.74</v>
      </c>
      <c r="AK26" s="26">
        <f t="shared" si="3"/>
        <v>-2</v>
      </c>
      <c r="AL26" s="25" t="str">
        <f t="shared" si="4"/>
        <v>Bank Short</v>
      </c>
      <c r="AM26" s="38"/>
    </row>
    <row r="27" spans="1:39" ht="12.75" customHeight="1" x14ac:dyDescent="0.25">
      <c r="A27" s="31">
        <v>50524</v>
      </c>
      <c r="B27" s="32" t="str">
        <f>IF(A27="","",VLOOKUP(A27,'Employee Database'!A:B,2,FALSE))</f>
        <v>Allah Rakha</v>
      </c>
      <c r="C27" s="31"/>
      <c r="D27" s="31"/>
      <c r="E27" s="31"/>
      <c r="F27" s="39">
        <f>IF(COUNT(C27:E27)=0,0,SUMPRODUCT({5000,1000,500},C27:E27))</f>
        <v>0</v>
      </c>
      <c r="G27" s="31">
        <v>67</v>
      </c>
      <c r="H27" s="31">
        <v>150</v>
      </c>
      <c r="I27" s="31">
        <v>70</v>
      </c>
      <c r="J27" s="39">
        <f>IF(COUNT(G27:I27)=0,0,SUMPRODUCT({5000,1000,500},G27:I27))</f>
        <v>520000</v>
      </c>
      <c r="K27" s="31"/>
      <c r="L27" s="31"/>
      <c r="M27" s="31"/>
      <c r="N27" s="39">
        <f>IF(COUNT(K27:M27)=0,0,SUMPRODUCT({5000,1000,500},K27:M27))</f>
        <v>0</v>
      </c>
      <c r="O27" s="31"/>
      <c r="P27" s="31"/>
      <c r="Q27" s="31"/>
      <c r="R27" s="39">
        <f>IF(COUNT(O27:Q27)=0,0,SUMPRODUCT({5000,1000,500},O27:Q27))</f>
        <v>0</v>
      </c>
      <c r="S27" s="31"/>
      <c r="T27" s="31"/>
      <c r="U27" s="31"/>
      <c r="V27" s="31">
        <v>10</v>
      </c>
      <c r="W27" s="31"/>
      <c r="X27" s="31">
        <v>26</v>
      </c>
      <c r="Y27" s="31"/>
      <c r="Z27" s="31">
        <v>149</v>
      </c>
      <c r="AA27" s="31"/>
      <c r="AB27" s="31"/>
      <c r="AC27" s="31"/>
      <c r="AD27" s="34">
        <f>IF(COUNT(S27:AC27)=0,0,SUMPRODUCT({5000,1000,500,100,75,50,20,10,5,2,1}, S27:AC27))</f>
        <v>3790</v>
      </c>
      <c r="AE27" s="33">
        <v>523731</v>
      </c>
      <c r="AF27" s="24">
        <f>IF(AND(COUNT(C27:E27)=0,COUNT(G27:I27)=0,COUNT(K27:M27)=0,COUNT(O27:Q27)=0,COUNT(S27:AC27)=0,AE27=""),"",(IF(COUNT(C27:E27)=0,0,SUMPRODUCT({5000,1000,500},C27:E27))+IF(COUNT(G27:I27)=0,0,SUMPRODUCT({5000,1000,500},G27:I27))+IF(COUNT(K27:M27)=0,0,SUMPRODUCT({5000,1000,500},K27:M27))+IF(COUNT(O27:Q27)=0,0,SUMPRODUCT({5000,1000,500},O27:Q27))+AD27)-N(AE27))</f>
        <v>59</v>
      </c>
      <c r="AG27" s="35" t="str">
        <f t="shared" si="0"/>
        <v>Excess</v>
      </c>
      <c r="AH27" s="38"/>
      <c r="AI27" s="36">
        <v>1138740.47</v>
      </c>
      <c r="AJ27" s="37">
        <v>1138740.47</v>
      </c>
      <c r="AK27" s="26">
        <f t="shared" si="3"/>
        <v>0</v>
      </c>
      <c r="AL27" s="25" t="str">
        <f t="shared" si="4"/>
        <v>Matched</v>
      </c>
      <c r="AM27" s="38"/>
    </row>
    <row r="28" spans="1:39" ht="12.75" customHeight="1" x14ac:dyDescent="0.25">
      <c r="A28" s="31">
        <v>68475</v>
      </c>
      <c r="B28" s="32" t="str">
        <f>IF(A28="","",VLOOKUP(A28,'Employee Database'!A:B,2,FALSE))</f>
        <v>M Azeem</v>
      </c>
      <c r="C28" s="31"/>
      <c r="D28" s="31"/>
      <c r="E28" s="31"/>
      <c r="F28" s="39">
        <f>IF(COUNT(C28:E28)=0,0,SUMPRODUCT({5000,1000,500},C28:E28))</f>
        <v>0</v>
      </c>
      <c r="G28" s="31">
        <v>23</v>
      </c>
      <c r="H28" s="31">
        <v>32</v>
      </c>
      <c r="I28" s="31">
        <v>15</v>
      </c>
      <c r="J28" s="39">
        <f>IF(COUNT(G28:I28)=0,0,SUMPRODUCT({5000,1000,500},G28:I28))</f>
        <v>154500</v>
      </c>
      <c r="K28" s="31"/>
      <c r="L28" s="31"/>
      <c r="M28" s="31"/>
      <c r="N28" s="39">
        <f>IF(COUNT(K28:M28)=0,0,SUMPRODUCT({5000,1000,500},K28:M28))</f>
        <v>0</v>
      </c>
      <c r="O28" s="31"/>
      <c r="P28" s="31"/>
      <c r="Q28" s="31"/>
      <c r="R28" s="39">
        <f>IF(COUNT(O28:Q28)=0,0,SUMPRODUCT({5000,1000,500},O28:Q28))</f>
        <v>0</v>
      </c>
      <c r="S28" s="31"/>
      <c r="T28" s="31"/>
      <c r="U28" s="31"/>
      <c r="V28" s="31">
        <v>6</v>
      </c>
      <c r="W28" s="31"/>
      <c r="X28" s="31">
        <v>57</v>
      </c>
      <c r="Y28" s="31"/>
      <c r="Z28" s="31">
        <v>8</v>
      </c>
      <c r="AA28" s="31"/>
      <c r="AB28" s="31"/>
      <c r="AC28" s="31"/>
      <c r="AD28" s="34">
        <f>IF(COUNT(S28:AC28)=0,0,SUMPRODUCT({5000,1000,500,100,75,50,20,10,5,2,1}, S28:AC28))</f>
        <v>3530</v>
      </c>
      <c r="AE28" s="33">
        <v>158038</v>
      </c>
      <c r="AF28" s="24">
        <f>IF(AND(COUNT(C28:E28)=0,COUNT(G28:I28)=0,COUNT(K28:M28)=0,COUNT(O28:Q28)=0,COUNT(S28:AC28)=0,AE28=""),"",(IF(COUNT(C28:E28)=0,0,SUMPRODUCT({5000,1000,500},C28:E28))+IF(COUNT(G28:I28)=0,0,SUMPRODUCT({5000,1000,500},G28:I28))+IF(COUNT(K28:M28)=0,0,SUMPRODUCT({5000,1000,500},K28:M28))+IF(COUNT(O28:Q28)=0,0,SUMPRODUCT({5000,1000,500},O28:Q28))+AD28)-N(AE28))</f>
        <v>-8</v>
      </c>
      <c r="AG28" s="35" t="str">
        <f t="shared" si="0"/>
        <v>Short</v>
      </c>
      <c r="AH28" s="38"/>
      <c r="AI28" s="36">
        <v>333337.71000000002</v>
      </c>
      <c r="AJ28" s="37">
        <f>36978.82+296358.89</f>
        <v>333337.71000000002</v>
      </c>
      <c r="AK28" s="26">
        <f t="shared" si="3"/>
        <v>0</v>
      </c>
      <c r="AL28" s="25" t="str">
        <f t="shared" si="4"/>
        <v>Matched</v>
      </c>
      <c r="AM28" s="38"/>
    </row>
    <row r="29" spans="1:39" ht="12.75" customHeight="1" x14ac:dyDescent="0.25">
      <c r="A29" s="31"/>
      <c r="B29" s="32" t="str">
        <f>IF(A29="","",VLOOKUP(A29,'Employee Database'!A:B,2,FALSE))</f>
        <v/>
      </c>
      <c r="C29" s="31"/>
      <c r="D29" s="31"/>
      <c r="E29" s="31"/>
      <c r="F29" s="39">
        <f>IF(COUNT(C29:E29)=0,0,SUMPRODUCT({5000,1000,500},C29:E29))</f>
        <v>0</v>
      </c>
      <c r="G29" s="31"/>
      <c r="H29" s="31"/>
      <c r="I29" s="31"/>
      <c r="J29" s="39">
        <f>IF(COUNT(G29:I29)=0,0,SUMPRODUCT({5000,1000,500},G29:I29))</f>
        <v>0</v>
      </c>
      <c r="K29" s="31"/>
      <c r="L29" s="31"/>
      <c r="M29" s="31"/>
      <c r="N29" s="39">
        <f>IF(COUNT(K29:M29)=0,0,SUMPRODUCT({5000,1000,500},K29:M29))</f>
        <v>0</v>
      </c>
      <c r="O29" s="31"/>
      <c r="P29" s="31"/>
      <c r="Q29" s="31"/>
      <c r="R29" s="39">
        <f>IF(COUNT(O29:Q29)=0,0,SUMPRODUCT({5000,1000,500},O29:Q29))</f>
        <v>0</v>
      </c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4">
        <f>IF(COUNT(S29:AC29)=0,0,SUMPRODUCT({5000,1000,500,100,75,50,20,10,5,2,1}, S29:AC29))</f>
        <v>0</v>
      </c>
      <c r="AE29" s="33"/>
      <c r="AF29" s="24" t="str">
        <f>IF(AND(COUNT(C29:E29)=0,COUNT(G29:I29)=0,COUNT(K29:M29)=0,COUNT(O29:Q29)=0,COUNT(S29:AC29)=0,AE29=""),"",(IF(COUNT(C29:E29)=0,0,SUMPRODUCT({5000,1000,500},C29:E29))+IF(COUNT(G29:I29)=0,0,SUMPRODUCT({5000,1000,500},G29:I29))+IF(COUNT(K29:M29)=0,0,SUMPRODUCT({5000,1000,500},K29:M29))+IF(COUNT(O29:Q29)=0,0,SUMPRODUCT({5000,1000,500},O29:Q29))+AD29)-N(AE29))</f>
        <v/>
      </c>
      <c r="AG29" s="35" t="str">
        <f t="shared" si="0"/>
        <v/>
      </c>
      <c r="AH29" s="38"/>
      <c r="AI29" s="36"/>
      <c r="AJ29" s="37"/>
      <c r="AK29" s="26" t="str">
        <f t="shared" si="3"/>
        <v/>
      </c>
      <c r="AL29" s="25" t="str">
        <f t="shared" si="4"/>
        <v/>
      </c>
      <c r="AM29" s="38"/>
    </row>
    <row r="30" spans="1:39" ht="12.75" customHeight="1" x14ac:dyDescent="0.25">
      <c r="A30" s="31"/>
      <c r="B30" s="32" t="str">
        <f>IF(A30="","",VLOOKUP(A30,'Employee Database'!A:B,2,FALSE))</f>
        <v/>
      </c>
      <c r="C30" s="31"/>
      <c r="D30" s="31"/>
      <c r="E30" s="31"/>
      <c r="F30" s="39">
        <f>IF(COUNT(C30:E30)=0,0,SUMPRODUCT({5000,1000,500},C30:E30))</f>
        <v>0</v>
      </c>
      <c r="G30" s="31"/>
      <c r="H30" s="31"/>
      <c r="I30" s="31"/>
      <c r="J30" s="39">
        <f>IF(COUNT(G30:I30)=0,0,SUMPRODUCT({5000,1000,500},G30:I30))</f>
        <v>0</v>
      </c>
      <c r="K30" s="31"/>
      <c r="L30" s="31"/>
      <c r="M30" s="31"/>
      <c r="N30" s="39">
        <f>IF(COUNT(K30:M30)=0,0,SUMPRODUCT({5000,1000,500},K30:M30))</f>
        <v>0</v>
      </c>
      <c r="O30" s="31"/>
      <c r="P30" s="31"/>
      <c r="Q30" s="31"/>
      <c r="R30" s="39">
        <f>IF(COUNT(O30:Q30)=0,0,SUMPRODUCT({5000,1000,500},O30:Q30))</f>
        <v>0</v>
      </c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4">
        <f>IF(COUNT(S30:AC30)=0,0,SUMPRODUCT({5000,1000,500,100,75,50,20,10,5,2,1}, S30:AC30))</f>
        <v>0</v>
      </c>
      <c r="AE30" s="33"/>
      <c r="AF30" s="24" t="str">
        <f>IF(AND(COUNT(C30:E30)=0,COUNT(G30:I30)=0,COUNT(K30:M30)=0,COUNT(O30:Q30)=0,COUNT(S30:AC30)=0,AE30=""),"",(IF(COUNT(C30:E30)=0,0,SUMPRODUCT({5000,1000,500},C30:E30))+IF(COUNT(G30:I30)=0,0,SUMPRODUCT({5000,1000,500},G30:I30))+IF(COUNT(K30:M30)=0,0,SUMPRODUCT({5000,1000,500},K30:M30))+IF(COUNT(O30:Q30)=0,0,SUMPRODUCT({5000,1000,500},O30:Q30))+AD30)-N(AE30))</f>
        <v/>
      </c>
      <c r="AG30" s="35" t="str">
        <f t="shared" si="0"/>
        <v/>
      </c>
      <c r="AH30" s="38"/>
      <c r="AI30" s="36"/>
      <c r="AJ30" s="37"/>
      <c r="AK30" s="26" t="str">
        <f t="shared" si="3"/>
        <v/>
      </c>
      <c r="AL30" s="25" t="str">
        <f t="shared" si="4"/>
        <v/>
      </c>
      <c r="AM30" s="38"/>
    </row>
    <row r="31" spans="1:39" ht="12.75" customHeight="1" x14ac:dyDescent="0.25">
      <c r="A31" s="31"/>
      <c r="B31" s="32" t="str">
        <f>IF(A31="","",VLOOKUP(A31,'Employee Database'!A:B,2,FALSE))</f>
        <v/>
      </c>
      <c r="C31" s="31"/>
      <c r="D31" s="31"/>
      <c r="E31" s="31"/>
      <c r="F31" s="39">
        <f>IF(COUNT(C31:E31)=0,0,SUMPRODUCT({5000,1000,500},C31:E31))</f>
        <v>0</v>
      </c>
      <c r="G31" s="31"/>
      <c r="H31" s="31"/>
      <c r="I31" s="31"/>
      <c r="J31" s="39">
        <f>IF(COUNT(G31:I31)=0,0,SUMPRODUCT({5000,1000,500},G31:I31))</f>
        <v>0</v>
      </c>
      <c r="K31" s="31"/>
      <c r="L31" s="31"/>
      <c r="M31" s="31"/>
      <c r="N31" s="39">
        <f>IF(COUNT(K31:M31)=0,0,SUMPRODUCT({5000,1000,500},K31:M31))</f>
        <v>0</v>
      </c>
      <c r="O31" s="31"/>
      <c r="P31" s="31"/>
      <c r="Q31" s="31"/>
      <c r="R31" s="39">
        <f>IF(COUNT(O31:Q31)=0,0,SUMPRODUCT({5000,1000,500},O31:Q31))</f>
        <v>0</v>
      </c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4">
        <f>IF(COUNT(S31:AC31)=0,0,SUMPRODUCT({5000,1000,500,100,75,50,20,10,5,2,1}, S31:AC31))</f>
        <v>0</v>
      </c>
      <c r="AE31" s="33"/>
      <c r="AF31" s="24" t="str">
        <f>IF(AND(COUNT(C31:E31)=0,COUNT(G31:I31)=0,COUNT(K31:M31)=0,COUNT(O31:Q31)=0,COUNT(S31:AC31)=0,AE31=""),"",(IF(COUNT(C31:E31)=0,0,SUMPRODUCT({5000,1000,500},C31:E31))+IF(COUNT(G31:I31)=0,0,SUMPRODUCT({5000,1000,500},G31:I31))+IF(COUNT(K31:M31)=0,0,SUMPRODUCT({5000,1000,500},K31:M31))+IF(COUNT(O31:Q31)=0,0,SUMPRODUCT({5000,1000,500},O31:Q31))+AD31)-N(AE31))</f>
        <v/>
      </c>
      <c r="AG31" s="35" t="str">
        <f t="shared" si="0"/>
        <v/>
      </c>
      <c r="AH31" s="38"/>
      <c r="AI31" s="36"/>
      <c r="AJ31" s="37"/>
      <c r="AK31" s="26" t="str">
        <f t="shared" si="3"/>
        <v/>
      </c>
      <c r="AL31" s="25" t="str">
        <f t="shared" si="4"/>
        <v/>
      </c>
      <c r="AM31" s="38"/>
    </row>
    <row r="32" spans="1:39" ht="12.75" customHeight="1" x14ac:dyDescent="0.25">
      <c r="A32" s="31"/>
      <c r="B32" s="32" t="str">
        <f>IF(A32="","",VLOOKUP(A32,'Employee Database'!A:B,2,FALSE))</f>
        <v/>
      </c>
      <c r="C32" s="31"/>
      <c r="D32" s="31"/>
      <c r="E32" s="31"/>
      <c r="F32" s="39">
        <f>IF(COUNT(C32:E32)=0,0,SUMPRODUCT({5000,1000,500},C32:E32))</f>
        <v>0</v>
      </c>
      <c r="G32" s="31"/>
      <c r="H32" s="31"/>
      <c r="I32" s="31"/>
      <c r="J32" s="39">
        <f>IF(COUNT(G32:I32)=0,0,SUMPRODUCT({5000,1000,500},G32:I32))</f>
        <v>0</v>
      </c>
      <c r="K32" s="31"/>
      <c r="L32" s="31"/>
      <c r="M32" s="31"/>
      <c r="N32" s="39">
        <f>IF(COUNT(K32:M32)=0,0,SUMPRODUCT({5000,1000,500},K32:M32))</f>
        <v>0</v>
      </c>
      <c r="O32" s="31"/>
      <c r="P32" s="31"/>
      <c r="Q32" s="31"/>
      <c r="R32" s="39">
        <f>IF(COUNT(O32:Q32)=0,0,SUMPRODUCT({5000,1000,500},O32:Q32))</f>
        <v>0</v>
      </c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4">
        <f>IF(COUNT(S32:AC32)=0,0,SUMPRODUCT({5000,1000,500,100,75,50,20,10,5,2,1}, S32:AC32))</f>
        <v>0</v>
      </c>
      <c r="AE32" s="33"/>
      <c r="AF32" s="24" t="str">
        <f>IF(AND(COUNT(C32:E32)=0,COUNT(G32:I32)=0,COUNT(K32:M32)=0,COUNT(O32:Q32)=0,COUNT(S32:AC32)=0,AE32=""),"",(IF(COUNT(C32:E32)=0,0,SUMPRODUCT({5000,1000,500},C32:E32))+IF(COUNT(G32:I32)=0,0,SUMPRODUCT({5000,1000,500},G32:I32))+IF(COUNT(K32:M32)=0,0,SUMPRODUCT({5000,1000,500},K32:M32))+IF(COUNT(O32:Q32)=0,0,SUMPRODUCT({5000,1000,500},O32:Q32))+AD32)-N(AE32))</f>
        <v/>
      </c>
      <c r="AG32" s="35" t="str">
        <f t="shared" si="0"/>
        <v/>
      </c>
      <c r="AH32" s="38"/>
      <c r="AI32" s="36"/>
      <c r="AJ32" s="37"/>
      <c r="AK32" s="26" t="str">
        <f t="shared" si="3"/>
        <v/>
      </c>
      <c r="AL32" s="25" t="str">
        <f t="shared" si="4"/>
        <v/>
      </c>
      <c r="AM32" s="38"/>
    </row>
    <row r="33" spans="1:39" ht="12.75" customHeight="1" x14ac:dyDescent="0.25">
      <c r="A33" s="31"/>
      <c r="B33" s="32" t="str">
        <f>IF(A33="","",VLOOKUP(A33,'Employee Database'!A:B,2,FALSE))</f>
        <v/>
      </c>
      <c r="C33" s="31"/>
      <c r="D33" s="31"/>
      <c r="E33" s="31"/>
      <c r="F33" s="39">
        <f>IF(COUNT(C33:E33)=0,0,SUMPRODUCT({5000,1000,500},C33:E33))</f>
        <v>0</v>
      </c>
      <c r="G33" s="31"/>
      <c r="H33" s="31"/>
      <c r="I33" s="31"/>
      <c r="J33" s="39">
        <f>IF(COUNT(G33:I33)=0,0,SUMPRODUCT({5000,1000,500},G33:I33))</f>
        <v>0</v>
      </c>
      <c r="K33" s="31"/>
      <c r="L33" s="31"/>
      <c r="M33" s="31"/>
      <c r="N33" s="39">
        <f>IF(COUNT(K33:M33)=0,0,SUMPRODUCT({5000,1000,500},K33:M33))</f>
        <v>0</v>
      </c>
      <c r="O33" s="31"/>
      <c r="P33" s="31"/>
      <c r="Q33" s="31"/>
      <c r="R33" s="39">
        <f>IF(COUNT(O33:Q33)=0,0,SUMPRODUCT({5000,1000,500},O33:Q33))</f>
        <v>0</v>
      </c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4">
        <f>IF(COUNT(S33:AC33)=0,0,SUMPRODUCT({5000,1000,500,100,75,50,20,10,5,2,1}, S33:AC33))</f>
        <v>0</v>
      </c>
      <c r="AE33" s="33"/>
      <c r="AF33" s="24" t="str">
        <f>IF(AND(COUNT(C33:E33)=0,COUNT(G33:I33)=0,COUNT(K33:M33)=0,COUNT(O33:Q33)=0,COUNT(S33:AC33)=0,AE33=""),"",(IF(COUNT(C33:E33)=0,0,SUMPRODUCT({5000,1000,500},C33:E33))+IF(COUNT(G33:I33)=0,0,SUMPRODUCT({5000,1000,500},G33:I33))+IF(COUNT(K33:M33)=0,0,SUMPRODUCT({5000,1000,500},K33:M33))+IF(COUNT(O33:Q33)=0,0,SUMPRODUCT({5000,1000,500},O33:Q33))+AD33)-N(AE33))</f>
        <v/>
      </c>
      <c r="AG33" s="35" t="str">
        <f t="shared" si="0"/>
        <v/>
      </c>
      <c r="AH33" s="38"/>
      <c r="AI33" s="36"/>
      <c r="AJ33" s="37"/>
      <c r="AK33" s="26" t="str">
        <f t="shared" si="3"/>
        <v/>
      </c>
      <c r="AL33" s="25" t="str">
        <f t="shared" si="4"/>
        <v/>
      </c>
      <c r="AM33" s="38"/>
    </row>
    <row r="34" spans="1:39" ht="12.75" customHeight="1" x14ac:dyDescent="0.25">
      <c r="A34" s="31"/>
      <c r="B34" s="32" t="str">
        <f>IF(A34="","",VLOOKUP(A34,'Employee Database'!A:B,2,FALSE))</f>
        <v/>
      </c>
      <c r="C34" s="31"/>
      <c r="D34" s="31"/>
      <c r="E34" s="31"/>
      <c r="F34" s="39">
        <f>IF(COUNT(C34:E34)=0,0,SUMPRODUCT({5000,1000,500},C34:E34))</f>
        <v>0</v>
      </c>
      <c r="G34" s="31"/>
      <c r="H34" s="31"/>
      <c r="I34" s="31"/>
      <c r="J34" s="39">
        <f>IF(COUNT(G34:I34)=0,0,SUMPRODUCT({5000,1000,500},G34:I34))</f>
        <v>0</v>
      </c>
      <c r="K34" s="31"/>
      <c r="L34" s="31"/>
      <c r="M34" s="31"/>
      <c r="N34" s="39">
        <f>IF(COUNT(K34:M34)=0,0,SUMPRODUCT({5000,1000,500},K34:M34))</f>
        <v>0</v>
      </c>
      <c r="O34" s="31"/>
      <c r="P34" s="31"/>
      <c r="Q34" s="31"/>
      <c r="R34" s="39">
        <f>IF(COUNT(O34:Q34)=0,0,SUMPRODUCT({5000,1000,500},O34:Q34))</f>
        <v>0</v>
      </c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4">
        <f>IF(COUNT(S34:AC34)=0,0,SUMPRODUCT({5000,1000,500,100,75,50,20,10,5,2,1}, S34:AC34))</f>
        <v>0</v>
      </c>
      <c r="AE34" s="33"/>
      <c r="AF34" s="24" t="str">
        <f>IF(AND(COUNT(C34:E34)=0,COUNT(G34:I34)=0,COUNT(K34:M34)=0,COUNT(O34:Q34)=0,COUNT(S34:AC34)=0,AE34=""),"",(IF(COUNT(C34:E34)=0,0,SUMPRODUCT({5000,1000,500},C34:E34))+IF(COUNT(G34:I34)=0,0,SUMPRODUCT({5000,1000,500},G34:I34))+IF(COUNT(K34:M34)=0,0,SUMPRODUCT({5000,1000,500},K34:M34))+IF(COUNT(O34:Q34)=0,0,SUMPRODUCT({5000,1000,500},O34:Q34))+AD34)-N(AE34))</f>
        <v/>
      </c>
      <c r="AG34" s="35" t="str">
        <f t="shared" si="0"/>
        <v/>
      </c>
      <c r="AH34" s="38"/>
      <c r="AI34" s="36"/>
      <c r="AJ34" s="37"/>
      <c r="AK34" s="26" t="str">
        <f t="shared" si="3"/>
        <v/>
      </c>
      <c r="AL34" s="25" t="str">
        <f t="shared" si="4"/>
        <v/>
      </c>
      <c r="AM34" s="38"/>
    </row>
    <row r="35" spans="1:39" ht="22.5" customHeight="1" x14ac:dyDescent="0.25">
      <c r="A35" s="27" t="s">
        <v>24</v>
      </c>
      <c r="B35" s="27" t="s">
        <v>24</v>
      </c>
      <c r="C35" s="28">
        <f t="shared" ref="C35:AF35" si="5">SUM(C5:C34)</f>
        <v>360</v>
      </c>
      <c r="D35" s="28">
        <f t="shared" si="5"/>
        <v>967</v>
      </c>
      <c r="E35" s="28">
        <f t="shared" si="5"/>
        <v>131</v>
      </c>
      <c r="F35" s="40">
        <f t="shared" si="5"/>
        <v>2832500</v>
      </c>
      <c r="G35" s="28">
        <f t="shared" si="5"/>
        <v>580</v>
      </c>
      <c r="H35" s="28">
        <f t="shared" si="5"/>
        <v>1666</v>
      </c>
      <c r="I35" s="28">
        <f t="shared" si="5"/>
        <v>265</v>
      </c>
      <c r="J35" s="40">
        <f t="shared" si="5"/>
        <v>4698500</v>
      </c>
      <c r="K35" s="28">
        <f t="shared" si="5"/>
        <v>0</v>
      </c>
      <c r="L35" s="28">
        <f t="shared" si="5"/>
        <v>0</v>
      </c>
      <c r="M35" s="28">
        <f t="shared" si="5"/>
        <v>0</v>
      </c>
      <c r="N35" s="40">
        <f t="shared" si="5"/>
        <v>0</v>
      </c>
      <c r="O35" s="28">
        <f t="shared" si="5"/>
        <v>0</v>
      </c>
      <c r="P35" s="28">
        <f t="shared" si="5"/>
        <v>0</v>
      </c>
      <c r="Q35" s="28">
        <f t="shared" si="5"/>
        <v>0</v>
      </c>
      <c r="R35" s="40">
        <f t="shared" si="5"/>
        <v>0</v>
      </c>
      <c r="S35" s="28">
        <f t="shared" si="5"/>
        <v>0</v>
      </c>
      <c r="T35" s="28">
        <f t="shared" si="5"/>
        <v>0</v>
      </c>
      <c r="U35" s="28">
        <f t="shared" si="5"/>
        <v>0</v>
      </c>
      <c r="V35" s="28">
        <f t="shared" si="5"/>
        <v>51</v>
      </c>
      <c r="W35" s="28">
        <f t="shared" si="5"/>
        <v>0</v>
      </c>
      <c r="X35" s="28">
        <f t="shared" si="5"/>
        <v>994</v>
      </c>
      <c r="Y35" s="28">
        <f t="shared" si="5"/>
        <v>6</v>
      </c>
      <c r="Z35" s="28">
        <f t="shared" si="5"/>
        <v>1243</v>
      </c>
      <c r="AA35" s="28">
        <f t="shared" si="5"/>
        <v>0</v>
      </c>
      <c r="AB35" s="28">
        <f t="shared" si="5"/>
        <v>0</v>
      </c>
      <c r="AC35" s="28">
        <f t="shared" si="5"/>
        <v>0</v>
      </c>
      <c r="AD35" s="40">
        <f t="shared" si="5"/>
        <v>67350</v>
      </c>
      <c r="AE35" s="41">
        <f t="shared" si="5"/>
        <v>7585015.3200000003</v>
      </c>
      <c r="AF35" s="29">
        <f t="shared" si="5"/>
        <v>13334.679999999993</v>
      </c>
      <c r="AG35" s="27" t="s">
        <v>24</v>
      </c>
      <c r="AH35" s="27" t="s">
        <v>24</v>
      </c>
      <c r="AI35" s="28">
        <f>SUM(AI5:AI34)</f>
        <v>14051289.110000001</v>
      </c>
      <c r="AJ35" s="28">
        <f>SUM(AJ5:AJ34)</f>
        <v>14037724.800000001</v>
      </c>
      <c r="AK35" s="28">
        <f>SUM(AK5:AK34)</f>
        <v>13564.30999999999</v>
      </c>
      <c r="AL35" s="28">
        <f>AJ35+AE35</f>
        <v>21622740.120000001</v>
      </c>
      <c r="AM35" s="28">
        <f>SUM(AM5:AM34)</f>
        <v>0</v>
      </c>
    </row>
  </sheetData>
  <sheetProtection algorithmName="SHA-512" hashValue="pjW48yvmoI12NRXHzxtRMHC+2H4EGGYJm7yWft2JJy9UccAzY35By5zXGEk66RlhyF/v3IHQqzVm7kum2x2/mw==" saltValue="HqnlVr1/i9Ys+uLAbmTD0Q==" spinCount="100000" sheet="1" objects="1" scenarios="1"/>
  <mergeCells count="9">
    <mergeCell ref="S3:AC3"/>
    <mergeCell ref="AD3:AG3"/>
    <mergeCell ref="AH3:AM3"/>
    <mergeCell ref="A1:B1"/>
    <mergeCell ref="A3:B3"/>
    <mergeCell ref="C3:F3"/>
    <mergeCell ref="G3:J3"/>
    <mergeCell ref="K3:N3"/>
    <mergeCell ref="O3:R3"/>
  </mergeCells>
  <conditionalFormatting sqref="A5">
    <cfRule type="duplicateValues" dxfId="220" priority="3"/>
    <cfRule type="duplicateValues" dxfId="219" priority="4"/>
  </conditionalFormatting>
  <conditionalFormatting sqref="A6">
    <cfRule type="duplicateValues" dxfId="218" priority="5"/>
    <cfRule type="duplicateValues" dxfId="217" priority="6"/>
  </conditionalFormatting>
  <conditionalFormatting sqref="A7:A34">
    <cfRule type="duplicateValues" dxfId="216" priority="1"/>
    <cfRule type="duplicateValues" dxfId="215" priority="2"/>
  </conditionalFormatting>
  <conditionalFormatting sqref="A35">
    <cfRule type="duplicateValues" dxfId="214" priority="7"/>
  </conditionalFormatting>
  <dataValidations count="1">
    <dataValidation type="list" allowBlank="1" showInputMessage="1" showErrorMessage="1" sqref="A1:B1" xr:uid="{00000000-0002-0000-0300-000000000000}">
      <formula1>Locations</formula1>
    </dataValidation>
  </dataValidations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FF0000"/>
  </sheetPr>
  <dimension ref="A1:AM36"/>
  <sheetViews>
    <sheetView showGridLines="0" topLeftCell="A13" zoomScale="85" zoomScaleNormal="85" workbookViewId="0">
      <pane xSplit="2" topLeftCell="AE1" activePane="topRight" state="frozen"/>
      <selection activeCell="A4" sqref="A4"/>
      <selection pane="topRight" activeCell="AK34" sqref="AK34:AL34"/>
    </sheetView>
  </sheetViews>
  <sheetFormatPr defaultRowHeight="15" x14ac:dyDescent="0.25"/>
  <cols>
    <col min="1" max="1" width="11.85546875" customWidth="1"/>
    <col min="2" max="2" width="20.5703125" customWidth="1"/>
    <col min="6" max="6" width="14.42578125" bestFit="1" customWidth="1"/>
    <col min="10" max="10" width="14.42578125" bestFit="1" customWidth="1"/>
    <col min="14" max="14" width="14.42578125" bestFit="1" customWidth="1"/>
    <col min="18" max="18" width="14.42578125" bestFit="1" customWidth="1"/>
    <col min="30" max="31" width="18" customWidth="1"/>
    <col min="32" max="32" width="20" customWidth="1"/>
    <col min="33" max="33" width="14" customWidth="1"/>
    <col min="35" max="35" width="18" customWidth="1"/>
    <col min="36" max="36" width="22" customWidth="1"/>
    <col min="37" max="37" width="16" customWidth="1"/>
    <col min="38" max="38" width="14" customWidth="1"/>
  </cols>
  <sheetData>
    <row r="1" spans="1:39" ht="43.5" customHeight="1" x14ac:dyDescent="0.25">
      <c r="A1" s="48" t="s">
        <v>306</v>
      </c>
      <c r="B1" s="48"/>
    </row>
    <row r="2" spans="1:39" ht="13.5" customHeight="1" x14ac:dyDescent="0.25">
      <c r="A2" s="30">
        <f>'2'!A2+1</f>
        <v>46206</v>
      </c>
    </row>
    <row r="3" spans="1:39" ht="24" customHeight="1" x14ac:dyDescent="0.25">
      <c r="A3" s="49" t="s">
        <v>0</v>
      </c>
      <c r="B3" s="49"/>
      <c r="C3" s="49" t="s">
        <v>93</v>
      </c>
      <c r="D3" s="50"/>
      <c r="E3" s="50"/>
      <c r="F3" s="50"/>
      <c r="G3" s="49" t="s">
        <v>94</v>
      </c>
      <c r="H3" s="50"/>
      <c r="I3" s="50"/>
      <c r="J3" s="50"/>
      <c r="K3" s="49" t="s">
        <v>95</v>
      </c>
      <c r="L3" s="50"/>
      <c r="M3" s="50"/>
      <c r="N3" s="50"/>
      <c r="O3" s="49" t="s">
        <v>96</v>
      </c>
      <c r="P3" s="50"/>
      <c r="Q3" s="50"/>
      <c r="R3" s="50"/>
      <c r="S3" s="45" t="s">
        <v>1</v>
      </c>
      <c r="T3" s="46"/>
      <c r="U3" s="46"/>
      <c r="V3" s="46"/>
      <c r="W3" s="46"/>
      <c r="X3" s="46"/>
      <c r="Y3" s="46"/>
      <c r="Z3" s="46"/>
      <c r="AA3" s="46"/>
      <c r="AB3" s="46"/>
      <c r="AC3" s="46"/>
      <c r="AD3" s="47" t="s">
        <v>97</v>
      </c>
      <c r="AE3" s="46"/>
      <c r="AF3" s="46"/>
      <c r="AG3" s="46"/>
      <c r="AH3" s="47" t="s">
        <v>98</v>
      </c>
      <c r="AI3" s="46"/>
      <c r="AJ3" s="46"/>
      <c r="AK3" s="46"/>
      <c r="AL3" s="46"/>
      <c r="AM3" s="46"/>
    </row>
    <row r="4" spans="1:39" ht="27.95" customHeight="1" x14ac:dyDescent="0.25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92</v>
      </c>
      <c r="G4" s="1" t="s">
        <v>5</v>
      </c>
      <c r="H4" s="1" t="s">
        <v>6</v>
      </c>
      <c r="I4" s="1" t="s">
        <v>7</v>
      </c>
      <c r="J4" s="1" t="s">
        <v>92</v>
      </c>
      <c r="K4" s="1" t="s">
        <v>5</v>
      </c>
      <c r="L4" s="1" t="s">
        <v>6</v>
      </c>
      <c r="M4" s="1" t="s">
        <v>7</v>
      </c>
      <c r="N4" s="1" t="s">
        <v>92</v>
      </c>
      <c r="O4" s="1" t="s">
        <v>5</v>
      </c>
      <c r="P4" s="1" t="s">
        <v>6</v>
      </c>
      <c r="Q4" s="1" t="s">
        <v>7</v>
      </c>
      <c r="R4" s="1" t="s">
        <v>92</v>
      </c>
      <c r="S4" s="1" t="s">
        <v>5</v>
      </c>
      <c r="T4" s="1" t="s">
        <v>6</v>
      </c>
      <c r="U4" s="1" t="s">
        <v>7</v>
      </c>
      <c r="V4" s="1" t="s">
        <v>8</v>
      </c>
      <c r="W4" s="1" t="s">
        <v>9</v>
      </c>
      <c r="X4" s="1" t="s">
        <v>10</v>
      </c>
      <c r="Y4" s="1" t="s">
        <v>11</v>
      </c>
      <c r="Z4" s="1" t="s">
        <v>12</v>
      </c>
      <c r="AA4" s="1" t="s">
        <v>13</v>
      </c>
      <c r="AB4" s="1" t="s">
        <v>14</v>
      </c>
      <c r="AC4" s="1" t="s">
        <v>15</v>
      </c>
      <c r="AD4" s="1" t="s">
        <v>16</v>
      </c>
      <c r="AE4" s="1" t="s">
        <v>17</v>
      </c>
      <c r="AF4" s="1" t="s">
        <v>18</v>
      </c>
      <c r="AG4" s="1" t="s">
        <v>19</v>
      </c>
      <c r="AH4" s="1" t="s">
        <v>20</v>
      </c>
      <c r="AI4" s="4" t="s">
        <v>99</v>
      </c>
      <c r="AJ4" s="1" t="s">
        <v>21</v>
      </c>
      <c r="AK4" s="1" t="s">
        <v>22</v>
      </c>
      <c r="AL4" s="1" t="s">
        <v>23</v>
      </c>
      <c r="AM4" s="4" t="s">
        <v>100</v>
      </c>
    </row>
    <row r="5" spans="1:39" ht="12.75" customHeight="1" x14ac:dyDescent="0.25">
      <c r="A5" s="31">
        <v>69210</v>
      </c>
      <c r="B5" s="32" t="str">
        <f>IF(A5="","",VLOOKUP(A5,'Employee Database'!A:B,2,FALSE))</f>
        <v>Taha Ashraf</v>
      </c>
      <c r="C5" s="31">
        <v>1</v>
      </c>
      <c r="D5" s="31">
        <v>7</v>
      </c>
      <c r="E5" s="31"/>
      <c r="F5" s="39">
        <f>IF(COUNT(C5:E5)=0,0,SUMPRODUCT({5000,1000,500},C5:E5))</f>
        <v>12000</v>
      </c>
      <c r="G5" s="31"/>
      <c r="H5" s="31"/>
      <c r="I5" s="31"/>
      <c r="J5" s="39">
        <f>IF(COUNT(G5:I5)=0,0,SUMPRODUCT({5000,1000,500},G5:I5))</f>
        <v>0</v>
      </c>
      <c r="K5" s="31"/>
      <c r="L5" s="31"/>
      <c r="M5" s="31"/>
      <c r="N5" s="39">
        <f>IF(COUNT(K5:M5)=0,0,SUMPRODUCT({5000,1000,500},K5:M5))</f>
        <v>0</v>
      </c>
      <c r="O5" s="31"/>
      <c r="P5" s="31"/>
      <c r="Q5" s="31"/>
      <c r="R5" s="39">
        <f>IF(COUNT(O5:Q5)=0,0,SUMPRODUCT({5000,1000,500},O5:Q5))</f>
        <v>0</v>
      </c>
      <c r="S5" s="31"/>
      <c r="T5" s="31"/>
      <c r="U5" s="31"/>
      <c r="V5" s="31">
        <v>3</v>
      </c>
      <c r="W5" s="31"/>
      <c r="X5" s="31">
        <v>96</v>
      </c>
      <c r="Y5" s="31"/>
      <c r="Z5" s="31">
        <v>90</v>
      </c>
      <c r="AA5" s="31"/>
      <c r="AB5" s="31"/>
      <c r="AC5" s="31"/>
      <c r="AD5" s="34">
        <f>IF(COUNT(S5:AC5)=0,0,SUMPRODUCT({5000,1000,500,100,75,50,20,10,5,2,1}, S5:AC5))</f>
        <v>6000</v>
      </c>
      <c r="AE5" s="33">
        <v>18025</v>
      </c>
      <c r="AF5" s="24">
        <f>IF(AND(COUNT(C5:E5)=0,COUNT(G5:I5)=0,COUNT(K5:M5)=0,COUNT(O5:Q5)=0,COUNT(S5:AC5)=0,AE5=""),"",(IF(COUNT(C5:E5)=0,0,SUMPRODUCT({5000,1000,500},C5:E5))+IF(COUNT(G5:I5)=0,0,SUMPRODUCT({5000,1000,500},G5:I5))+IF(COUNT(K5:M5)=0,0,SUMPRODUCT({5000,1000,500},K5:M5))+IF(COUNT(O5:Q5)=0,0,SUMPRODUCT({5000,1000,500},O5:Q5))+AD5)-N(AE5))</f>
        <v>-25</v>
      </c>
      <c r="AG5" s="35" t="str">
        <f t="shared" ref="AG5:AG35" si="0">IF(AF5="","",IF(AF5&gt;0,"Excess",IF(AF5&lt;0,"Short","Balanced")))</f>
        <v>Short</v>
      </c>
      <c r="AH5" s="38"/>
      <c r="AI5" s="36">
        <v>38145.54</v>
      </c>
      <c r="AJ5" s="37">
        <v>38145.54</v>
      </c>
      <c r="AK5" s="26">
        <f t="shared" ref="AK5:AK35" si="1">IF(AND(AI5="",AJ5=""),"",N(AI5)-N(AJ5))</f>
        <v>0</v>
      </c>
      <c r="AL5" s="25" t="str">
        <f t="shared" ref="AL5:AL35" si="2">IF(AK5="","",IF(AK5&gt;0,"POS Excess",IF(AK5&lt;0,"Bank Short","Matched")))</f>
        <v>Matched</v>
      </c>
      <c r="AM5" s="38"/>
    </row>
    <row r="6" spans="1:39" ht="12.75" customHeight="1" x14ac:dyDescent="0.25">
      <c r="A6" s="31">
        <v>65299</v>
      </c>
      <c r="B6" s="32" t="str">
        <f>IF(A6="","",VLOOKUP(A6,'Employee Database'!A:B,2,FALSE))</f>
        <v>M Faisal</v>
      </c>
      <c r="C6" s="31">
        <v>4</v>
      </c>
      <c r="D6" s="31">
        <v>24</v>
      </c>
      <c r="E6" s="31">
        <v>1</v>
      </c>
      <c r="F6" s="39">
        <f>IF(COUNT(C6:E6)=0,0,SUMPRODUCT({5000,1000,500},C6:E6))</f>
        <v>44500</v>
      </c>
      <c r="G6" s="31"/>
      <c r="H6" s="31"/>
      <c r="I6" s="31"/>
      <c r="J6" s="39">
        <f>IF(COUNT(G6:I6)=0,0,SUMPRODUCT({5000,1000,500},G6:I6))</f>
        <v>0</v>
      </c>
      <c r="K6" s="31"/>
      <c r="L6" s="31"/>
      <c r="M6" s="31"/>
      <c r="N6" s="39">
        <f>IF(COUNT(K6:M6)=0,0,SUMPRODUCT({5000,1000,500},K6:M6))</f>
        <v>0</v>
      </c>
      <c r="O6" s="31"/>
      <c r="P6" s="31"/>
      <c r="Q6" s="31"/>
      <c r="R6" s="39">
        <f>IF(COUNT(O6:Q6)=0,0,SUMPRODUCT({5000,1000,500},O6:Q6))</f>
        <v>0</v>
      </c>
      <c r="S6" s="31"/>
      <c r="T6" s="31"/>
      <c r="U6" s="31"/>
      <c r="V6" s="31">
        <v>4</v>
      </c>
      <c r="W6" s="31"/>
      <c r="X6" s="31">
        <v>34</v>
      </c>
      <c r="Y6" s="31"/>
      <c r="Z6" s="31">
        <v>39</v>
      </c>
      <c r="AA6" s="31"/>
      <c r="AB6" s="31"/>
      <c r="AC6" s="31"/>
      <c r="AD6" s="34">
        <f>IF(COUNT(S6:AC6)=0,0,SUMPRODUCT({5000,1000,500,100,75,50,20,10,5,2,1}, S6:AC6))</f>
        <v>2490</v>
      </c>
      <c r="AE6" s="33">
        <v>47014</v>
      </c>
      <c r="AF6" s="24">
        <f>IF(AND(COUNT(C6:E6)=0,COUNT(G6:I6)=0,COUNT(K6:M6)=0,COUNT(O6:Q6)=0,COUNT(S6:AC6)=0,AE6=""),"",(IF(COUNT(C6:E6)=0,0,SUMPRODUCT({5000,1000,500},C6:E6))+IF(COUNT(G6:I6)=0,0,SUMPRODUCT({5000,1000,500},G6:I6))+IF(COUNT(K6:M6)=0,0,SUMPRODUCT({5000,1000,500},K6:M6))+IF(COUNT(O6:Q6)=0,0,SUMPRODUCT({5000,1000,500},O6:Q6))+AD6)-N(AE6))</f>
        <v>-24</v>
      </c>
      <c r="AG6" s="35" t="str">
        <f t="shared" si="0"/>
        <v>Short</v>
      </c>
      <c r="AH6" s="38"/>
      <c r="AI6" s="36">
        <v>27625.49</v>
      </c>
      <c r="AJ6" s="37">
        <v>27625.49</v>
      </c>
      <c r="AK6" s="26">
        <f t="shared" si="1"/>
        <v>0</v>
      </c>
      <c r="AL6" s="25" t="str">
        <f t="shared" si="2"/>
        <v>Matched</v>
      </c>
      <c r="AM6" s="38"/>
    </row>
    <row r="7" spans="1:39" ht="12.75" customHeight="1" x14ac:dyDescent="0.25">
      <c r="A7" s="31">
        <v>57653</v>
      </c>
      <c r="B7" s="32" t="str">
        <f>IF(A7="","",VLOOKUP(A7,'Employee Database'!A:B,2,FALSE))</f>
        <v>Amanat ali</v>
      </c>
      <c r="C7" s="31">
        <v>21</v>
      </c>
      <c r="D7" s="31">
        <v>32</v>
      </c>
      <c r="E7" s="31">
        <v>11</v>
      </c>
      <c r="F7" s="39">
        <f>IF(COUNT(C7:E7)=0,0,SUMPRODUCT({5000,1000,500},C7:E7))</f>
        <v>142500</v>
      </c>
      <c r="G7" s="31"/>
      <c r="H7" s="31"/>
      <c r="I7" s="31"/>
      <c r="J7" s="39">
        <f>IF(COUNT(G7:I7)=0,0,SUMPRODUCT({5000,1000,500},G7:I7))</f>
        <v>0</v>
      </c>
      <c r="K7" s="31"/>
      <c r="L7" s="31"/>
      <c r="M7" s="31"/>
      <c r="N7" s="39">
        <f>IF(COUNT(K7:M7)=0,0,SUMPRODUCT({5000,1000,500},K7:M7))</f>
        <v>0</v>
      </c>
      <c r="O7" s="31"/>
      <c r="P7" s="31"/>
      <c r="Q7" s="31"/>
      <c r="R7" s="39">
        <f>IF(COUNT(O7:Q7)=0,0,SUMPRODUCT({5000,1000,500},O7:Q7))</f>
        <v>0</v>
      </c>
      <c r="S7" s="31"/>
      <c r="T7" s="31"/>
      <c r="U7" s="31"/>
      <c r="V7" s="31">
        <v>12</v>
      </c>
      <c r="W7" s="31"/>
      <c r="X7" s="31">
        <v>86</v>
      </c>
      <c r="Y7" s="31">
        <v>1</v>
      </c>
      <c r="Z7" s="31">
        <v>93</v>
      </c>
      <c r="AA7" s="31"/>
      <c r="AB7" s="31"/>
      <c r="AC7" s="31"/>
      <c r="AD7" s="34">
        <f>IF(COUNT(S7:AC7)=0,0,SUMPRODUCT({5000,1000,500,100,75,50,20,10,5,2,1}, S7:AC7))</f>
        <v>6450</v>
      </c>
      <c r="AE7" s="33">
        <v>148934</v>
      </c>
      <c r="AF7" s="24">
        <f>IF(AND(COUNT(C7:E7)=0,COUNT(G7:I7)=0,COUNT(K7:M7)=0,COUNT(O7:Q7)=0,COUNT(S7:AC7)=0,AE7=""),"",(IF(COUNT(C7:E7)=0,0,SUMPRODUCT({5000,1000,500},C7:E7))+IF(COUNT(G7:I7)=0,0,SUMPRODUCT({5000,1000,500},G7:I7))+IF(COUNT(K7:M7)=0,0,SUMPRODUCT({5000,1000,500},K7:M7))+IF(COUNT(O7:Q7)=0,0,SUMPRODUCT({5000,1000,500},O7:Q7))+AD7)-N(AE7))</f>
        <v>16</v>
      </c>
      <c r="AG7" s="35" t="str">
        <f t="shared" si="0"/>
        <v>Excess</v>
      </c>
      <c r="AH7" s="38"/>
      <c r="AI7" s="36">
        <f>4066.1+408119.24</f>
        <v>412185.33999999997</v>
      </c>
      <c r="AJ7" s="37">
        <f>4066.1+408119.24</f>
        <v>412185.33999999997</v>
      </c>
      <c r="AK7" s="26">
        <f t="shared" si="1"/>
        <v>0</v>
      </c>
      <c r="AL7" s="25" t="str">
        <f t="shared" si="2"/>
        <v>Matched</v>
      </c>
      <c r="AM7" s="38"/>
    </row>
    <row r="8" spans="1:39" ht="12.75" customHeight="1" x14ac:dyDescent="0.25">
      <c r="A8" s="31">
        <v>67249</v>
      </c>
      <c r="B8" s="32" t="str">
        <f>IF(A8="","",VLOOKUP(A8,'Employee Database'!A:B,2,FALSE))</f>
        <v>Hanan Javaid</v>
      </c>
      <c r="C8" s="31">
        <v>30</v>
      </c>
      <c r="D8" s="31">
        <v>73</v>
      </c>
      <c r="E8" s="31">
        <v>37</v>
      </c>
      <c r="F8" s="39">
        <f>IF(COUNT(C8:E8)=0,0,SUMPRODUCT({5000,1000,500},C8:E8))</f>
        <v>241500</v>
      </c>
      <c r="G8" s="31"/>
      <c r="H8" s="31"/>
      <c r="I8" s="31"/>
      <c r="J8" s="39">
        <f>IF(COUNT(G8:I8)=0,0,SUMPRODUCT({5000,1000,500},G8:I8))</f>
        <v>0</v>
      </c>
      <c r="K8" s="31"/>
      <c r="L8" s="31"/>
      <c r="M8" s="31"/>
      <c r="N8" s="39">
        <f>IF(COUNT(K8:M8)=0,0,SUMPRODUCT({5000,1000,500},K8:M8))</f>
        <v>0</v>
      </c>
      <c r="O8" s="31"/>
      <c r="P8" s="31"/>
      <c r="Q8" s="31"/>
      <c r="R8" s="39">
        <f>IF(COUNT(O8:Q8)=0,0,SUMPRODUCT({5000,1000,500},O8:Q8))</f>
        <v>0</v>
      </c>
      <c r="S8" s="31"/>
      <c r="T8" s="31"/>
      <c r="U8" s="31"/>
      <c r="V8" s="31"/>
      <c r="W8" s="31"/>
      <c r="X8" s="31">
        <v>10</v>
      </c>
      <c r="Y8" s="31"/>
      <c r="Z8" s="31">
        <v>3</v>
      </c>
      <c r="AA8" s="31"/>
      <c r="AB8" s="31"/>
      <c r="AC8" s="31"/>
      <c r="AD8" s="34">
        <f>IF(COUNT(S8:AC8)=0,0,SUMPRODUCT({5000,1000,500,100,75,50,20,10,5,2,1}, S8:AC8))</f>
        <v>530</v>
      </c>
      <c r="AE8" s="33">
        <v>241976</v>
      </c>
      <c r="AF8" s="24">
        <f>IF(AND(COUNT(C8:E8)=0,COUNT(G8:I8)=0,COUNT(K8:M8)=0,COUNT(O8:Q8)=0,COUNT(S8:AC8)=0,AE8=""),"",(IF(COUNT(C8:E8)=0,0,SUMPRODUCT({5000,1000,500},C8:E8))+IF(COUNT(G8:I8)=0,0,SUMPRODUCT({5000,1000,500},G8:I8))+IF(COUNT(K8:M8)=0,0,SUMPRODUCT({5000,1000,500},K8:M8))+IF(COUNT(O8:Q8)=0,0,SUMPRODUCT({5000,1000,500},O8:Q8))+AD8)-N(AE8))</f>
        <v>54</v>
      </c>
      <c r="AG8" s="35" t="str">
        <f t="shared" si="0"/>
        <v>Excess</v>
      </c>
      <c r="AH8" s="38"/>
      <c r="AI8" s="36">
        <v>279310.42</v>
      </c>
      <c r="AJ8" s="37">
        <v>279310.42</v>
      </c>
      <c r="AK8" s="26">
        <f t="shared" si="1"/>
        <v>0</v>
      </c>
      <c r="AL8" s="25" t="str">
        <f t="shared" si="2"/>
        <v>Matched</v>
      </c>
      <c r="AM8" s="38"/>
    </row>
    <row r="9" spans="1:39" ht="12.75" customHeight="1" x14ac:dyDescent="0.25">
      <c r="A9" s="31">
        <v>56189</v>
      </c>
      <c r="B9" s="32" t="str">
        <f>IF(A9="","",VLOOKUP(A9,'Employee Database'!A:B,2,FALSE))</f>
        <v>Iffat Sultan</v>
      </c>
      <c r="C9" s="31"/>
      <c r="D9" s="31">
        <v>23</v>
      </c>
      <c r="E9" s="31">
        <v>1</v>
      </c>
      <c r="F9" s="39">
        <f>IF(COUNT(C9:E9)=0,0,SUMPRODUCT({5000,1000,500},C9:E9))</f>
        <v>23500</v>
      </c>
      <c r="G9" s="31"/>
      <c r="H9" s="31"/>
      <c r="I9" s="31"/>
      <c r="J9" s="39">
        <f>IF(COUNT(G9:I9)=0,0,SUMPRODUCT({5000,1000,500},G9:I9))</f>
        <v>0</v>
      </c>
      <c r="K9" s="31"/>
      <c r="L9" s="31"/>
      <c r="M9" s="31"/>
      <c r="N9" s="39">
        <f>IF(COUNT(K9:M9)=0,0,SUMPRODUCT({5000,1000,500},K9:M9))</f>
        <v>0</v>
      </c>
      <c r="O9" s="31"/>
      <c r="P9" s="31"/>
      <c r="Q9" s="31"/>
      <c r="R9" s="39">
        <f>IF(COUNT(O9:Q9)=0,0,SUMPRODUCT({5000,1000,500},O9:Q9))</f>
        <v>0</v>
      </c>
      <c r="S9" s="31"/>
      <c r="T9" s="31"/>
      <c r="U9" s="31"/>
      <c r="V9" s="31"/>
      <c r="W9" s="31" t="s">
        <v>308</v>
      </c>
      <c r="X9" s="31">
        <v>8</v>
      </c>
      <c r="Y9" s="31"/>
      <c r="Z9" s="31">
        <v>36</v>
      </c>
      <c r="AA9" s="31"/>
      <c r="AB9" s="31"/>
      <c r="AC9" s="31"/>
      <c r="AD9" s="34">
        <f>IF(COUNT(S9:AC9)=0,0,SUMPRODUCT({5000,1000,500,100,75,50,20,10,5,2,1}, S9:AC9))</f>
        <v>760</v>
      </c>
      <c r="AE9" s="33">
        <v>24264</v>
      </c>
      <c r="AF9" s="24">
        <f>IF(AND(COUNT(C9:E9)=0,COUNT(G9:I9)=0,COUNT(K9:M9)=0,COUNT(O9:Q9)=0,COUNT(S9:AC9)=0,AE9=""),"",(IF(COUNT(C9:E9)=0,0,SUMPRODUCT({5000,1000,500},C9:E9))+IF(COUNT(G9:I9)=0,0,SUMPRODUCT({5000,1000,500},G9:I9))+IF(COUNT(K9:M9)=0,0,SUMPRODUCT({5000,1000,500},K9:M9))+IF(COUNT(O9:Q9)=0,0,SUMPRODUCT({5000,1000,500},O9:Q9))+AD9)-N(AE9))</f>
        <v>-4</v>
      </c>
      <c r="AG9" s="35" t="str">
        <f t="shared" si="0"/>
        <v>Short</v>
      </c>
      <c r="AH9" s="38"/>
      <c r="AI9" s="36">
        <v>35092.870000000003</v>
      </c>
      <c r="AJ9" s="37">
        <v>35092.870000000003</v>
      </c>
      <c r="AK9" s="26">
        <f t="shared" si="1"/>
        <v>0</v>
      </c>
      <c r="AL9" s="25" t="str">
        <f t="shared" si="2"/>
        <v>Matched</v>
      </c>
      <c r="AM9" s="38"/>
    </row>
    <row r="10" spans="1:39" ht="12.75" customHeight="1" x14ac:dyDescent="0.25">
      <c r="A10" s="31">
        <v>77423</v>
      </c>
      <c r="B10" s="32" t="str">
        <f>IF(A10="","",VLOOKUP(A10,'Employee Database'!A:B,2,FALSE))</f>
        <v>Shoaib Akhtar</v>
      </c>
      <c r="C10" s="31">
        <v>33</v>
      </c>
      <c r="D10" s="31">
        <v>137</v>
      </c>
      <c r="E10" s="31">
        <v>68</v>
      </c>
      <c r="F10" s="39">
        <f>IF(COUNT(C10:E10)=0,0,SUMPRODUCT({5000,1000,500},C10:E10))</f>
        <v>336000</v>
      </c>
      <c r="G10" s="31"/>
      <c r="H10" s="31"/>
      <c r="I10" s="31"/>
      <c r="J10" s="39">
        <f>IF(COUNT(G10:I10)=0,0,SUMPRODUCT({5000,1000,500},G10:I10))</f>
        <v>0</v>
      </c>
      <c r="K10" s="31"/>
      <c r="L10" s="31"/>
      <c r="M10" s="31"/>
      <c r="N10" s="39">
        <f>IF(COUNT(K10:M10)=0,0,SUMPRODUCT({5000,1000,500},K10:M10))</f>
        <v>0</v>
      </c>
      <c r="O10" s="31"/>
      <c r="P10" s="31"/>
      <c r="Q10" s="31"/>
      <c r="R10" s="39">
        <f>IF(COUNT(O10:Q10)=0,0,SUMPRODUCT({5000,1000,500},O10:Q10))</f>
        <v>0</v>
      </c>
      <c r="S10" s="31"/>
      <c r="T10" s="31"/>
      <c r="U10" s="31"/>
      <c r="V10" s="31">
        <v>2</v>
      </c>
      <c r="W10" s="31"/>
      <c r="X10" s="31">
        <v>117</v>
      </c>
      <c r="Y10" s="31"/>
      <c r="Z10" s="31">
        <v>58</v>
      </c>
      <c r="AA10" s="31"/>
      <c r="AB10" s="31"/>
      <c r="AC10" s="31"/>
      <c r="AD10" s="34">
        <f>IF(COUNT(S10:AC10)=0,0,SUMPRODUCT({5000,1000,500,100,75,50,20,10,5,2,1}, S10:AC10))</f>
        <v>6630</v>
      </c>
      <c r="AE10" s="33">
        <v>342615</v>
      </c>
      <c r="AF10" s="24">
        <f>IF(AND(COUNT(C10:E10)=0,COUNT(G10:I10)=0,COUNT(K10:M10)=0,COUNT(O10:Q10)=0,COUNT(S10:AC10)=0,AE10=""),"",(IF(COUNT(C10:E10)=0,0,SUMPRODUCT({5000,1000,500},C10:E10))+IF(COUNT(G10:I10)=0,0,SUMPRODUCT({5000,1000,500},G10:I10))+IF(COUNT(K10:M10)=0,0,SUMPRODUCT({5000,1000,500},K10:M10))+IF(COUNT(O10:Q10)=0,0,SUMPRODUCT({5000,1000,500},O10:Q10))+AD10)-N(AE10))</f>
        <v>15</v>
      </c>
      <c r="AG10" s="35" t="str">
        <f t="shared" si="0"/>
        <v>Excess</v>
      </c>
      <c r="AH10" s="38"/>
      <c r="AI10" s="36">
        <v>881808.74</v>
      </c>
      <c r="AJ10" s="37">
        <v>881808.74</v>
      </c>
      <c r="AK10" s="26">
        <f t="shared" si="1"/>
        <v>0</v>
      </c>
      <c r="AL10" s="25" t="str">
        <f t="shared" si="2"/>
        <v>Matched</v>
      </c>
      <c r="AM10" s="38"/>
    </row>
    <row r="11" spans="1:39" ht="12.75" customHeight="1" x14ac:dyDescent="0.25">
      <c r="A11" s="31">
        <v>58112</v>
      </c>
      <c r="B11" s="32" t="str">
        <f>IF(A11="","",VLOOKUP(A11,'Employee Database'!A:B,2,FALSE))</f>
        <v>Shama</v>
      </c>
      <c r="C11" s="31">
        <v>68</v>
      </c>
      <c r="D11" s="31">
        <v>128</v>
      </c>
      <c r="E11" s="31">
        <v>30</v>
      </c>
      <c r="F11" s="39">
        <f>IF(COUNT(C11:E11)=0,0,SUMPRODUCT({5000,1000,500},C11:E11))</f>
        <v>483000</v>
      </c>
      <c r="G11" s="31"/>
      <c r="H11" s="31"/>
      <c r="I11" s="31"/>
      <c r="J11" s="39">
        <f>IF(COUNT(G11:I11)=0,0,SUMPRODUCT({5000,1000,500},G11:I11))</f>
        <v>0</v>
      </c>
      <c r="K11" s="31"/>
      <c r="L11" s="31"/>
      <c r="M11" s="31"/>
      <c r="N11" s="39">
        <f>IF(COUNT(K11:M11)=0,0,SUMPRODUCT({5000,1000,500},K11:M11))</f>
        <v>0</v>
      </c>
      <c r="O11" s="31"/>
      <c r="P11" s="31"/>
      <c r="Q11" s="31"/>
      <c r="R11" s="39">
        <f>IF(COUNT(O11:Q11)=0,0,SUMPRODUCT({5000,1000,500},O11:Q11))</f>
        <v>0</v>
      </c>
      <c r="S11" s="31"/>
      <c r="T11" s="31"/>
      <c r="U11" s="31"/>
      <c r="V11" s="31">
        <v>2</v>
      </c>
      <c r="W11" s="31"/>
      <c r="X11" s="31">
        <v>17</v>
      </c>
      <c r="Y11" s="31"/>
      <c r="Z11" s="31">
        <v>37</v>
      </c>
      <c r="AA11" s="31"/>
      <c r="AB11" s="31"/>
      <c r="AC11" s="31"/>
      <c r="AD11" s="34">
        <f>IF(COUNT(S11:AC11)=0,0,SUMPRODUCT({5000,1000,500,100,75,50,20,10,5,2,1}, S11:AC11))</f>
        <v>1420</v>
      </c>
      <c r="AE11" s="33">
        <v>484422</v>
      </c>
      <c r="AF11" s="24">
        <f>IF(AND(COUNT(C11:E11)=0,COUNT(G11:I11)=0,COUNT(K11:M11)=0,COUNT(O11:Q11)=0,COUNT(S11:AC11)=0,AE11=""),"",(IF(COUNT(C11:E11)=0,0,SUMPRODUCT({5000,1000,500},C11:E11))+IF(COUNT(G11:I11)=0,0,SUMPRODUCT({5000,1000,500},G11:I11))+IF(COUNT(K11:M11)=0,0,SUMPRODUCT({5000,1000,500},K11:M11))+IF(COUNT(O11:Q11)=0,0,SUMPRODUCT({5000,1000,500},O11:Q11))+AD11)-N(AE11))</f>
        <v>-2</v>
      </c>
      <c r="AG11" s="35" t="str">
        <f t="shared" si="0"/>
        <v>Short</v>
      </c>
      <c r="AH11" s="38"/>
      <c r="AI11" s="36">
        <v>924338.93</v>
      </c>
      <c r="AJ11" s="37">
        <v>924338.93</v>
      </c>
      <c r="AK11" s="26">
        <f t="shared" si="1"/>
        <v>0</v>
      </c>
      <c r="AL11" s="25" t="str">
        <f t="shared" si="2"/>
        <v>Matched</v>
      </c>
      <c r="AM11" s="38"/>
    </row>
    <row r="12" spans="1:39" ht="12.75" customHeight="1" x14ac:dyDescent="0.25">
      <c r="A12" s="31">
        <v>59257</v>
      </c>
      <c r="B12" s="32" t="str">
        <f>IF(A12="","",VLOOKUP(A12,'Employee Database'!A:B,2,FALSE))</f>
        <v>Saddiqa Maryam</v>
      </c>
      <c r="C12" s="31">
        <v>45</v>
      </c>
      <c r="D12" s="31">
        <v>50</v>
      </c>
      <c r="E12" s="31">
        <v>54</v>
      </c>
      <c r="F12" s="39">
        <f>IF(COUNT(C12:E12)=0,0,SUMPRODUCT({5000,1000,500},C12:E12))</f>
        <v>302000</v>
      </c>
      <c r="G12" s="31"/>
      <c r="H12" s="31"/>
      <c r="I12" s="31"/>
      <c r="J12" s="39">
        <f>IF(COUNT(G12:I12)=0,0,SUMPRODUCT({5000,1000,500},G12:I12))</f>
        <v>0</v>
      </c>
      <c r="K12" s="31"/>
      <c r="L12" s="31"/>
      <c r="M12" s="31"/>
      <c r="N12" s="39">
        <f>IF(COUNT(K12:M12)=0,0,SUMPRODUCT({5000,1000,500},K12:M12))</f>
        <v>0</v>
      </c>
      <c r="O12" s="31"/>
      <c r="P12" s="31"/>
      <c r="Q12" s="31"/>
      <c r="R12" s="39">
        <f>IF(COUNT(O12:Q12)=0,0,SUMPRODUCT({5000,1000,500},O12:Q12))</f>
        <v>0</v>
      </c>
      <c r="S12" s="31"/>
      <c r="T12" s="31"/>
      <c r="U12" s="31"/>
      <c r="V12" s="31"/>
      <c r="W12" s="31"/>
      <c r="X12" s="31">
        <v>1</v>
      </c>
      <c r="Y12" s="31"/>
      <c r="Z12" s="31">
        <v>56</v>
      </c>
      <c r="AA12" s="31"/>
      <c r="AB12" s="31"/>
      <c r="AC12" s="31"/>
      <c r="AD12" s="34">
        <f>IF(COUNT(S12:AC12)=0,0,SUMPRODUCT({5000,1000,500,100,75,50,20,10,5,2,1}, S12:AC12))</f>
        <v>610</v>
      </c>
      <c r="AE12" s="33">
        <v>302523</v>
      </c>
      <c r="AF12" s="24">
        <f>IF(AND(COUNT(C12:E12)=0,COUNT(G12:I12)=0,COUNT(K12:M12)=0,COUNT(O12:Q12)=0,COUNT(S12:AC12)=0,AE12=""),"",(IF(COUNT(C12:E12)=0,0,SUMPRODUCT({5000,1000,500},C12:E12))+IF(COUNT(G12:I12)=0,0,SUMPRODUCT({5000,1000,500},G12:I12))+IF(COUNT(K12:M12)=0,0,SUMPRODUCT({5000,1000,500},K12:M12))+IF(COUNT(O12:Q12)=0,0,SUMPRODUCT({5000,1000,500},O12:Q12))+AD12)-N(AE12))</f>
        <v>87</v>
      </c>
      <c r="AG12" s="35" t="str">
        <f t="shared" si="0"/>
        <v>Excess</v>
      </c>
      <c r="AH12" s="38"/>
      <c r="AI12" s="36">
        <v>513299.89</v>
      </c>
      <c r="AJ12" s="37">
        <v>513299.89</v>
      </c>
      <c r="AK12" s="26">
        <f t="shared" si="1"/>
        <v>0</v>
      </c>
      <c r="AL12" s="25" t="str">
        <f t="shared" si="2"/>
        <v>Matched</v>
      </c>
      <c r="AM12" s="38"/>
    </row>
    <row r="13" spans="1:39" ht="12.75" customHeight="1" x14ac:dyDescent="0.25">
      <c r="A13" s="31">
        <v>76411</v>
      </c>
      <c r="B13" s="32" t="str">
        <f>IF(A13="","",VLOOKUP(A13,'Employee Database'!A:B,2,FALSE))</f>
        <v>Zubair</v>
      </c>
      <c r="C13" s="31">
        <v>14</v>
      </c>
      <c r="D13" s="31">
        <v>41</v>
      </c>
      <c r="E13" s="31"/>
      <c r="F13" s="39">
        <f>IF(COUNT(C13:E13)=0,0,SUMPRODUCT({5000,1000,500},C13:E13))</f>
        <v>111000</v>
      </c>
      <c r="G13" s="31"/>
      <c r="H13" s="31"/>
      <c r="I13" s="31"/>
      <c r="J13" s="39">
        <f>IF(COUNT(G13:I13)=0,0,SUMPRODUCT({5000,1000,500},G13:I13))</f>
        <v>0</v>
      </c>
      <c r="K13" s="31"/>
      <c r="L13" s="31"/>
      <c r="M13" s="31"/>
      <c r="N13" s="39">
        <f>IF(COUNT(K13:M13)=0,0,SUMPRODUCT({5000,1000,500},K13:M13))</f>
        <v>0</v>
      </c>
      <c r="O13" s="31"/>
      <c r="P13" s="31"/>
      <c r="Q13" s="31"/>
      <c r="R13" s="39">
        <f>IF(COUNT(O13:Q13)=0,0,SUMPRODUCT({5000,1000,500},O13:Q13))</f>
        <v>0</v>
      </c>
      <c r="S13" s="31"/>
      <c r="T13" s="31"/>
      <c r="U13" s="31"/>
      <c r="V13" s="31"/>
      <c r="W13" s="31"/>
      <c r="X13" s="31">
        <v>30</v>
      </c>
      <c r="Y13" s="31"/>
      <c r="Z13" s="31">
        <v>88</v>
      </c>
      <c r="AA13" s="31"/>
      <c r="AB13" s="31"/>
      <c r="AC13" s="31"/>
      <c r="AD13" s="34">
        <f>IF(COUNT(S13:AC13)=0,0,SUMPRODUCT({5000,1000,500,100,75,50,20,10,5,2,1}, S13:AC13))</f>
        <v>2380</v>
      </c>
      <c r="AE13" s="33">
        <v>113390</v>
      </c>
      <c r="AF13" s="24">
        <f>IF(AND(COUNT(C13:E13)=0,COUNT(G13:I13)=0,COUNT(K13:M13)=0,COUNT(O13:Q13)=0,COUNT(S13:AC13)=0,AE13=""),"",(IF(COUNT(C13:E13)=0,0,SUMPRODUCT({5000,1000,500},C13:E13))+IF(COUNT(G13:I13)=0,0,SUMPRODUCT({5000,1000,500},G13:I13))+IF(COUNT(K13:M13)=0,0,SUMPRODUCT({5000,1000,500},K13:M13))+IF(COUNT(O13:Q13)=0,0,SUMPRODUCT({5000,1000,500},O13:Q13))+AD13)-N(AE13))</f>
        <v>-10</v>
      </c>
      <c r="AG13" s="35" t="str">
        <f t="shared" si="0"/>
        <v>Short</v>
      </c>
      <c r="AH13" s="38"/>
      <c r="AI13" s="36">
        <v>276631.07</v>
      </c>
      <c r="AJ13" s="37">
        <v>276631.07</v>
      </c>
      <c r="AK13" s="26">
        <f t="shared" si="1"/>
        <v>0</v>
      </c>
      <c r="AL13" s="25" t="str">
        <f t="shared" si="2"/>
        <v>Matched</v>
      </c>
      <c r="AM13" s="38"/>
    </row>
    <row r="14" spans="1:39" ht="12.75" customHeight="1" x14ac:dyDescent="0.25">
      <c r="A14" s="31">
        <v>73196</v>
      </c>
      <c r="B14" s="32" t="str">
        <f>IF(A14="","",VLOOKUP(A14,'Employee Database'!A:B,2,FALSE))</f>
        <v>Asma</v>
      </c>
      <c r="C14" s="31">
        <v>86</v>
      </c>
      <c r="D14" s="31">
        <v>158</v>
      </c>
      <c r="E14" s="31">
        <v>2</v>
      </c>
      <c r="F14" s="39">
        <f>IF(COUNT(C14:E14)=0,0,SUMPRODUCT({5000,1000,500},C14:E14))</f>
        <v>589000</v>
      </c>
      <c r="G14" s="31"/>
      <c r="H14" s="31"/>
      <c r="I14" s="31"/>
      <c r="J14" s="39">
        <f>IF(COUNT(G14:I14)=0,0,SUMPRODUCT({5000,1000,500},G14:I14))</f>
        <v>0</v>
      </c>
      <c r="K14" s="31"/>
      <c r="L14" s="31"/>
      <c r="M14" s="31"/>
      <c r="N14" s="39">
        <f>IF(COUNT(K14:M14)=0,0,SUMPRODUCT({5000,1000,500},K14:M14))</f>
        <v>0</v>
      </c>
      <c r="O14" s="31"/>
      <c r="P14" s="31"/>
      <c r="Q14" s="31"/>
      <c r="R14" s="39">
        <f>IF(COUNT(O14:Q14)=0,0,SUMPRODUCT({5000,1000,500},O14:Q14))</f>
        <v>0</v>
      </c>
      <c r="S14" s="31"/>
      <c r="T14" s="31"/>
      <c r="U14" s="31"/>
      <c r="V14" s="31"/>
      <c r="W14" s="31"/>
      <c r="X14" s="31">
        <v>7</v>
      </c>
      <c r="Y14" s="31"/>
      <c r="Z14" s="31">
        <v>19</v>
      </c>
      <c r="AA14" s="31"/>
      <c r="AB14" s="31"/>
      <c r="AC14" s="31"/>
      <c r="AD14" s="34">
        <f>IF(COUNT(S14:AC14)=0,0,SUMPRODUCT({5000,1000,500,100,75,50,20,10,5,2,1}, S14:AC14))</f>
        <v>540</v>
      </c>
      <c r="AE14" s="33">
        <v>589552</v>
      </c>
      <c r="AF14" s="24">
        <f>IF(AND(COUNT(C14:E14)=0,COUNT(G14:I14)=0,COUNT(K14:M14)=0,COUNT(O14:Q14)=0,COUNT(S14:AC14)=0,AE14=""),"",(IF(COUNT(C14:E14)=0,0,SUMPRODUCT({5000,1000,500},C14:E14))+IF(COUNT(G14:I14)=0,0,SUMPRODUCT({5000,1000,500},G14:I14))+IF(COUNT(K14:M14)=0,0,SUMPRODUCT({5000,1000,500},K14:M14))+IF(COUNT(O14:Q14)=0,0,SUMPRODUCT({5000,1000,500},O14:Q14))+AD14)-N(AE14))</f>
        <v>-12</v>
      </c>
      <c r="AG14" s="35" t="str">
        <f t="shared" si="0"/>
        <v>Short</v>
      </c>
      <c r="AH14" s="38"/>
      <c r="AI14" s="36">
        <v>724857.9</v>
      </c>
      <c r="AJ14" s="37">
        <v>724857.9</v>
      </c>
      <c r="AK14" s="26">
        <f t="shared" si="1"/>
        <v>0</v>
      </c>
      <c r="AL14" s="25" t="str">
        <f t="shared" si="2"/>
        <v>Matched</v>
      </c>
      <c r="AM14" s="38"/>
    </row>
    <row r="15" spans="1:39" ht="12.75" customHeight="1" x14ac:dyDescent="0.25">
      <c r="A15" s="31">
        <v>72873</v>
      </c>
      <c r="B15" s="32" t="str">
        <f>IF(A15="","",VLOOKUP(A15,'Employee Database'!A:B,2,FALSE))</f>
        <v>M Shajee</v>
      </c>
      <c r="C15" s="31">
        <v>50</v>
      </c>
      <c r="D15" s="31">
        <v>37</v>
      </c>
      <c r="E15" s="31">
        <v>11</v>
      </c>
      <c r="F15" s="39">
        <f>IF(COUNT(C15:E15)=0,0,SUMPRODUCT({5000,1000,500},C15:E15))</f>
        <v>292500</v>
      </c>
      <c r="G15" s="31"/>
      <c r="H15" s="31"/>
      <c r="I15" s="31"/>
      <c r="J15" s="39">
        <f>IF(COUNT(G15:I15)=0,0,SUMPRODUCT({5000,1000,500},G15:I15))</f>
        <v>0</v>
      </c>
      <c r="K15" s="31"/>
      <c r="L15" s="31"/>
      <c r="M15" s="31"/>
      <c r="N15" s="39">
        <f>IF(COUNT(K15:M15)=0,0,SUMPRODUCT({5000,1000,500},K15:M15))</f>
        <v>0</v>
      </c>
      <c r="O15" s="31"/>
      <c r="P15" s="31"/>
      <c r="Q15" s="31"/>
      <c r="R15" s="39">
        <f>IF(COUNT(O15:Q15)=0,0,SUMPRODUCT({5000,1000,500},O15:Q15))</f>
        <v>0</v>
      </c>
      <c r="S15" s="31"/>
      <c r="T15" s="31"/>
      <c r="U15" s="31"/>
      <c r="V15" s="31"/>
      <c r="W15" s="31"/>
      <c r="X15" s="31">
        <v>50</v>
      </c>
      <c r="Y15" s="31">
        <v>26</v>
      </c>
      <c r="Z15" s="31">
        <v>93</v>
      </c>
      <c r="AA15" s="31"/>
      <c r="AB15" s="31"/>
      <c r="AC15" s="31"/>
      <c r="AD15" s="34">
        <f>IF(COUNT(S15:AC15)=0,0,SUMPRODUCT({5000,1000,500,100,75,50,20,10,5,2,1}, S15:AC15))</f>
        <v>3950</v>
      </c>
      <c r="AE15" s="33">
        <v>296388</v>
      </c>
      <c r="AF15" s="24">
        <f>IF(AND(COUNT(C15:E15)=0,COUNT(G15:I15)=0,COUNT(K15:M15)=0,COUNT(O15:Q15)=0,COUNT(S15:AC15)=0,AE15=""),"",(IF(COUNT(C15:E15)=0,0,SUMPRODUCT({5000,1000,500},C15:E15))+IF(COUNT(G15:I15)=0,0,SUMPRODUCT({5000,1000,500},G15:I15))+IF(COUNT(K15:M15)=0,0,SUMPRODUCT({5000,1000,500},K15:M15))+IF(COUNT(O15:Q15)=0,0,SUMPRODUCT({5000,1000,500},O15:Q15))+AD15)-N(AE15))</f>
        <v>62</v>
      </c>
      <c r="AG15" s="35" t="str">
        <f t="shared" si="0"/>
        <v>Excess</v>
      </c>
      <c r="AH15" s="38"/>
      <c r="AI15" s="36">
        <v>869885.58</v>
      </c>
      <c r="AJ15" s="37">
        <v>869885.58</v>
      </c>
      <c r="AK15" s="26">
        <f t="shared" si="1"/>
        <v>0</v>
      </c>
      <c r="AL15" s="25" t="str">
        <f t="shared" si="2"/>
        <v>Matched</v>
      </c>
      <c r="AM15" s="38"/>
    </row>
    <row r="16" spans="1:39" ht="12.75" customHeight="1" x14ac:dyDescent="0.25">
      <c r="A16" s="31">
        <v>68107</v>
      </c>
      <c r="B16" s="32" t="str">
        <f>IF(A16="","",VLOOKUP(A16,'Employee Database'!A:B,2,FALSE))</f>
        <v>M Harris</v>
      </c>
      <c r="C16" s="31">
        <v>15</v>
      </c>
      <c r="D16" s="31">
        <v>22</v>
      </c>
      <c r="E16" s="31">
        <v>8</v>
      </c>
      <c r="F16" s="39">
        <f>IF(COUNT(C16:E16)=0,0,SUMPRODUCT({5000,1000,500},C16:E16))</f>
        <v>101000</v>
      </c>
      <c r="G16" s="31"/>
      <c r="H16" s="31"/>
      <c r="I16" s="31"/>
      <c r="J16" s="39">
        <f>IF(COUNT(G16:I16)=0,0,SUMPRODUCT({5000,1000,500},G16:I16))</f>
        <v>0</v>
      </c>
      <c r="K16" s="31"/>
      <c r="L16" s="31"/>
      <c r="M16" s="31"/>
      <c r="N16" s="39">
        <f>IF(COUNT(K16:M16)=0,0,SUMPRODUCT({5000,1000,500},K16:M16))</f>
        <v>0</v>
      </c>
      <c r="O16" s="31"/>
      <c r="P16" s="31"/>
      <c r="Q16" s="31"/>
      <c r="R16" s="39">
        <f>IF(COUNT(O16:Q16)=0,0,SUMPRODUCT({5000,1000,500},O16:Q16))</f>
        <v>0</v>
      </c>
      <c r="S16" s="31"/>
      <c r="T16" s="31"/>
      <c r="U16" s="31"/>
      <c r="V16" s="31">
        <v>1</v>
      </c>
      <c r="W16" s="31"/>
      <c r="X16" s="31">
        <v>31</v>
      </c>
      <c r="Y16" s="31"/>
      <c r="Z16" s="31">
        <v>80</v>
      </c>
      <c r="AA16" s="31"/>
      <c r="AB16" s="31"/>
      <c r="AC16" s="31"/>
      <c r="AD16" s="34">
        <f>IF(COUNT(S16:AC16)=0,0,SUMPRODUCT({5000,1000,500,100,75,50,20,10,5,2,1}, S16:AC16))</f>
        <v>2450</v>
      </c>
      <c r="AE16" s="33">
        <v>103449</v>
      </c>
      <c r="AF16" s="24">
        <f>IF(AND(COUNT(C16:E16)=0,COUNT(G16:I16)=0,COUNT(K16:M16)=0,COUNT(O16:Q16)=0,COUNT(S16:AC16)=0,AE16=""),"",(IF(COUNT(C16:E16)=0,0,SUMPRODUCT({5000,1000,500},C16:E16))+IF(COUNT(G16:I16)=0,0,SUMPRODUCT({5000,1000,500},G16:I16))+IF(COUNT(K16:M16)=0,0,SUMPRODUCT({5000,1000,500},K16:M16))+IF(COUNT(O16:Q16)=0,0,SUMPRODUCT({5000,1000,500},O16:Q16))+AD16)-N(AE16))</f>
        <v>1</v>
      </c>
      <c r="AG16" s="35" t="str">
        <f t="shared" si="0"/>
        <v>Excess</v>
      </c>
      <c r="AH16" s="38"/>
      <c r="AI16" s="36">
        <v>640608.62</v>
      </c>
      <c r="AJ16" s="37">
        <v>640608.62</v>
      </c>
      <c r="AK16" s="26">
        <f t="shared" si="1"/>
        <v>0</v>
      </c>
      <c r="AL16" s="25" t="str">
        <f t="shared" si="2"/>
        <v>Matched</v>
      </c>
      <c r="AM16" s="38"/>
    </row>
    <row r="17" spans="1:39" ht="12.75" customHeight="1" x14ac:dyDescent="0.25">
      <c r="A17" s="31">
        <v>75768</v>
      </c>
      <c r="B17" s="32" t="str">
        <f>IF(A17="","",VLOOKUP(A17,'Employee Database'!A:B,2,FALSE))</f>
        <v>Zuhaib</v>
      </c>
      <c r="C17" s="31"/>
      <c r="D17" s="31"/>
      <c r="E17" s="31"/>
      <c r="F17" s="39">
        <f>IF(COUNT(C17:E17)=0,0,SUMPRODUCT({5000,1000,500},C17:E17))</f>
        <v>0</v>
      </c>
      <c r="G17" s="31">
        <v>27</v>
      </c>
      <c r="H17" s="31">
        <v>48</v>
      </c>
      <c r="I17" s="31">
        <v>4</v>
      </c>
      <c r="J17" s="39">
        <f>IF(COUNT(G17:I17)=0,0,SUMPRODUCT({5000,1000,500},G17:I17))</f>
        <v>185000</v>
      </c>
      <c r="K17" s="31"/>
      <c r="L17" s="31"/>
      <c r="M17" s="31"/>
      <c r="N17" s="39">
        <f>IF(COUNT(K17:M17)=0,0,SUMPRODUCT({5000,1000,500},K17:M17))</f>
        <v>0</v>
      </c>
      <c r="O17" s="31"/>
      <c r="P17" s="31"/>
      <c r="Q17" s="31"/>
      <c r="R17" s="39">
        <f>IF(COUNT(O17:Q17)=0,0,SUMPRODUCT({5000,1000,500},O17:Q17))</f>
        <v>0</v>
      </c>
      <c r="S17" s="31"/>
      <c r="T17" s="31"/>
      <c r="U17" s="31"/>
      <c r="V17" s="31"/>
      <c r="W17" s="31"/>
      <c r="X17" s="31">
        <v>12</v>
      </c>
      <c r="Y17" s="31"/>
      <c r="Z17" s="31">
        <v>17</v>
      </c>
      <c r="AA17" s="31"/>
      <c r="AB17" s="31"/>
      <c r="AC17" s="31"/>
      <c r="AD17" s="34">
        <f>IF(COUNT(S17:AC17)=0,0,SUMPRODUCT({5000,1000,500,100,75,50,20,10,5,2,1}, S17:AC17))</f>
        <v>770</v>
      </c>
      <c r="AE17" s="33">
        <v>185712</v>
      </c>
      <c r="AF17" s="24">
        <f>IF(AND(COUNT(C17:E17)=0,COUNT(G17:I17)=0,COUNT(K17:M17)=0,COUNT(O17:Q17)=0,COUNT(S17:AC17)=0,AE17=""),"",(IF(COUNT(C17:E17)=0,0,SUMPRODUCT({5000,1000,500},C17:E17))+IF(COUNT(G17:I17)=0,0,SUMPRODUCT({5000,1000,500},G17:I17))+IF(COUNT(K17:M17)=0,0,SUMPRODUCT({5000,1000,500},K17:M17))+IF(COUNT(O17:Q17)=0,0,SUMPRODUCT({5000,1000,500},O17:Q17))+AD17)-N(AE17))</f>
        <v>58</v>
      </c>
      <c r="AG17" s="35" t="str">
        <f t="shared" si="0"/>
        <v>Excess</v>
      </c>
      <c r="AH17" s="38"/>
      <c r="AI17" s="36">
        <v>511412.12</v>
      </c>
      <c r="AJ17" s="37">
        <v>511412.12</v>
      </c>
      <c r="AK17" s="26">
        <f t="shared" si="1"/>
        <v>0</v>
      </c>
      <c r="AL17" s="25" t="str">
        <f t="shared" si="2"/>
        <v>Matched</v>
      </c>
      <c r="AM17" s="38"/>
    </row>
    <row r="18" spans="1:39" ht="12.75" customHeight="1" x14ac:dyDescent="0.25">
      <c r="A18" s="31">
        <v>69728</v>
      </c>
      <c r="B18" s="32" t="str">
        <f>IF(A18="","",VLOOKUP(A18,'Employee Database'!A:B,2,FALSE))</f>
        <v>Hafiz Hafeez Ur Rehman</v>
      </c>
      <c r="C18" s="31"/>
      <c r="D18" s="31"/>
      <c r="E18" s="31"/>
      <c r="F18" s="39">
        <f>IF(COUNT(C18:E18)=0,0,SUMPRODUCT({5000,1000,500},C18:E18))</f>
        <v>0</v>
      </c>
      <c r="G18" s="31">
        <v>8</v>
      </c>
      <c r="H18" s="31">
        <v>18</v>
      </c>
      <c r="I18" s="31">
        <v>8</v>
      </c>
      <c r="J18" s="39">
        <f>IF(COUNT(G18:I18)=0,0,SUMPRODUCT({5000,1000,500},G18:I18))</f>
        <v>62000</v>
      </c>
      <c r="K18" s="31"/>
      <c r="L18" s="31"/>
      <c r="M18" s="31"/>
      <c r="N18" s="39">
        <f>IF(COUNT(K18:M18)=0,0,SUMPRODUCT({5000,1000,500},K18:M18))</f>
        <v>0</v>
      </c>
      <c r="O18" s="31"/>
      <c r="P18" s="31"/>
      <c r="Q18" s="31"/>
      <c r="R18" s="39">
        <f>IF(COUNT(O18:Q18)=0,0,SUMPRODUCT({5000,1000,500},O18:Q18))</f>
        <v>0</v>
      </c>
      <c r="S18" s="31"/>
      <c r="T18" s="31"/>
      <c r="U18" s="31"/>
      <c r="V18" s="31">
        <v>2</v>
      </c>
      <c r="W18" s="31"/>
      <c r="X18" s="31">
        <v>14</v>
      </c>
      <c r="Y18" s="31"/>
      <c r="Z18" s="31">
        <v>4</v>
      </c>
      <c r="AA18" s="31"/>
      <c r="AB18" s="31"/>
      <c r="AC18" s="31"/>
      <c r="AD18" s="34">
        <f>IF(COUNT(S18:AC18)=0,0,SUMPRODUCT({5000,1000,500,100,75,50,20,10,5,2,1}, S18:AC18))</f>
        <v>940</v>
      </c>
      <c r="AE18" s="33">
        <v>62908</v>
      </c>
      <c r="AF18" s="24">
        <f>IF(AND(COUNT(C18:E18)=0,COUNT(G18:I18)=0,COUNT(K18:M18)=0,COUNT(O18:Q18)=0,COUNT(S18:AC18)=0,AE18=""),"",(IF(COUNT(C18:E18)=0,0,SUMPRODUCT({5000,1000,500},C18:E18))+IF(COUNT(G18:I18)=0,0,SUMPRODUCT({5000,1000,500},G18:I18))+IF(COUNT(K18:M18)=0,0,SUMPRODUCT({5000,1000,500},K18:M18))+IF(COUNT(O18:Q18)=0,0,SUMPRODUCT({5000,1000,500},O18:Q18))+AD18)-N(AE18))</f>
        <v>32</v>
      </c>
      <c r="AG18" s="35" t="str">
        <f t="shared" si="0"/>
        <v>Excess</v>
      </c>
      <c r="AH18" s="38"/>
      <c r="AI18" s="36">
        <v>37190.31</v>
      </c>
      <c r="AJ18" s="37">
        <v>37190.31</v>
      </c>
      <c r="AK18" s="26">
        <f t="shared" si="1"/>
        <v>0</v>
      </c>
      <c r="AL18" s="25" t="str">
        <f t="shared" si="2"/>
        <v>Matched</v>
      </c>
      <c r="AM18" s="38"/>
    </row>
    <row r="19" spans="1:39" ht="12.75" customHeight="1" x14ac:dyDescent="0.25">
      <c r="A19" s="31">
        <v>77424</v>
      </c>
      <c r="B19" s="32" t="str">
        <f>IF(A19="","",VLOOKUP(A19,'Employee Database'!A:B,2,FALSE))</f>
        <v>M Husnain</v>
      </c>
      <c r="C19" s="31"/>
      <c r="D19" s="31"/>
      <c r="E19" s="31"/>
      <c r="F19" s="39">
        <f>IF(COUNT(C19:E19)=0,0,SUMPRODUCT({5000,1000,500},C19:E19))</f>
        <v>0</v>
      </c>
      <c r="G19" s="31">
        <v>22</v>
      </c>
      <c r="H19" s="31">
        <v>101</v>
      </c>
      <c r="I19" s="31">
        <v>5</v>
      </c>
      <c r="J19" s="39">
        <f>IF(COUNT(G19:I19)=0,0,SUMPRODUCT({5000,1000,500},G19:I19))</f>
        <v>213500</v>
      </c>
      <c r="K19" s="31"/>
      <c r="L19" s="31"/>
      <c r="M19" s="31"/>
      <c r="N19" s="39">
        <f>IF(COUNT(K19:M19)=0,0,SUMPRODUCT({5000,1000,500},K19:M19))</f>
        <v>0</v>
      </c>
      <c r="O19" s="31"/>
      <c r="P19" s="31"/>
      <c r="Q19" s="31"/>
      <c r="R19" s="39">
        <f>IF(COUNT(O19:Q19)=0,0,SUMPRODUCT({5000,1000,500},O19:Q19))</f>
        <v>0</v>
      </c>
      <c r="S19" s="31"/>
      <c r="T19" s="31"/>
      <c r="U19" s="31"/>
      <c r="V19" s="31">
        <v>4</v>
      </c>
      <c r="W19" s="31"/>
      <c r="X19" s="31">
        <v>66</v>
      </c>
      <c r="Y19" s="31"/>
      <c r="Z19" s="31">
        <v>75</v>
      </c>
      <c r="AA19" s="31"/>
      <c r="AB19" s="31"/>
      <c r="AC19" s="31"/>
      <c r="AD19" s="34">
        <f>IF(COUNT(S19:AC19)=0,0,SUMPRODUCT({5000,1000,500,100,75,50,20,10,5,2,1}, S19:AC19))</f>
        <v>4450</v>
      </c>
      <c r="AE19" s="33">
        <v>217939</v>
      </c>
      <c r="AF19" s="24">
        <f>IF(AND(COUNT(C19:E19)=0,COUNT(G19:I19)=0,COUNT(K19:M19)=0,COUNT(O19:Q19)=0,COUNT(S19:AC19)=0,AE19=""),"",(IF(COUNT(C19:E19)=0,0,SUMPRODUCT({5000,1000,500},C19:E19))+IF(COUNT(G19:I19)=0,0,SUMPRODUCT({5000,1000,500},G19:I19))+IF(COUNT(K19:M19)=0,0,SUMPRODUCT({5000,1000,500},K19:M19))+IF(COUNT(O19:Q19)=0,0,SUMPRODUCT({5000,1000,500},O19:Q19))+AD19)-N(AE19))</f>
        <v>11</v>
      </c>
      <c r="AG19" s="35" t="str">
        <f t="shared" si="0"/>
        <v>Excess</v>
      </c>
      <c r="AH19" s="38"/>
      <c r="AI19" s="36">
        <v>693205.85</v>
      </c>
      <c r="AJ19" s="37">
        <f>590904.7+102301.15</f>
        <v>693205.85</v>
      </c>
      <c r="AK19" s="26">
        <f t="shared" si="1"/>
        <v>0</v>
      </c>
      <c r="AL19" s="25" t="str">
        <f t="shared" si="2"/>
        <v>Matched</v>
      </c>
      <c r="AM19" s="38"/>
    </row>
    <row r="20" spans="1:39" ht="12.75" customHeight="1" x14ac:dyDescent="0.25">
      <c r="A20" s="31">
        <v>53893</v>
      </c>
      <c r="B20" s="32" t="str">
        <f>IF(A20="","",VLOOKUP(A20,'Employee Database'!A:B,2,FALSE))</f>
        <v>M Binyameen</v>
      </c>
      <c r="C20" s="31"/>
      <c r="D20" s="31"/>
      <c r="E20" s="31"/>
      <c r="F20" s="39">
        <f>IF(COUNT(C20:E20)=0,0,SUMPRODUCT({5000,1000,500},C20:E20))</f>
        <v>0</v>
      </c>
      <c r="G20" s="31">
        <v>39</v>
      </c>
      <c r="H20" s="31">
        <v>193</v>
      </c>
      <c r="I20" s="31">
        <v>54</v>
      </c>
      <c r="J20" s="39">
        <f>IF(COUNT(G20:I20)=0,0,SUMPRODUCT({5000,1000,500},G20:I20))</f>
        <v>415000</v>
      </c>
      <c r="K20" s="31"/>
      <c r="L20" s="31"/>
      <c r="M20" s="31"/>
      <c r="N20" s="39">
        <f>IF(COUNT(K20:M20)=0,0,SUMPRODUCT({5000,1000,500},K20:M20))</f>
        <v>0</v>
      </c>
      <c r="O20" s="31"/>
      <c r="P20" s="31"/>
      <c r="Q20" s="31"/>
      <c r="R20" s="39">
        <f>IF(COUNT(O20:Q20)=0,0,SUMPRODUCT({5000,1000,500},O20:Q20))</f>
        <v>0</v>
      </c>
      <c r="S20" s="31"/>
      <c r="T20" s="31"/>
      <c r="U20" s="31"/>
      <c r="V20" s="31">
        <v>4</v>
      </c>
      <c r="W20" s="31"/>
      <c r="X20" s="31">
        <v>8</v>
      </c>
      <c r="Y20" s="31"/>
      <c r="Z20" s="31">
        <v>25</v>
      </c>
      <c r="AA20" s="31"/>
      <c r="AB20" s="31"/>
      <c r="AC20" s="31"/>
      <c r="AD20" s="34">
        <f>IF(COUNT(S20:AC20)=0,0,SUMPRODUCT({5000,1000,500,100,75,50,20,10,5,2,1}, S20:AC20))</f>
        <v>1050</v>
      </c>
      <c r="AE20" s="33">
        <v>416020</v>
      </c>
      <c r="AF20" s="24">
        <f>IF(AND(COUNT(C20:E20)=0,COUNT(G20:I20)=0,COUNT(K20:M20)=0,COUNT(O20:Q20)=0,COUNT(S20:AC20)=0,AE20=""),"",(IF(COUNT(C20:E20)=0,0,SUMPRODUCT({5000,1000,500},C20:E20))+IF(COUNT(G20:I20)=0,0,SUMPRODUCT({5000,1000,500},G20:I20))+IF(COUNT(K20:M20)=0,0,SUMPRODUCT({5000,1000,500},K20:M20))+IF(COUNT(O20:Q20)=0,0,SUMPRODUCT({5000,1000,500},O20:Q20))+AD20)-N(AE20))</f>
        <v>30</v>
      </c>
      <c r="AG20" s="35" t="str">
        <f t="shared" si="0"/>
        <v>Excess</v>
      </c>
      <c r="AH20" s="38"/>
      <c r="AI20" s="36">
        <v>747560.53</v>
      </c>
      <c r="AJ20" s="37">
        <v>747560.53</v>
      </c>
      <c r="AK20" s="26">
        <f t="shared" si="1"/>
        <v>0</v>
      </c>
      <c r="AL20" s="25" t="str">
        <f t="shared" si="2"/>
        <v>Matched</v>
      </c>
      <c r="AM20" s="38"/>
    </row>
    <row r="21" spans="1:39" ht="12.75" customHeight="1" x14ac:dyDescent="0.25">
      <c r="A21" s="31">
        <v>63374</v>
      </c>
      <c r="B21" s="32" t="str">
        <f>IF(A21="","",VLOOKUP(A21,'Employee Database'!A:B,2,FALSE))</f>
        <v>Aftab Ali</v>
      </c>
      <c r="C21" s="31"/>
      <c r="D21" s="31"/>
      <c r="E21" s="31"/>
      <c r="F21" s="39">
        <f>IF(COUNT(C21:E21)=0,0,SUMPRODUCT({5000,1000,500},C21:E21))</f>
        <v>0</v>
      </c>
      <c r="G21" s="31">
        <v>28</v>
      </c>
      <c r="H21" s="31">
        <v>120</v>
      </c>
      <c r="I21" s="31">
        <v>11</v>
      </c>
      <c r="J21" s="39">
        <f>IF(COUNT(G21:I21)=0,0,SUMPRODUCT({5000,1000,500},G21:I21))</f>
        <v>265500</v>
      </c>
      <c r="K21" s="31"/>
      <c r="L21" s="31"/>
      <c r="M21" s="31"/>
      <c r="N21" s="39">
        <f>IF(COUNT(K21:M21)=0,0,SUMPRODUCT({5000,1000,500},K21:M21))</f>
        <v>0</v>
      </c>
      <c r="O21" s="31"/>
      <c r="P21" s="31"/>
      <c r="Q21" s="31"/>
      <c r="R21" s="39">
        <f>IF(COUNT(O21:Q21)=0,0,SUMPRODUCT({5000,1000,500},O21:Q21))</f>
        <v>0</v>
      </c>
      <c r="S21" s="31"/>
      <c r="T21" s="31"/>
      <c r="U21" s="31"/>
      <c r="V21" s="31"/>
      <c r="W21" s="31"/>
      <c r="X21" s="31">
        <v>50</v>
      </c>
      <c r="Y21" s="31"/>
      <c r="Z21" s="31">
        <v>46</v>
      </c>
      <c r="AA21" s="31"/>
      <c r="AB21" s="31">
        <v>20</v>
      </c>
      <c r="AC21" s="31"/>
      <c r="AD21" s="34">
        <f>IF(COUNT(S21:AC21)=0,0,SUMPRODUCT({5000,1000,500,100,75,50,20,10,5,2,1}, S21:AC21))</f>
        <v>3000</v>
      </c>
      <c r="AE21" s="33">
        <v>268486</v>
      </c>
      <c r="AF21" s="24">
        <f>IF(AND(COUNT(C21:E21)=0,COUNT(G21:I21)=0,COUNT(K21:M21)=0,COUNT(O21:Q21)=0,COUNT(S21:AC21)=0,AE21=""),"",(IF(COUNT(C21:E21)=0,0,SUMPRODUCT({5000,1000,500},C21:E21))+IF(COUNT(G21:I21)=0,0,SUMPRODUCT({5000,1000,500},G21:I21))+IF(COUNT(K21:M21)=0,0,SUMPRODUCT({5000,1000,500},K21:M21))+IF(COUNT(O21:Q21)=0,0,SUMPRODUCT({5000,1000,500},O21:Q21))+AD21)-N(AE21))</f>
        <v>14</v>
      </c>
      <c r="AG21" s="35" t="str">
        <f t="shared" si="0"/>
        <v>Excess</v>
      </c>
      <c r="AH21" s="38"/>
      <c r="AI21" s="36">
        <v>676524.08</v>
      </c>
      <c r="AJ21" s="37">
        <f>14624.29+661899.78</f>
        <v>676524.07000000007</v>
      </c>
      <c r="AK21" s="26">
        <f t="shared" si="1"/>
        <v>9.9999998928979039E-3</v>
      </c>
      <c r="AL21" s="25" t="str">
        <f t="shared" si="2"/>
        <v>POS Excess</v>
      </c>
      <c r="AM21" s="38"/>
    </row>
    <row r="22" spans="1:39" ht="12.75" customHeight="1" x14ac:dyDescent="0.25">
      <c r="A22" s="31">
        <v>67799</v>
      </c>
      <c r="B22" s="32" t="str">
        <f>IF(A22="","",VLOOKUP(A22,'Employee Database'!A:B,2,FALSE))</f>
        <v>Hassan Raza</v>
      </c>
      <c r="C22" s="31"/>
      <c r="D22" s="31"/>
      <c r="E22" s="31"/>
      <c r="F22" s="39">
        <f>IF(COUNT(C22:E22)=0,0,SUMPRODUCT({5000,1000,500},C22:E22))</f>
        <v>0</v>
      </c>
      <c r="G22" s="31">
        <v>23</v>
      </c>
      <c r="H22" s="31">
        <v>90</v>
      </c>
      <c r="I22" s="31">
        <v>13</v>
      </c>
      <c r="J22" s="39">
        <f>IF(COUNT(G22:I22)=0,0,SUMPRODUCT({5000,1000,500},G22:I22))</f>
        <v>211500</v>
      </c>
      <c r="K22" s="31"/>
      <c r="L22" s="31"/>
      <c r="M22" s="31"/>
      <c r="N22" s="39">
        <f>IF(COUNT(K22:M22)=0,0,SUMPRODUCT({5000,1000,500},K22:M22))</f>
        <v>0</v>
      </c>
      <c r="O22" s="31"/>
      <c r="P22" s="31"/>
      <c r="Q22" s="31"/>
      <c r="R22" s="39">
        <f>IF(COUNT(O22:Q22)=0,0,SUMPRODUCT({5000,1000,500},O22:Q22))</f>
        <v>0</v>
      </c>
      <c r="S22" s="31"/>
      <c r="T22" s="31"/>
      <c r="U22" s="31"/>
      <c r="V22" s="31">
        <v>7</v>
      </c>
      <c r="W22" s="31"/>
      <c r="X22" s="31">
        <v>121</v>
      </c>
      <c r="Y22" s="31"/>
      <c r="Z22" s="31">
        <v>67</v>
      </c>
      <c r="AA22" s="31"/>
      <c r="AB22" s="31"/>
      <c r="AC22" s="31"/>
      <c r="AD22" s="34">
        <f>IF(COUNT(S22:AC22)=0,0,SUMPRODUCT({5000,1000,500,100,75,50,20,10,5,2,1}, S22:AC22))</f>
        <v>7420</v>
      </c>
      <c r="AE22" s="33">
        <v>218924</v>
      </c>
      <c r="AF22" s="24">
        <f>IF(AND(COUNT(C22:E22)=0,COUNT(G22:I22)=0,COUNT(K22:M22)=0,COUNT(O22:Q22)=0,COUNT(S22:AC22)=0,AE22=""),"",(IF(COUNT(C22:E22)=0,0,SUMPRODUCT({5000,1000,500},C22:E22))+IF(COUNT(G22:I22)=0,0,SUMPRODUCT({5000,1000,500},G22:I22))+IF(COUNT(K22:M22)=0,0,SUMPRODUCT({5000,1000,500},K22:M22))+IF(COUNT(O22:Q22)=0,0,SUMPRODUCT({5000,1000,500},O22:Q22))+AD22)-N(AE22))</f>
        <v>-4</v>
      </c>
      <c r="AG22" s="35" t="str">
        <f t="shared" si="0"/>
        <v>Short</v>
      </c>
      <c r="AH22" s="38"/>
      <c r="AI22" s="36">
        <v>337332.24</v>
      </c>
      <c r="AJ22" s="37">
        <v>337332.24</v>
      </c>
      <c r="AK22" s="26">
        <f t="shared" si="1"/>
        <v>0</v>
      </c>
      <c r="AL22" s="25" t="str">
        <f t="shared" si="2"/>
        <v>Matched</v>
      </c>
      <c r="AM22" s="38"/>
    </row>
    <row r="23" spans="1:39" ht="12.75" customHeight="1" x14ac:dyDescent="0.25">
      <c r="A23" s="31">
        <v>73679</v>
      </c>
      <c r="B23" s="32" t="str">
        <f>IF(A23="","",VLOOKUP(A23,'Employee Database'!A:B,2,FALSE))</f>
        <v>Imran Waqar</v>
      </c>
      <c r="C23" s="31"/>
      <c r="D23" s="31"/>
      <c r="E23" s="31"/>
      <c r="F23" s="39">
        <f>IF(COUNT(C23:E23)=0,0,SUMPRODUCT({5000,1000,500},C23:E23))</f>
        <v>0</v>
      </c>
      <c r="G23" s="31">
        <v>16</v>
      </c>
      <c r="H23" s="31">
        <v>40</v>
      </c>
      <c r="I23" s="31">
        <v>9</v>
      </c>
      <c r="J23" s="39">
        <f>IF(COUNT(G23:I23)=0,0,SUMPRODUCT({5000,1000,500},G23:I23))</f>
        <v>124500</v>
      </c>
      <c r="K23" s="31"/>
      <c r="L23" s="31"/>
      <c r="M23" s="31"/>
      <c r="N23" s="39">
        <f>IF(COUNT(K23:M23)=0,0,SUMPRODUCT({5000,1000,500},K23:M23))</f>
        <v>0</v>
      </c>
      <c r="O23" s="31"/>
      <c r="P23" s="31"/>
      <c r="Q23" s="31"/>
      <c r="R23" s="39">
        <f>IF(COUNT(O23:Q23)=0,0,SUMPRODUCT({5000,1000,500},O23:Q23))</f>
        <v>0</v>
      </c>
      <c r="S23" s="31"/>
      <c r="T23" s="31"/>
      <c r="U23" s="31"/>
      <c r="V23" s="31">
        <v>8</v>
      </c>
      <c r="W23" s="31"/>
      <c r="X23" s="31">
        <v>32</v>
      </c>
      <c r="Y23" s="31"/>
      <c r="Z23" s="31">
        <v>87</v>
      </c>
      <c r="AA23" s="31"/>
      <c r="AB23" s="31"/>
      <c r="AC23" s="31"/>
      <c r="AD23" s="34">
        <f>IF(COUNT(S23:AC23)=0,0,SUMPRODUCT({5000,1000,500,100,75,50,20,10,5,2,1}, S23:AC23))</f>
        <v>3270</v>
      </c>
      <c r="AE23" s="33">
        <v>127748</v>
      </c>
      <c r="AF23" s="24">
        <f>IF(AND(COUNT(C23:E23)=0,COUNT(G23:I23)=0,COUNT(K23:M23)=0,COUNT(O23:Q23)=0,COUNT(S23:AC23)=0,AE23=""),"",(IF(COUNT(C23:E23)=0,0,SUMPRODUCT({5000,1000,500},C23:E23))+IF(COUNT(G23:I23)=0,0,SUMPRODUCT({5000,1000,500},G23:I23))+IF(COUNT(K23:M23)=0,0,SUMPRODUCT({5000,1000,500},K23:M23))+IF(COUNT(O23:Q23)=0,0,SUMPRODUCT({5000,1000,500},O23:Q23))+AD23)-N(AE23))</f>
        <v>22</v>
      </c>
      <c r="AG23" s="35" t="str">
        <f t="shared" si="0"/>
        <v>Excess</v>
      </c>
      <c r="AH23" s="38"/>
      <c r="AI23" s="36">
        <f>20377+221498.74</f>
        <v>241875.74</v>
      </c>
      <c r="AJ23" s="37">
        <f>221498.74+20377</f>
        <v>241875.74</v>
      </c>
      <c r="AK23" s="26">
        <f t="shared" si="1"/>
        <v>0</v>
      </c>
      <c r="AL23" s="25" t="str">
        <f t="shared" si="2"/>
        <v>Matched</v>
      </c>
      <c r="AM23" s="38"/>
    </row>
    <row r="24" spans="1:39" ht="12.75" customHeight="1" x14ac:dyDescent="0.25">
      <c r="A24" s="31">
        <v>69213</v>
      </c>
      <c r="B24" s="32" t="str">
        <f>IF(A24="","",VLOOKUP(A24,'Employee Database'!A:B,2,FALSE))</f>
        <v>Muhammad Shahbaz</v>
      </c>
      <c r="C24" s="31"/>
      <c r="D24" s="31"/>
      <c r="E24" s="31"/>
      <c r="F24" s="39">
        <f>IF(COUNT(C24:E24)=0,0,SUMPRODUCT({5000,1000,500},C24:E24))</f>
        <v>0</v>
      </c>
      <c r="G24" s="31">
        <v>1</v>
      </c>
      <c r="H24" s="31">
        <v>14</v>
      </c>
      <c r="I24" s="31">
        <v>4</v>
      </c>
      <c r="J24" s="39">
        <f>IF(COUNT(G24:I24)=0,0,SUMPRODUCT({5000,1000,500},G24:I24))</f>
        <v>21000</v>
      </c>
      <c r="K24" s="31"/>
      <c r="L24" s="31"/>
      <c r="M24" s="31"/>
      <c r="N24" s="39">
        <f>IF(COUNT(K24:M24)=0,0,SUMPRODUCT({5000,1000,500},K24:M24))</f>
        <v>0</v>
      </c>
      <c r="O24" s="31"/>
      <c r="P24" s="31"/>
      <c r="Q24" s="31"/>
      <c r="R24" s="39">
        <f>IF(COUNT(O24:Q24)=0,0,SUMPRODUCT({5000,1000,500},O24:Q24))</f>
        <v>0</v>
      </c>
      <c r="S24" s="31"/>
      <c r="T24" s="31"/>
      <c r="U24" s="31"/>
      <c r="V24" s="31"/>
      <c r="W24" s="31"/>
      <c r="X24" s="31">
        <v>43</v>
      </c>
      <c r="Y24" s="31"/>
      <c r="Z24" s="31">
        <v>99</v>
      </c>
      <c r="AA24" s="31"/>
      <c r="AB24" s="31"/>
      <c r="AC24" s="31"/>
      <c r="AD24" s="34">
        <f>IF(COUNT(S24:AC24)=0,0,SUMPRODUCT({5000,1000,500,100,75,50,20,10,5,2,1}, S24:AC24))</f>
        <v>3140</v>
      </c>
      <c r="AE24" s="33">
        <v>24122</v>
      </c>
      <c r="AF24" s="24">
        <f>IF(AND(COUNT(C24:E24)=0,COUNT(G24:I24)=0,COUNT(K24:M24)=0,COUNT(O24:Q24)=0,COUNT(S24:AC24)=0,AE24=""),"",(IF(COUNT(C24:E24)=0,0,SUMPRODUCT({5000,1000,500},C24:E24))+IF(COUNT(G24:I24)=0,0,SUMPRODUCT({5000,1000,500},G24:I24))+IF(COUNT(K24:M24)=0,0,SUMPRODUCT({5000,1000,500},K24:M24))+IF(COUNT(O24:Q24)=0,0,SUMPRODUCT({5000,1000,500},O24:Q24))+AD24)-N(AE24))</f>
        <v>18</v>
      </c>
      <c r="AG24" s="35" t="str">
        <f t="shared" si="0"/>
        <v>Excess</v>
      </c>
      <c r="AH24" s="38"/>
      <c r="AI24" s="36">
        <v>44364</v>
      </c>
      <c r="AJ24" s="37">
        <v>44364</v>
      </c>
      <c r="AK24" s="26">
        <f t="shared" si="1"/>
        <v>0</v>
      </c>
      <c r="AL24" s="25" t="str">
        <f t="shared" si="2"/>
        <v>Matched</v>
      </c>
      <c r="AM24" s="38"/>
    </row>
    <row r="25" spans="1:39" ht="12.75" customHeight="1" x14ac:dyDescent="0.25">
      <c r="A25" s="31">
        <v>68475</v>
      </c>
      <c r="B25" s="32" t="str">
        <f>IF(A25="","",VLOOKUP(A25,'Employee Database'!A:B,2,FALSE))</f>
        <v>M Azeem</v>
      </c>
      <c r="C25" s="31"/>
      <c r="D25" s="31"/>
      <c r="E25" s="31"/>
      <c r="F25" s="39">
        <f>IF(COUNT(C25:E25)=0,0,SUMPRODUCT({5000,1000,500},C25:E25))</f>
        <v>0</v>
      </c>
      <c r="G25" s="31">
        <v>81</v>
      </c>
      <c r="H25" s="31">
        <v>19</v>
      </c>
      <c r="I25" s="31">
        <v>1</v>
      </c>
      <c r="J25" s="39">
        <f>IF(COUNT(G25:I25)=0,0,SUMPRODUCT({5000,1000,500},G25:I25))</f>
        <v>424500</v>
      </c>
      <c r="K25" s="31"/>
      <c r="L25" s="31"/>
      <c r="M25" s="31"/>
      <c r="N25" s="39">
        <f>IF(COUNT(K25:M25)=0,0,SUMPRODUCT({5000,1000,500},K25:M25))</f>
        <v>0</v>
      </c>
      <c r="O25" s="31"/>
      <c r="P25" s="31"/>
      <c r="Q25" s="31"/>
      <c r="R25" s="39">
        <f>IF(COUNT(O25:Q25)=0,0,SUMPRODUCT({5000,1000,500},O25:Q25))</f>
        <v>0</v>
      </c>
      <c r="S25" s="31"/>
      <c r="T25" s="31"/>
      <c r="U25" s="31"/>
      <c r="V25" s="31"/>
      <c r="W25" s="31"/>
      <c r="X25" s="31">
        <v>5</v>
      </c>
      <c r="Y25" s="31">
        <v>1</v>
      </c>
      <c r="Z25" s="31">
        <v>48</v>
      </c>
      <c r="AA25" s="31"/>
      <c r="AB25" s="31"/>
      <c r="AC25" s="31"/>
      <c r="AD25" s="34">
        <f>IF(COUNT(S25:AC25)=0,0,SUMPRODUCT({5000,1000,500,100,75,50,20,10,5,2,1}, S25:AC25))</f>
        <v>750</v>
      </c>
      <c r="AE25" s="33">
        <v>425297</v>
      </c>
      <c r="AF25" s="24">
        <f>IF(AND(COUNT(C25:E25)=0,COUNT(G25:I25)=0,COUNT(K25:M25)=0,COUNT(O25:Q25)=0,COUNT(S25:AC25)=0,AE25=""),"",(IF(COUNT(C25:E25)=0,0,SUMPRODUCT({5000,1000,500},C25:E25))+IF(COUNT(G25:I25)=0,0,SUMPRODUCT({5000,1000,500},G25:I25))+IF(COUNT(K25:M25)=0,0,SUMPRODUCT({5000,1000,500},K25:M25))+IF(COUNT(O25:Q25)=0,0,SUMPRODUCT({5000,1000,500},O25:Q25))+AD25)-N(AE25))</f>
        <v>-47</v>
      </c>
      <c r="AG25" s="35" t="str">
        <f t="shared" si="0"/>
        <v>Short</v>
      </c>
      <c r="AH25" s="38"/>
      <c r="AI25" s="36">
        <v>516178.5</v>
      </c>
      <c r="AJ25" s="37">
        <f>157920.69+358257.81</f>
        <v>516178.5</v>
      </c>
      <c r="AK25" s="26">
        <f t="shared" si="1"/>
        <v>0</v>
      </c>
      <c r="AL25" s="25" t="str">
        <f t="shared" si="2"/>
        <v>Matched</v>
      </c>
      <c r="AM25" s="38"/>
    </row>
    <row r="26" spans="1:39" ht="12.75" customHeight="1" x14ac:dyDescent="0.25">
      <c r="A26" s="31">
        <v>69732</v>
      </c>
      <c r="B26" s="32" t="str">
        <f>IF(A26="","",VLOOKUP(A26,'Employee Database'!A:B,2,FALSE))</f>
        <v>Abdul Hafeez</v>
      </c>
      <c r="C26" s="31"/>
      <c r="D26" s="31"/>
      <c r="E26" s="31"/>
      <c r="F26" s="39">
        <f>IF(COUNT(C26:E26)=0,0,SUMPRODUCT({5000,1000,500},C26:E26))</f>
        <v>0</v>
      </c>
      <c r="G26" s="31">
        <v>57</v>
      </c>
      <c r="H26" s="31">
        <v>170</v>
      </c>
      <c r="I26" s="31">
        <v>38</v>
      </c>
      <c r="J26" s="39">
        <f>IF(COUNT(G26:I26)=0,0,SUMPRODUCT({5000,1000,500},G26:I26))</f>
        <v>474000</v>
      </c>
      <c r="K26" s="31"/>
      <c r="L26" s="31"/>
      <c r="M26" s="31"/>
      <c r="N26" s="39">
        <f>IF(COUNT(K26:M26)=0,0,SUMPRODUCT({5000,1000,500},K26:M26))</f>
        <v>0</v>
      </c>
      <c r="O26" s="31"/>
      <c r="P26" s="31"/>
      <c r="Q26" s="31"/>
      <c r="R26" s="39">
        <f>IF(COUNT(O26:Q26)=0,0,SUMPRODUCT({5000,1000,500},O26:Q26))</f>
        <v>0</v>
      </c>
      <c r="S26" s="31"/>
      <c r="T26" s="31"/>
      <c r="U26" s="31"/>
      <c r="V26" s="31">
        <v>1</v>
      </c>
      <c r="W26" s="31"/>
      <c r="X26" s="31">
        <v>59</v>
      </c>
      <c r="Y26" s="31"/>
      <c r="Z26" s="31">
        <v>21</v>
      </c>
      <c r="AA26" s="31"/>
      <c r="AB26" s="31"/>
      <c r="AC26" s="31"/>
      <c r="AD26" s="34">
        <f>IF(COUNT(S26:AC26)=0,0,SUMPRODUCT({5000,1000,500,100,75,50,20,10,5,2,1}, S26:AC26))</f>
        <v>3260</v>
      </c>
      <c r="AE26" s="33">
        <v>477182</v>
      </c>
      <c r="AF26" s="24">
        <f>IF(AND(COUNT(C26:E26)=0,COUNT(G26:I26)=0,COUNT(K26:M26)=0,COUNT(O26:Q26)=0,COUNT(S26:AC26)=0,AE26=""),"",(IF(COUNT(C26:E26)=0,0,SUMPRODUCT({5000,1000,500},C26:E26))+IF(COUNT(G26:I26)=0,0,SUMPRODUCT({5000,1000,500},G26:I26))+IF(COUNT(K26:M26)=0,0,SUMPRODUCT({5000,1000,500},K26:M26))+IF(COUNT(O26:Q26)=0,0,SUMPRODUCT({5000,1000,500},O26:Q26))+AD26)-N(AE26))</f>
        <v>78</v>
      </c>
      <c r="AG26" s="35" t="str">
        <f t="shared" si="0"/>
        <v>Excess</v>
      </c>
      <c r="AH26" s="38"/>
      <c r="AI26" s="36">
        <v>687453.25</v>
      </c>
      <c r="AJ26" s="37">
        <v>687453.25</v>
      </c>
      <c r="AK26" s="26">
        <f t="shared" si="1"/>
        <v>0</v>
      </c>
      <c r="AL26" s="25" t="str">
        <f t="shared" si="2"/>
        <v>Matched</v>
      </c>
      <c r="AM26" s="38"/>
    </row>
    <row r="27" spans="1:39" ht="12.75" customHeight="1" x14ac:dyDescent="0.25">
      <c r="A27" s="31">
        <v>71788</v>
      </c>
      <c r="B27" s="32" t="str">
        <f>IF(A27="","",VLOOKUP(A27,'Employee Database'!A:B,2,FALSE))</f>
        <v>Saaim</v>
      </c>
      <c r="C27" s="31"/>
      <c r="D27" s="31"/>
      <c r="E27" s="31"/>
      <c r="F27" s="39">
        <f>IF(COUNT(C27:E27)=0,0,SUMPRODUCT({5000,1000,500},C27:E27))</f>
        <v>0</v>
      </c>
      <c r="G27" s="31">
        <v>32</v>
      </c>
      <c r="H27" s="31">
        <v>138</v>
      </c>
      <c r="I27" s="31">
        <v>30</v>
      </c>
      <c r="J27" s="39">
        <f>IF(COUNT(G27:I27)=0,0,SUMPRODUCT({5000,1000,500},G27:I27))</f>
        <v>313000</v>
      </c>
      <c r="K27" s="31"/>
      <c r="L27" s="31"/>
      <c r="M27" s="31"/>
      <c r="N27" s="39">
        <f>IF(COUNT(K27:M27)=0,0,SUMPRODUCT({5000,1000,500},K27:M27))</f>
        <v>0</v>
      </c>
      <c r="O27" s="31"/>
      <c r="P27" s="31"/>
      <c r="Q27" s="31"/>
      <c r="R27" s="39">
        <f>IF(COUNT(O27:Q27)=0,0,SUMPRODUCT({5000,1000,500},O27:Q27))</f>
        <v>0</v>
      </c>
      <c r="S27" s="31"/>
      <c r="T27" s="31"/>
      <c r="U27" s="31"/>
      <c r="V27" s="31"/>
      <c r="W27" s="31"/>
      <c r="X27" s="31"/>
      <c r="Y27" s="31"/>
      <c r="Z27" s="31">
        <v>32</v>
      </c>
      <c r="AA27" s="31"/>
      <c r="AB27" s="31"/>
      <c r="AC27" s="31"/>
      <c r="AD27" s="34">
        <f>IF(COUNT(S27:AC27)=0,0,SUMPRODUCT({5000,1000,500,100,75,50,20,10,5,2,1}, S27:AC27))</f>
        <v>320</v>
      </c>
      <c r="AE27" s="33">
        <v>313299</v>
      </c>
      <c r="AF27" s="24">
        <f>IF(AND(COUNT(C27:E27)=0,COUNT(G27:I27)=0,COUNT(K27:M27)=0,COUNT(O27:Q27)=0,COUNT(S27:AC27)=0,AE27=""),"",(IF(COUNT(C27:E27)=0,0,SUMPRODUCT({5000,1000,500},C27:E27))+IF(COUNT(G27:I27)=0,0,SUMPRODUCT({5000,1000,500},G27:I27))+IF(COUNT(K27:M27)=0,0,SUMPRODUCT({5000,1000,500},K27:M27))+IF(COUNT(O27:Q27)=0,0,SUMPRODUCT({5000,1000,500},O27:Q27))+AD27)-N(AE27))</f>
        <v>21</v>
      </c>
      <c r="AG27" s="35" t="str">
        <f t="shared" si="0"/>
        <v>Excess</v>
      </c>
      <c r="AH27" s="38"/>
      <c r="AI27" s="36">
        <f>228210.57+910619.85</f>
        <v>1138830.42</v>
      </c>
      <c r="AJ27" s="37">
        <f>228210.57+910619.85</f>
        <v>1138830.42</v>
      </c>
      <c r="AK27" s="26">
        <f t="shared" si="1"/>
        <v>0</v>
      </c>
      <c r="AL27" s="25" t="str">
        <f t="shared" si="2"/>
        <v>Matched</v>
      </c>
      <c r="AM27" s="38"/>
    </row>
    <row r="28" spans="1:39" ht="12.75" customHeight="1" x14ac:dyDescent="0.25">
      <c r="A28" s="31">
        <v>61648</v>
      </c>
      <c r="B28" s="32" t="str">
        <f>IF(A28="","",VLOOKUP(A28,'Employee Database'!A:B,2,FALSE))</f>
        <v>Rizwan</v>
      </c>
      <c r="C28" s="31"/>
      <c r="D28" s="31"/>
      <c r="E28" s="31"/>
      <c r="F28" s="39">
        <f>IF(COUNT(C28:E28)=0,0,SUMPRODUCT({5000,1000,500},C28:E28))</f>
        <v>0</v>
      </c>
      <c r="G28" s="31">
        <v>29</v>
      </c>
      <c r="H28" s="31">
        <v>229</v>
      </c>
      <c r="I28" s="31">
        <v>72</v>
      </c>
      <c r="J28" s="39">
        <f>IF(COUNT(G28:I28)=0,0,SUMPRODUCT({5000,1000,500},G28:I28))</f>
        <v>410000</v>
      </c>
      <c r="K28" s="31"/>
      <c r="L28" s="31"/>
      <c r="M28" s="31"/>
      <c r="N28" s="39">
        <f>IF(COUNT(K28:M28)=0,0,SUMPRODUCT({5000,1000,500},K28:M28))</f>
        <v>0</v>
      </c>
      <c r="O28" s="31"/>
      <c r="P28" s="31"/>
      <c r="Q28" s="31"/>
      <c r="R28" s="39">
        <f>IF(COUNT(O28:Q28)=0,0,SUMPRODUCT({5000,1000,500},O28:Q28))</f>
        <v>0</v>
      </c>
      <c r="S28" s="31"/>
      <c r="T28" s="31"/>
      <c r="U28" s="31"/>
      <c r="V28" s="31">
        <v>12</v>
      </c>
      <c r="W28" s="31"/>
      <c r="X28" s="31">
        <v>55</v>
      </c>
      <c r="Y28" s="31"/>
      <c r="Z28" s="31">
        <v>51</v>
      </c>
      <c r="AA28" s="31"/>
      <c r="AB28" s="31"/>
      <c r="AC28" s="31"/>
      <c r="AD28" s="34">
        <f>IF(COUNT(S28:AC28)=0,0,SUMPRODUCT({5000,1000,500,100,75,50,20,10,5,2,1}, S28:AC28))</f>
        <v>4460</v>
      </c>
      <c r="AE28" s="33">
        <v>414404</v>
      </c>
      <c r="AF28" s="24">
        <f>IF(AND(COUNT(C28:E28)=0,COUNT(G28:I28)=0,COUNT(K28:M28)=0,COUNT(O28:Q28)=0,COUNT(S28:AC28)=0,AE28=""),"",(IF(COUNT(C28:E28)=0,0,SUMPRODUCT({5000,1000,500},C28:E28))+IF(COUNT(G28:I28)=0,0,SUMPRODUCT({5000,1000,500},G28:I28))+IF(COUNT(K28:M28)=0,0,SUMPRODUCT({5000,1000,500},K28:M28))+IF(COUNT(O28:Q28)=0,0,SUMPRODUCT({5000,1000,500},O28:Q28))+AD28)-N(AE28))</f>
        <v>56</v>
      </c>
      <c r="AG28" s="35" t="str">
        <f t="shared" si="0"/>
        <v>Excess</v>
      </c>
      <c r="AH28" s="38"/>
      <c r="AI28" s="36">
        <v>763470.32</v>
      </c>
      <c r="AJ28" s="37">
        <f>184719.43+578750.89</f>
        <v>763470.32000000007</v>
      </c>
      <c r="AK28" s="26">
        <f t="shared" si="1"/>
        <v>-1.1641532182693481E-10</v>
      </c>
      <c r="AL28" s="25" t="str">
        <f t="shared" si="2"/>
        <v>Bank Short</v>
      </c>
      <c r="AM28" s="38"/>
    </row>
    <row r="29" spans="1:39" ht="12.75" customHeight="1" x14ac:dyDescent="0.25">
      <c r="A29" s="31">
        <v>67250</v>
      </c>
      <c r="B29" s="32" t="str">
        <f>IF(A29="","",VLOOKUP(A29,'Employee Database'!A:B,2,FALSE))</f>
        <v>M Fiaz</v>
      </c>
      <c r="C29" s="31"/>
      <c r="D29" s="31"/>
      <c r="E29" s="31"/>
      <c r="F29" s="39">
        <f>IF(COUNT(C29:E29)=0,0,SUMPRODUCT({5000,1000,500},C29:E29))</f>
        <v>0</v>
      </c>
      <c r="G29" s="31">
        <v>13</v>
      </c>
      <c r="H29" s="31">
        <v>24</v>
      </c>
      <c r="I29" s="31">
        <v>9</v>
      </c>
      <c r="J29" s="39">
        <f>IF(COUNT(G29:I29)=0,0,SUMPRODUCT({5000,1000,500},G29:I29))</f>
        <v>93500</v>
      </c>
      <c r="K29" s="31"/>
      <c r="L29" s="31"/>
      <c r="M29" s="31"/>
      <c r="N29" s="39">
        <f>IF(COUNT(K29:M29)=0,0,SUMPRODUCT({5000,1000,500},K29:M29))</f>
        <v>0</v>
      </c>
      <c r="O29" s="31"/>
      <c r="P29" s="31"/>
      <c r="Q29" s="31"/>
      <c r="R29" s="39">
        <f>IF(COUNT(O29:Q29)=0,0,SUMPRODUCT({5000,1000,500},O29:Q29))</f>
        <v>0</v>
      </c>
      <c r="S29" s="31"/>
      <c r="T29" s="31"/>
      <c r="U29" s="31"/>
      <c r="V29" s="31">
        <v>1</v>
      </c>
      <c r="W29" s="31"/>
      <c r="X29" s="31">
        <v>30</v>
      </c>
      <c r="Y29" s="31"/>
      <c r="Z29" s="31">
        <v>73</v>
      </c>
      <c r="AA29" s="31"/>
      <c r="AB29" s="31"/>
      <c r="AC29" s="31"/>
      <c r="AD29" s="34">
        <f>IF(COUNT(S29:AC29)=0,0,SUMPRODUCT({5000,1000,500,100,75,50,20,10,5,2,1}, S29:AC29))</f>
        <v>2330</v>
      </c>
      <c r="AE29" s="33">
        <v>95843</v>
      </c>
      <c r="AF29" s="24">
        <f>IF(AND(COUNT(C29:E29)=0,COUNT(G29:I29)=0,COUNT(K29:M29)=0,COUNT(O29:Q29)=0,COUNT(S29:AC29)=0,AE29=""),"",(IF(COUNT(C29:E29)=0,0,SUMPRODUCT({5000,1000,500},C29:E29))+IF(COUNT(G29:I29)=0,0,SUMPRODUCT({5000,1000,500},G29:I29))+IF(COUNT(K29:M29)=0,0,SUMPRODUCT({5000,1000,500},K29:M29))+IF(COUNT(O29:Q29)=0,0,SUMPRODUCT({5000,1000,500},O29:Q29))+AD29)-N(AE29))</f>
        <v>-13</v>
      </c>
      <c r="AG29" s="35" t="str">
        <f t="shared" si="0"/>
        <v>Short</v>
      </c>
      <c r="AH29" s="38"/>
      <c r="AI29" s="36">
        <f>146817.9+287041.47</f>
        <v>433859.37</v>
      </c>
      <c r="AJ29" s="37">
        <f>287041.47+103588.3+43229.6</f>
        <v>433859.36999999994</v>
      </c>
      <c r="AK29" s="26">
        <f t="shared" si="1"/>
        <v>5.8207660913467407E-11</v>
      </c>
      <c r="AL29" s="25" t="str">
        <f t="shared" si="2"/>
        <v>POS Excess</v>
      </c>
      <c r="AM29" s="38"/>
    </row>
    <row r="30" spans="1:39" ht="12.75" customHeight="1" x14ac:dyDescent="0.25">
      <c r="A30" s="31">
        <v>63599</v>
      </c>
      <c r="B30" s="32" t="str">
        <f>IF(A30="","",VLOOKUP(A30,'Employee Database'!A:B,2,FALSE))</f>
        <v>Hafsa</v>
      </c>
      <c r="C30" s="31"/>
      <c r="D30" s="31"/>
      <c r="E30" s="31"/>
      <c r="F30" s="39">
        <f>IF(COUNT(C30:E30)=0,0,SUMPRODUCT({5000,1000,500},C30:E30))</f>
        <v>0</v>
      </c>
      <c r="G30" s="31">
        <v>15</v>
      </c>
      <c r="H30" s="31">
        <v>13</v>
      </c>
      <c r="I30" s="31">
        <v>2</v>
      </c>
      <c r="J30" s="39">
        <f>IF(COUNT(G30:I30)=0,0,SUMPRODUCT({5000,1000,500},G30:I30))</f>
        <v>89000</v>
      </c>
      <c r="K30" s="31"/>
      <c r="L30" s="31"/>
      <c r="M30" s="31"/>
      <c r="N30" s="39">
        <f>IF(COUNT(K30:M30)=0,0,SUMPRODUCT({5000,1000,500},K30:M30))</f>
        <v>0</v>
      </c>
      <c r="O30" s="31"/>
      <c r="P30" s="31"/>
      <c r="Q30" s="31"/>
      <c r="R30" s="39">
        <f>IF(COUNT(O30:Q30)=0,0,SUMPRODUCT({5000,1000,500},O30:Q30))</f>
        <v>0</v>
      </c>
      <c r="S30" s="31"/>
      <c r="T30" s="31"/>
      <c r="U30" s="31"/>
      <c r="V30" s="31">
        <v>4</v>
      </c>
      <c r="W30" s="31"/>
      <c r="X30" s="31">
        <v>69</v>
      </c>
      <c r="Y30" s="31">
        <v>3</v>
      </c>
      <c r="Z30" s="31">
        <v>86</v>
      </c>
      <c r="AA30" s="31"/>
      <c r="AB30" s="31"/>
      <c r="AC30" s="31"/>
      <c r="AD30" s="34">
        <f>IF(COUNT(S30:AC30)=0,0,SUMPRODUCT({5000,1000,500,100,75,50,20,10,5,2,1}, S30:AC30))</f>
        <v>4770</v>
      </c>
      <c r="AE30" s="33">
        <v>93755</v>
      </c>
      <c r="AF30" s="24">
        <f>IF(AND(COUNT(C30:E30)=0,COUNT(G30:I30)=0,COUNT(K30:M30)=0,COUNT(O30:Q30)=0,COUNT(S30:AC30)=0,AE30=""),"",(IF(COUNT(C30:E30)=0,0,SUMPRODUCT({5000,1000,500},C30:E30))+IF(COUNT(G30:I30)=0,0,SUMPRODUCT({5000,1000,500},G30:I30))+IF(COUNT(K30:M30)=0,0,SUMPRODUCT({5000,1000,500},K30:M30))+IF(COUNT(O30:Q30)=0,0,SUMPRODUCT({5000,1000,500},O30:Q30))+AD30)-N(AE30))</f>
        <v>15</v>
      </c>
      <c r="AG30" s="35" t="str">
        <f t="shared" si="0"/>
        <v>Excess</v>
      </c>
      <c r="AH30" s="38"/>
      <c r="AI30" s="36">
        <v>206719.17</v>
      </c>
      <c r="AJ30" s="37">
        <v>206719.17</v>
      </c>
      <c r="AK30" s="26">
        <f t="shared" si="1"/>
        <v>0</v>
      </c>
      <c r="AL30" s="25" t="str">
        <f t="shared" si="2"/>
        <v>Matched</v>
      </c>
      <c r="AM30" s="38"/>
    </row>
    <row r="31" spans="1:39" ht="12.75" customHeight="1" x14ac:dyDescent="0.25">
      <c r="A31" s="31">
        <v>78242</v>
      </c>
      <c r="B31" s="32" t="str">
        <f>IF(A31="","",VLOOKUP(A31,'Employee Database'!A:B,2,FALSE))</f>
        <v>Hamad Mughal</v>
      </c>
      <c r="C31" s="31"/>
      <c r="D31" s="31"/>
      <c r="E31" s="31"/>
      <c r="F31" s="39">
        <f>IF(COUNT(C31:E31)=0,0,SUMPRODUCT({5000,1000,500},C31:E31))</f>
        <v>0</v>
      </c>
      <c r="G31" s="31">
        <v>44</v>
      </c>
      <c r="H31" s="31">
        <v>115</v>
      </c>
      <c r="I31" s="31">
        <v>3</v>
      </c>
      <c r="J31" s="39">
        <f>IF(COUNT(G31:I31)=0,0,SUMPRODUCT({5000,1000,500},G31:I31))</f>
        <v>336500</v>
      </c>
      <c r="K31" s="31"/>
      <c r="L31" s="31"/>
      <c r="M31" s="31"/>
      <c r="N31" s="39">
        <f>IF(COUNT(K31:M31)=0,0,SUMPRODUCT({5000,1000,500},K31:M31))</f>
        <v>0</v>
      </c>
      <c r="O31" s="31"/>
      <c r="P31" s="31"/>
      <c r="Q31" s="31"/>
      <c r="R31" s="39">
        <f>IF(COUNT(O31:Q31)=0,0,SUMPRODUCT({5000,1000,500},O31:Q31))</f>
        <v>0</v>
      </c>
      <c r="S31" s="31"/>
      <c r="T31" s="31"/>
      <c r="U31" s="31"/>
      <c r="V31" s="31">
        <v>5</v>
      </c>
      <c r="W31" s="31"/>
      <c r="X31" s="31">
        <v>43</v>
      </c>
      <c r="Y31" s="31">
        <v>1</v>
      </c>
      <c r="Z31" s="31">
        <v>15</v>
      </c>
      <c r="AA31" s="31"/>
      <c r="AB31" s="31"/>
      <c r="AC31" s="31"/>
      <c r="AD31" s="34">
        <f>IF(COUNT(S31:AC31)=0,0,SUMPRODUCT({5000,1000,500,100,75,50,20,10,5,2,1}, S31:AC31))</f>
        <v>2820</v>
      </c>
      <c r="AE31" s="33">
        <v>339287</v>
      </c>
      <c r="AF31" s="24">
        <f>IF(AND(COUNT(C31:E31)=0,COUNT(G31:I31)=0,COUNT(K31:M31)=0,COUNT(O31:Q31)=0,COUNT(S31:AC31)=0,AE31=""),"",(IF(COUNT(C31:E31)=0,0,SUMPRODUCT({5000,1000,500},C31:E31))+IF(COUNT(G31:I31)=0,0,SUMPRODUCT({5000,1000,500},G31:I31))+IF(COUNT(K31:M31)=0,0,SUMPRODUCT({5000,1000,500},K31:M31))+IF(COUNT(O31:Q31)=0,0,SUMPRODUCT({5000,1000,500},O31:Q31))+AD31)-N(AE31))</f>
        <v>33</v>
      </c>
      <c r="AG31" s="35" t="str">
        <f t="shared" si="0"/>
        <v>Excess</v>
      </c>
      <c r="AH31" s="38"/>
      <c r="AI31" s="36">
        <v>749764.96</v>
      </c>
      <c r="AJ31" s="37">
        <v>749764.96</v>
      </c>
      <c r="AK31" s="26">
        <f t="shared" si="1"/>
        <v>0</v>
      </c>
      <c r="AL31" s="25" t="str">
        <f t="shared" si="2"/>
        <v>Matched</v>
      </c>
      <c r="AM31" s="38"/>
    </row>
    <row r="32" spans="1:39" ht="12.75" customHeight="1" x14ac:dyDescent="0.25">
      <c r="A32" s="31">
        <v>50134</v>
      </c>
      <c r="B32" s="32" t="str">
        <f>IF(A32="","",VLOOKUP(A32,'Employee Database'!A:B,2,FALSE))</f>
        <v>Asif Abbas</v>
      </c>
      <c r="C32" s="31"/>
      <c r="D32" s="31"/>
      <c r="E32" s="31"/>
      <c r="F32" s="39">
        <f>IF(COUNT(C32:E32)=0,0,SUMPRODUCT({5000,1000,500},C32:E32))</f>
        <v>0</v>
      </c>
      <c r="G32" s="31">
        <v>42</v>
      </c>
      <c r="H32" s="31">
        <v>101</v>
      </c>
      <c r="I32" s="31">
        <v>27</v>
      </c>
      <c r="J32" s="39">
        <f>IF(COUNT(G32:I32)=0,0,SUMPRODUCT({5000,1000,500},G32:I32))</f>
        <v>324500</v>
      </c>
      <c r="K32" s="31"/>
      <c r="L32" s="31"/>
      <c r="M32" s="31"/>
      <c r="N32" s="39">
        <f>IF(COUNT(K32:M32)=0,0,SUMPRODUCT({5000,1000,500},K32:M32))</f>
        <v>0</v>
      </c>
      <c r="O32" s="31"/>
      <c r="P32" s="31"/>
      <c r="Q32" s="31"/>
      <c r="R32" s="39">
        <f>IF(COUNT(O32:Q32)=0,0,SUMPRODUCT({5000,1000,500},O32:Q32))</f>
        <v>0</v>
      </c>
      <c r="S32" s="31"/>
      <c r="T32" s="31"/>
      <c r="U32" s="31"/>
      <c r="V32" s="31">
        <v>1</v>
      </c>
      <c r="W32" s="31"/>
      <c r="X32" s="31">
        <v>64</v>
      </c>
      <c r="Y32" s="31">
        <v>1</v>
      </c>
      <c r="Z32" s="31">
        <v>30</v>
      </c>
      <c r="AA32" s="31"/>
      <c r="AB32" s="31"/>
      <c r="AC32" s="31"/>
      <c r="AD32" s="34">
        <f>IF(COUNT(S32:AC32)=0,0,SUMPRODUCT({5000,1000,500,100,75,50,20,10,5,2,1}, S32:AC32))</f>
        <v>3620</v>
      </c>
      <c r="AE32" s="33">
        <v>328101</v>
      </c>
      <c r="AF32" s="24">
        <f>IF(AND(COUNT(C32:E32)=0,COUNT(G32:I32)=0,COUNT(K32:M32)=0,COUNT(O32:Q32)=0,COUNT(S32:AC32)=0,AE32=""),"",(IF(COUNT(C32:E32)=0,0,SUMPRODUCT({5000,1000,500},C32:E32))+IF(COUNT(G32:I32)=0,0,SUMPRODUCT({5000,1000,500},G32:I32))+IF(COUNT(K32:M32)=0,0,SUMPRODUCT({5000,1000,500},K32:M32))+IF(COUNT(O32:Q32)=0,0,SUMPRODUCT({5000,1000,500},O32:Q32))+AD32)-N(AE32))</f>
        <v>19</v>
      </c>
      <c r="AG32" s="35" t="str">
        <f t="shared" si="0"/>
        <v>Excess</v>
      </c>
      <c r="AH32" s="38"/>
      <c r="AI32" s="36">
        <v>678647.06</v>
      </c>
      <c r="AJ32" s="37">
        <f>34297.88+454107.05+190242.13</f>
        <v>678647.06</v>
      </c>
      <c r="AK32" s="26">
        <f t="shared" si="1"/>
        <v>0</v>
      </c>
      <c r="AL32" s="25" t="str">
        <f t="shared" si="2"/>
        <v>Matched</v>
      </c>
      <c r="AM32" s="38"/>
    </row>
    <row r="33" spans="1:39" ht="12.75" customHeight="1" x14ac:dyDescent="0.25">
      <c r="A33" s="31">
        <v>50524</v>
      </c>
      <c r="B33" s="32" t="str">
        <f>IF(A33="","",VLOOKUP(A33,'Employee Database'!A:B,2,FALSE))</f>
        <v>Allah Rakha</v>
      </c>
      <c r="C33" s="31"/>
      <c r="D33" s="31"/>
      <c r="E33" s="31"/>
      <c r="F33" s="39">
        <f>IF(COUNT(C33:E33)=0,0,SUMPRODUCT({5000,1000,500},C33:E33))</f>
        <v>0</v>
      </c>
      <c r="G33" s="31">
        <v>51</v>
      </c>
      <c r="H33" s="31">
        <v>178</v>
      </c>
      <c r="I33" s="31">
        <v>0</v>
      </c>
      <c r="J33" s="39">
        <f>IF(COUNT(G33:I33)=0,0,SUMPRODUCT({5000,1000,500},G33:I33))</f>
        <v>433000</v>
      </c>
      <c r="K33" s="31"/>
      <c r="L33" s="31"/>
      <c r="M33" s="31"/>
      <c r="N33" s="39">
        <f>IF(COUNT(K33:M33)=0,0,SUMPRODUCT({5000,1000,500},K33:M33))</f>
        <v>0</v>
      </c>
      <c r="O33" s="31"/>
      <c r="P33" s="31"/>
      <c r="Q33" s="31"/>
      <c r="R33" s="39">
        <f>IF(COUNT(O33:Q33)=0,0,SUMPRODUCT({5000,1000,500},O33:Q33))</f>
        <v>0</v>
      </c>
      <c r="S33" s="31"/>
      <c r="T33" s="31"/>
      <c r="U33" s="31"/>
      <c r="V33" s="31"/>
      <c r="W33" s="31"/>
      <c r="X33" s="31">
        <v>2</v>
      </c>
      <c r="Y33" s="31"/>
      <c r="Z33" s="31">
        <v>60</v>
      </c>
      <c r="AA33" s="31"/>
      <c r="AB33" s="31"/>
      <c r="AC33" s="31"/>
      <c r="AD33" s="34">
        <f>IF(COUNT(S33:AC33)=0,0,SUMPRODUCT({5000,1000,500,100,75,50,20,10,5,2,1}, S33:AC33))</f>
        <v>700</v>
      </c>
      <c r="AE33" s="33">
        <v>433650</v>
      </c>
      <c r="AF33" s="24">
        <f>IF(AND(COUNT(C33:E33)=0,COUNT(G33:I33)=0,COUNT(K33:M33)=0,COUNT(O33:Q33)=0,COUNT(S33:AC33)=0,AE33=""),"",(IF(COUNT(C33:E33)=0,0,SUMPRODUCT({5000,1000,500},C33:E33))+IF(COUNT(G33:I33)=0,0,SUMPRODUCT({5000,1000,500},G33:I33))+IF(COUNT(K33:M33)=0,0,SUMPRODUCT({5000,1000,500},K33:M33))+IF(COUNT(O33:Q33)=0,0,SUMPRODUCT({5000,1000,500},O33:Q33))+AD33)-N(AE33))</f>
        <v>50</v>
      </c>
      <c r="AG33" s="35" t="str">
        <f>IF(AF33="","",IF(AF33&gt;0,"Excess",IF(AF33&lt;0,"Short","Balanced")))</f>
        <v>Excess</v>
      </c>
      <c r="AH33" s="38"/>
      <c r="AI33" s="36">
        <v>793726.62</v>
      </c>
      <c r="AJ33" s="37">
        <f>118448.5+675278.12</f>
        <v>793726.62</v>
      </c>
      <c r="AK33" s="26">
        <f t="shared" si="1"/>
        <v>0</v>
      </c>
      <c r="AL33" s="25" t="str">
        <f t="shared" si="2"/>
        <v>Matched</v>
      </c>
      <c r="AM33" s="38"/>
    </row>
    <row r="34" spans="1:39" ht="12.75" customHeight="1" x14ac:dyDescent="0.25">
      <c r="A34" s="31">
        <v>50313</v>
      </c>
      <c r="B34" s="32" t="str">
        <f>IF(A34="","",VLOOKUP(A34,'Employee Database'!A:B,2,FALSE))</f>
        <v>Waseem Raza</v>
      </c>
      <c r="C34" s="31"/>
      <c r="D34" s="31"/>
      <c r="E34" s="31"/>
      <c r="F34" s="39">
        <f>IF(COUNT(C34:E34)=0,0,SUMPRODUCT({5000,1000,500},C34:E34))</f>
        <v>0</v>
      </c>
      <c r="G34" s="31"/>
      <c r="H34" s="31">
        <v>12</v>
      </c>
      <c r="I34" s="31"/>
      <c r="J34" s="39">
        <f>IF(COUNT(G34:I34)=0,0,SUMPRODUCT({5000,1000,500},G34:I34))</f>
        <v>12000</v>
      </c>
      <c r="K34" s="31"/>
      <c r="L34" s="31"/>
      <c r="M34" s="31"/>
      <c r="N34" s="39">
        <f>IF(COUNT(K34:M34)=0,0,SUMPRODUCT({5000,1000,500},K34:M34))</f>
        <v>0</v>
      </c>
      <c r="O34" s="31"/>
      <c r="P34" s="31"/>
      <c r="Q34" s="31"/>
      <c r="R34" s="39">
        <f>IF(COUNT(O34:Q34)=0,0,SUMPRODUCT({5000,1000,500},O34:Q34))</f>
        <v>0</v>
      </c>
      <c r="S34" s="31"/>
      <c r="T34" s="31"/>
      <c r="U34" s="31"/>
      <c r="V34" s="31">
        <v>1</v>
      </c>
      <c r="W34" s="31"/>
      <c r="X34" s="31">
        <v>4</v>
      </c>
      <c r="Y34" s="31"/>
      <c r="Z34" s="31"/>
      <c r="AA34" s="31"/>
      <c r="AB34" s="31"/>
      <c r="AC34" s="31"/>
      <c r="AD34" s="34">
        <f>IF(COUNT(S34:AC34)=0,0,SUMPRODUCT({5000,1000,500,100,75,50,20,10,5,2,1}, S34:AC34))</f>
        <v>300</v>
      </c>
      <c r="AE34" s="33">
        <v>12310.35</v>
      </c>
      <c r="AF34" s="24">
        <f>IF(AND(COUNT(C34:E34)=0,COUNT(G34:I34)=0,COUNT(K34:M34)=0,COUNT(O34:Q34)=0,COUNT(S34:AC34)=0,AE34=""),"",(IF(COUNT(C34:E34)=0,0,SUMPRODUCT({5000,1000,500},C34:E34))+IF(COUNT(G34:I34)=0,0,SUMPRODUCT({5000,1000,500},G34:I34))+IF(COUNT(K34:M34)=0,0,SUMPRODUCT({5000,1000,500},K34:M34))+IF(COUNT(O34:Q34)=0,0,SUMPRODUCT({5000,1000,500},O34:Q34))+AD34)-N(AE34))</f>
        <v>-10.350000000000364</v>
      </c>
      <c r="AG34" s="35" t="str">
        <f t="shared" si="0"/>
        <v>Short</v>
      </c>
      <c r="AH34" s="38"/>
      <c r="AI34" s="36"/>
      <c r="AJ34" s="37"/>
      <c r="AK34" s="26" t="str">
        <f t="shared" ref="AK34" si="3">IF(AND(AI34="",AJ34=""),"",N(AI34)-N(AJ34))</f>
        <v/>
      </c>
      <c r="AL34" s="25" t="str">
        <f t="shared" si="2"/>
        <v/>
      </c>
      <c r="AM34" s="38"/>
    </row>
    <row r="35" spans="1:39" ht="12.75" customHeight="1" x14ac:dyDescent="0.25">
      <c r="A35" s="31">
        <v>79593</v>
      </c>
      <c r="B35" s="32" t="str">
        <f>IF(A35="","",VLOOKUP(A35,'Employee Database'!A:B,2,FALSE))</f>
        <v>Amir</v>
      </c>
      <c r="C35" s="31"/>
      <c r="D35" s="31"/>
      <c r="E35" s="31"/>
      <c r="F35" s="39">
        <f>IF(COUNT(C35:E35)=0,0,SUMPRODUCT({5000,1000,500},C35:E35))</f>
        <v>0</v>
      </c>
      <c r="G35" s="31">
        <v>38</v>
      </c>
      <c r="H35" s="31">
        <v>50</v>
      </c>
      <c r="I35" s="31">
        <v>44</v>
      </c>
      <c r="J35" s="39">
        <f>IF(COUNT(G35:I35)=0,0,SUMPRODUCT({5000,1000,500},G35:I35))</f>
        <v>262000</v>
      </c>
      <c r="K35" s="31"/>
      <c r="L35" s="31"/>
      <c r="M35" s="31"/>
      <c r="N35" s="39">
        <f>IF(COUNT(K35:M35)=0,0,SUMPRODUCT({5000,1000,500},K35:M35))</f>
        <v>0</v>
      </c>
      <c r="O35" s="31"/>
      <c r="P35" s="31"/>
      <c r="Q35" s="31"/>
      <c r="R35" s="39">
        <f>IF(COUNT(O35:Q35)=0,0,SUMPRODUCT({5000,1000,500},O35:Q35))</f>
        <v>0</v>
      </c>
      <c r="S35" s="31"/>
      <c r="T35" s="31"/>
      <c r="U35" s="31"/>
      <c r="V35" s="31">
        <v>2</v>
      </c>
      <c r="W35" s="31"/>
      <c r="X35" s="31">
        <v>18</v>
      </c>
      <c r="Y35" s="31">
        <v>1</v>
      </c>
      <c r="Z35" s="31">
        <v>64</v>
      </c>
      <c r="AA35" s="31"/>
      <c r="AB35" s="31"/>
      <c r="AC35" s="31"/>
      <c r="AD35" s="34">
        <f>IF(COUNT(S35:AC35)=0,0,SUMPRODUCT({5000,1000,500,100,75,50,20,10,5,2,1}, S35:AC35))</f>
        <v>1760</v>
      </c>
      <c r="AE35" s="33">
        <v>263721</v>
      </c>
      <c r="AF35" s="24">
        <f>IF(AND(COUNT(C35:E35)=0,COUNT(G35:I35)=0,COUNT(K35:M35)=0,COUNT(O35:Q35)=0,COUNT(S35:AC35)=0,AE35=""),"",(IF(COUNT(C35:E35)=0,0,SUMPRODUCT({5000,1000,500},C35:E35))+IF(COUNT(G35:I35)=0,0,SUMPRODUCT({5000,1000,500},G35:I35))+IF(COUNT(K35:M35)=0,0,SUMPRODUCT({5000,1000,500},K35:M35))+IF(COUNT(O35:Q35)=0,0,SUMPRODUCT({5000,1000,500},O35:Q35))+AD35)-N(AE35))</f>
        <v>39</v>
      </c>
      <c r="AG35" s="35" t="str">
        <f t="shared" si="0"/>
        <v>Excess</v>
      </c>
      <c r="AH35" s="38"/>
      <c r="AI35" s="36">
        <v>595000.32999999996</v>
      </c>
      <c r="AJ35" s="37">
        <v>595000.32999999996</v>
      </c>
      <c r="AK35" s="26">
        <f t="shared" si="1"/>
        <v>0</v>
      </c>
      <c r="AL35" s="25" t="str">
        <f t="shared" si="2"/>
        <v>Matched</v>
      </c>
      <c r="AM35" s="38"/>
    </row>
    <row r="36" spans="1:39" ht="22.5" customHeight="1" x14ac:dyDescent="0.25">
      <c r="A36" s="27" t="s">
        <v>24</v>
      </c>
      <c r="B36" s="27" t="s">
        <v>24</v>
      </c>
      <c r="C36" s="28">
        <f t="shared" ref="C36:AF36" si="4">SUM(C5:C35)</f>
        <v>367</v>
      </c>
      <c r="D36" s="28">
        <f t="shared" si="4"/>
        <v>732</v>
      </c>
      <c r="E36" s="28">
        <f t="shared" si="4"/>
        <v>223</v>
      </c>
      <c r="F36" s="40">
        <f t="shared" si="4"/>
        <v>2678500</v>
      </c>
      <c r="G36" s="28">
        <f t="shared" si="4"/>
        <v>566</v>
      </c>
      <c r="H36" s="28">
        <f t="shared" si="4"/>
        <v>1673</v>
      </c>
      <c r="I36" s="28">
        <f t="shared" si="4"/>
        <v>334</v>
      </c>
      <c r="J36" s="40">
        <f t="shared" si="4"/>
        <v>4670000</v>
      </c>
      <c r="K36" s="28">
        <f t="shared" si="4"/>
        <v>0</v>
      </c>
      <c r="L36" s="28">
        <f t="shared" si="4"/>
        <v>0</v>
      </c>
      <c r="M36" s="28">
        <f t="shared" si="4"/>
        <v>0</v>
      </c>
      <c r="N36" s="40">
        <f t="shared" si="4"/>
        <v>0</v>
      </c>
      <c r="O36" s="28">
        <f t="shared" si="4"/>
        <v>0</v>
      </c>
      <c r="P36" s="28">
        <f t="shared" si="4"/>
        <v>0</v>
      </c>
      <c r="Q36" s="28">
        <f t="shared" si="4"/>
        <v>0</v>
      </c>
      <c r="R36" s="40">
        <f t="shared" si="4"/>
        <v>0</v>
      </c>
      <c r="S36" s="28">
        <f t="shared" si="4"/>
        <v>0</v>
      </c>
      <c r="T36" s="28">
        <f t="shared" si="4"/>
        <v>0</v>
      </c>
      <c r="U36" s="28">
        <f t="shared" si="4"/>
        <v>0</v>
      </c>
      <c r="V36" s="28">
        <f t="shared" si="4"/>
        <v>76</v>
      </c>
      <c r="W36" s="28">
        <f t="shared" si="4"/>
        <v>0</v>
      </c>
      <c r="X36" s="28">
        <f t="shared" si="4"/>
        <v>1182</v>
      </c>
      <c r="Y36" s="28">
        <f t="shared" si="4"/>
        <v>34</v>
      </c>
      <c r="Z36" s="28">
        <f t="shared" si="4"/>
        <v>1592</v>
      </c>
      <c r="AA36" s="28">
        <f t="shared" si="4"/>
        <v>0</v>
      </c>
      <c r="AB36" s="28">
        <f t="shared" si="4"/>
        <v>20</v>
      </c>
      <c r="AC36" s="28">
        <f t="shared" si="4"/>
        <v>0</v>
      </c>
      <c r="AD36" s="40">
        <f t="shared" si="4"/>
        <v>83340</v>
      </c>
      <c r="AE36" s="41">
        <f t="shared" si="4"/>
        <v>7431260.3499999996</v>
      </c>
      <c r="AF36" s="29">
        <f t="shared" si="4"/>
        <v>579.64999999999964</v>
      </c>
      <c r="AG36" s="27" t="s">
        <v>24</v>
      </c>
      <c r="AH36" s="27" t="s">
        <v>24</v>
      </c>
      <c r="AI36" s="28">
        <f>SUM(AI5:AI35)</f>
        <v>15476905.26</v>
      </c>
      <c r="AJ36" s="28">
        <f>SUM(AJ5:AJ35)</f>
        <v>15476905.249999998</v>
      </c>
      <c r="AK36" s="28">
        <f>SUM(AK5:AK35)</f>
        <v>9.999999834690243E-3</v>
      </c>
      <c r="AL36" s="28">
        <f>AJ36+AE36</f>
        <v>22908165.599999998</v>
      </c>
      <c r="AM36" s="28">
        <f>SUM(AM5:AM35)</f>
        <v>0</v>
      </c>
    </row>
  </sheetData>
  <mergeCells count="9">
    <mergeCell ref="S3:AC3"/>
    <mergeCell ref="AD3:AG3"/>
    <mergeCell ref="AH3:AM3"/>
    <mergeCell ref="A1:B1"/>
    <mergeCell ref="A3:B3"/>
    <mergeCell ref="C3:F3"/>
    <mergeCell ref="G3:J3"/>
    <mergeCell ref="K3:N3"/>
    <mergeCell ref="O3:R3"/>
  </mergeCells>
  <conditionalFormatting sqref="A5">
    <cfRule type="duplicateValues" dxfId="213" priority="5"/>
    <cfRule type="duplicateValues" dxfId="212" priority="6"/>
  </conditionalFormatting>
  <conditionalFormatting sqref="A6">
    <cfRule type="duplicateValues" dxfId="211" priority="7"/>
    <cfRule type="duplicateValues" dxfId="210" priority="8"/>
  </conditionalFormatting>
  <conditionalFormatting sqref="A7:A33 A35">
    <cfRule type="duplicateValues" dxfId="209" priority="3"/>
    <cfRule type="duplicateValues" dxfId="208" priority="4"/>
  </conditionalFormatting>
  <conditionalFormatting sqref="A34">
    <cfRule type="duplicateValues" dxfId="207" priority="1"/>
    <cfRule type="duplicateValues" dxfId="206" priority="2"/>
  </conditionalFormatting>
  <conditionalFormatting sqref="A36">
    <cfRule type="duplicateValues" dxfId="205" priority="9"/>
  </conditionalFormatting>
  <dataValidations disablePrompts="1" count="1">
    <dataValidation type="list" allowBlank="1" showInputMessage="1" showErrorMessage="1" sqref="A1:B1" xr:uid="{00000000-0002-0000-0400-000000000000}">
      <formula1>Locations</formula1>
    </dataValidation>
  </dataValidations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FF0000"/>
  </sheetPr>
  <dimension ref="A1:AM37"/>
  <sheetViews>
    <sheetView showGridLines="0" topLeftCell="A7" zoomScale="85" zoomScaleNormal="85" workbookViewId="0">
      <pane xSplit="2" topLeftCell="R1" activePane="topRight" state="frozen"/>
      <selection activeCell="A4" sqref="A4"/>
      <selection pane="topRight" activeCell="AE5" sqref="AE5:AE36"/>
    </sheetView>
  </sheetViews>
  <sheetFormatPr defaultRowHeight="15" x14ac:dyDescent="0.25"/>
  <cols>
    <col min="1" max="1" width="11.85546875" customWidth="1"/>
    <col min="2" max="2" width="20.5703125" customWidth="1"/>
    <col min="6" max="6" width="14.42578125" bestFit="1" customWidth="1"/>
    <col min="10" max="10" width="14.42578125" bestFit="1" customWidth="1"/>
    <col min="14" max="14" width="14.42578125" bestFit="1" customWidth="1"/>
    <col min="18" max="18" width="14.42578125" bestFit="1" customWidth="1"/>
    <col min="30" max="31" width="18" customWidth="1"/>
    <col min="32" max="32" width="20" customWidth="1"/>
    <col min="33" max="33" width="14" customWidth="1"/>
    <col min="35" max="35" width="18" customWidth="1"/>
    <col min="36" max="36" width="22" customWidth="1"/>
    <col min="37" max="37" width="16" customWidth="1"/>
    <col min="38" max="38" width="14" customWidth="1"/>
  </cols>
  <sheetData>
    <row r="1" spans="1:39" ht="43.5" customHeight="1" x14ac:dyDescent="0.25">
      <c r="A1" s="48" t="s">
        <v>306</v>
      </c>
      <c r="B1" s="48"/>
    </row>
    <row r="2" spans="1:39" ht="13.5" customHeight="1" x14ac:dyDescent="0.25">
      <c r="A2" s="30">
        <f>'3'!A2+1</f>
        <v>46207</v>
      </c>
    </row>
    <row r="3" spans="1:39" ht="24" customHeight="1" x14ac:dyDescent="0.25">
      <c r="A3" s="49" t="s">
        <v>0</v>
      </c>
      <c r="B3" s="49"/>
      <c r="C3" s="49" t="s">
        <v>93</v>
      </c>
      <c r="D3" s="50"/>
      <c r="E3" s="50"/>
      <c r="F3" s="50"/>
      <c r="G3" s="49" t="s">
        <v>94</v>
      </c>
      <c r="H3" s="50"/>
      <c r="I3" s="50"/>
      <c r="J3" s="50"/>
      <c r="K3" s="49" t="s">
        <v>95</v>
      </c>
      <c r="L3" s="50"/>
      <c r="M3" s="50"/>
      <c r="N3" s="50"/>
      <c r="O3" s="49" t="s">
        <v>96</v>
      </c>
      <c r="P3" s="50"/>
      <c r="Q3" s="50"/>
      <c r="R3" s="50"/>
      <c r="S3" s="45" t="s">
        <v>1</v>
      </c>
      <c r="T3" s="46"/>
      <c r="U3" s="46"/>
      <c r="V3" s="46"/>
      <c r="W3" s="46"/>
      <c r="X3" s="46"/>
      <c r="Y3" s="46"/>
      <c r="Z3" s="46"/>
      <c r="AA3" s="46"/>
      <c r="AB3" s="46"/>
      <c r="AC3" s="46"/>
      <c r="AD3" s="47" t="s">
        <v>97</v>
      </c>
      <c r="AE3" s="46"/>
      <c r="AF3" s="46"/>
      <c r="AG3" s="46"/>
      <c r="AH3" s="47" t="s">
        <v>98</v>
      </c>
      <c r="AI3" s="46"/>
      <c r="AJ3" s="46"/>
      <c r="AK3" s="46"/>
      <c r="AL3" s="46"/>
      <c r="AM3" s="46"/>
    </row>
    <row r="4" spans="1:39" ht="27.95" customHeight="1" x14ac:dyDescent="0.25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92</v>
      </c>
      <c r="G4" s="1" t="s">
        <v>5</v>
      </c>
      <c r="H4" s="1" t="s">
        <v>6</v>
      </c>
      <c r="I4" s="1" t="s">
        <v>7</v>
      </c>
      <c r="J4" s="1" t="s">
        <v>92</v>
      </c>
      <c r="K4" s="1" t="s">
        <v>5</v>
      </c>
      <c r="L4" s="1" t="s">
        <v>6</v>
      </c>
      <c r="M4" s="1" t="s">
        <v>7</v>
      </c>
      <c r="N4" s="1" t="s">
        <v>92</v>
      </c>
      <c r="O4" s="1" t="s">
        <v>5</v>
      </c>
      <c r="P4" s="1" t="s">
        <v>6</v>
      </c>
      <c r="Q4" s="1" t="s">
        <v>7</v>
      </c>
      <c r="R4" s="1" t="s">
        <v>92</v>
      </c>
      <c r="S4" s="1" t="s">
        <v>5</v>
      </c>
      <c r="T4" s="1" t="s">
        <v>6</v>
      </c>
      <c r="U4" s="1" t="s">
        <v>7</v>
      </c>
      <c r="V4" s="1" t="s">
        <v>8</v>
      </c>
      <c r="W4" s="1" t="s">
        <v>9</v>
      </c>
      <c r="X4" s="1" t="s">
        <v>10</v>
      </c>
      <c r="Y4" s="1" t="s">
        <v>11</v>
      </c>
      <c r="Z4" s="1" t="s">
        <v>12</v>
      </c>
      <c r="AA4" s="1" t="s">
        <v>13</v>
      </c>
      <c r="AB4" s="1" t="s">
        <v>14</v>
      </c>
      <c r="AC4" s="1" t="s">
        <v>15</v>
      </c>
      <c r="AD4" s="1" t="s">
        <v>16</v>
      </c>
      <c r="AE4" s="1" t="s">
        <v>17</v>
      </c>
      <c r="AF4" s="1" t="s">
        <v>18</v>
      </c>
      <c r="AG4" s="1" t="s">
        <v>19</v>
      </c>
      <c r="AH4" s="1" t="s">
        <v>20</v>
      </c>
      <c r="AI4" s="4" t="s">
        <v>99</v>
      </c>
      <c r="AJ4" s="1" t="s">
        <v>21</v>
      </c>
      <c r="AK4" s="1" t="s">
        <v>22</v>
      </c>
      <c r="AL4" s="1" t="s">
        <v>23</v>
      </c>
      <c r="AM4" s="4" t="s">
        <v>100</v>
      </c>
    </row>
    <row r="5" spans="1:39" ht="12.75" customHeight="1" x14ac:dyDescent="0.25">
      <c r="A5" s="31">
        <v>72873</v>
      </c>
      <c r="B5" s="32" t="str">
        <f>IF(A5="","",VLOOKUP(A5,'Employee Database'!A:B,2,FALSE))</f>
        <v>M Shajee</v>
      </c>
      <c r="C5" s="31">
        <v>59</v>
      </c>
      <c r="D5" s="31">
        <v>160</v>
      </c>
      <c r="E5" s="31">
        <v>42</v>
      </c>
      <c r="F5" s="39">
        <f>IF(COUNT(C5:E5)=0,0,SUMPRODUCT({5000,1000,500},C5:E5))</f>
        <v>476000</v>
      </c>
      <c r="G5" s="31"/>
      <c r="H5" s="31"/>
      <c r="I5" s="31"/>
      <c r="J5" s="39">
        <f>IF(COUNT(G5:I5)=0,0,SUMPRODUCT({5000,1000,500},G5:I5))</f>
        <v>0</v>
      </c>
      <c r="K5" s="31"/>
      <c r="L5" s="31"/>
      <c r="M5" s="31"/>
      <c r="N5" s="39">
        <f>IF(COUNT(K5:M5)=0,0,SUMPRODUCT({5000,1000,500},K5:M5))</f>
        <v>0</v>
      </c>
      <c r="O5" s="31"/>
      <c r="P5" s="31"/>
      <c r="Q5" s="31"/>
      <c r="R5" s="39">
        <f>IF(COUNT(O5:Q5)=0,0,SUMPRODUCT({5000,1000,500},O5:Q5))</f>
        <v>0</v>
      </c>
      <c r="S5" s="31"/>
      <c r="T5" s="31"/>
      <c r="U5" s="31"/>
      <c r="V5" s="31">
        <v>4</v>
      </c>
      <c r="W5" s="31"/>
      <c r="X5" s="31">
        <v>18</v>
      </c>
      <c r="Y5" s="31">
        <v>1</v>
      </c>
      <c r="Z5" s="31">
        <v>24</v>
      </c>
      <c r="AA5" s="31"/>
      <c r="AB5" s="31"/>
      <c r="AC5" s="31"/>
      <c r="AD5" s="34">
        <f>IF(COUNT(S5:AC5)=0,0,SUMPRODUCT({5000,1000,500,100,75,50,20,10,5,2,1}, S5:AC5))</f>
        <v>1560</v>
      </c>
      <c r="AE5" s="33">
        <v>477466</v>
      </c>
      <c r="AF5" s="24">
        <f>IF(AND(COUNT(C5:E5)=0,COUNT(G5:I5)=0,COUNT(K5:M5)=0,COUNT(O5:Q5)=0,COUNT(S5:AC5)=0,AE5=""),"",(IF(COUNT(C5:E5)=0,0,SUMPRODUCT({5000,1000,500},C5:E5))+IF(COUNT(G5:I5)=0,0,SUMPRODUCT({5000,1000,500},G5:I5))+IF(COUNT(K5:M5)=0,0,SUMPRODUCT({5000,1000,500},K5:M5))+IF(COUNT(O5:Q5)=0,0,SUMPRODUCT({5000,1000,500},O5:Q5))+AD5)-N(AE5))</f>
        <v>94</v>
      </c>
      <c r="AG5" s="35" t="str">
        <f t="shared" ref="AG5:AG36" si="0">IF(AF5="","",IF(AF5&gt;0,"Excess",IF(AF5&lt;0,"Short","Balanced")))</f>
        <v>Excess</v>
      </c>
      <c r="AH5" s="38"/>
      <c r="AI5" s="36">
        <v>888416</v>
      </c>
      <c r="AJ5" s="37">
        <f>406034+482382</f>
        <v>888416</v>
      </c>
      <c r="AK5" s="26">
        <f t="shared" ref="AK5:AK36" si="1">IF(AND(AI5="",AJ5=""),"",N(AI5)-N(AJ5))</f>
        <v>0</v>
      </c>
      <c r="AL5" s="25" t="str">
        <f t="shared" ref="AL5:AL36" si="2">IF(AK5="","",IF(AK5&gt;0,"POS Excess",IF(AK5&lt;0,"Bank Short","Matched")))</f>
        <v>Matched</v>
      </c>
      <c r="AM5" s="38"/>
    </row>
    <row r="6" spans="1:39" ht="12.75" customHeight="1" x14ac:dyDescent="0.25">
      <c r="A6" s="31">
        <v>58112</v>
      </c>
      <c r="B6" s="32" t="str">
        <f>IF(A6="","",VLOOKUP(A6,'Employee Database'!A:B,2,FALSE))</f>
        <v>Shama</v>
      </c>
      <c r="C6" s="31">
        <v>14</v>
      </c>
      <c r="D6" s="31">
        <v>25</v>
      </c>
      <c r="E6" s="31">
        <v>4</v>
      </c>
      <c r="F6" s="39">
        <f>IF(COUNT(C6:E6)=0,0,SUMPRODUCT({5000,1000,500},C6:E6))</f>
        <v>97000</v>
      </c>
      <c r="G6" s="31"/>
      <c r="H6" s="31"/>
      <c r="I6" s="31"/>
      <c r="J6" s="39">
        <f>IF(COUNT(G6:I6)=0,0,SUMPRODUCT({5000,1000,500},G6:I6))</f>
        <v>0</v>
      </c>
      <c r="K6" s="31"/>
      <c r="L6" s="31"/>
      <c r="M6" s="31"/>
      <c r="N6" s="39">
        <f>IF(COUNT(K6:M6)=0,0,SUMPRODUCT({5000,1000,500},K6:M6))</f>
        <v>0</v>
      </c>
      <c r="O6" s="31"/>
      <c r="P6" s="31"/>
      <c r="Q6" s="31"/>
      <c r="R6" s="39">
        <f>IF(COUNT(O6:Q6)=0,0,SUMPRODUCT({5000,1000,500},O6:Q6))</f>
        <v>0</v>
      </c>
      <c r="S6" s="31"/>
      <c r="T6" s="31"/>
      <c r="U6" s="31"/>
      <c r="V6" s="31"/>
      <c r="W6" s="31"/>
      <c r="X6" s="31">
        <v>59</v>
      </c>
      <c r="Y6" s="31"/>
      <c r="Z6" s="31">
        <v>64</v>
      </c>
      <c r="AA6" s="31"/>
      <c r="AB6" s="31"/>
      <c r="AC6" s="31"/>
      <c r="AD6" s="34">
        <f>IF(COUNT(S6:AC6)=0,0,SUMPRODUCT({5000,1000,500,100,75,50,20,10,5,2,1}, S6:AC6))</f>
        <v>3590</v>
      </c>
      <c r="AE6" s="33">
        <v>100581</v>
      </c>
      <c r="AF6" s="24">
        <f>IF(AND(COUNT(C6:E6)=0,COUNT(G6:I6)=0,COUNT(K6:M6)=0,COUNT(O6:Q6)=0,COUNT(S6:AC6)=0,AE6=""),"",(IF(COUNT(C6:E6)=0,0,SUMPRODUCT({5000,1000,500},C6:E6))+IF(COUNT(G6:I6)=0,0,SUMPRODUCT({5000,1000,500},G6:I6))+IF(COUNT(K6:M6)=0,0,SUMPRODUCT({5000,1000,500},K6:M6))+IF(COUNT(O6:Q6)=0,0,SUMPRODUCT({5000,1000,500},O6:Q6))+AD6)-N(AE6))</f>
        <v>9</v>
      </c>
      <c r="AG6" s="35" t="str">
        <f t="shared" si="0"/>
        <v>Excess</v>
      </c>
      <c r="AH6" s="38"/>
      <c r="AI6" s="36">
        <f>57246+123910</f>
        <v>181156</v>
      </c>
      <c r="AJ6" s="37">
        <f>57246+91837+32072+1</f>
        <v>181156</v>
      </c>
      <c r="AK6" s="26">
        <f t="shared" si="1"/>
        <v>0</v>
      </c>
      <c r="AL6" s="25" t="str">
        <f t="shared" si="2"/>
        <v>Matched</v>
      </c>
      <c r="AM6" s="38"/>
    </row>
    <row r="7" spans="1:39" ht="12.75" customHeight="1" x14ac:dyDescent="0.25">
      <c r="A7" s="31">
        <v>77423</v>
      </c>
      <c r="B7" s="32" t="str">
        <f>IF(A7="","",VLOOKUP(A7,'Employee Database'!A:B,2,FALSE))</f>
        <v>Shoaib Akhtar</v>
      </c>
      <c r="C7" s="31">
        <v>47</v>
      </c>
      <c r="D7" s="31">
        <v>161</v>
      </c>
      <c r="E7" s="31">
        <v>47</v>
      </c>
      <c r="F7" s="39">
        <f>IF(COUNT(C7:E7)=0,0,SUMPRODUCT({5000,1000,500},C7:E7))</f>
        <v>419500</v>
      </c>
      <c r="G7" s="31"/>
      <c r="H7" s="31"/>
      <c r="I7" s="31"/>
      <c r="J7" s="39">
        <f>IF(COUNT(G7:I7)=0,0,SUMPRODUCT({5000,1000,500},G7:I7))</f>
        <v>0</v>
      </c>
      <c r="K7" s="31"/>
      <c r="L7" s="31"/>
      <c r="M7" s="31"/>
      <c r="N7" s="39">
        <f>IF(COUNT(K7:M7)=0,0,SUMPRODUCT({5000,1000,500},K7:M7))</f>
        <v>0</v>
      </c>
      <c r="O7" s="31"/>
      <c r="P7" s="31"/>
      <c r="Q7" s="31"/>
      <c r="R7" s="39">
        <f>IF(COUNT(O7:Q7)=0,0,SUMPRODUCT({5000,1000,500},O7:Q7))</f>
        <v>0</v>
      </c>
      <c r="S7" s="31"/>
      <c r="T7" s="31"/>
      <c r="U7" s="31"/>
      <c r="V7" s="31"/>
      <c r="W7" s="31"/>
      <c r="X7" s="31">
        <v>104</v>
      </c>
      <c r="Y7" s="31"/>
      <c r="Z7" s="31">
        <v>35</v>
      </c>
      <c r="AA7" s="31"/>
      <c r="AB7" s="31"/>
      <c r="AC7" s="31"/>
      <c r="AD7" s="34">
        <f>IF(COUNT(S7:AC7)=0,0,SUMPRODUCT({5000,1000,500,100,75,50,20,10,5,2,1}, S7:AC7))</f>
        <v>5550</v>
      </c>
      <c r="AE7" s="33">
        <v>424929</v>
      </c>
      <c r="AF7" s="24">
        <f>IF(AND(COUNT(C7:E7)=0,COUNT(G7:I7)=0,COUNT(K7:M7)=0,COUNT(O7:Q7)=0,COUNT(S7:AC7)=0,AE7=""),"",(IF(COUNT(C7:E7)=0,0,SUMPRODUCT({5000,1000,500},C7:E7))+IF(COUNT(G7:I7)=0,0,SUMPRODUCT({5000,1000,500},G7:I7))+IF(COUNT(K7:M7)=0,0,SUMPRODUCT({5000,1000,500},K7:M7))+IF(COUNT(O7:Q7)=0,0,SUMPRODUCT({5000,1000,500},O7:Q7))+AD7)-N(AE7))</f>
        <v>121</v>
      </c>
      <c r="AG7" s="35" t="str">
        <f t="shared" si="0"/>
        <v>Excess</v>
      </c>
      <c r="AH7" s="38"/>
      <c r="AI7" s="36">
        <v>830703</v>
      </c>
      <c r="AJ7" s="37">
        <f>467222+363481</f>
        <v>830703</v>
      </c>
      <c r="AK7" s="26">
        <f t="shared" si="1"/>
        <v>0</v>
      </c>
      <c r="AL7" s="25" t="str">
        <f t="shared" si="2"/>
        <v>Matched</v>
      </c>
      <c r="AM7" s="38"/>
    </row>
    <row r="8" spans="1:39" ht="12.75" customHeight="1" x14ac:dyDescent="0.25">
      <c r="A8" s="31">
        <v>65299</v>
      </c>
      <c r="B8" s="32" t="str">
        <f>IF(A8="","",VLOOKUP(A8,'Employee Database'!A:B,2,FALSE))</f>
        <v>M Faisal</v>
      </c>
      <c r="C8" s="31">
        <v>39</v>
      </c>
      <c r="D8" s="31">
        <v>211</v>
      </c>
      <c r="E8" s="31">
        <v>58</v>
      </c>
      <c r="F8" s="39">
        <f>IF(COUNT(C8:E8)=0,0,SUMPRODUCT({5000,1000,500},C8:E8))</f>
        <v>435000</v>
      </c>
      <c r="G8" s="31"/>
      <c r="H8" s="31"/>
      <c r="I8" s="31"/>
      <c r="J8" s="39">
        <f>IF(COUNT(G8:I8)=0,0,SUMPRODUCT({5000,1000,500},G8:I8))</f>
        <v>0</v>
      </c>
      <c r="K8" s="31"/>
      <c r="L8" s="31"/>
      <c r="M8" s="31"/>
      <c r="N8" s="39">
        <f>IF(COUNT(K8:M8)=0,0,SUMPRODUCT({5000,1000,500},K8:M8))</f>
        <v>0</v>
      </c>
      <c r="O8" s="31"/>
      <c r="P8" s="31"/>
      <c r="Q8" s="31"/>
      <c r="R8" s="39">
        <f>IF(COUNT(O8:Q8)=0,0,SUMPRODUCT({5000,1000,500},O8:Q8))</f>
        <v>0</v>
      </c>
      <c r="S8" s="31"/>
      <c r="T8" s="31"/>
      <c r="U8" s="31"/>
      <c r="V8" s="31"/>
      <c r="W8" s="31"/>
      <c r="X8" s="31">
        <v>39</v>
      </c>
      <c r="Y8" s="31"/>
      <c r="Z8" s="31">
        <v>51</v>
      </c>
      <c r="AA8" s="31"/>
      <c r="AB8" s="31"/>
      <c r="AC8" s="31"/>
      <c r="AD8" s="34">
        <f>IF(COUNT(S8:AC8)=0,0,SUMPRODUCT({5000,1000,500,100,75,50,20,10,5,2,1}, S8:AC8))</f>
        <v>2460</v>
      </c>
      <c r="AE8" s="33">
        <v>437454</v>
      </c>
      <c r="AF8" s="24">
        <f>IF(AND(COUNT(C8:E8)=0,COUNT(G8:I8)=0,COUNT(K8:M8)=0,COUNT(O8:Q8)=0,COUNT(S8:AC8)=0,AE8=""),"",(IF(COUNT(C8:E8)=0,0,SUMPRODUCT({5000,1000,500},C8:E8))+IF(COUNT(G8:I8)=0,0,SUMPRODUCT({5000,1000,500},G8:I8))+IF(COUNT(K8:M8)=0,0,SUMPRODUCT({5000,1000,500},K8:M8))+IF(COUNT(O8:Q8)=0,0,SUMPRODUCT({5000,1000,500},O8:Q8))+AD8)-N(AE8))</f>
        <v>6</v>
      </c>
      <c r="AG8" s="35" t="str">
        <f t="shared" si="0"/>
        <v>Excess</v>
      </c>
      <c r="AH8" s="38"/>
      <c r="AI8" s="36">
        <v>644268</v>
      </c>
      <c r="AJ8" s="37">
        <f>436120+208148</f>
        <v>644268</v>
      </c>
      <c r="AK8" s="26">
        <f t="shared" si="1"/>
        <v>0</v>
      </c>
      <c r="AL8" s="25" t="str">
        <f t="shared" si="2"/>
        <v>Matched</v>
      </c>
      <c r="AM8" s="38"/>
    </row>
    <row r="9" spans="1:39" ht="12.75" customHeight="1" x14ac:dyDescent="0.25">
      <c r="A9" s="31">
        <v>73196</v>
      </c>
      <c r="B9" s="32" t="str">
        <f>IF(A9="","",VLOOKUP(A9,'Employee Database'!A:B,2,FALSE))</f>
        <v>Asma</v>
      </c>
      <c r="C9" s="31">
        <v>7</v>
      </c>
      <c r="D9" s="31">
        <v>131</v>
      </c>
      <c r="E9" s="31">
        <v>16</v>
      </c>
      <c r="F9" s="39">
        <f>IF(COUNT(C9:E9)=0,0,SUMPRODUCT({5000,1000,500},C9:E9))</f>
        <v>174000</v>
      </c>
      <c r="G9" s="31"/>
      <c r="H9" s="31"/>
      <c r="I9" s="31"/>
      <c r="J9" s="39">
        <f>IF(COUNT(G9:I9)=0,0,SUMPRODUCT({5000,1000,500},G9:I9))</f>
        <v>0</v>
      </c>
      <c r="K9" s="31"/>
      <c r="L9" s="31"/>
      <c r="M9" s="31"/>
      <c r="N9" s="39">
        <f>IF(COUNT(K9:M9)=0,0,SUMPRODUCT({5000,1000,500},K9:M9))</f>
        <v>0</v>
      </c>
      <c r="O9" s="31"/>
      <c r="P9" s="31"/>
      <c r="Q9" s="31"/>
      <c r="R9" s="39">
        <f>IF(COUNT(O9:Q9)=0,0,SUMPRODUCT({5000,1000,500},O9:Q9))</f>
        <v>0</v>
      </c>
      <c r="S9" s="31"/>
      <c r="T9" s="31"/>
      <c r="U9" s="31"/>
      <c r="V9" s="31">
        <v>3</v>
      </c>
      <c r="W9" s="31"/>
      <c r="X9" s="31">
        <v>46</v>
      </c>
      <c r="Y9" s="31">
        <v>1</v>
      </c>
      <c r="Z9" s="31">
        <v>55</v>
      </c>
      <c r="AA9" s="31"/>
      <c r="AB9" s="31"/>
      <c r="AC9" s="31"/>
      <c r="AD9" s="34">
        <f>IF(COUNT(S9:AC9)=0,0,SUMPRODUCT({5000,1000,500,100,75,50,20,10,5,2,1}, S9:AC9))</f>
        <v>3170</v>
      </c>
      <c r="AE9" s="33">
        <v>177155</v>
      </c>
      <c r="AF9" s="24">
        <f>IF(AND(COUNT(C9:E9)=0,COUNT(G9:I9)=0,COUNT(K9:M9)=0,COUNT(O9:Q9)=0,COUNT(S9:AC9)=0,AE9=""),"",(IF(COUNT(C9:E9)=0,0,SUMPRODUCT({5000,1000,500},C9:E9))+IF(COUNT(G9:I9)=0,0,SUMPRODUCT({5000,1000,500},G9:I9))+IF(COUNT(K9:M9)=0,0,SUMPRODUCT({5000,1000,500},K9:M9))+IF(COUNT(O9:Q9)=0,0,SUMPRODUCT({5000,1000,500},O9:Q9))+AD9)-N(AE9))</f>
        <v>15</v>
      </c>
      <c r="AG9" s="35" t="str">
        <f t="shared" si="0"/>
        <v>Excess</v>
      </c>
      <c r="AH9" s="38"/>
      <c r="AI9" s="36">
        <f>3617+366537+7514</f>
        <v>377668</v>
      </c>
      <c r="AJ9" s="37">
        <f>3617+281845+84691+7514+1</f>
        <v>377668</v>
      </c>
      <c r="AK9" s="26">
        <f t="shared" si="1"/>
        <v>0</v>
      </c>
      <c r="AL9" s="25" t="str">
        <f t="shared" si="2"/>
        <v>Matched</v>
      </c>
      <c r="AM9" s="38"/>
    </row>
    <row r="10" spans="1:39" ht="12.75" customHeight="1" x14ac:dyDescent="0.25">
      <c r="A10" s="31">
        <v>63854</v>
      </c>
      <c r="B10" s="32" t="str">
        <f>IF(A10="","",VLOOKUP(A10,'Employee Database'!A:B,2,FALSE))</f>
        <v>Maham</v>
      </c>
      <c r="C10" s="31">
        <v>62</v>
      </c>
      <c r="D10" s="31">
        <v>134</v>
      </c>
      <c r="E10" s="31">
        <v>4</v>
      </c>
      <c r="F10" s="39">
        <f>IF(COUNT(C10:E10)=0,0,SUMPRODUCT({5000,1000,500},C10:E10))</f>
        <v>446000</v>
      </c>
      <c r="G10" s="31"/>
      <c r="H10" s="31"/>
      <c r="I10" s="31"/>
      <c r="J10" s="39">
        <f>IF(COUNT(G10:I10)=0,0,SUMPRODUCT({5000,1000,500},G10:I10))</f>
        <v>0</v>
      </c>
      <c r="K10" s="31"/>
      <c r="L10" s="31"/>
      <c r="M10" s="31"/>
      <c r="N10" s="39">
        <f>IF(COUNT(K10:M10)=0,0,SUMPRODUCT({5000,1000,500},K10:M10))</f>
        <v>0</v>
      </c>
      <c r="O10" s="31"/>
      <c r="P10" s="31"/>
      <c r="Q10" s="31"/>
      <c r="R10" s="39">
        <f>IF(COUNT(O10:Q10)=0,0,SUMPRODUCT({5000,1000,500},O10:Q10))</f>
        <v>0</v>
      </c>
      <c r="S10" s="31"/>
      <c r="T10" s="31"/>
      <c r="U10" s="31"/>
      <c r="V10" s="31"/>
      <c r="W10" s="31"/>
      <c r="X10" s="31">
        <v>5</v>
      </c>
      <c r="Y10" s="31"/>
      <c r="Z10" s="31">
        <v>7</v>
      </c>
      <c r="AA10" s="31"/>
      <c r="AB10" s="31"/>
      <c r="AC10" s="31"/>
      <c r="AD10" s="34">
        <f>IF(COUNT(S10:AC10)=0,0,SUMPRODUCT({5000,1000,500,100,75,50,20,10,5,2,1}, S10:AC10))</f>
        <v>320</v>
      </c>
      <c r="AE10" s="33">
        <v>446292</v>
      </c>
      <c r="AF10" s="24">
        <f>IF(AND(COUNT(C10:E10)=0,COUNT(G10:I10)=0,COUNT(K10:M10)=0,COUNT(O10:Q10)=0,COUNT(S10:AC10)=0,AE10=""),"",(IF(COUNT(C10:E10)=0,0,SUMPRODUCT({5000,1000,500},C10:E10))+IF(COUNT(G10:I10)=0,0,SUMPRODUCT({5000,1000,500},G10:I10))+IF(COUNT(K10:M10)=0,0,SUMPRODUCT({5000,1000,500},K10:M10))+IF(COUNT(O10:Q10)=0,0,SUMPRODUCT({5000,1000,500},O10:Q10))+AD10)-N(AE10))</f>
        <v>28</v>
      </c>
      <c r="AG10" s="35" t="str">
        <f t="shared" si="0"/>
        <v>Excess</v>
      </c>
      <c r="AH10" s="38"/>
      <c r="AI10" s="36">
        <v>1007707</v>
      </c>
      <c r="AJ10" s="37">
        <f>405421+602285+1</f>
        <v>1007707</v>
      </c>
      <c r="AK10" s="26">
        <f t="shared" si="1"/>
        <v>0</v>
      </c>
      <c r="AL10" s="25" t="str">
        <f t="shared" si="2"/>
        <v>Matched</v>
      </c>
      <c r="AM10" s="38"/>
    </row>
    <row r="11" spans="1:39" ht="12.75" customHeight="1" x14ac:dyDescent="0.25">
      <c r="A11" s="31">
        <v>57653</v>
      </c>
      <c r="B11" s="32" t="str">
        <f>IF(A11="","",VLOOKUP(A11,'Employee Database'!A:B,2,FALSE))</f>
        <v>Amanat ali</v>
      </c>
      <c r="C11" s="31">
        <v>50</v>
      </c>
      <c r="D11" s="31">
        <v>213</v>
      </c>
      <c r="E11" s="31">
        <v>20</v>
      </c>
      <c r="F11" s="39">
        <f>IF(COUNT(C11:E11)=0,0,SUMPRODUCT({5000,1000,500},C11:E11))</f>
        <v>473000</v>
      </c>
      <c r="G11" s="31"/>
      <c r="H11" s="31"/>
      <c r="I11" s="31"/>
      <c r="J11" s="39">
        <f>IF(COUNT(G11:I11)=0,0,SUMPRODUCT({5000,1000,500},G11:I11))</f>
        <v>0</v>
      </c>
      <c r="K11" s="31"/>
      <c r="L11" s="31"/>
      <c r="M11" s="31"/>
      <c r="N11" s="39">
        <f>IF(COUNT(K11:M11)=0,0,SUMPRODUCT({5000,1000,500},K11:M11))</f>
        <v>0</v>
      </c>
      <c r="O11" s="31"/>
      <c r="P11" s="31"/>
      <c r="Q11" s="31"/>
      <c r="R11" s="39">
        <f>IF(COUNT(O11:Q11)=0,0,SUMPRODUCT({5000,1000,500},O11:Q11))</f>
        <v>0</v>
      </c>
      <c r="S11" s="31"/>
      <c r="T11" s="31"/>
      <c r="U11" s="31"/>
      <c r="V11" s="31">
        <v>2</v>
      </c>
      <c r="W11" s="31"/>
      <c r="X11" s="31">
        <v>6</v>
      </c>
      <c r="Y11" s="31"/>
      <c r="Z11" s="31">
        <v>30</v>
      </c>
      <c r="AA11" s="31"/>
      <c r="AB11" s="31"/>
      <c r="AC11" s="31"/>
      <c r="AD11" s="34">
        <f>IF(COUNT(S11:AC11)=0,0,SUMPRODUCT({5000,1000,500,100,75,50,20,10,5,2,1}, S11:AC11))</f>
        <v>800</v>
      </c>
      <c r="AE11" s="33">
        <v>473778</v>
      </c>
      <c r="AF11" s="24">
        <f>IF(AND(COUNT(C11:E11)=0,COUNT(G11:I11)=0,COUNT(K11:M11)=0,COUNT(O11:Q11)=0,COUNT(S11:AC11)=0,AE11=""),"",(IF(COUNT(C11:E11)=0,0,SUMPRODUCT({5000,1000,500},C11:E11))+IF(COUNT(G11:I11)=0,0,SUMPRODUCT({5000,1000,500},G11:I11))+IF(COUNT(K11:M11)=0,0,SUMPRODUCT({5000,1000,500},K11:M11))+IF(COUNT(O11:Q11)=0,0,SUMPRODUCT({5000,1000,500},O11:Q11))+AD11)-N(AE11))</f>
        <v>22</v>
      </c>
      <c r="AG11" s="35" t="str">
        <f t="shared" si="0"/>
        <v>Excess</v>
      </c>
      <c r="AH11" s="38"/>
      <c r="AI11" s="36">
        <v>976734</v>
      </c>
      <c r="AJ11" s="37">
        <f>538848+437886</f>
        <v>976734</v>
      </c>
      <c r="AK11" s="26">
        <f t="shared" si="1"/>
        <v>0</v>
      </c>
      <c r="AL11" s="25" t="str">
        <f t="shared" si="2"/>
        <v>Matched</v>
      </c>
      <c r="AM11" s="38"/>
    </row>
    <row r="12" spans="1:39" ht="12.75" customHeight="1" x14ac:dyDescent="0.25">
      <c r="A12" s="31">
        <v>69210</v>
      </c>
      <c r="B12" s="32" t="str">
        <f>IF(A12="","",VLOOKUP(A12,'Employee Database'!A:B,2,FALSE))</f>
        <v>Taha Ashraf</v>
      </c>
      <c r="C12" s="31">
        <v>6</v>
      </c>
      <c r="D12" s="31">
        <v>35</v>
      </c>
      <c r="E12" s="31">
        <v>6</v>
      </c>
      <c r="F12" s="39">
        <f>IF(COUNT(C12:E12)=0,0,SUMPRODUCT({5000,1000,500},C12:E12))</f>
        <v>68000</v>
      </c>
      <c r="G12" s="31"/>
      <c r="H12" s="31"/>
      <c r="I12" s="31"/>
      <c r="J12" s="39">
        <f>IF(COUNT(G12:I12)=0,0,SUMPRODUCT({5000,1000,500},G12:I12))</f>
        <v>0</v>
      </c>
      <c r="K12" s="31"/>
      <c r="L12" s="31"/>
      <c r="M12" s="31"/>
      <c r="N12" s="39">
        <f>IF(COUNT(K12:M12)=0,0,SUMPRODUCT({5000,1000,500},K12:M12))</f>
        <v>0</v>
      </c>
      <c r="O12" s="31"/>
      <c r="P12" s="31"/>
      <c r="Q12" s="31"/>
      <c r="R12" s="39">
        <f>IF(COUNT(O12:Q12)=0,0,SUMPRODUCT({5000,1000,500},O12:Q12))</f>
        <v>0</v>
      </c>
      <c r="S12" s="31"/>
      <c r="T12" s="31"/>
      <c r="U12" s="31"/>
      <c r="V12" s="31"/>
      <c r="W12" s="31"/>
      <c r="X12" s="31">
        <v>52</v>
      </c>
      <c r="Y12" s="31"/>
      <c r="Z12" s="31">
        <v>77</v>
      </c>
      <c r="AA12" s="31"/>
      <c r="AB12" s="31"/>
      <c r="AC12" s="31"/>
      <c r="AD12" s="34">
        <f>IF(COUNT(S12:AC12)=0,0,SUMPRODUCT({5000,1000,500,100,75,50,20,10,5,2,1}, S12:AC12))</f>
        <v>3370</v>
      </c>
      <c r="AE12" s="33">
        <v>71372</v>
      </c>
      <c r="AF12" s="24">
        <f>IF(AND(COUNT(C12:E12)=0,COUNT(G12:I12)=0,COUNT(K12:M12)=0,COUNT(O12:Q12)=0,COUNT(S12:AC12)=0,AE12=""),"",(IF(COUNT(C12:E12)=0,0,SUMPRODUCT({5000,1000,500},C12:E12))+IF(COUNT(G12:I12)=0,0,SUMPRODUCT({5000,1000,500},G12:I12))+IF(COUNT(K12:M12)=0,0,SUMPRODUCT({5000,1000,500},K12:M12))+IF(COUNT(O12:Q12)=0,0,SUMPRODUCT({5000,1000,500},O12:Q12))+AD12)-N(AE12))</f>
        <v>-2</v>
      </c>
      <c r="AG12" s="35" t="str">
        <f t="shared" si="0"/>
        <v>Short</v>
      </c>
      <c r="AH12" s="38"/>
      <c r="AI12" s="36">
        <v>125195</v>
      </c>
      <c r="AJ12" s="37">
        <f>32911+92283+1</f>
        <v>125195</v>
      </c>
      <c r="AK12" s="26">
        <f t="shared" si="1"/>
        <v>0</v>
      </c>
      <c r="AL12" s="25" t="str">
        <f t="shared" si="2"/>
        <v>Matched</v>
      </c>
      <c r="AM12" s="38"/>
    </row>
    <row r="13" spans="1:39" ht="12.75" customHeight="1" x14ac:dyDescent="0.25">
      <c r="A13" s="31">
        <v>67249</v>
      </c>
      <c r="B13" s="32" t="str">
        <f>IF(A13="","",VLOOKUP(A13,'Employee Database'!A:B,2,FALSE))</f>
        <v>Hanan Javaid</v>
      </c>
      <c r="C13" s="31">
        <v>24</v>
      </c>
      <c r="D13" s="31">
        <v>30</v>
      </c>
      <c r="E13" s="31">
        <v>13</v>
      </c>
      <c r="F13" s="39">
        <f>IF(COUNT(C13:E13)=0,0,SUMPRODUCT({5000,1000,500},C13:E13))</f>
        <v>156500</v>
      </c>
      <c r="G13" s="31"/>
      <c r="H13" s="31"/>
      <c r="I13" s="31"/>
      <c r="J13" s="39">
        <f>IF(COUNT(G13:I13)=0,0,SUMPRODUCT({5000,1000,500},G13:I13))</f>
        <v>0</v>
      </c>
      <c r="K13" s="31"/>
      <c r="L13" s="31"/>
      <c r="M13" s="31"/>
      <c r="N13" s="39">
        <f>IF(COUNT(K13:M13)=0,0,SUMPRODUCT({5000,1000,500},K13:M13))</f>
        <v>0</v>
      </c>
      <c r="O13" s="31"/>
      <c r="P13" s="31"/>
      <c r="Q13" s="31"/>
      <c r="R13" s="39">
        <f>IF(COUNT(O13:Q13)=0,0,SUMPRODUCT({5000,1000,500},O13:Q13))</f>
        <v>0</v>
      </c>
      <c r="S13" s="31"/>
      <c r="T13" s="31"/>
      <c r="U13" s="31"/>
      <c r="V13" s="31"/>
      <c r="W13" s="31"/>
      <c r="X13" s="31">
        <v>28</v>
      </c>
      <c r="Y13" s="31"/>
      <c r="Z13" s="31">
        <v>15</v>
      </c>
      <c r="AA13" s="31"/>
      <c r="AB13" s="31"/>
      <c r="AC13" s="31"/>
      <c r="AD13" s="34">
        <f>IF(COUNT(S13:AC13)=0,0,SUMPRODUCT({5000,1000,500,100,75,50,20,10,5,2,1}, S13:AC13))</f>
        <v>1550</v>
      </c>
      <c r="AE13" s="33">
        <v>158056</v>
      </c>
      <c r="AF13" s="24">
        <f>IF(AND(COUNT(C13:E13)=0,COUNT(G13:I13)=0,COUNT(K13:M13)=0,COUNT(O13:Q13)=0,COUNT(S13:AC13)=0,AE13=""),"",(IF(COUNT(C13:E13)=0,0,SUMPRODUCT({5000,1000,500},C13:E13))+IF(COUNT(G13:I13)=0,0,SUMPRODUCT({5000,1000,500},G13:I13))+IF(COUNT(K13:M13)=0,0,SUMPRODUCT({5000,1000,500},K13:M13))+IF(COUNT(O13:Q13)=0,0,SUMPRODUCT({5000,1000,500},O13:Q13))+AD13)-N(AE13))</f>
        <v>-6</v>
      </c>
      <c r="AG13" s="35" t="str">
        <f t="shared" si="0"/>
        <v>Short</v>
      </c>
      <c r="AH13" s="38"/>
      <c r="AI13" s="36">
        <v>606792</v>
      </c>
      <c r="AJ13" s="37">
        <v>606792</v>
      </c>
      <c r="AK13" s="26">
        <f t="shared" si="1"/>
        <v>0</v>
      </c>
      <c r="AL13" s="25" t="str">
        <f t="shared" si="2"/>
        <v>Matched</v>
      </c>
      <c r="AM13" s="38"/>
    </row>
    <row r="14" spans="1:39" ht="12.75" customHeight="1" x14ac:dyDescent="0.25">
      <c r="A14" s="31">
        <v>68107</v>
      </c>
      <c r="B14" s="32" t="str">
        <f>IF(A14="","",VLOOKUP(A14,'Employee Database'!A:B,2,FALSE))</f>
        <v>M Harris</v>
      </c>
      <c r="C14" s="31">
        <v>24</v>
      </c>
      <c r="D14" s="31">
        <v>91</v>
      </c>
      <c r="E14" s="31">
        <v>6</v>
      </c>
      <c r="F14" s="39">
        <f>IF(COUNT(C14:E14)=0,0,SUMPRODUCT({5000,1000,500},C14:E14))</f>
        <v>214000</v>
      </c>
      <c r="G14" s="31"/>
      <c r="H14" s="31"/>
      <c r="I14" s="31"/>
      <c r="J14" s="39">
        <f>IF(COUNT(G14:I14)=0,0,SUMPRODUCT({5000,1000,500},G14:I14))</f>
        <v>0</v>
      </c>
      <c r="K14" s="31"/>
      <c r="L14" s="31"/>
      <c r="M14" s="31"/>
      <c r="N14" s="39">
        <f>IF(COUNT(K14:M14)=0,0,SUMPRODUCT({5000,1000,500},K14:M14))</f>
        <v>0</v>
      </c>
      <c r="O14" s="31"/>
      <c r="P14" s="31"/>
      <c r="Q14" s="31"/>
      <c r="R14" s="39">
        <f>IF(COUNT(O14:Q14)=0,0,SUMPRODUCT({5000,1000,500},O14:Q14))</f>
        <v>0</v>
      </c>
      <c r="S14" s="31"/>
      <c r="T14" s="31"/>
      <c r="U14" s="31"/>
      <c r="V14" s="31"/>
      <c r="W14" s="31"/>
      <c r="X14" s="31">
        <v>1</v>
      </c>
      <c r="Y14" s="31"/>
      <c r="Z14" s="31">
        <v>3</v>
      </c>
      <c r="AA14" s="31"/>
      <c r="AB14" s="31"/>
      <c r="AC14" s="31"/>
      <c r="AD14" s="34">
        <f>IF(COUNT(S14:AC14)=0,0,SUMPRODUCT({5000,1000,500,100,75,50,20,10,5,2,1}, S14:AC14))</f>
        <v>80</v>
      </c>
      <c r="AE14" s="33">
        <v>214054</v>
      </c>
      <c r="AF14" s="24">
        <f>IF(AND(COUNT(C14:E14)=0,COUNT(G14:I14)=0,COUNT(K14:M14)=0,COUNT(O14:Q14)=0,COUNT(S14:AC14)=0,AE14=""),"",(IF(COUNT(C14:E14)=0,0,SUMPRODUCT({5000,1000,500},C14:E14))+IF(COUNT(G14:I14)=0,0,SUMPRODUCT({5000,1000,500},G14:I14))+IF(COUNT(K14:M14)=0,0,SUMPRODUCT({5000,1000,500},K14:M14))+IF(COUNT(O14:Q14)=0,0,SUMPRODUCT({5000,1000,500},O14:Q14))+AD14)-N(AE14))</f>
        <v>26</v>
      </c>
      <c r="AG14" s="35" t="str">
        <f t="shared" si="0"/>
        <v>Excess</v>
      </c>
      <c r="AH14" s="38"/>
      <c r="AI14" s="36">
        <v>806933</v>
      </c>
      <c r="AJ14" s="37">
        <f>154113+652819+1</f>
        <v>806933</v>
      </c>
      <c r="AK14" s="26">
        <f t="shared" si="1"/>
        <v>0</v>
      </c>
      <c r="AL14" s="25" t="str">
        <f t="shared" si="2"/>
        <v>Matched</v>
      </c>
      <c r="AM14" s="38"/>
    </row>
    <row r="15" spans="1:39" ht="12.75" customHeight="1" x14ac:dyDescent="0.25">
      <c r="A15" s="31">
        <v>59257</v>
      </c>
      <c r="B15" s="32" t="str">
        <f>IF(A15="","",VLOOKUP(A15,'Employee Database'!A:B,2,FALSE))</f>
        <v>Saddiqa Maryam</v>
      </c>
      <c r="C15" s="31">
        <v>6</v>
      </c>
      <c r="D15" s="31">
        <v>30</v>
      </c>
      <c r="E15" s="31">
        <v>10</v>
      </c>
      <c r="F15" s="39">
        <f>IF(COUNT(C15:E15)=0,0,SUMPRODUCT({5000,1000,500},C15:E15))</f>
        <v>65000</v>
      </c>
      <c r="G15" s="31"/>
      <c r="H15" s="31"/>
      <c r="I15" s="31"/>
      <c r="J15" s="39">
        <f>IF(COUNT(G15:I15)=0,0,SUMPRODUCT({5000,1000,500},G15:I15))</f>
        <v>0</v>
      </c>
      <c r="K15" s="31"/>
      <c r="L15" s="31"/>
      <c r="M15" s="31"/>
      <c r="N15" s="39">
        <f>IF(COUNT(K15:M15)=0,0,SUMPRODUCT({5000,1000,500},K15:M15))</f>
        <v>0</v>
      </c>
      <c r="O15" s="31"/>
      <c r="P15" s="31"/>
      <c r="Q15" s="31"/>
      <c r="R15" s="39">
        <f>IF(COUNT(O15:Q15)=0,0,SUMPRODUCT({5000,1000,500},O15:Q15))</f>
        <v>0</v>
      </c>
      <c r="S15" s="31"/>
      <c r="T15" s="31"/>
      <c r="U15" s="31"/>
      <c r="V15" s="31">
        <v>1</v>
      </c>
      <c r="W15" s="31"/>
      <c r="X15" s="31">
        <v>6</v>
      </c>
      <c r="Y15" s="31"/>
      <c r="Z15" s="31">
        <v>48</v>
      </c>
      <c r="AA15" s="31"/>
      <c r="AB15" s="31"/>
      <c r="AC15" s="31"/>
      <c r="AD15" s="34">
        <f>IF(COUNT(S15:AC15)=0,0,SUMPRODUCT({5000,1000,500,100,75,50,20,10,5,2,1}, S15:AC15))</f>
        <v>880</v>
      </c>
      <c r="AE15" s="33">
        <v>65994</v>
      </c>
      <c r="AF15" s="24">
        <f>IF(AND(COUNT(C15:E15)=0,COUNT(G15:I15)=0,COUNT(K15:M15)=0,COUNT(O15:Q15)=0,COUNT(S15:AC15)=0,AE15=""),"",(IF(COUNT(C15:E15)=0,0,SUMPRODUCT({5000,1000,500},C15:E15))+IF(COUNT(G15:I15)=0,0,SUMPRODUCT({5000,1000,500},G15:I15))+IF(COUNT(K15:M15)=0,0,SUMPRODUCT({5000,1000,500},K15:M15))+IF(COUNT(O15:Q15)=0,0,SUMPRODUCT({5000,1000,500},O15:Q15))+AD15)-N(AE15))</f>
        <v>-114</v>
      </c>
      <c r="AG15" s="35" t="str">
        <f t="shared" si="0"/>
        <v>Short</v>
      </c>
      <c r="AH15" s="38"/>
      <c r="AI15" s="36">
        <v>48655</v>
      </c>
      <c r="AJ15" s="37">
        <f>32912+15743</f>
        <v>48655</v>
      </c>
      <c r="AK15" s="26">
        <f t="shared" si="1"/>
        <v>0</v>
      </c>
      <c r="AL15" s="25" t="str">
        <f t="shared" si="2"/>
        <v>Matched</v>
      </c>
      <c r="AM15" s="38"/>
    </row>
    <row r="16" spans="1:39" ht="12.75" customHeight="1" x14ac:dyDescent="0.25">
      <c r="A16" s="31">
        <v>56189</v>
      </c>
      <c r="B16" s="32" t="str">
        <f>IF(A16="","",VLOOKUP(A16,'Employee Database'!A:B,2,FALSE))</f>
        <v>Iffat Sultan</v>
      </c>
      <c r="C16" s="31">
        <v>27</v>
      </c>
      <c r="D16" s="31">
        <v>208</v>
      </c>
      <c r="E16" s="31">
        <v>32</v>
      </c>
      <c r="F16" s="39">
        <f>IF(COUNT(C16:E16)=0,0,SUMPRODUCT({5000,1000,500},C16:E16))</f>
        <v>359000</v>
      </c>
      <c r="G16" s="31"/>
      <c r="H16" s="31"/>
      <c r="I16" s="31"/>
      <c r="J16" s="39">
        <f>IF(COUNT(G16:I16)=0,0,SUMPRODUCT({5000,1000,500},G16:I16))</f>
        <v>0</v>
      </c>
      <c r="K16" s="31"/>
      <c r="L16" s="31"/>
      <c r="M16" s="31"/>
      <c r="N16" s="39">
        <f>IF(COUNT(K16:M16)=0,0,SUMPRODUCT({5000,1000,500},K16:M16))</f>
        <v>0</v>
      </c>
      <c r="O16" s="31"/>
      <c r="P16" s="31"/>
      <c r="Q16" s="31"/>
      <c r="R16" s="39">
        <f>IF(COUNT(O16:Q16)=0,0,SUMPRODUCT({5000,1000,500},O16:Q16))</f>
        <v>0</v>
      </c>
      <c r="S16" s="31"/>
      <c r="T16" s="31"/>
      <c r="U16" s="31"/>
      <c r="V16" s="31"/>
      <c r="W16" s="31"/>
      <c r="X16" s="31">
        <v>5</v>
      </c>
      <c r="Y16" s="31">
        <v>1</v>
      </c>
      <c r="Z16" s="31">
        <v>22</v>
      </c>
      <c r="AA16" s="31"/>
      <c r="AB16" s="31"/>
      <c r="AC16" s="31"/>
      <c r="AD16" s="34">
        <f>IF(COUNT(S16:AC16)=0,0,SUMPRODUCT({5000,1000,500,100,75,50,20,10,5,2,1}, S16:AC16))</f>
        <v>490</v>
      </c>
      <c r="AE16" s="33">
        <v>359534</v>
      </c>
      <c r="AF16" s="24">
        <f>IF(AND(COUNT(C16:E16)=0,COUNT(G16:I16)=0,COUNT(K16:M16)=0,COUNT(O16:Q16)=0,COUNT(S16:AC16)=0,AE16=""),"",(IF(COUNT(C16:E16)=0,0,SUMPRODUCT({5000,1000,500},C16:E16))+IF(COUNT(G16:I16)=0,0,SUMPRODUCT({5000,1000,500},G16:I16))+IF(COUNT(K16:M16)=0,0,SUMPRODUCT({5000,1000,500},K16:M16))+IF(COUNT(O16:Q16)=0,0,SUMPRODUCT({5000,1000,500},O16:Q16))+AD16)-N(AE16))</f>
        <v>-44</v>
      </c>
      <c r="AG16" s="35" t="str">
        <f t="shared" si="0"/>
        <v>Short</v>
      </c>
      <c r="AH16" s="38"/>
      <c r="AI16" s="36">
        <f>344671+9197</f>
        <v>353868</v>
      </c>
      <c r="AJ16" s="37">
        <f>9197+104163+240507+1</f>
        <v>353868</v>
      </c>
      <c r="AK16" s="26">
        <f t="shared" si="1"/>
        <v>0</v>
      </c>
      <c r="AL16" s="25" t="str">
        <f t="shared" si="2"/>
        <v>Matched</v>
      </c>
      <c r="AM16" s="38"/>
    </row>
    <row r="17" spans="1:39" ht="12.75" customHeight="1" x14ac:dyDescent="0.25">
      <c r="A17" s="31">
        <v>76411</v>
      </c>
      <c r="B17" s="32" t="str">
        <f>IF(A17="","",VLOOKUP(A17,'Employee Database'!A:B,2,FALSE))</f>
        <v>Zubair</v>
      </c>
      <c r="C17" s="31">
        <v>33</v>
      </c>
      <c r="D17" s="31">
        <v>94</v>
      </c>
      <c r="E17" s="31">
        <v>11</v>
      </c>
      <c r="F17" s="39">
        <f>IF(COUNT(C17:E17)=0,0,SUMPRODUCT({5000,1000,500},C17:E17))</f>
        <v>264500</v>
      </c>
      <c r="G17" s="31"/>
      <c r="H17" s="31"/>
      <c r="I17" s="31"/>
      <c r="J17" s="39">
        <f>IF(COUNT(G17:I17)=0,0,SUMPRODUCT({5000,1000,500},G17:I17))</f>
        <v>0</v>
      </c>
      <c r="K17" s="31"/>
      <c r="L17" s="31"/>
      <c r="M17" s="31"/>
      <c r="N17" s="39">
        <f>IF(COUNT(K17:M17)=0,0,SUMPRODUCT({5000,1000,500},K17:M17))</f>
        <v>0</v>
      </c>
      <c r="O17" s="31"/>
      <c r="P17" s="31"/>
      <c r="Q17" s="31"/>
      <c r="R17" s="39">
        <f>IF(COUNT(O17:Q17)=0,0,SUMPRODUCT({5000,1000,500},O17:Q17))</f>
        <v>0</v>
      </c>
      <c r="S17" s="31"/>
      <c r="T17" s="31"/>
      <c r="U17" s="31"/>
      <c r="V17" s="31">
        <v>1</v>
      </c>
      <c r="W17" s="31"/>
      <c r="X17" s="31">
        <v>3</v>
      </c>
      <c r="Y17" s="31"/>
      <c r="Z17" s="31">
        <v>56</v>
      </c>
      <c r="AA17" s="31"/>
      <c r="AB17" s="31"/>
      <c r="AC17" s="31"/>
      <c r="AD17" s="34">
        <f>IF(COUNT(S17:AC17)=0,0,SUMPRODUCT({5000,1000,500,100,75,50,20,10,5,2,1}, S17:AC17))</f>
        <v>810</v>
      </c>
      <c r="AE17" s="33">
        <v>265317</v>
      </c>
      <c r="AF17" s="24">
        <f>IF(AND(COUNT(C17:E17)=0,COUNT(G17:I17)=0,COUNT(K17:M17)=0,COUNT(O17:Q17)=0,COUNT(S17:AC17)=0,AE17=""),"",(IF(COUNT(C17:E17)=0,0,SUMPRODUCT({5000,1000,500},C17:E17))+IF(COUNT(G17:I17)=0,0,SUMPRODUCT({5000,1000,500},G17:I17))+IF(COUNT(K17:M17)=0,0,SUMPRODUCT({5000,1000,500},K17:M17))+IF(COUNT(O17:Q17)=0,0,SUMPRODUCT({5000,1000,500},O17:Q17))+AD17)-N(AE17))</f>
        <v>-7</v>
      </c>
      <c r="AG17" s="35" t="str">
        <f t="shared" si="0"/>
        <v>Short</v>
      </c>
      <c r="AH17" s="38"/>
      <c r="AI17" s="36">
        <v>454974</v>
      </c>
      <c r="AJ17" s="37">
        <f>223953+231021</f>
        <v>454974</v>
      </c>
      <c r="AK17" s="26">
        <f t="shared" si="1"/>
        <v>0</v>
      </c>
      <c r="AL17" s="25" t="str">
        <f t="shared" si="2"/>
        <v>Matched</v>
      </c>
      <c r="AM17" s="38"/>
    </row>
    <row r="18" spans="1:39" ht="12.75" customHeight="1" x14ac:dyDescent="0.25">
      <c r="A18" s="31">
        <v>69213</v>
      </c>
      <c r="B18" s="32" t="str">
        <f>IF(A18="","",VLOOKUP(A18,'Employee Database'!A:B,2,FALSE))</f>
        <v>Muhammad Shahbaz</v>
      </c>
      <c r="C18" s="31"/>
      <c r="D18" s="31"/>
      <c r="E18" s="31"/>
      <c r="F18" s="39">
        <f>IF(COUNT(C18:E18)=0,0,SUMPRODUCT({5000,1000,500},C18:E18))</f>
        <v>0</v>
      </c>
      <c r="G18" s="31">
        <v>2</v>
      </c>
      <c r="H18" s="31">
        <v>13</v>
      </c>
      <c r="I18" s="31">
        <v>0</v>
      </c>
      <c r="J18" s="39">
        <f>IF(COUNT(G18:I18)=0,0,SUMPRODUCT({5000,1000,500},G18:I18))</f>
        <v>23000</v>
      </c>
      <c r="K18" s="31"/>
      <c r="L18" s="31"/>
      <c r="M18" s="31"/>
      <c r="N18" s="39">
        <f>IF(COUNT(K18:M18)=0,0,SUMPRODUCT({5000,1000,500},K18:M18))</f>
        <v>0</v>
      </c>
      <c r="O18" s="31"/>
      <c r="P18" s="31"/>
      <c r="Q18" s="31"/>
      <c r="R18" s="39">
        <f>IF(COUNT(O18:Q18)=0,0,SUMPRODUCT({5000,1000,500},O18:Q18))</f>
        <v>0</v>
      </c>
      <c r="S18" s="31"/>
      <c r="T18" s="31"/>
      <c r="U18" s="31"/>
      <c r="V18" s="31">
        <v>5</v>
      </c>
      <c r="W18" s="31"/>
      <c r="X18" s="31">
        <v>38</v>
      </c>
      <c r="Y18" s="31"/>
      <c r="Z18" s="31">
        <v>83</v>
      </c>
      <c r="AA18" s="31"/>
      <c r="AB18" s="31"/>
      <c r="AC18" s="31"/>
      <c r="AD18" s="34">
        <f>IF(COUNT(S18:AC18)=0,0,SUMPRODUCT({5000,1000,500,100,75,50,20,10,5,2,1}, S18:AC18))</f>
        <v>3230</v>
      </c>
      <c r="AE18" s="33">
        <v>26200</v>
      </c>
      <c r="AF18" s="24">
        <f>IF(AND(COUNT(C18:E18)=0,COUNT(G18:I18)=0,COUNT(K18:M18)=0,COUNT(O18:Q18)=0,COUNT(S18:AC18)=0,AE18=""),"",(IF(COUNT(C18:E18)=0,0,SUMPRODUCT({5000,1000,500},C18:E18))+IF(COUNT(G18:I18)=0,0,SUMPRODUCT({5000,1000,500},G18:I18))+IF(COUNT(K18:M18)=0,0,SUMPRODUCT({5000,1000,500},K18:M18))+IF(COUNT(O18:Q18)=0,0,SUMPRODUCT({5000,1000,500},O18:Q18))+AD18)-N(AE18))</f>
        <v>30</v>
      </c>
      <c r="AG18" s="35" t="str">
        <f t="shared" si="0"/>
        <v>Excess</v>
      </c>
      <c r="AH18" s="38"/>
      <c r="AI18" s="36">
        <f>13167+45487.72</f>
        <v>58654.720000000001</v>
      </c>
      <c r="AJ18" s="37">
        <f>45487.72+13167</f>
        <v>58654.720000000001</v>
      </c>
      <c r="AK18" s="26">
        <f t="shared" si="1"/>
        <v>0</v>
      </c>
      <c r="AL18" s="25" t="str">
        <f t="shared" si="2"/>
        <v>Matched</v>
      </c>
      <c r="AM18" s="38"/>
    </row>
    <row r="19" spans="1:39" ht="12.75" customHeight="1" x14ac:dyDescent="0.25">
      <c r="A19" s="31">
        <v>61648</v>
      </c>
      <c r="B19" s="32" t="str">
        <f>IF(A19="","",VLOOKUP(A19,'Employee Database'!A:B,2,FALSE))</f>
        <v>Rizwan</v>
      </c>
      <c r="C19" s="31"/>
      <c r="D19" s="31"/>
      <c r="E19" s="31"/>
      <c r="F19" s="39">
        <f>IF(COUNT(C19:E19)=0,0,SUMPRODUCT({5000,1000,500},C19:E19))</f>
        <v>0</v>
      </c>
      <c r="G19" s="31">
        <v>6</v>
      </c>
      <c r="H19" s="31">
        <v>10</v>
      </c>
      <c r="I19" s="31">
        <v>15</v>
      </c>
      <c r="J19" s="39">
        <f>IF(COUNT(G19:I19)=0,0,SUMPRODUCT({5000,1000,500},G19:I19))</f>
        <v>47500</v>
      </c>
      <c r="K19" s="31"/>
      <c r="L19" s="31"/>
      <c r="M19" s="31"/>
      <c r="N19" s="39">
        <f>IF(COUNT(K19:M19)=0,0,SUMPRODUCT({5000,1000,500},K19:M19))</f>
        <v>0</v>
      </c>
      <c r="O19" s="31"/>
      <c r="P19" s="31"/>
      <c r="Q19" s="31"/>
      <c r="R19" s="39">
        <f>IF(COUNT(O19:Q19)=0,0,SUMPRODUCT({5000,1000,500},O19:Q19))</f>
        <v>0</v>
      </c>
      <c r="S19" s="31"/>
      <c r="T19" s="31"/>
      <c r="U19" s="31"/>
      <c r="V19" s="31">
        <v>2</v>
      </c>
      <c r="W19" s="31"/>
      <c r="X19" s="31">
        <v>38</v>
      </c>
      <c r="Y19" s="31"/>
      <c r="Z19" s="31">
        <v>88</v>
      </c>
      <c r="AA19" s="31"/>
      <c r="AB19" s="31"/>
      <c r="AC19" s="31"/>
      <c r="AD19" s="34">
        <f>IF(COUNT(S19:AC19)=0,0,SUMPRODUCT({5000,1000,500,100,75,50,20,10,5,2,1}, S19:AC19))</f>
        <v>2980</v>
      </c>
      <c r="AE19" s="33">
        <v>50517</v>
      </c>
      <c r="AF19" s="24">
        <f>IF(AND(COUNT(C19:E19)=0,COUNT(G19:I19)=0,COUNT(K19:M19)=0,COUNT(O19:Q19)=0,COUNT(S19:AC19)=0,AE19=""),"",(IF(COUNT(C19:E19)=0,0,SUMPRODUCT({5000,1000,500},C19:E19))+IF(COUNT(G19:I19)=0,0,SUMPRODUCT({5000,1000,500},G19:I19))+IF(COUNT(K19:M19)=0,0,SUMPRODUCT({5000,1000,500},K19:M19))+IF(COUNT(O19:Q19)=0,0,SUMPRODUCT({5000,1000,500},O19:Q19))+AD19)-N(AE19))</f>
        <v>-37</v>
      </c>
      <c r="AG19" s="35" t="str">
        <f t="shared" si="0"/>
        <v>Short</v>
      </c>
      <c r="AH19" s="38"/>
      <c r="AI19" s="36">
        <v>52527.34</v>
      </c>
      <c r="AJ19" s="37">
        <f>42172.43+10354.91</f>
        <v>52527.34</v>
      </c>
      <c r="AK19" s="26">
        <f t="shared" si="1"/>
        <v>0</v>
      </c>
      <c r="AL19" s="25" t="str">
        <f t="shared" si="2"/>
        <v>Matched</v>
      </c>
      <c r="AM19" s="38"/>
    </row>
    <row r="20" spans="1:39" ht="12.75" customHeight="1" x14ac:dyDescent="0.25">
      <c r="A20" s="31">
        <v>50313</v>
      </c>
      <c r="B20" s="32" t="str">
        <f>IF(A20="","",VLOOKUP(A20,'Employee Database'!A:B,2,FALSE))</f>
        <v>Waseem Raza</v>
      </c>
      <c r="C20" s="31"/>
      <c r="D20" s="31"/>
      <c r="E20" s="31"/>
      <c r="F20" s="39">
        <f>IF(COUNT(C20:E20)=0,0,SUMPRODUCT({5000,1000,500},C20:E20))</f>
        <v>0</v>
      </c>
      <c r="G20" s="31">
        <v>27</v>
      </c>
      <c r="H20" s="31">
        <v>0</v>
      </c>
      <c r="I20" s="31">
        <v>23</v>
      </c>
      <c r="J20" s="39">
        <f>IF(COUNT(G20:I20)=0,0,SUMPRODUCT({5000,1000,500},G20:I20))</f>
        <v>146500</v>
      </c>
      <c r="K20" s="31"/>
      <c r="L20" s="31"/>
      <c r="M20" s="31"/>
      <c r="N20" s="39">
        <f>IF(COUNT(K20:M20)=0,0,SUMPRODUCT({5000,1000,500},K20:M20))</f>
        <v>0</v>
      </c>
      <c r="O20" s="31"/>
      <c r="P20" s="31"/>
      <c r="Q20" s="31"/>
      <c r="R20" s="39">
        <f>IF(COUNT(O20:Q20)=0,0,SUMPRODUCT({5000,1000,500},O20:Q20))</f>
        <v>0</v>
      </c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4">
        <f>IF(COUNT(S20:AC20)=0,0,SUMPRODUCT({5000,1000,500,100,75,50,20,10,5,2,1}, S20:AC20))</f>
        <v>0</v>
      </c>
      <c r="AE20" s="33">
        <v>146471</v>
      </c>
      <c r="AF20" s="24">
        <f>IF(AND(COUNT(C20:E20)=0,COUNT(G20:I20)=0,COUNT(K20:M20)=0,COUNT(O20:Q20)=0,COUNT(S20:AC20)=0,AE20=""),"",(IF(COUNT(C20:E20)=0,0,SUMPRODUCT({5000,1000,500},C20:E20))+IF(COUNT(G20:I20)=0,0,SUMPRODUCT({5000,1000,500},G20:I20))+IF(COUNT(K20:M20)=0,0,SUMPRODUCT({5000,1000,500},K20:M20))+IF(COUNT(O20:Q20)=0,0,SUMPRODUCT({5000,1000,500},O20:Q20))+AD20)-N(AE20))</f>
        <v>29</v>
      </c>
      <c r="AG20" s="35" t="str">
        <f t="shared" si="0"/>
        <v>Excess</v>
      </c>
      <c r="AH20" s="38"/>
      <c r="AI20" s="36"/>
      <c r="AJ20" s="37"/>
      <c r="AK20" s="26" t="str">
        <f t="shared" si="1"/>
        <v/>
      </c>
      <c r="AL20" s="25" t="str">
        <f t="shared" si="2"/>
        <v/>
      </c>
      <c r="AM20" s="38"/>
    </row>
    <row r="21" spans="1:39" ht="12.75" customHeight="1" x14ac:dyDescent="0.25">
      <c r="A21" s="31">
        <v>63374</v>
      </c>
      <c r="B21" s="32" t="str">
        <f>IF(A21="","",VLOOKUP(A21,'Employee Database'!A:B,2,FALSE))</f>
        <v>Aftab Ali</v>
      </c>
      <c r="C21" s="31"/>
      <c r="D21" s="31"/>
      <c r="E21" s="31"/>
      <c r="F21" s="39">
        <f>IF(COUNT(C21:E21)=0,0,SUMPRODUCT({5000,1000,500},C21:E21))</f>
        <v>0</v>
      </c>
      <c r="G21" s="31">
        <v>46</v>
      </c>
      <c r="H21" s="31">
        <v>48</v>
      </c>
      <c r="I21" s="31">
        <v>8</v>
      </c>
      <c r="J21" s="39">
        <f>IF(COUNT(G21:I21)=0,0,SUMPRODUCT({5000,1000,500},G21:I21))</f>
        <v>282000</v>
      </c>
      <c r="K21" s="31"/>
      <c r="L21" s="31"/>
      <c r="M21" s="31"/>
      <c r="N21" s="39">
        <f>IF(COUNT(K21:M21)=0,0,SUMPRODUCT({5000,1000,500},K21:M21))</f>
        <v>0</v>
      </c>
      <c r="O21" s="31"/>
      <c r="P21" s="31"/>
      <c r="Q21" s="31"/>
      <c r="R21" s="39">
        <f>IF(COUNT(O21:Q21)=0,0,SUMPRODUCT({5000,1000,500},O21:Q21))</f>
        <v>0</v>
      </c>
      <c r="S21" s="31"/>
      <c r="T21" s="31"/>
      <c r="U21" s="31"/>
      <c r="V21" s="31"/>
      <c r="W21" s="31"/>
      <c r="X21" s="31">
        <v>19</v>
      </c>
      <c r="Y21" s="31">
        <v>1</v>
      </c>
      <c r="Z21" s="31">
        <v>58</v>
      </c>
      <c r="AA21" s="31"/>
      <c r="AB21" s="31"/>
      <c r="AC21" s="31"/>
      <c r="AD21" s="34">
        <f>IF(COUNT(S21:AC21)=0,0,SUMPRODUCT({5000,1000,500,100,75,50,20,10,5,2,1}, S21:AC21))</f>
        <v>1550</v>
      </c>
      <c r="AE21" s="33">
        <v>283532</v>
      </c>
      <c r="AF21" s="24">
        <f>IF(AND(COUNT(C21:E21)=0,COUNT(G21:I21)=0,COUNT(K21:M21)=0,COUNT(O21:Q21)=0,COUNT(S21:AC21)=0,AE21=""),"",(IF(COUNT(C21:E21)=0,0,SUMPRODUCT({5000,1000,500},C21:E21))+IF(COUNT(G21:I21)=0,0,SUMPRODUCT({5000,1000,500},G21:I21))+IF(COUNT(K21:M21)=0,0,SUMPRODUCT({5000,1000,500},K21:M21))+IF(COUNT(O21:Q21)=0,0,SUMPRODUCT({5000,1000,500},O21:Q21))+AD21)-N(AE21))</f>
        <v>18</v>
      </c>
      <c r="AG21" s="35" t="str">
        <f t="shared" si="0"/>
        <v>Excess</v>
      </c>
      <c r="AH21" s="38"/>
      <c r="AI21" s="36">
        <v>1141711.25</v>
      </c>
      <c r="AJ21" s="37">
        <f>402272.59+739438.66</f>
        <v>1141711.25</v>
      </c>
      <c r="AK21" s="26">
        <f t="shared" si="1"/>
        <v>0</v>
      </c>
      <c r="AL21" s="25" t="str">
        <f t="shared" si="2"/>
        <v>Matched</v>
      </c>
      <c r="AM21" s="38"/>
    </row>
    <row r="22" spans="1:39" ht="12.75" customHeight="1" x14ac:dyDescent="0.25">
      <c r="A22" s="31">
        <v>79593</v>
      </c>
      <c r="B22" s="32" t="str">
        <f>IF(A22="","",VLOOKUP(A22,'Employee Database'!A:B,2,FALSE))</f>
        <v>Amir</v>
      </c>
      <c r="C22" s="31"/>
      <c r="D22" s="31"/>
      <c r="E22" s="31"/>
      <c r="F22" s="39">
        <f>IF(COUNT(C22:E22)=0,0,SUMPRODUCT({5000,1000,500},C22:E22))</f>
        <v>0</v>
      </c>
      <c r="G22" s="31">
        <v>26</v>
      </c>
      <c r="H22" s="31">
        <v>158</v>
      </c>
      <c r="I22" s="31">
        <v>72</v>
      </c>
      <c r="J22" s="39">
        <f>IF(COUNT(G22:I22)=0,0,SUMPRODUCT({5000,1000,500},G22:I22))</f>
        <v>324000</v>
      </c>
      <c r="K22" s="31"/>
      <c r="L22" s="31"/>
      <c r="M22" s="31"/>
      <c r="N22" s="39">
        <f>IF(COUNT(K22:M22)=0,0,SUMPRODUCT({5000,1000,500},K22:M22))</f>
        <v>0</v>
      </c>
      <c r="O22" s="31"/>
      <c r="P22" s="31"/>
      <c r="Q22" s="31"/>
      <c r="R22" s="39">
        <f>IF(COUNT(O22:Q22)=0,0,SUMPRODUCT({5000,1000,500},O22:Q22))</f>
        <v>0</v>
      </c>
      <c r="S22" s="31"/>
      <c r="T22" s="31"/>
      <c r="U22" s="31"/>
      <c r="V22" s="31"/>
      <c r="W22" s="31"/>
      <c r="X22" s="31">
        <v>17</v>
      </c>
      <c r="Y22" s="31">
        <v>2</v>
      </c>
      <c r="Z22" s="31">
        <v>53</v>
      </c>
      <c r="AA22" s="31"/>
      <c r="AB22" s="31"/>
      <c r="AC22" s="31"/>
      <c r="AD22" s="34">
        <f>IF(COUNT(S22:AC22)=0,0,SUMPRODUCT({5000,1000,500,100,75,50,20,10,5,2,1}, S22:AC22))</f>
        <v>1420</v>
      </c>
      <c r="AE22" s="33">
        <v>325427</v>
      </c>
      <c r="AF22" s="24">
        <f>IF(AND(COUNT(C22:E22)=0,COUNT(G22:I22)=0,COUNT(K22:M22)=0,COUNT(O22:Q22)=0,COUNT(S22:AC22)=0,AE22=""),"",(IF(COUNT(C22:E22)=0,0,SUMPRODUCT({5000,1000,500},C22:E22))+IF(COUNT(G22:I22)=0,0,SUMPRODUCT({5000,1000,500},G22:I22))+IF(COUNT(K22:M22)=0,0,SUMPRODUCT({5000,1000,500},K22:M22))+IF(COUNT(O22:Q22)=0,0,SUMPRODUCT({5000,1000,500},O22:Q22))+AD22)-N(AE22))</f>
        <v>-7</v>
      </c>
      <c r="AG22" s="35" t="str">
        <f t="shared" si="0"/>
        <v>Short</v>
      </c>
      <c r="AH22" s="38"/>
      <c r="AI22" s="36">
        <v>801267.77</v>
      </c>
      <c r="AJ22" s="37">
        <f>102936.12+698331.65</f>
        <v>801267.77</v>
      </c>
      <c r="AK22" s="26">
        <f t="shared" si="1"/>
        <v>0</v>
      </c>
      <c r="AL22" s="25" t="str">
        <f t="shared" si="2"/>
        <v>Matched</v>
      </c>
      <c r="AM22" s="38"/>
    </row>
    <row r="23" spans="1:39" ht="12.75" customHeight="1" x14ac:dyDescent="0.25">
      <c r="A23" s="31">
        <v>67250</v>
      </c>
      <c r="B23" s="32" t="str">
        <f>IF(A23="","",VLOOKUP(A23,'Employee Database'!A:B,2,FALSE))</f>
        <v>M Fiaz</v>
      </c>
      <c r="C23" s="31"/>
      <c r="D23" s="31"/>
      <c r="E23" s="31"/>
      <c r="F23" s="39">
        <f>IF(COUNT(C23:E23)=0,0,SUMPRODUCT({5000,1000,500},C23:E23))</f>
        <v>0</v>
      </c>
      <c r="G23" s="31">
        <v>56</v>
      </c>
      <c r="H23" s="31">
        <v>117</v>
      </c>
      <c r="I23" s="31">
        <v>54</v>
      </c>
      <c r="J23" s="39">
        <f>IF(COUNT(G23:I23)=0,0,SUMPRODUCT({5000,1000,500},G23:I23))</f>
        <v>424000</v>
      </c>
      <c r="K23" s="31"/>
      <c r="L23" s="31"/>
      <c r="M23" s="31"/>
      <c r="N23" s="39">
        <f>IF(COUNT(K23:M23)=0,0,SUMPRODUCT({5000,1000,500},K23:M23))</f>
        <v>0</v>
      </c>
      <c r="O23" s="31"/>
      <c r="P23" s="31"/>
      <c r="Q23" s="31"/>
      <c r="R23" s="39">
        <f>IF(COUNT(O23:Q23)=0,0,SUMPRODUCT({5000,1000,500},O23:Q23))</f>
        <v>0</v>
      </c>
      <c r="S23" s="31"/>
      <c r="T23" s="31"/>
      <c r="U23" s="31"/>
      <c r="V23" s="31">
        <v>1</v>
      </c>
      <c r="W23" s="31"/>
      <c r="X23" s="31">
        <v>46</v>
      </c>
      <c r="Y23" s="31">
        <v>1</v>
      </c>
      <c r="Z23" s="31">
        <v>48</v>
      </c>
      <c r="AA23" s="31"/>
      <c r="AB23" s="31"/>
      <c r="AC23" s="31"/>
      <c r="AD23" s="34">
        <f>IF(COUNT(S23:AC23)=0,0,SUMPRODUCT({5000,1000,500,100,75,50,20,10,5,2,1}, S23:AC23))</f>
        <v>2900</v>
      </c>
      <c r="AE23" s="33">
        <v>426956</v>
      </c>
      <c r="AF23" s="24">
        <f>IF(AND(COUNT(C23:E23)=0,COUNT(G23:I23)=0,COUNT(K23:M23)=0,COUNT(O23:Q23)=0,COUNT(S23:AC23)=0,AE23=""),"",(IF(COUNT(C23:E23)=0,0,SUMPRODUCT({5000,1000,500},C23:E23))+IF(COUNT(G23:I23)=0,0,SUMPRODUCT({5000,1000,500},G23:I23))+IF(COUNT(K23:M23)=0,0,SUMPRODUCT({5000,1000,500},K23:M23))+IF(COUNT(O23:Q23)=0,0,SUMPRODUCT({5000,1000,500},O23:Q23))+AD23)-N(AE23))</f>
        <v>-56</v>
      </c>
      <c r="AG23" s="35" t="str">
        <f t="shared" si="0"/>
        <v>Short</v>
      </c>
      <c r="AH23" s="38"/>
      <c r="AI23" s="36">
        <v>1469703.59</v>
      </c>
      <c r="AJ23" s="37">
        <f>694860.28+774843.31</f>
        <v>1469703.59</v>
      </c>
      <c r="AK23" s="26">
        <f t="shared" si="1"/>
        <v>0</v>
      </c>
      <c r="AL23" s="25" t="str">
        <f t="shared" si="2"/>
        <v>Matched</v>
      </c>
      <c r="AM23" s="38"/>
    </row>
    <row r="24" spans="1:39" ht="12.75" customHeight="1" x14ac:dyDescent="0.25">
      <c r="A24" s="31">
        <v>73679</v>
      </c>
      <c r="B24" s="32" t="str">
        <f>IF(A24="","",VLOOKUP(A24,'Employee Database'!A:B,2,FALSE))</f>
        <v>Imran Waqar</v>
      </c>
      <c r="C24" s="31"/>
      <c r="D24" s="31"/>
      <c r="E24" s="31"/>
      <c r="F24" s="39">
        <f>IF(COUNT(C24:E24)=0,0,SUMPRODUCT({5000,1000,500},C24:E24))</f>
        <v>0</v>
      </c>
      <c r="G24" s="31">
        <v>52</v>
      </c>
      <c r="H24" s="31">
        <v>149</v>
      </c>
      <c r="I24" s="31">
        <v>66</v>
      </c>
      <c r="J24" s="39">
        <f>IF(COUNT(G24:I24)=0,0,SUMPRODUCT({5000,1000,500},G24:I24))</f>
        <v>442000</v>
      </c>
      <c r="K24" s="31"/>
      <c r="L24" s="31"/>
      <c r="M24" s="31"/>
      <c r="N24" s="39">
        <f>IF(COUNT(K24:M24)=0,0,SUMPRODUCT({5000,1000,500},K24:M24))</f>
        <v>0</v>
      </c>
      <c r="O24" s="31"/>
      <c r="P24" s="31"/>
      <c r="Q24" s="31"/>
      <c r="R24" s="39">
        <f>IF(COUNT(O24:Q24)=0,0,SUMPRODUCT({5000,1000,500},O24:Q24))</f>
        <v>0</v>
      </c>
      <c r="S24" s="31"/>
      <c r="T24" s="31"/>
      <c r="U24" s="31"/>
      <c r="V24" s="31">
        <v>2</v>
      </c>
      <c r="W24" s="31"/>
      <c r="X24" s="31">
        <v>14</v>
      </c>
      <c r="Y24" s="31"/>
      <c r="Z24" s="31">
        <v>50</v>
      </c>
      <c r="AA24" s="31"/>
      <c r="AB24" s="31"/>
      <c r="AC24" s="31"/>
      <c r="AD24" s="34">
        <f>IF(COUNT(S24:AC24)=0,0,SUMPRODUCT({5000,1000,500,100,75,50,20,10,5,2,1}, S24:AC24))</f>
        <v>1400</v>
      </c>
      <c r="AE24" s="33">
        <v>443429</v>
      </c>
      <c r="AF24" s="24">
        <f>IF(AND(COUNT(C24:E24)=0,COUNT(G24:I24)=0,COUNT(K24:M24)=0,COUNT(O24:Q24)=0,COUNT(S24:AC24)=0,AE24=""),"",(IF(COUNT(C24:E24)=0,0,SUMPRODUCT({5000,1000,500},C24:E24))+IF(COUNT(G24:I24)=0,0,SUMPRODUCT({5000,1000,500},G24:I24))+IF(COUNT(K24:M24)=0,0,SUMPRODUCT({5000,1000,500},K24:M24))+IF(COUNT(O24:Q24)=0,0,SUMPRODUCT({5000,1000,500},O24:Q24))+AD24)-N(AE24))</f>
        <v>-29</v>
      </c>
      <c r="AG24" s="35" t="str">
        <f t="shared" si="0"/>
        <v>Short</v>
      </c>
      <c r="AH24" s="38"/>
      <c r="AI24" s="36">
        <v>836116.18</v>
      </c>
      <c r="AJ24" s="37">
        <f>169560.87+666555.32</f>
        <v>836116.19</v>
      </c>
      <c r="AK24" s="26">
        <f t="shared" si="1"/>
        <v>-9.9999998928979039E-3</v>
      </c>
      <c r="AL24" s="25" t="str">
        <f t="shared" si="2"/>
        <v>Bank Short</v>
      </c>
      <c r="AM24" s="38"/>
    </row>
    <row r="25" spans="1:39" ht="12.75" customHeight="1" x14ac:dyDescent="0.25">
      <c r="A25" s="31">
        <v>50524</v>
      </c>
      <c r="B25" s="32" t="str">
        <f>IF(A25="","",VLOOKUP(A25,'Employee Database'!A:B,2,FALSE))</f>
        <v>Allah Rakha</v>
      </c>
      <c r="C25" s="31"/>
      <c r="D25" s="31"/>
      <c r="E25" s="31"/>
      <c r="F25" s="39">
        <f>IF(COUNT(C25:E25)=0,0,SUMPRODUCT({5000,1000,500},C25:E25))</f>
        <v>0</v>
      </c>
      <c r="G25" s="31">
        <v>37</v>
      </c>
      <c r="H25" s="31">
        <v>80</v>
      </c>
      <c r="I25" s="31">
        <v>29</v>
      </c>
      <c r="J25" s="39">
        <f>IF(COUNT(G25:I25)=0,0,SUMPRODUCT({5000,1000,500},G25:I25))</f>
        <v>279500</v>
      </c>
      <c r="K25" s="31"/>
      <c r="L25" s="31"/>
      <c r="M25" s="31"/>
      <c r="N25" s="39">
        <f>IF(COUNT(K25:M25)=0,0,SUMPRODUCT({5000,1000,500},K25:M25))</f>
        <v>0</v>
      </c>
      <c r="O25" s="31"/>
      <c r="P25" s="31"/>
      <c r="Q25" s="31"/>
      <c r="R25" s="39">
        <f>IF(COUNT(O25:Q25)=0,0,SUMPRODUCT({5000,1000,500},O25:Q25))</f>
        <v>0</v>
      </c>
      <c r="S25" s="31"/>
      <c r="T25" s="31"/>
      <c r="U25" s="31"/>
      <c r="V25" s="31">
        <v>14</v>
      </c>
      <c r="W25" s="31"/>
      <c r="X25" s="31">
        <v>31</v>
      </c>
      <c r="Y25" s="31">
        <v>1</v>
      </c>
      <c r="Z25" s="31">
        <v>37</v>
      </c>
      <c r="AA25" s="31"/>
      <c r="AB25" s="31"/>
      <c r="AC25" s="31"/>
      <c r="AD25" s="34">
        <f>IF(COUNT(S25:AC25)=0,0,SUMPRODUCT({5000,1000,500,100,75,50,20,10,5,2,1}, S25:AC25))</f>
        <v>3340</v>
      </c>
      <c r="AE25" s="33">
        <v>282851</v>
      </c>
      <c r="AF25" s="24">
        <f>IF(AND(COUNT(C25:E25)=0,COUNT(G25:I25)=0,COUNT(K25:M25)=0,COUNT(O25:Q25)=0,COUNT(S25:AC25)=0,AE25=""),"",(IF(COUNT(C25:E25)=0,0,SUMPRODUCT({5000,1000,500},C25:E25))+IF(COUNT(G25:I25)=0,0,SUMPRODUCT({5000,1000,500},G25:I25))+IF(COUNT(K25:M25)=0,0,SUMPRODUCT({5000,1000,500},K25:M25))+IF(COUNT(O25:Q25)=0,0,SUMPRODUCT({5000,1000,500},O25:Q25))+AD25)-N(AE25))</f>
        <v>-11</v>
      </c>
      <c r="AG25" s="35" t="str">
        <f t="shared" si="0"/>
        <v>Short</v>
      </c>
      <c r="AH25" s="38"/>
      <c r="AI25" s="36">
        <v>1225074.1599999999</v>
      </c>
      <c r="AJ25" s="37">
        <f>290120.98+934953.18</f>
        <v>1225074.1600000001</v>
      </c>
      <c r="AK25" s="26">
        <f t="shared" si="1"/>
        <v>-2.3283064365386963E-10</v>
      </c>
      <c r="AL25" s="25" t="str">
        <f t="shared" si="2"/>
        <v>Bank Short</v>
      </c>
      <c r="AM25" s="38"/>
    </row>
    <row r="26" spans="1:39" ht="12.75" customHeight="1" x14ac:dyDescent="0.25">
      <c r="A26" s="31">
        <v>71788</v>
      </c>
      <c r="B26" s="32" t="str">
        <f>IF(A26="","",VLOOKUP(A26,'Employee Database'!A:B,2,FALSE))</f>
        <v>Saaim</v>
      </c>
      <c r="C26" s="31"/>
      <c r="D26" s="31"/>
      <c r="E26" s="31"/>
      <c r="F26" s="39">
        <f>IF(COUNT(C26:E26)=0,0,SUMPRODUCT({5000,1000,500},C26:E26))</f>
        <v>0</v>
      </c>
      <c r="G26" s="31">
        <v>36</v>
      </c>
      <c r="H26" s="31">
        <v>189</v>
      </c>
      <c r="I26" s="31">
        <v>110</v>
      </c>
      <c r="J26" s="39">
        <f>IF(COUNT(G26:I26)=0,0,SUMPRODUCT({5000,1000,500},G26:I26))</f>
        <v>424000</v>
      </c>
      <c r="K26" s="31"/>
      <c r="L26" s="31"/>
      <c r="M26" s="31"/>
      <c r="N26" s="39">
        <f>IF(COUNT(K26:M26)=0,0,SUMPRODUCT({5000,1000,500},K26:M26))</f>
        <v>0</v>
      </c>
      <c r="O26" s="31"/>
      <c r="P26" s="31"/>
      <c r="Q26" s="31"/>
      <c r="R26" s="39">
        <f>IF(COUNT(O26:Q26)=0,0,SUMPRODUCT({5000,1000,500},O26:Q26))</f>
        <v>0</v>
      </c>
      <c r="S26" s="31"/>
      <c r="T26" s="31"/>
      <c r="U26" s="31"/>
      <c r="V26" s="31"/>
      <c r="W26" s="31"/>
      <c r="X26" s="31">
        <v>25</v>
      </c>
      <c r="Y26" s="31">
        <v>1</v>
      </c>
      <c r="Z26" s="31">
        <v>55</v>
      </c>
      <c r="AA26" s="31"/>
      <c r="AB26" s="31"/>
      <c r="AC26" s="31"/>
      <c r="AD26" s="34">
        <f>IF(COUNT(S26:AC26)=0,0,SUMPRODUCT({5000,1000,500,100,75,50,20,10,5,2,1}, S26:AC26))</f>
        <v>1820</v>
      </c>
      <c r="AE26" s="33">
        <v>425812</v>
      </c>
      <c r="AF26" s="24">
        <f>IF(AND(COUNT(C26:E26)=0,COUNT(G26:I26)=0,COUNT(K26:M26)=0,COUNT(O26:Q26)=0,COUNT(S26:AC26)=0,AE26=""),"",(IF(COUNT(C26:E26)=0,0,SUMPRODUCT({5000,1000,500},C26:E26))+IF(COUNT(G26:I26)=0,0,SUMPRODUCT({5000,1000,500},G26:I26))+IF(COUNT(K26:M26)=0,0,SUMPRODUCT({5000,1000,500},K26:M26))+IF(COUNT(O26:Q26)=0,0,SUMPRODUCT({5000,1000,500},O26:Q26))+AD26)-N(AE26))</f>
        <v>8</v>
      </c>
      <c r="AG26" s="35" t="str">
        <f t="shared" si="0"/>
        <v>Excess</v>
      </c>
      <c r="AH26" s="38"/>
      <c r="AI26" s="36">
        <f>368249.63+673642.25</f>
        <v>1041891.88</v>
      </c>
      <c r="AJ26" s="37">
        <f>23378+368249.63+650264.25</f>
        <v>1041891.88</v>
      </c>
      <c r="AK26" s="26">
        <f t="shared" si="1"/>
        <v>0</v>
      </c>
      <c r="AL26" s="25" t="str">
        <f t="shared" si="2"/>
        <v>Matched</v>
      </c>
      <c r="AM26" s="38"/>
    </row>
    <row r="27" spans="1:39" ht="12.75" customHeight="1" x14ac:dyDescent="0.25">
      <c r="A27" s="31">
        <v>63599</v>
      </c>
      <c r="B27" s="32" t="str">
        <f>IF(A27="","",VLOOKUP(A27,'Employee Database'!A:B,2,FALSE))</f>
        <v>Hafsa</v>
      </c>
      <c r="C27" s="31"/>
      <c r="D27" s="31"/>
      <c r="E27" s="31"/>
      <c r="F27" s="39">
        <f>IF(COUNT(C27:E27)=0,0,SUMPRODUCT({5000,1000,500},C27:E27))</f>
        <v>0</v>
      </c>
      <c r="G27" s="31">
        <v>18</v>
      </c>
      <c r="H27" s="31">
        <v>70</v>
      </c>
      <c r="I27" s="31">
        <v>5</v>
      </c>
      <c r="J27" s="39">
        <f>IF(COUNT(G27:I27)=0,0,SUMPRODUCT({5000,1000,500},G27:I27))</f>
        <v>162500</v>
      </c>
      <c r="K27" s="31"/>
      <c r="L27" s="31"/>
      <c r="M27" s="31"/>
      <c r="N27" s="39">
        <f>IF(COUNT(K27:M27)=0,0,SUMPRODUCT({5000,1000,500},K27:M27))</f>
        <v>0</v>
      </c>
      <c r="O27" s="31"/>
      <c r="P27" s="31"/>
      <c r="Q27" s="31"/>
      <c r="R27" s="39">
        <f>IF(COUNT(O27:Q27)=0,0,SUMPRODUCT({5000,1000,500},O27:Q27))</f>
        <v>0</v>
      </c>
      <c r="S27" s="31"/>
      <c r="T27" s="31"/>
      <c r="U27" s="31"/>
      <c r="V27" s="31"/>
      <c r="W27" s="31"/>
      <c r="X27" s="31">
        <v>14</v>
      </c>
      <c r="Y27" s="31"/>
      <c r="Z27" s="31">
        <v>73</v>
      </c>
      <c r="AA27" s="31"/>
      <c r="AB27" s="31"/>
      <c r="AC27" s="31"/>
      <c r="AD27" s="34">
        <f>IF(COUNT(S27:AC27)=0,0,SUMPRODUCT({5000,1000,500,100,75,50,20,10,5,2,1}, S27:AC27))</f>
        <v>1430</v>
      </c>
      <c r="AE27" s="33">
        <v>163935</v>
      </c>
      <c r="AF27" s="24">
        <f>IF(AND(COUNT(C27:E27)=0,COUNT(G27:I27)=0,COUNT(K27:M27)=0,COUNT(O27:Q27)=0,COUNT(S27:AC27)=0,AE27=""),"",(IF(COUNT(C27:E27)=0,0,SUMPRODUCT({5000,1000,500},C27:E27))+IF(COUNT(G27:I27)=0,0,SUMPRODUCT({5000,1000,500},G27:I27))+IF(COUNT(K27:M27)=0,0,SUMPRODUCT({5000,1000,500},K27:M27))+IF(COUNT(O27:Q27)=0,0,SUMPRODUCT({5000,1000,500},O27:Q27))+AD27)-N(AE27))</f>
        <v>-5</v>
      </c>
      <c r="AG27" s="35" t="str">
        <f t="shared" si="0"/>
        <v>Short</v>
      </c>
      <c r="AH27" s="38"/>
      <c r="AI27" s="36">
        <f>154165.7+202124.64</f>
        <v>356290.34</v>
      </c>
      <c r="AJ27" s="37">
        <f>154165.7+202124.64</f>
        <v>356290.34</v>
      </c>
      <c r="AK27" s="26">
        <f t="shared" si="1"/>
        <v>0</v>
      </c>
      <c r="AL27" s="25" t="str">
        <f t="shared" si="2"/>
        <v>Matched</v>
      </c>
      <c r="AM27" s="38"/>
    </row>
    <row r="28" spans="1:39" ht="12.75" customHeight="1" x14ac:dyDescent="0.25">
      <c r="A28" s="31">
        <v>67799</v>
      </c>
      <c r="B28" s="32" t="str">
        <f>IF(A28="","",VLOOKUP(A28,'Employee Database'!A:B,2,FALSE))</f>
        <v>Hassan Raza</v>
      </c>
      <c r="C28" s="31"/>
      <c r="D28" s="31"/>
      <c r="E28" s="31"/>
      <c r="F28" s="39">
        <f>IF(COUNT(C28:E28)=0,0,SUMPRODUCT({5000,1000,500},C28:E28))</f>
        <v>0</v>
      </c>
      <c r="G28" s="31">
        <v>72</v>
      </c>
      <c r="H28" s="31">
        <v>74</v>
      </c>
      <c r="I28" s="31">
        <v>35</v>
      </c>
      <c r="J28" s="39">
        <f>IF(COUNT(G28:I28)=0,0,SUMPRODUCT({5000,1000,500},G28:I28))</f>
        <v>451500</v>
      </c>
      <c r="K28" s="31"/>
      <c r="L28" s="31"/>
      <c r="M28" s="31"/>
      <c r="N28" s="39">
        <f>IF(COUNT(K28:M28)=0,0,SUMPRODUCT({5000,1000,500},K28:M28))</f>
        <v>0</v>
      </c>
      <c r="O28" s="31"/>
      <c r="P28" s="31"/>
      <c r="Q28" s="31"/>
      <c r="R28" s="39">
        <f>IF(COUNT(O28:Q28)=0,0,SUMPRODUCT({5000,1000,500},O28:Q28))</f>
        <v>0</v>
      </c>
      <c r="S28" s="31"/>
      <c r="T28" s="31"/>
      <c r="U28" s="31"/>
      <c r="V28" s="31">
        <v>5</v>
      </c>
      <c r="W28" s="31"/>
      <c r="X28" s="31">
        <v>86</v>
      </c>
      <c r="Y28" s="31"/>
      <c r="Z28" s="31">
        <v>48</v>
      </c>
      <c r="AA28" s="31"/>
      <c r="AB28" s="31"/>
      <c r="AC28" s="31"/>
      <c r="AD28" s="34">
        <f>IF(COUNT(S28:AC28)=0,0,SUMPRODUCT({5000,1000,500,100,75,50,20,10,5,2,1}, S28:AC28))</f>
        <v>5280</v>
      </c>
      <c r="AE28" s="33">
        <v>456815</v>
      </c>
      <c r="AF28" s="24">
        <f>IF(AND(COUNT(C28:E28)=0,COUNT(G28:I28)=0,COUNT(K28:M28)=0,COUNT(O28:Q28)=0,COUNT(S28:AC28)=0,AE28=""),"",(IF(COUNT(C28:E28)=0,0,SUMPRODUCT({5000,1000,500},C28:E28))+IF(COUNT(G28:I28)=0,0,SUMPRODUCT({5000,1000,500},G28:I28))+IF(COUNT(K28:M28)=0,0,SUMPRODUCT({5000,1000,500},K28:M28))+IF(COUNT(O28:Q28)=0,0,SUMPRODUCT({5000,1000,500},O28:Q28))+AD28)-N(AE28))</f>
        <v>-35</v>
      </c>
      <c r="AG28" s="35" t="str">
        <f t="shared" si="0"/>
        <v>Short</v>
      </c>
      <c r="AH28" s="38"/>
      <c r="AI28" s="36">
        <v>942198.64</v>
      </c>
      <c r="AJ28" s="37">
        <f>252969.63+689229.01</f>
        <v>942198.64</v>
      </c>
      <c r="AK28" s="26">
        <f t="shared" si="1"/>
        <v>0</v>
      </c>
      <c r="AL28" s="25" t="str">
        <f t="shared" si="2"/>
        <v>Matched</v>
      </c>
      <c r="AM28" s="38"/>
    </row>
    <row r="29" spans="1:39" ht="12.75" customHeight="1" x14ac:dyDescent="0.25">
      <c r="A29" s="31">
        <v>53893</v>
      </c>
      <c r="B29" s="32" t="str">
        <f>IF(A29="","",VLOOKUP(A29,'Employee Database'!A:B,2,FALSE))</f>
        <v>M Binyameen</v>
      </c>
      <c r="C29" s="31"/>
      <c r="D29" s="31"/>
      <c r="E29" s="31"/>
      <c r="F29" s="39">
        <f>IF(COUNT(C29:E29)=0,0,SUMPRODUCT({5000,1000,500},C29:E29))</f>
        <v>0</v>
      </c>
      <c r="G29" s="31">
        <v>32</v>
      </c>
      <c r="H29" s="31">
        <v>82</v>
      </c>
      <c r="I29" s="31">
        <v>16</v>
      </c>
      <c r="J29" s="39">
        <f>IF(COUNT(G29:I29)=0,0,SUMPRODUCT({5000,1000,500},G29:I29))</f>
        <v>250000</v>
      </c>
      <c r="K29" s="31"/>
      <c r="L29" s="31"/>
      <c r="M29" s="31"/>
      <c r="N29" s="39">
        <f>IF(COUNT(K29:M29)=0,0,SUMPRODUCT({5000,1000,500},K29:M29))</f>
        <v>0</v>
      </c>
      <c r="O29" s="31"/>
      <c r="P29" s="31"/>
      <c r="Q29" s="31"/>
      <c r="R29" s="39">
        <f>IF(COUNT(O29:Q29)=0,0,SUMPRODUCT({5000,1000,500},O29:Q29))</f>
        <v>0</v>
      </c>
      <c r="S29" s="31"/>
      <c r="T29" s="31"/>
      <c r="U29" s="31"/>
      <c r="V29" s="31">
        <v>13</v>
      </c>
      <c r="W29" s="31"/>
      <c r="X29" s="31">
        <v>36</v>
      </c>
      <c r="Y29" s="31"/>
      <c r="Z29" s="31">
        <v>155</v>
      </c>
      <c r="AA29" s="31"/>
      <c r="AB29" s="31"/>
      <c r="AC29" s="31"/>
      <c r="AD29" s="34">
        <f>IF(COUNT(S29:AC29)=0,0,SUMPRODUCT({5000,1000,500,100,75,50,20,10,5,2,1}, S29:AC29))</f>
        <v>4650</v>
      </c>
      <c r="AE29" s="33">
        <v>254669</v>
      </c>
      <c r="AF29" s="24">
        <f>IF(AND(COUNT(C29:E29)=0,COUNT(G29:I29)=0,COUNT(K29:M29)=0,COUNT(O29:Q29)=0,COUNT(S29:AC29)=0,AE29=""),"",(IF(COUNT(C29:E29)=0,0,SUMPRODUCT({5000,1000,500},C29:E29))+IF(COUNT(G29:I29)=0,0,SUMPRODUCT({5000,1000,500},G29:I29))+IF(COUNT(K29:M29)=0,0,SUMPRODUCT({5000,1000,500},K29:M29))+IF(COUNT(O29:Q29)=0,0,SUMPRODUCT({5000,1000,500},O29:Q29))+AD29)-N(AE29))</f>
        <v>-19</v>
      </c>
      <c r="AG29" s="35" t="str">
        <f t="shared" si="0"/>
        <v>Short</v>
      </c>
      <c r="AH29" s="38"/>
      <c r="AI29" s="36">
        <v>1148549.05</v>
      </c>
      <c r="AJ29" s="37">
        <f>317974.63+830574.42</f>
        <v>1148549.05</v>
      </c>
      <c r="AK29" s="26">
        <f t="shared" si="1"/>
        <v>0</v>
      </c>
      <c r="AL29" s="25" t="str">
        <f t="shared" si="2"/>
        <v>Matched</v>
      </c>
      <c r="AM29" s="38"/>
    </row>
    <row r="30" spans="1:39" ht="12.75" customHeight="1" x14ac:dyDescent="0.25">
      <c r="A30" s="31">
        <v>77424</v>
      </c>
      <c r="B30" s="32" t="str">
        <f>IF(A30="","",VLOOKUP(A30,'Employee Database'!A:B,2,FALSE))</f>
        <v>M Husnain</v>
      </c>
      <c r="C30" s="31"/>
      <c r="D30" s="31"/>
      <c r="E30" s="31"/>
      <c r="F30" s="39">
        <f>IF(COUNT(C30:E30)=0,0,SUMPRODUCT({5000,1000,500},C30:E30))</f>
        <v>0</v>
      </c>
      <c r="G30" s="31">
        <v>40</v>
      </c>
      <c r="H30" s="31">
        <v>126</v>
      </c>
      <c r="I30" s="31">
        <v>5</v>
      </c>
      <c r="J30" s="39">
        <f>IF(COUNT(G30:I30)=0,0,SUMPRODUCT({5000,1000,500},G30:I30))</f>
        <v>328500</v>
      </c>
      <c r="K30" s="31"/>
      <c r="L30" s="31"/>
      <c r="M30" s="31"/>
      <c r="N30" s="39">
        <f>IF(COUNT(K30:M30)=0,0,SUMPRODUCT({5000,1000,500},K30:M30))</f>
        <v>0</v>
      </c>
      <c r="O30" s="31"/>
      <c r="P30" s="31"/>
      <c r="Q30" s="31"/>
      <c r="R30" s="39">
        <f>IF(COUNT(O30:Q30)=0,0,SUMPRODUCT({5000,1000,500},O30:Q30))</f>
        <v>0</v>
      </c>
      <c r="S30" s="31"/>
      <c r="T30" s="31"/>
      <c r="U30" s="31"/>
      <c r="V30" s="31">
        <v>2</v>
      </c>
      <c r="W30" s="31"/>
      <c r="X30" s="31">
        <v>85</v>
      </c>
      <c r="Y30" s="31"/>
      <c r="Z30" s="31">
        <v>67</v>
      </c>
      <c r="AA30" s="31"/>
      <c r="AB30" s="31"/>
      <c r="AC30" s="31"/>
      <c r="AD30" s="34">
        <f>IF(COUNT(S30:AC30)=0,0,SUMPRODUCT({5000,1000,500,100,75,50,20,10,5,2,1}, S30:AC30))</f>
        <v>5120</v>
      </c>
      <c r="AE30" s="33">
        <v>333635</v>
      </c>
      <c r="AF30" s="24">
        <f>IF(AND(COUNT(C30:E30)=0,COUNT(G30:I30)=0,COUNT(K30:M30)=0,COUNT(O30:Q30)=0,COUNT(S30:AC30)=0,AE30=""),"",(IF(COUNT(C30:E30)=0,0,SUMPRODUCT({5000,1000,500},C30:E30))+IF(COUNT(G30:I30)=0,0,SUMPRODUCT({5000,1000,500},G30:I30))+IF(COUNT(K30:M30)=0,0,SUMPRODUCT({5000,1000,500},K30:M30))+IF(COUNT(O30:Q30)=0,0,SUMPRODUCT({5000,1000,500},O30:Q30))+AD30)-N(AE30))</f>
        <v>-15</v>
      </c>
      <c r="AG30" s="35" t="str">
        <f t="shared" si="0"/>
        <v>Short</v>
      </c>
      <c r="AH30" s="38"/>
      <c r="AI30" s="36">
        <f>13549.2+836318.72</f>
        <v>849867.91999999993</v>
      </c>
      <c r="AJ30" s="37">
        <f>836318.72+13549.2</f>
        <v>849867.91999999993</v>
      </c>
      <c r="AK30" s="26">
        <f t="shared" si="1"/>
        <v>0</v>
      </c>
      <c r="AL30" s="25" t="str">
        <f t="shared" si="2"/>
        <v>Matched</v>
      </c>
      <c r="AM30" s="38"/>
    </row>
    <row r="31" spans="1:39" ht="12.75" customHeight="1" x14ac:dyDescent="0.25">
      <c r="A31" s="31">
        <v>69732</v>
      </c>
      <c r="B31" s="32" t="str">
        <f>IF(A31="","",VLOOKUP(A31,'Employee Database'!A:B,2,FALSE))</f>
        <v>Abdul Hafeez</v>
      </c>
      <c r="C31" s="31"/>
      <c r="D31" s="31"/>
      <c r="E31" s="31"/>
      <c r="F31" s="39">
        <f>IF(COUNT(C31:E31)=0,0,SUMPRODUCT({5000,1000,500},C31:E31))</f>
        <v>0</v>
      </c>
      <c r="G31" s="31">
        <v>58</v>
      </c>
      <c r="H31" s="31">
        <v>112</v>
      </c>
      <c r="I31" s="31">
        <v>66</v>
      </c>
      <c r="J31" s="39">
        <f>IF(COUNT(G31:I31)=0,0,SUMPRODUCT({5000,1000,500},G31:I31))</f>
        <v>435000</v>
      </c>
      <c r="K31" s="31"/>
      <c r="L31" s="31"/>
      <c r="M31" s="31"/>
      <c r="N31" s="39">
        <f>IF(COUNT(K31:M31)=0,0,SUMPRODUCT({5000,1000,500},K31:M31))</f>
        <v>0</v>
      </c>
      <c r="O31" s="31"/>
      <c r="P31" s="31"/>
      <c r="Q31" s="31"/>
      <c r="R31" s="39">
        <f>IF(COUNT(O31:Q31)=0,0,SUMPRODUCT({5000,1000,500},O31:Q31))</f>
        <v>0</v>
      </c>
      <c r="S31" s="31"/>
      <c r="T31" s="31"/>
      <c r="U31" s="31"/>
      <c r="V31" s="31">
        <v>1</v>
      </c>
      <c r="W31" s="31"/>
      <c r="X31" s="31">
        <v>100</v>
      </c>
      <c r="Y31" s="31"/>
      <c r="Z31" s="31">
        <v>44</v>
      </c>
      <c r="AA31" s="31"/>
      <c r="AB31" s="31"/>
      <c r="AC31" s="31"/>
      <c r="AD31" s="34">
        <f>IF(COUNT(S31:AC31)=0,0,SUMPRODUCT({5000,1000,500,100,75,50,20,10,5,2,1}, S31:AC31))</f>
        <v>5540</v>
      </c>
      <c r="AE31" s="33">
        <v>440521.01</v>
      </c>
      <c r="AF31" s="24">
        <f>IF(AND(COUNT(C31:E31)=0,COUNT(G31:I31)=0,COUNT(K31:M31)=0,COUNT(O31:Q31)=0,COUNT(S31:AC31)=0,AE31=""),"",(IF(COUNT(C31:E31)=0,0,SUMPRODUCT({5000,1000,500},C31:E31))+IF(COUNT(G31:I31)=0,0,SUMPRODUCT({5000,1000,500},G31:I31))+IF(COUNT(K31:M31)=0,0,SUMPRODUCT({5000,1000,500},K31:M31))+IF(COUNT(O31:Q31)=0,0,SUMPRODUCT({5000,1000,500},O31:Q31))+AD31)-N(AE31))</f>
        <v>18.989999999990687</v>
      </c>
      <c r="AG31" s="35" t="str">
        <f t="shared" si="0"/>
        <v>Excess</v>
      </c>
      <c r="AH31" s="38"/>
      <c r="AI31" s="36">
        <v>1301579.97</v>
      </c>
      <c r="AJ31" s="37">
        <f>290360.89+1011219.05</f>
        <v>1301579.94</v>
      </c>
      <c r="AK31" s="26">
        <f t="shared" si="1"/>
        <v>3.0000000027939677E-2</v>
      </c>
      <c r="AL31" s="25" t="str">
        <f t="shared" si="2"/>
        <v>POS Excess</v>
      </c>
      <c r="AM31" s="38"/>
    </row>
    <row r="32" spans="1:39" ht="12.75" customHeight="1" x14ac:dyDescent="0.25">
      <c r="A32" s="31">
        <v>75768</v>
      </c>
      <c r="B32" s="32" t="str">
        <f>IF(A32="","",VLOOKUP(A32,'Employee Database'!A:B,2,FALSE))</f>
        <v>Zuhaib</v>
      </c>
      <c r="C32" s="31"/>
      <c r="D32" s="31"/>
      <c r="E32" s="31"/>
      <c r="F32" s="39">
        <f>IF(COUNT(C32:E32)=0,0,SUMPRODUCT({5000,1000,500},C32:E32))</f>
        <v>0</v>
      </c>
      <c r="G32" s="31">
        <v>17</v>
      </c>
      <c r="H32" s="31">
        <v>10</v>
      </c>
      <c r="I32" s="31"/>
      <c r="J32" s="39">
        <f>IF(COUNT(G32:I32)=0,0,SUMPRODUCT({5000,1000,500},G32:I32))</f>
        <v>95000</v>
      </c>
      <c r="K32" s="31"/>
      <c r="L32" s="31"/>
      <c r="M32" s="31"/>
      <c r="N32" s="39">
        <f>IF(COUNT(K32:M32)=0,0,SUMPRODUCT({5000,1000,500},K32:M32))</f>
        <v>0</v>
      </c>
      <c r="O32" s="31"/>
      <c r="P32" s="31"/>
      <c r="Q32" s="31"/>
      <c r="R32" s="39">
        <f>IF(COUNT(O32:Q32)=0,0,SUMPRODUCT({5000,1000,500},O32:Q32))</f>
        <v>0</v>
      </c>
      <c r="S32" s="31"/>
      <c r="T32" s="31"/>
      <c r="U32" s="31"/>
      <c r="V32" s="31">
        <v>0</v>
      </c>
      <c r="W32" s="31"/>
      <c r="X32" s="31">
        <v>17</v>
      </c>
      <c r="Y32" s="31">
        <v>1</v>
      </c>
      <c r="Z32" s="31">
        <v>107</v>
      </c>
      <c r="AA32" s="31"/>
      <c r="AB32" s="31"/>
      <c r="AC32" s="31"/>
      <c r="AD32" s="34">
        <f>IF(COUNT(S32:AC32)=0,0,SUMPRODUCT({5000,1000,500,100,75,50,20,10,5,2,1}, S32:AC32))</f>
        <v>1940</v>
      </c>
      <c r="AE32" s="33">
        <v>96934</v>
      </c>
      <c r="AF32" s="24">
        <f>IF(AND(COUNT(C32:E32)=0,COUNT(G32:I32)=0,COUNT(K32:M32)=0,COUNT(O32:Q32)=0,COUNT(S32:AC32)=0,AE32=""),"",(IF(COUNT(C32:E32)=0,0,SUMPRODUCT({5000,1000,500},C32:E32))+IF(COUNT(G32:I32)=0,0,SUMPRODUCT({5000,1000,500},G32:I32))+IF(COUNT(K32:M32)=0,0,SUMPRODUCT({5000,1000,500},K32:M32))+IF(COUNT(O32:Q32)=0,0,SUMPRODUCT({5000,1000,500},O32:Q32))+AD32)-N(AE32))</f>
        <v>6</v>
      </c>
      <c r="AG32" s="35" t="str">
        <f t="shared" si="0"/>
        <v>Excess</v>
      </c>
      <c r="AH32" s="38"/>
      <c r="AI32" s="36">
        <v>392769.34</v>
      </c>
      <c r="AJ32" s="37">
        <f>243449.53+149319.81</f>
        <v>392769.33999999997</v>
      </c>
      <c r="AK32" s="26">
        <f t="shared" si="1"/>
        <v>5.8207660913467407E-11</v>
      </c>
      <c r="AL32" s="25" t="str">
        <f t="shared" si="2"/>
        <v>POS Excess</v>
      </c>
      <c r="AM32" s="38"/>
    </row>
    <row r="33" spans="1:39" ht="12.75" customHeight="1" x14ac:dyDescent="0.25">
      <c r="A33" s="31">
        <v>50134</v>
      </c>
      <c r="B33" s="32" t="str">
        <f>IF(A33="","",VLOOKUP(A33,'Employee Database'!A:B,2,FALSE))</f>
        <v>Asif Abbas</v>
      </c>
      <c r="C33" s="31"/>
      <c r="D33" s="31"/>
      <c r="E33" s="31"/>
      <c r="F33" s="39">
        <f>IF(COUNT(C33:E33)=0,0,SUMPRODUCT({5000,1000,500},C33:E33))</f>
        <v>0</v>
      </c>
      <c r="G33" s="31">
        <v>31</v>
      </c>
      <c r="H33" s="31">
        <v>102</v>
      </c>
      <c r="I33" s="31">
        <v>5</v>
      </c>
      <c r="J33" s="39">
        <f>IF(COUNT(G33:I33)=0,0,SUMPRODUCT({5000,1000,500},G33:I33))</f>
        <v>259500</v>
      </c>
      <c r="K33" s="31"/>
      <c r="L33" s="31"/>
      <c r="M33" s="31"/>
      <c r="N33" s="39">
        <f>IF(COUNT(K33:M33)=0,0,SUMPRODUCT({5000,1000,500},K33:M33))</f>
        <v>0</v>
      </c>
      <c r="O33" s="31"/>
      <c r="P33" s="31"/>
      <c r="Q33" s="31"/>
      <c r="R33" s="39">
        <f>IF(COUNT(O33:Q33)=0,0,SUMPRODUCT({5000,1000,500},O33:Q33))</f>
        <v>0</v>
      </c>
      <c r="S33" s="31"/>
      <c r="T33" s="31"/>
      <c r="U33" s="31"/>
      <c r="V33" s="31"/>
      <c r="W33" s="31"/>
      <c r="X33" s="31">
        <v>9</v>
      </c>
      <c r="Y33" s="31">
        <v>3</v>
      </c>
      <c r="Z33" s="31">
        <v>48</v>
      </c>
      <c r="AA33" s="31"/>
      <c r="AB33" s="31"/>
      <c r="AC33" s="31"/>
      <c r="AD33" s="34">
        <f>IF(COUNT(S33:AC33)=0,0,SUMPRODUCT({5000,1000,500,100,75,50,20,10,5,2,1}, S33:AC33))</f>
        <v>990</v>
      </c>
      <c r="AE33" s="33">
        <v>260484</v>
      </c>
      <c r="AF33" s="24">
        <f>IF(AND(COUNT(C33:E33)=0,COUNT(G33:I33)=0,COUNT(K33:M33)=0,COUNT(O33:Q33)=0,COUNT(S33:AC33)=0,AE33=""),"",(IF(COUNT(C33:E33)=0,0,SUMPRODUCT({5000,1000,500},C33:E33))+IF(COUNT(G33:I33)=0,0,SUMPRODUCT({5000,1000,500},G33:I33))+IF(COUNT(K33:M33)=0,0,SUMPRODUCT({5000,1000,500},K33:M33))+IF(COUNT(O33:Q33)=0,0,SUMPRODUCT({5000,1000,500},O33:Q33))+AD33)-N(AE33))</f>
        <v>6</v>
      </c>
      <c r="AG33" s="35" t="str">
        <f t="shared" ref="AG33" si="3">IF(AF33="","",IF(AF33&gt;0,"Excess",IF(AF33&lt;0,"Short","Balanced")))</f>
        <v>Excess</v>
      </c>
      <c r="AH33" s="38"/>
      <c r="AI33" s="36">
        <f>216814.96+689602.48</f>
        <v>906417.44</v>
      </c>
      <c r="AJ33" s="37">
        <f>216814.96+689602.48</f>
        <v>906417.44</v>
      </c>
      <c r="AK33" s="26">
        <f t="shared" si="1"/>
        <v>0</v>
      </c>
      <c r="AL33" s="25" t="str">
        <f t="shared" si="2"/>
        <v>Matched</v>
      </c>
      <c r="AM33" s="38"/>
    </row>
    <row r="34" spans="1:39" ht="12.75" customHeight="1" x14ac:dyDescent="0.25">
      <c r="A34" s="31">
        <v>68475</v>
      </c>
      <c r="B34" s="32" t="str">
        <f>IF(A34="","",VLOOKUP(A34,'Employee Database'!A:B,2,FALSE))</f>
        <v>M Azeem</v>
      </c>
      <c r="C34" s="31"/>
      <c r="D34" s="31"/>
      <c r="E34" s="31"/>
      <c r="F34" s="39">
        <f>IF(COUNT(C34:E34)=0,0,SUMPRODUCT({5000,1000,500},C34:E34))</f>
        <v>0</v>
      </c>
      <c r="G34" s="31">
        <v>34</v>
      </c>
      <c r="H34" s="31">
        <v>61</v>
      </c>
      <c r="I34" s="31">
        <v>27</v>
      </c>
      <c r="J34" s="39">
        <f>IF(COUNT(G34:I34)=0,0,SUMPRODUCT({5000,1000,500},G34:I34))</f>
        <v>244500</v>
      </c>
      <c r="K34" s="31"/>
      <c r="L34" s="31"/>
      <c r="M34" s="31"/>
      <c r="N34" s="39">
        <f>IF(COUNT(K34:M34)=0,0,SUMPRODUCT({5000,1000,500},K34:M34))</f>
        <v>0</v>
      </c>
      <c r="O34" s="31"/>
      <c r="P34" s="31"/>
      <c r="Q34" s="31"/>
      <c r="R34" s="39">
        <f>IF(COUNT(O34:Q34)=0,0,SUMPRODUCT({5000,1000,500},O34:Q34))</f>
        <v>0</v>
      </c>
      <c r="S34" s="31"/>
      <c r="T34" s="31"/>
      <c r="U34" s="31"/>
      <c r="V34" s="31">
        <v>4</v>
      </c>
      <c r="W34" s="31"/>
      <c r="X34" s="31">
        <v>6</v>
      </c>
      <c r="Y34" s="31"/>
      <c r="Z34" s="31">
        <v>48</v>
      </c>
      <c r="AA34" s="31"/>
      <c r="AB34" s="31"/>
      <c r="AC34" s="31"/>
      <c r="AD34" s="34">
        <f>IF(COUNT(S34:AC34)=0,0,SUMPRODUCT({5000,1000,500,100,75,50,20,10,5,2,1}, S34:AC34))</f>
        <v>1180</v>
      </c>
      <c r="AE34" s="33">
        <v>245689</v>
      </c>
      <c r="AF34" s="24">
        <f>IF(AND(COUNT(C34:E34)=0,COUNT(G34:I34)=0,COUNT(K34:M34)=0,COUNT(O34:Q34)=0,COUNT(S34:AC34)=0,AE34=""),"",(IF(COUNT(C34:E34)=0,0,SUMPRODUCT({5000,1000,500},C34:E34))+IF(COUNT(G34:I34)=0,0,SUMPRODUCT({5000,1000,500},G34:I34))+IF(COUNT(K34:M34)=0,0,SUMPRODUCT({5000,1000,500},K34:M34))+IF(COUNT(O34:Q34)=0,0,SUMPRODUCT({5000,1000,500},O34:Q34))+AD34)-N(AE34))</f>
        <v>-9</v>
      </c>
      <c r="AG34" s="35" t="str">
        <f t="shared" ref="AG34" si="4">IF(AF34="","",IF(AF34&gt;0,"Excess",IF(AF34&lt;0,"Short","Balanced")))</f>
        <v>Short</v>
      </c>
      <c r="AH34" s="38"/>
      <c r="AI34" s="36">
        <v>1034208.16</v>
      </c>
      <c r="AJ34" s="37">
        <f>667803.68+366404.48</f>
        <v>1034208.16</v>
      </c>
      <c r="AK34" s="26">
        <f t="shared" si="1"/>
        <v>0</v>
      </c>
      <c r="AL34" s="25" t="str">
        <f t="shared" si="2"/>
        <v>Matched</v>
      </c>
      <c r="AM34" s="38"/>
    </row>
    <row r="35" spans="1:39" ht="12.75" customHeight="1" x14ac:dyDescent="0.25">
      <c r="A35" s="31">
        <v>78242</v>
      </c>
      <c r="B35" s="32" t="str">
        <f>IF(A35="","",VLOOKUP(A35,'Employee Database'!A:B,2,FALSE))</f>
        <v>Hamad Mughal</v>
      </c>
      <c r="C35" s="31"/>
      <c r="D35" s="31"/>
      <c r="E35" s="31"/>
      <c r="F35" s="39">
        <f>IF(COUNT(C35:E35)=0,0,SUMPRODUCT({5000,1000,500},C35:E35))</f>
        <v>0</v>
      </c>
      <c r="G35" s="31">
        <v>27</v>
      </c>
      <c r="H35" s="31">
        <v>52</v>
      </c>
      <c r="I35" s="31">
        <v>15</v>
      </c>
      <c r="J35" s="39">
        <f>IF(COUNT(G35:I35)=0,0,SUMPRODUCT({5000,1000,500},G35:I35))</f>
        <v>194500</v>
      </c>
      <c r="K35" s="31"/>
      <c r="L35" s="31"/>
      <c r="M35" s="31"/>
      <c r="N35" s="39">
        <f>IF(COUNT(K35:M35)=0,0,SUMPRODUCT({5000,1000,500},K35:M35))</f>
        <v>0</v>
      </c>
      <c r="O35" s="31"/>
      <c r="P35" s="31"/>
      <c r="Q35" s="31"/>
      <c r="R35" s="39">
        <f>IF(COUNT(O35:Q35)=0,0,SUMPRODUCT({5000,1000,500},O35:Q35))</f>
        <v>0</v>
      </c>
      <c r="S35" s="31"/>
      <c r="T35" s="31"/>
      <c r="U35" s="31"/>
      <c r="V35" s="31">
        <v>17</v>
      </c>
      <c r="W35" s="31"/>
      <c r="X35" s="31">
        <v>39</v>
      </c>
      <c r="Y35" s="31">
        <v>2</v>
      </c>
      <c r="Z35" s="31">
        <v>90</v>
      </c>
      <c r="AA35" s="31"/>
      <c r="AB35" s="31"/>
      <c r="AC35" s="31"/>
      <c r="AD35" s="34">
        <f>IF(COUNT(S35:AC35)=0,0,SUMPRODUCT({5000,1000,500,100,75,50,20,10,5,2,1}, S35:AC35))</f>
        <v>4590</v>
      </c>
      <c r="AE35" s="33">
        <v>199053</v>
      </c>
      <c r="AF35" s="24">
        <f>IF(AND(COUNT(C35:E35)=0,COUNT(G35:I35)=0,COUNT(K35:M35)=0,COUNT(O35:Q35)=0,COUNT(S35:AC35)=0,AE35=""),"",(IF(COUNT(C35:E35)=0,0,SUMPRODUCT({5000,1000,500},C35:E35))+IF(COUNT(G35:I35)=0,0,SUMPRODUCT({5000,1000,500},G35:I35))+IF(COUNT(K35:M35)=0,0,SUMPRODUCT({5000,1000,500},K35:M35))+IF(COUNT(O35:Q35)=0,0,SUMPRODUCT({5000,1000,500},O35:Q35))+AD35)-N(AE35))</f>
        <v>37</v>
      </c>
      <c r="AG35" s="35" t="str">
        <f t="shared" si="0"/>
        <v>Excess</v>
      </c>
      <c r="AH35" s="38"/>
      <c r="AI35" s="36">
        <f>789607.38+79409.08</f>
        <v>869016.46</v>
      </c>
      <c r="AJ35" s="37">
        <f>789607.38+79409.08</f>
        <v>869016.46</v>
      </c>
      <c r="AK35" s="26">
        <f t="shared" si="1"/>
        <v>0</v>
      </c>
      <c r="AL35" s="25" t="str">
        <f t="shared" si="2"/>
        <v>Matched</v>
      </c>
      <c r="AM35" s="38"/>
    </row>
    <row r="36" spans="1:39" ht="12.75" customHeight="1" x14ac:dyDescent="0.25">
      <c r="A36" s="31">
        <v>69728</v>
      </c>
      <c r="B36" s="32" t="str">
        <f>IF(A36="","",VLOOKUP(A36,'Employee Database'!A:B,2,FALSE))</f>
        <v>Hafiz Hafeez Ur Rehman</v>
      </c>
      <c r="C36" s="31"/>
      <c r="D36" s="31"/>
      <c r="E36" s="31"/>
      <c r="F36" s="39">
        <f>IF(COUNT(C36:E36)=0,0,SUMPRODUCT({5000,1000,500},C36:E36))</f>
        <v>0</v>
      </c>
      <c r="G36" s="31">
        <v>41</v>
      </c>
      <c r="H36" s="31">
        <v>130</v>
      </c>
      <c r="I36" s="31">
        <v>21</v>
      </c>
      <c r="J36" s="39">
        <f>IF(COUNT(G36:I36)=0,0,SUMPRODUCT({5000,1000,500},G36:I36))</f>
        <v>345500</v>
      </c>
      <c r="K36" s="31"/>
      <c r="L36" s="31"/>
      <c r="M36" s="31"/>
      <c r="N36" s="39">
        <f>IF(COUNT(K36:M36)=0,0,SUMPRODUCT({5000,1000,500},K36:M36))</f>
        <v>0</v>
      </c>
      <c r="O36" s="31"/>
      <c r="P36" s="31"/>
      <c r="Q36" s="31"/>
      <c r="R36" s="39">
        <f>IF(COUNT(O36:Q36)=0,0,SUMPRODUCT({5000,1000,500},O36:Q36))</f>
        <v>0</v>
      </c>
      <c r="S36" s="31"/>
      <c r="T36" s="31"/>
      <c r="U36" s="31"/>
      <c r="V36" s="31">
        <v>11</v>
      </c>
      <c r="W36" s="31"/>
      <c r="X36" s="31">
        <v>225</v>
      </c>
      <c r="Y36" s="31">
        <v>1</v>
      </c>
      <c r="Z36" s="31">
        <v>307</v>
      </c>
      <c r="AA36" s="31"/>
      <c r="AB36" s="31"/>
      <c r="AC36" s="31"/>
      <c r="AD36" s="34">
        <f>IF(COUNT(S36:AC36)=0,0,SUMPRODUCT({5000,1000,500,100,75,50,20,10,5,2,1}, S36:AC36))</f>
        <v>15440</v>
      </c>
      <c r="AE36" s="33">
        <v>360884</v>
      </c>
      <c r="AF36" s="24">
        <f>IF(AND(COUNT(C36:E36)=0,COUNT(G36:I36)=0,COUNT(K36:M36)=0,COUNT(O36:Q36)=0,COUNT(S36:AC36)=0,AE36=""),"",(IF(COUNT(C36:E36)=0,0,SUMPRODUCT({5000,1000,500},C36:E36))+IF(COUNT(G36:I36)=0,0,SUMPRODUCT({5000,1000,500},G36:I36))+IF(COUNT(K36:M36)=0,0,SUMPRODUCT({5000,1000,500},K36:M36))+IF(COUNT(O36:Q36)=0,0,SUMPRODUCT({5000,1000,500},O36:Q36))+AD36)-N(AE36))</f>
        <v>56</v>
      </c>
      <c r="AG36" s="35" t="str">
        <f t="shared" si="0"/>
        <v>Excess</v>
      </c>
      <c r="AH36" s="38"/>
      <c r="AI36" s="36">
        <v>469111.58</v>
      </c>
      <c r="AJ36" s="37">
        <f>164989.36+304122.22</f>
        <v>469111.57999999996</v>
      </c>
      <c r="AK36" s="26">
        <f t="shared" si="1"/>
        <v>5.8207660913467407E-11</v>
      </c>
      <c r="AL36" s="25" t="str">
        <f t="shared" si="2"/>
        <v>POS Excess</v>
      </c>
      <c r="AM36" s="38"/>
    </row>
    <row r="37" spans="1:39" ht="22.5" customHeight="1" x14ac:dyDescent="0.25">
      <c r="A37" s="27" t="s">
        <v>24</v>
      </c>
      <c r="B37" s="27" t="s">
        <v>24</v>
      </c>
      <c r="C37" s="28">
        <f t="shared" ref="C37:AF37" si="5">SUM(C5:C36)</f>
        <v>398</v>
      </c>
      <c r="D37" s="28">
        <f t="shared" si="5"/>
        <v>1523</v>
      </c>
      <c r="E37" s="28">
        <f t="shared" si="5"/>
        <v>269</v>
      </c>
      <c r="F37" s="40">
        <f t="shared" si="5"/>
        <v>3647500</v>
      </c>
      <c r="G37" s="28">
        <f t="shared" si="5"/>
        <v>658</v>
      </c>
      <c r="H37" s="28">
        <f t="shared" si="5"/>
        <v>1583</v>
      </c>
      <c r="I37" s="28">
        <f t="shared" si="5"/>
        <v>572</v>
      </c>
      <c r="J37" s="40">
        <f t="shared" si="5"/>
        <v>5159000</v>
      </c>
      <c r="K37" s="28">
        <f t="shared" si="5"/>
        <v>0</v>
      </c>
      <c r="L37" s="28">
        <f t="shared" si="5"/>
        <v>0</v>
      </c>
      <c r="M37" s="28">
        <f t="shared" si="5"/>
        <v>0</v>
      </c>
      <c r="N37" s="40">
        <f t="shared" si="5"/>
        <v>0</v>
      </c>
      <c r="O37" s="28">
        <f t="shared" si="5"/>
        <v>0</v>
      </c>
      <c r="P37" s="28">
        <f t="shared" si="5"/>
        <v>0</v>
      </c>
      <c r="Q37" s="28">
        <f t="shared" si="5"/>
        <v>0</v>
      </c>
      <c r="R37" s="40">
        <f t="shared" si="5"/>
        <v>0</v>
      </c>
      <c r="S37" s="28">
        <f t="shared" si="5"/>
        <v>0</v>
      </c>
      <c r="T37" s="28">
        <f t="shared" si="5"/>
        <v>0</v>
      </c>
      <c r="U37" s="28">
        <f t="shared" si="5"/>
        <v>0</v>
      </c>
      <c r="V37" s="28">
        <f t="shared" si="5"/>
        <v>88</v>
      </c>
      <c r="W37" s="28">
        <f t="shared" si="5"/>
        <v>0</v>
      </c>
      <c r="X37" s="28">
        <f t="shared" si="5"/>
        <v>1217</v>
      </c>
      <c r="Y37" s="28">
        <f t="shared" si="5"/>
        <v>16</v>
      </c>
      <c r="Z37" s="28">
        <f t="shared" si="5"/>
        <v>1946</v>
      </c>
      <c r="AA37" s="28">
        <f t="shared" si="5"/>
        <v>0</v>
      </c>
      <c r="AB37" s="28">
        <f t="shared" si="5"/>
        <v>0</v>
      </c>
      <c r="AC37" s="28">
        <f t="shared" si="5"/>
        <v>0</v>
      </c>
      <c r="AD37" s="40">
        <f t="shared" si="5"/>
        <v>89430</v>
      </c>
      <c r="AE37" s="41">
        <f t="shared" si="5"/>
        <v>8895796.0099999998</v>
      </c>
      <c r="AF37" s="29">
        <f t="shared" si="5"/>
        <v>133.98999999999069</v>
      </c>
      <c r="AG37" s="27" t="s">
        <v>24</v>
      </c>
      <c r="AH37" s="27" t="s">
        <v>24</v>
      </c>
      <c r="AI37" s="28">
        <f>SUM(AI5:AI36)</f>
        <v>22200024.789999999</v>
      </c>
      <c r="AJ37" s="28">
        <f>SUM(AJ5:AJ36)</f>
        <v>22200024.770000003</v>
      </c>
      <c r="AK37" s="28">
        <f>SUM(AK5:AK36)</f>
        <v>2.0000000018626451E-2</v>
      </c>
      <c r="AL37" s="28">
        <f>AJ37+AE37</f>
        <v>31095820.780000001</v>
      </c>
      <c r="AM37" s="28">
        <f>SUM(AM5:AM36)</f>
        <v>0</v>
      </c>
    </row>
  </sheetData>
  <mergeCells count="9">
    <mergeCell ref="S3:AC3"/>
    <mergeCell ref="AD3:AG3"/>
    <mergeCell ref="AH3:AM3"/>
    <mergeCell ref="A1:B1"/>
    <mergeCell ref="A3:B3"/>
    <mergeCell ref="C3:F3"/>
    <mergeCell ref="G3:J3"/>
    <mergeCell ref="K3:N3"/>
    <mergeCell ref="O3:R3"/>
  </mergeCells>
  <conditionalFormatting sqref="A5">
    <cfRule type="duplicateValues" dxfId="204" priority="7"/>
    <cfRule type="duplicateValues" dxfId="203" priority="8"/>
  </conditionalFormatting>
  <conditionalFormatting sqref="A6">
    <cfRule type="duplicateValues" dxfId="202" priority="9"/>
    <cfRule type="duplicateValues" dxfId="201" priority="10"/>
  </conditionalFormatting>
  <conditionalFormatting sqref="A7:A32 A35:A36">
    <cfRule type="duplicateValues" dxfId="200" priority="5"/>
    <cfRule type="duplicateValues" dxfId="199" priority="6"/>
  </conditionalFormatting>
  <conditionalFormatting sqref="A33">
    <cfRule type="duplicateValues" dxfId="198" priority="3"/>
    <cfRule type="duplicateValues" dxfId="197" priority="4"/>
  </conditionalFormatting>
  <conditionalFormatting sqref="A34">
    <cfRule type="duplicateValues" dxfId="196" priority="1"/>
    <cfRule type="duplicateValues" dxfId="195" priority="2"/>
  </conditionalFormatting>
  <conditionalFormatting sqref="A37">
    <cfRule type="duplicateValues" dxfId="194" priority="11"/>
  </conditionalFormatting>
  <dataValidations disablePrompts="1" count="1">
    <dataValidation type="list" allowBlank="1" showInputMessage="1" showErrorMessage="1" sqref="A1:B1" xr:uid="{00000000-0002-0000-0500-000000000000}">
      <formula1>Locations</formula1>
    </dataValidation>
  </dataValidations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FF0000"/>
  </sheetPr>
  <dimension ref="A1:AM37"/>
  <sheetViews>
    <sheetView showGridLines="0" zoomScale="85" zoomScaleNormal="85" workbookViewId="0">
      <pane xSplit="2" topLeftCell="AA1" activePane="topRight" state="frozen"/>
      <selection activeCell="A4" sqref="A4"/>
      <selection pane="topRight" activeCell="AE15" sqref="A15:XFD15"/>
    </sheetView>
  </sheetViews>
  <sheetFormatPr defaultRowHeight="15" x14ac:dyDescent="0.25"/>
  <cols>
    <col min="1" max="1" width="11.85546875" customWidth="1"/>
    <col min="2" max="2" width="20.5703125" customWidth="1"/>
    <col min="6" max="6" width="14.42578125" bestFit="1" customWidth="1"/>
    <col min="10" max="10" width="14.42578125" bestFit="1" customWidth="1"/>
    <col min="14" max="14" width="14.42578125" bestFit="1" customWidth="1"/>
    <col min="18" max="18" width="14.42578125" bestFit="1" customWidth="1"/>
    <col min="30" max="31" width="18" customWidth="1"/>
    <col min="32" max="32" width="20" customWidth="1"/>
    <col min="33" max="33" width="14" customWidth="1"/>
    <col min="35" max="35" width="18" customWidth="1"/>
    <col min="36" max="36" width="22" customWidth="1"/>
    <col min="37" max="37" width="16" customWidth="1"/>
    <col min="38" max="38" width="14" customWidth="1"/>
  </cols>
  <sheetData>
    <row r="1" spans="1:39" ht="43.5" customHeight="1" x14ac:dyDescent="0.25">
      <c r="A1" s="48" t="s">
        <v>306</v>
      </c>
      <c r="B1" s="48"/>
    </row>
    <row r="2" spans="1:39" ht="13.5" customHeight="1" x14ac:dyDescent="0.25">
      <c r="A2" s="30">
        <f>'4'!A2+1</f>
        <v>46208</v>
      </c>
    </row>
    <row r="3" spans="1:39" ht="24" customHeight="1" x14ac:dyDescent="0.25">
      <c r="A3" s="49" t="s">
        <v>0</v>
      </c>
      <c r="B3" s="49"/>
      <c r="C3" s="49" t="s">
        <v>93</v>
      </c>
      <c r="D3" s="50"/>
      <c r="E3" s="50"/>
      <c r="F3" s="50"/>
      <c r="G3" s="49" t="s">
        <v>94</v>
      </c>
      <c r="H3" s="50"/>
      <c r="I3" s="50"/>
      <c r="J3" s="50"/>
      <c r="K3" s="49" t="s">
        <v>95</v>
      </c>
      <c r="L3" s="50"/>
      <c r="M3" s="50"/>
      <c r="N3" s="50"/>
      <c r="O3" s="49" t="s">
        <v>96</v>
      </c>
      <c r="P3" s="50"/>
      <c r="Q3" s="50"/>
      <c r="R3" s="50"/>
      <c r="S3" s="45" t="s">
        <v>1</v>
      </c>
      <c r="T3" s="46"/>
      <c r="U3" s="46"/>
      <c r="V3" s="46"/>
      <c r="W3" s="46"/>
      <c r="X3" s="46"/>
      <c r="Y3" s="46"/>
      <c r="Z3" s="46"/>
      <c r="AA3" s="46"/>
      <c r="AB3" s="46"/>
      <c r="AC3" s="46"/>
      <c r="AD3" s="47" t="s">
        <v>97</v>
      </c>
      <c r="AE3" s="46"/>
      <c r="AF3" s="46"/>
      <c r="AG3" s="46"/>
      <c r="AH3" s="47" t="s">
        <v>98</v>
      </c>
      <c r="AI3" s="46"/>
      <c r="AJ3" s="46"/>
      <c r="AK3" s="46"/>
      <c r="AL3" s="46"/>
      <c r="AM3" s="46"/>
    </row>
    <row r="4" spans="1:39" ht="27.95" customHeight="1" x14ac:dyDescent="0.25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92</v>
      </c>
      <c r="G4" s="1" t="s">
        <v>5</v>
      </c>
      <c r="H4" s="1" t="s">
        <v>6</v>
      </c>
      <c r="I4" s="1" t="s">
        <v>7</v>
      </c>
      <c r="J4" s="1" t="s">
        <v>92</v>
      </c>
      <c r="K4" s="1" t="s">
        <v>5</v>
      </c>
      <c r="L4" s="1" t="s">
        <v>6</v>
      </c>
      <c r="M4" s="1" t="s">
        <v>7</v>
      </c>
      <c r="N4" s="1" t="s">
        <v>92</v>
      </c>
      <c r="O4" s="1" t="s">
        <v>5</v>
      </c>
      <c r="P4" s="1" t="s">
        <v>6</v>
      </c>
      <c r="Q4" s="1" t="s">
        <v>7</v>
      </c>
      <c r="R4" s="1" t="s">
        <v>92</v>
      </c>
      <c r="S4" s="1" t="s">
        <v>5</v>
      </c>
      <c r="T4" s="1" t="s">
        <v>6</v>
      </c>
      <c r="U4" s="1" t="s">
        <v>7</v>
      </c>
      <c r="V4" s="1" t="s">
        <v>8</v>
      </c>
      <c r="W4" s="1" t="s">
        <v>9</v>
      </c>
      <c r="X4" s="1" t="s">
        <v>10</v>
      </c>
      <c r="Y4" s="1" t="s">
        <v>11</v>
      </c>
      <c r="Z4" s="1" t="s">
        <v>12</v>
      </c>
      <c r="AA4" s="1" t="s">
        <v>13</v>
      </c>
      <c r="AB4" s="1" t="s">
        <v>14</v>
      </c>
      <c r="AC4" s="1" t="s">
        <v>15</v>
      </c>
      <c r="AD4" s="1" t="s">
        <v>16</v>
      </c>
      <c r="AE4" s="1" t="s">
        <v>17</v>
      </c>
      <c r="AF4" s="1" t="s">
        <v>18</v>
      </c>
      <c r="AG4" s="1" t="s">
        <v>19</v>
      </c>
      <c r="AH4" s="1" t="s">
        <v>20</v>
      </c>
      <c r="AI4" s="4" t="s">
        <v>99</v>
      </c>
      <c r="AJ4" s="1" t="s">
        <v>21</v>
      </c>
      <c r="AK4" s="1" t="s">
        <v>22</v>
      </c>
      <c r="AL4" s="1" t="s">
        <v>23</v>
      </c>
      <c r="AM4" s="4" t="s">
        <v>100</v>
      </c>
    </row>
    <row r="5" spans="1:39" ht="12.75" customHeight="1" x14ac:dyDescent="0.25">
      <c r="A5" s="31">
        <v>76411</v>
      </c>
      <c r="B5" s="32" t="str">
        <f>IF(A5="","",VLOOKUP(A5,'Employee Database'!A:B,2,FALSE))</f>
        <v>Zubair</v>
      </c>
      <c r="C5" s="31">
        <v>29</v>
      </c>
      <c r="D5" s="31">
        <v>40</v>
      </c>
      <c r="E5" s="31">
        <v>8</v>
      </c>
      <c r="F5" s="39">
        <f>IF(COUNT(C5:E5)=0,0,SUMPRODUCT({5000,1000,500},C5:E5))</f>
        <v>189000</v>
      </c>
      <c r="G5" s="31"/>
      <c r="H5" s="31"/>
      <c r="I5" s="31"/>
      <c r="J5" s="39">
        <f>IF(COUNT(G5:I5)=0,0,SUMPRODUCT({5000,1000,500},G5:I5))</f>
        <v>0</v>
      </c>
      <c r="K5" s="31"/>
      <c r="L5" s="31"/>
      <c r="M5" s="31"/>
      <c r="N5" s="39">
        <f>IF(COUNT(K5:M5)=0,0,SUMPRODUCT({5000,1000,500},K5:M5))</f>
        <v>0</v>
      </c>
      <c r="O5" s="31"/>
      <c r="P5" s="31"/>
      <c r="Q5" s="31"/>
      <c r="R5" s="39">
        <f>IF(COUNT(O5:Q5)=0,0,SUMPRODUCT({5000,1000,500},O5:Q5))</f>
        <v>0</v>
      </c>
      <c r="S5" s="31"/>
      <c r="T5" s="31"/>
      <c r="U5" s="31"/>
      <c r="V5" s="31">
        <v>38</v>
      </c>
      <c r="W5" s="31"/>
      <c r="X5" s="31"/>
      <c r="Y5" s="31"/>
      <c r="Z5" s="31">
        <v>24</v>
      </c>
      <c r="AA5" s="31"/>
      <c r="AB5" s="31"/>
      <c r="AC5" s="31"/>
      <c r="AD5" s="34">
        <f>IF(COUNT(S5:AC5)=0,0,SUMPRODUCT({5000,1000,500,100,75,50,20,10,5,2,1}, S5:AC5))</f>
        <v>4040</v>
      </c>
      <c r="AE5" s="33">
        <v>193131</v>
      </c>
      <c r="AF5" s="24">
        <f>IF(AND(COUNT(C5:E5)=0,COUNT(G5:I5)=0,COUNT(K5:M5)=0,COUNT(O5:Q5)=0,COUNT(S5:AC5)=0,AE5=""),"",(IF(COUNT(C5:E5)=0,0,SUMPRODUCT({5000,1000,500},C5:E5))+IF(COUNT(G5:I5)=0,0,SUMPRODUCT({5000,1000,500},G5:I5))+IF(COUNT(K5:M5)=0,0,SUMPRODUCT({5000,1000,500},K5:M5))+IF(COUNT(O5:Q5)=0,0,SUMPRODUCT({5000,1000,500},O5:Q5))+AD5)-N(AE5))</f>
        <v>-91</v>
      </c>
      <c r="AG5" s="35" t="str">
        <f t="shared" ref="AG5:AG36" si="0">IF(AF5="","",IF(AF5&gt;0,"Excess",IF(AF5&lt;0,"Short","Balanced")))</f>
        <v>Short</v>
      </c>
      <c r="AH5" s="38"/>
      <c r="AI5" s="36">
        <v>619335</v>
      </c>
      <c r="AJ5" s="37">
        <v>619335</v>
      </c>
      <c r="AK5" s="26">
        <f t="shared" ref="AK5:AK18" si="1">IF(AND(AI5="",AJ5=""),"",N(AI5)-N(AJ5))</f>
        <v>0</v>
      </c>
      <c r="AL5" s="25" t="str">
        <f t="shared" ref="AL5:AL18" si="2">IF(AK5="","",IF(AK5&gt;0,"POS Excess",IF(AK5&lt;0,"Bank Short","Matched")))</f>
        <v>Matched</v>
      </c>
      <c r="AM5" s="38"/>
    </row>
    <row r="6" spans="1:39" ht="12.75" customHeight="1" x14ac:dyDescent="0.25">
      <c r="A6" s="31">
        <v>69210</v>
      </c>
      <c r="B6" s="32" t="str">
        <f>IF(A6="","",VLOOKUP(A6,'Employee Database'!A:B,2,FALSE))</f>
        <v>Taha Ashraf</v>
      </c>
      <c r="C6" s="31">
        <v>6</v>
      </c>
      <c r="D6" s="31">
        <v>73</v>
      </c>
      <c r="E6" s="31">
        <v>1</v>
      </c>
      <c r="F6" s="39">
        <f>IF(COUNT(C6:E6)=0,0,SUMPRODUCT({5000,1000,500},C6:E6))</f>
        <v>103500</v>
      </c>
      <c r="G6" s="31"/>
      <c r="H6" s="31"/>
      <c r="I6" s="31"/>
      <c r="J6" s="39">
        <f>IF(COUNT(G6:I6)=0,0,SUMPRODUCT({5000,1000,500},G6:I6))</f>
        <v>0</v>
      </c>
      <c r="K6" s="31"/>
      <c r="L6" s="31"/>
      <c r="M6" s="31"/>
      <c r="N6" s="39">
        <f>IF(COUNT(K6:M6)=0,0,SUMPRODUCT({5000,1000,500},K6:M6))</f>
        <v>0</v>
      </c>
      <c r="O6" s="31"/>
      <c r="P6" s="31"/>
      <c r="Q6" s="31"/>
      <c r="R6" s="39">
        <f>IF(COUNT(O6:Q6)=0,0,SUMPRODUCT({5000,1000,500},O6:Q6))</f>
        <v>0</v>
      </c>
      <c r="S6" s="31"/>
      <c r="T6" s="31"/>
      <c r="U6" s="31"/>
      <c r="V6" s="31">
        <v>78</v>
      </c>
      <c r="W6" s="31"/>
      <c r="X6" s="31">
        <v>2</v>
      </c>
      <c r="Y6" s="31"/>
      <c r="Z6" s="31">
        <v>69</v>
      </c>
      <c r="AA6" s="31"/>
      <c r="AB6" s="31"/>
      <c r="AC6" s="31"/>
      <c r="AD6" s="34">
        <f>IF(COUNT(S6:AC6)=0,0,SUMPRODUCT({5000,1000,500,100,75,50,20,10,5,2,1}, S6:AC6))</f>
        <v>8590</v>
      </c>
      <c r="AE6" s="33">
        <v>112061</v>
      </c>
      <c r="AF6" s="24">
        <f>IF(AND(COUNT(C6:E6)=0,COUNT(G6:I6)=0,COUNT(K6:M6)=0,COUNT(O6:Q6)=0,COUNT(S6:AC6)=0,AE6=""),"",(IF(COUNT(C6:E6)=0,0,SUMPRODUCT({5000,1000,500},C6:E6))+IF(COUNT(G6:I6)=0,0,SUMPRODUCT({5000,1000,500},G6:I6))+IF(COUNT(K6:M6)=0,0,SUMPRODUCT({5000,1000,500},K6:M6))+IF(COUNT(O6:Q6)=0,0,SUMPRODUCT({5000,1000,500},O6:Q6))+AD6)-N(AE6))</f>
        <v>29</v>
      </c>
      <c r="AG6" s="35" t="str">
        <f t="shared" si="0"/>
        <v>Excess</v>
      </c>
      <c r="AH6" s="38"/>
      <c r="AI6" s="36">
        <f>110966+28698</f>
        <v>139664</v>
      </c>
      <c r="AJ6" s="37">
        <f>110966+26805+1893</f>
        <v>139664</v>
      </c>
      <c r="AK6" s="26">
        <f t="shared" si="1"/>
        <v>0</v>
      </c>
      <c r="AL6" s="25" t="str">
        <f t="shared" si="2"/>
        <v>Matched</v>
      </c>
      <c r="AM6" s="38"/>
    </row>
    <row r="7" spans="1:39" ht="12.75" customHeight="1" x14ac:dyDescent="0.25">
      <c r="A7" s="31">
        <v>56189</v>
      </c>
      <c r="B7" s="32" t="str">
        <f>IF(A7="","",VLOOKUP(A7,'Employee Database'!A:B,2,FALSE))</f>
        <v>Iffat Sultan</v>
      </c>
      <c r="C7" s="31">
        <v>2</v>
      </c>
      <c r="D7" s="31">
        <v>36</v>
      </c>
      <c r="E7" s="31">
        <v>5</v>
      </c>
      <c r="F7" s="39">
        <f>IF(COUNT(C7:E7)=0,0,SUMPRODUCT({5000,1000,500},C7:E7))</f>
        <v>48500</v>
      </c>
      <c r="G7" s="31"/>
      <c r="H7" s="31"/>
      <c r="I7" s="31"/>
      <c r="J7" s="39">
        <f>IF(COUNT(G7:I7)=0,0,SUMPRODUCT({5000,1000,500},G7:I7))</f>
        <v>0</v>
      </c>
      <c r="K7" s="31"/>
      <c r="L7" s="31"/>
      <c r="M7" s="31"/>
      <c r="N7" s="39">
        <f>IF(COUNT(K7:M7)=0,0,SUMPRODUCT({5000,1000,500},K7:M7))</f>
        <v>0</v>
      </c>
      <c r="O7" s="31"/>
      <c r="P7" s="31"/>
      <c r="Q7" s="31"/>
      <c r="R7" s="39">
        <f>IF(COUNT(O7:Q7)=0,0,SUMPRODUCT({5000,1000,500},O7:Q7))</f>
        <v>0</v>
      </c>
      <c r="S7" s="31"/>
      <c r="T7" s="31"/>
      <c r="U7" s="31"/>
      <c r="V7" s="31">
        <v>39</v>
      </c>
      <c r="W7" s="31"/>
      <c r="X7" s="31">
        <v>1</v>
      </c>
      <c r="Y7" s="31"/>
      <c r="Z7" s="31"/>
      <c r="AA7" s="31"/>
      <c r="AB7" s="31"/>
      <c r="AC7" s="31"/>
      <c r="AD7" s="34">
        <f>IF(COUNT(S7:AC7)=0,0,SUMPRODUCT({5000,1000,500,100,75,50,20,10,5,2,1}, S7:AC7))</f>
        <v>3950</v>
      </c>
      <c r="AE7" s="33">
        <v>52352</v>
      </c>
      <c r="AF7" s="24">
        <f>IF(AND(COUNT(C7:E7)=0,COUNT(G7:I7)=0,COUNT(K7:M7)=0,COUNT(O7:Q7)=0,COUNT(S7:AC7)=0,AE7=""),"",(IF(COUNT(C7:E7)=0,0,SUMPRODUCT({5000,1000,500},C7:E7))+IF(COUNT(G7:I7)=0,0,SUMPRODUCT({5000,1000,500},G7:I7))+IF(COUNT(K7:M7)=0,0,SUMPRODUCT({5000,1000,500},K7:M7))+IF(COUNT(O7:Q7)=0,0,SUMPRODUCT({5000,1000,500},O7:Q7))+AD7)-N(AE7))</f>
        <v>98</v>
      </c>
      <c r="AG7" s="35" t="str">
        <f t="shared" si="0"/>
        <v>Excess</v>
      </c>
      <c r="AH7" s="38"/>
      <c r="AI7" s="36">
        <v>31792</v>
      </c>
      <c r="AJ7" s="37">
        <f>14728+17063+1</f>
        <v>31792</v>
      </c>
      <c r="AK7" s="26">
        <f t="shared" si="1"/>
        <v>0</v>
      </c>
      <c r="AL7" s="25" t="str">
        <f t="shared" si="2"/>
        <v>Matched</v>
      </c>
      <c r="AM7" s="38"/>
    </row>
    <row r="8" spans="1:39" ht="12.75" customHeight="1" x14ac:dyDescent="0.25">
      <c r="A8" s="31">
        <v>65299</v>
      </c>
      <c r="B8" s="32" t="str">
        <f>IF(A8="","",VLOOKUP(A8,'Employee Database'!A:B,2,FALSE))</f>
        <v>M Faisal</v>
      </c>
      <c r="C8" s="31">
        <v>22</v>
      </c>
      <c r="D8" s="31">
        <v>85</v>
      </c>
      <c r="E8" s="31">
        <v>20</v>
      </c>
      <c r="F8" s="39">
        <f>IF(COUNT(C8:E8)=0,0,SUMPRODUCT({5000,1000,500},C8:E8))</f>
        <v>205000</v>
      </c>
      <c r="G8" s="31"/>
      <c r="H8" s="31"/>
      <c r="I8" s="31"/>
      <c r="J8" s="39">
        <f>IF(COUNT(G8:I8)=0,0,SUMPRODUCT({5000,1000,500},G8:I8))</f>
        <v>0</v>
      </c>
      <c r="K8" s="31"/>
      <c r="L8" s="31"/>
      <c r="M8" s="31"/>
      <c r="N8" s="39">
        <f>IF(COUNT(K8:M8)=0,0,SUMPRODUCT({5000,1000,500},K8:M8))</f>
        <v>0</v>
      </c>
      <c r="O8" s="31"/>
      <c r="P8" s="31"/>
      <c r="Q8" s="31"/>
      <c r="R8" s="39">
        <f>IF(COUNT(O8:Q8)=0,0,SUMPRODUCT({5000,1000,500},O8:Q8))</f>
        <v>0</v>
      </c>
      <c r="S8" s="31"/>
      <c r="T8" s="31"/>
      <c r="U8" s="31"/>
      <c r="V8" s="31">
        <v>83</v>
      </c>
      <c r="W8" s="31"/>
      <c r="X8" s="31"/>
      <c r="Y8" s="31"/>
      <c r="Z8" s="31">
        <v>65</v>
      </c>
      <c r="AA8" s="31"/>
      <c r="AB8" s="31"/>
      <c r="AC8" s="31"/>
      <c r="AD8" s="34">
        <f>IF(COUNT(S8:AC8)=0,0,SUMPRODUCT({5000,1000,500,100,75,50,20,10,5,2,1}, S8:AC8))</f>
        <v>8950</v>
      </c>
      <c r="AE8" s="33">
        <v>213954</v>
      </c>
      <c r="AF8" s="24">
        <f>IF(AND(COUNT(C8:E8)=0,COUNT(G8:I8)=0,COUNT(K8:M8)=0,COUNT(O8:Q8)=0,COUNT(S8:AC8)=0,AE8=""),"",(IF(COUNT(C8:E8)=0,0,SUMPRODUCT({5000,1000,500},C8:E8))+IF(COUNT(G8:I8)=0,0,SUMPRODUCT({5000,1000,500},G8:I8))+IF(COUNT(K8:M8)=0,0,SUMPRODUCT({5000,1000,500},K8:M8))+IF(COUNT(O8:Q8)=0,0,SUMPRODUCT({5000,1000,500},O8:Q8))+AD8)-N(AE8))</f>
        <v>-4</v>
      </c>
      <c r="AG8" s="35" t="str">
        <f t="shared" si="0"/>
        <v>Short</v>
      </c>
      <c r="AH8" s="38"/>
      <c r="AI8" s="36">
        <v>922123</v>
      </c>
      <c r="AJ8" s="37">
        <f>255200+666922+1</f>
        <v>922123</v>
      </c>
      <c r="AK8" s="26">
        <f t="shared" si="1"/>
        <v>0</v>
      </c>
      <c r="AL8" s="25" t="str">
        <f t="shared" si="2"/>
        <v>Matched</v>
      </c>
      <c r="AM8" s="38"/>
    </row>
    <row r="9" spans="1:39" ht="12.75" customHeight="1" x14ac:dyDescent="0.25">
      <c r="A9" s="31">
        <v>67249</v>
      </c>
      <c r="B9" s="32" t="str">
        <f>IF(A9="","",VLOOKUP(A9,'Employee Database'!A:B,2,FALSE))</f>
        <v>Hanan Javaid</v>
      </c>
      <c r="C9" s="31">
        <v>18</v>
      </c>
      <c r="D9" s="31">
        <v>87</v>
      </c>
      <c r="E9" s="31">
        <v>47</v>
      </c>
      <c r="F9" s="39">
        <f>IF(COUNT(C9:E9)=0,0,SUMPRODUCT({5000,1000,500},C9:E9))</f>
        <v>200500</v>
      </c>
      <c r="G9" s="31"/>
      <c r="H9" s="31"/>
      <c r="I9" s="31"/>
      <c r="J9" s="39">
        <f>IF(COUNT(G9:I9)=0,0,SUMPRODUCT({5000,1000,500},G9:I9))</f>
        <v>0</v>
      </c>
      <c r="K9" s="31"/>
      <c r="L9" s="31"/>
      <c r="M9" s="31"/>
      <c r="N9" s="39">
        <f>IF(COUNT(K9:M9)=0,0,SUMPRODUCT({5000,1000,500},K9:M9))</f>
        <v>0</v>
      </c>
      <c r="O9" s="31"/>
      <c r="P9" s="31"/>
      <c r="Q9" s="31"/>
      <c r="R9" s="39">
        <f>IF(COUNT(O9:Q9)=0,0,SUMPRODUCT({5000,1000,500},O9:Q9))</f>
        <v>0</v>
      </c>
      <c r="S9" s="31"/>
      <c r="T9" s="31"/>
      <c r="U9" s="31"/>
      <c r="V9" s="31">
        <v>85</v>
      </c>
      <c r="W9" s="31"/>
      <c r="X9" s="31">
        <v>6</v>
      </c>
      <c r="Y9" s="31"/>
      <c r="Z9" s="31">
        <v>103</v>
      </c>
      <c r="AA9" s="31"/>
      <c r="AB9" s="31"/>
      <c r="AC9" s="31"/>
      <c r="AD9" s="34">
        <f>IF(COUNT(S9:AC9)=0,0,SUMPRODUCT({5000,1000,500,100,75,50,20,10,5,2,1}, S9:AC9))</f>
        <v>9830</v>
      </c>
      <c r="AE9" s="33">
        <v>210359</v>
      </c>
      <c r="AF9" s="24">
        <f>IF(AND(COUNT(C9:E9)=0,COUNT(G9:I9)=0,COUNT(K9:M9)=0,COUNT(O9:Q9)=0,COUNT(S9:AC9)=0,AE9=""),"",(IF(COUNT(C9:E9)=0,0,SUMPRODUCT({5000,1000,500},C9:E9))+IF(COUNT(G9:I9)=0,0,SUMPRODUCT({5000,1000,500},G9:I9))+IF(COUNT(K9:M9)=0,0,SUMPRODUCT({5000,1000,500},K9:M9))+IF(COUNT(O9:Q9)=0,0,SUMPRODUCT({5000,1000,500},O9:Q9))+AD9)-N(AE9))</f>
        <v>-29</v>
      </c>
      <c r="AG9" s="35" t="str">
        <f t="shared" si="0"/>
        <v>Short</v>
      </c>
      <c r="AH9" s="38"/>
      <c r="AI9" s="36">
        <f>111585+408630</f>
        <v>520215</v>
      </c>
      <c r="AJ9" s="37">
        <f>408630+105490+6095</f>
        <v>520215</v>
      </c>
      <c r="AK9" s="26">
        <f t="shared" si="1"/>
        <v>0</v>
      </c>
      <c r="AL9" s="25" t="str">
        <f t="shared" si="2"/>
        <v>Matched</v>
      </c>
      <c r="AM9" s="38"/>
    </row>
    <row r="10" spans="1:39" ht="12.75" customHeight="1" x14ac:dyDescent="0.25">
      <c r="A10" s="31">
        <v>58112</v>
      </c>
      <c r="B10" s="32" t="str">
        <f>IF(A10="","",VLOOKUP(A10,'Employee Database'!A:B,2,FALSE))</f>
        <v>Shama</v>
      </c>
      <c r="C10" s="31">
        <v>68</v>
      </c>
      <c r="D10" s="31">
        <v>78</v>
      </c>
      <c r="E10" s="31">
        <v>33</v>
      </c>
      <c r="F10" s="39">
        <f>IF(COUNT(C10:E10)=0,0,SUMPRODUCT({5000,1000,500},C10:E10))</f>
        <v>434500</v>
      </c>
      <c r="G10" s="31"/>
      <c r="H10" s="31"/>
      <c r="I10" s="31"/>
      <c r="J10" s="39">
        <f>IF(COUNT(G10:I10)=0,0,SUMPRODUCT({5000,1000,500},G10:I10))</f>
        <v>0</v>
      </c>
      <c r="K10" s="31"/>
      <c r="L10" s="31"/>
      <c r="M10" s="31"/>
      <c r="N10" s="39">
        <f>IF(COUNT(K10:M10)=0,0,SUMPRODUCT({5000,1000,500},K10:M10))</f>
        <v>0</v>
      </c>
      <c r="O10" s="31"/>
      <c r="P10" s="31"/>
      <c r="Q10" s="31"/>
      <c r="R10" s="39">
        <f>IF(COUNT(O10:Q10)=0,0,SUMPRODUCT({5000,1000,500},O10:Q10))</f>
        <v>0</v>
      </c>
      <c r="S10" s="31"/>
      <c r="T10" s="31"/>
      <c r="U10" s="31"/>
      <c r="V10" s="31">
        <v>55</v>
      </c>
      <c r="W10" s="31"/>
      <c r="X10" s="31">
        <v>18</v>
      </c>
      <c r="Y10" s="31"/>
      <c r="Z10" s="31">
        <v>18</v>
      </c>
      <c r="AA10" s="31"/>
      <c r="AB10" s="31"/>
      <c r="AC10" s="31"/>
      <c r="AD10" s="34">
        <f>IF(COUNT(S10:AC10)=0,0,SUMPRODUCT({5000,1000,500,100,75,50,20,10,5,2,1}, S10:AC10))</f>
        <v>6580</v>
      </c>
      <c r="AE10" s="33">
        <v>441143</v>
      </c>
      <c r="AF10" s="24">
        <f>IF(AND(COUNT(C10:E10)=0,COUNT(G10:I10)=0,COUNT(K10:M10)=0,COUNT(O10:Q10)=0,COUNT(S10:AC10)=0,AE10=""),"",(IF(COUNT(C10:E10)=0,0,SUMPRODUCT({5000,1000,500},C10:E10))+IF(COUNT(G10:I10)=0,0,SUMPRODUCT({5000,1000,500},G10:I10))+IF(COUNT(K10:M10)=0,0,SUMPRODUCT({5000,1000,500},K10:M10))+IF(COUNT(O10:Q10)=0,0,SUMPRODUCT({5000,1000,500},O10:Q10))+AD10)-N(AE10))</f>
        <v>-63</v>
      </c>
      <c r="AG10" s="35" t="str">
        <f t="shared" si="0"/>
        <v>Short</v>
      </c>
      <c r="AH10" s="38"/>
      <c r="AI10" s="36">
        <v>1027100</v>
      </c>
      <c r="AJ10" s="37">
        <f>579520+447580</f>
        <v>1027100</v>
      </c>
      <c r="AK10" s="26">
        <f t="shared" si="1"/>
        <v>0</v>
      </c>
      <c r="AL10" s="25" t="str">
        <f t="shared" si="2"/>
        <v>Matched</v>
      </c>
      <c r="AM10" s="38"/>
    </row>
    <row r="11" spans="1:39" ht="12.75" customHeight="1" x14ac:dyDescent="0.25">
      <c r="A11" s="31">
        <v>68107</v>
      </c>
      <c r="B11" s="32" t="str">
        <f>IF(A11="","",VLOOKUP(A11,'Employee Database'!A:B,2,FALSE))</f>
        <v>M Harris</v>
      </c>
      <c r="C11" s="31">
        <v>81</v>
      </c>
      <c r="D11" s="31">
        <v>38</v>
      </c>
      <c r="E11" s="31">
        <v>2</v>
      </c>
      <c r="F11" s="39">
        <f>IF(COUNT(C11:E11)=0,0,SUMPRODUCT({5000,1000,500},C11:E11))</f>
        <v>444000</v>
      </c>
      <c r="G11" s="31"/>
      <c r="H11" s="31"/>
      <c r="I11" s="31"/>
      <c r="J11" s="39">
        <f>IF(COUNT(G11:I11)=0,0,SUMPRODUCT({5000,1000,500},G11:I11))</f>
        <v>0</v>
      </c>
      <c r="K11" s="31"/>
      <c r="L11" s="31"/>
      <c r="M11" s="31"/>
      <c r="N11" s="39">
        <f>IF(COUNT(K11:M11)=0,0,SUMPRODUCT({5000,1000,500},K11:M11))</f>
        <v>0</v>
      </c>
      <c r="O11" s="31"/>
      <c r="P11" s="31"/>
      <c r="Q11" s="31"/>
      <c r="R11" s="39">
        <f>IF(COUNT(O11:Q11)=0,0,SUMPRODUCT({5000,1000,500},O11:Q11))</f>
        <v>0</v>
      </c>
      <c r="S11" s="31"/>
      <c r="T11" s="31"/>
      <c r="U11" s="31"/>
      <c r="V11" s="31">
        <v>6</v>
      </c>
      <c r="W11" s="31"/>
      <c r="X11" s="31"/>
      <c r="Y11" s="31"/>
      <c r="Z11" s="31">
        <v>13</v>
      </c>
      <c r="AA11" s="31"/>
      <c r="AB11" s="31"/>
      <c r="AC11" s="31"/>
      <c r="AD11" s="34">
        <f>IF(COUNT(S11:AC11)=0,0,SUMPRODUCT({5000,1000,500,100,75,50,20,10,5,2,1}, S11:AC11))</f>
        <v>730</v>
      </c>
      <c r="AE11" s="33">
        <v>444667</v>
      </c>
      <c r="AF11" s="24">
        <f>IF(AND(COUNT(C11:E11)=0,COUNT(G11:I11)=0,COUNT(K11:M11)=0,COUNT(O11:Q11)=0,COUNT(S11:AC11)=0,AE11=""),"",(IF(COUNT(C11:E11)=0,0,SUMPRODUCT({5000,1000,500},C11:E11))+IF(COUNT(G11:I11)=0,0,SUMPRODUCT({5000,1000,500},G11:I11))+IF(COUNT(K11:M11)=0,0,SUMPRODUCT({5000,1000,500},K11:M11))+IF(COUNT(O11:Q11)=0,0,SUMPRODUCT({5000,1000,500},O11:Q11))+AD11)-N(AE11))</f>
        <v>63</v>
      </c>
      <c r="AG11" s="35" t="str">
        <f t="shared" si="0"/>
        <v>Excess</v>
      </c>
      <c r="AH11" s="38"/>
      <c r="AI11" s="36">
        <v>986647</v>
      </c>
      <c r="AJ11" s="37">
        <f>118023+868624</f>
        <v>986647</v>
      </c>
      <c r="AK11" s="26">
        <f t="shared" si="1"/>
        <v>0</v>
      </c>
      <c r="AL11" s="25" t="str">
        <f t="shared" si="2"/>
        <v>Matched</v>
      </c>
      <c r="AM11" s="38"/>
    </row>
    <row r="12" spans="1:39" ht="12.75" customHeight="1" x14ac:dyDescent="0.25">
      <c r="A12" s="31">
        <v>77423</v>
      </c>
      <c r="B12" s="32" t="str">
        <f>IF(A12="","",VLOOKUP(A12,'Employee Database'!A:B,2,FALSE))</f>
        <v>Shoaib Akhtar</v>
      </c>
      <c r="C12" s="31">
        <v>47</v>
      </c>
      <c r="D12" s="31">
        <v>94</v>
      </c>
      <c r="E12" s="31">
        <v>54</v>
      </c>
      <c r="F12" s="39">
        <f>IF(COUNT(C12:E12)=0,0,SUMPRODUCT({5000,1000,500},C12:E12))</f>
        <v>356000</v>
      </c>
      <c r="G12" s="31"/>
      <c r="H12" s="31"/>
      <c r="I12" s="31"/>
      <c r="J12" s="39">
        <f>IF(COUNT(G12:I12)=0,0,SUMPRODUCT({5000,1000,500},G12:I12))</f>
        <v>0</v>
      </c>
      <c r="K12" s="31"/>
      <c r="L12" s="31"/>
      <c r="M12" s="31"/>
      <c r="N12" s="39">
        <f>IF(COUNT(K12:M12)=0,0,SUMPRODUCT({5000,1000,500},K12:M12))</f>
        <v>0</v>
      </c>
      <c r="O12" s="31"/>
      <c r="P12" s="31"/>
      <c r="Q12" s="31"/>
      <c r="R12" s="39">
        <f>IF(COUNT(O12:Q12)=0,0,SUMPRODUCT({5000,1000,500},O12:Q12))</f>
        <v>0</v>
      </c>
      <c r="S12" s="31"/>
      <c r="T12" s="31"/>
      <c r="U12" s="31"/>
      <c r="V12" s="31">
        <v>69</v>
      </c>
      <c r="W12" s="31"/>
      <c r="X12" s="31">
        <v>4</v>
      </c>
      <c r="Y12" s="31"/>
      <c r="Z12" s="31">
        <v>34</v>
      </c>
      <c r="AA12" s="31"/>
      <c r="AB12" s="31"/>
      <c r="AC12" s="31"/>
      <c r="AD12" s="34">
        <f>IF(COUNT(S12:AC12)=0,0,SUMPRODUCT({5000,1000,500,100,75,50,20,10,5,2,1}, S12:AC12))</f>
        <v>7440</v>
      </c>
      <c r="AE12" s="33">
        <v>363428</v>
      </c>
      <c r="AF12" s="24">
        <f>IF(AND(COUNT(C12:E12)=0,COUNT(G12:I12)=0,COUNT(K12:M12)=0,COUNT(O12:Q12)=0,COUNT(S12:AC12)=0,AE12=""),"",(IF(COUNT(C12:E12)=0,0,SUMPRODUCT({5000,1000,500},C12:E12))+IF(COUNT(G12:I12)=0,0,SUMPRODUCT({5000,1000,500},G12:I12))+IF(COUNT(K12:M12)=0,0,SUMPRODUCT({5000,1000,500},K12:M12))+IF(COUNT(O12:Q12)=0,0,SUMPRODUCT({5000,1000,500},O12:Q12))+AD12)-N(AE12))</f>
        <v>12</v>
      </c>
      <c r="AG12" s="35" t="str">
        <f t="shared" si="0"/>
        <v>Excess</v>
      </c>
      <c r="AH12" s="38"/>
      <c r="AI12" s="36">
        <v>649002</v>
      </c>
      <c r="AJ12" s="37">
        <f>241877+407125</f>
        <v>649002</v>
      </c>
      <c r="AK12" s="26">
        <f t="shared" si="1"/>
        <v>0</v>
      </c>
      <c r="AL12" s="25" t="str">
        <f t="shared" si="2"/>
        <v>Matched</v>
      </c>
      <c r="AM12" s="38"/>
    </row>
    <row r="13" spans="1:39" ht="12.75" customHeight="1" x14ac:dyDescent="0.25">
      <c r="A13" s="31">
        <v>73196</v>
      </c>
      <c r="B13" s="32" t="str">
        <f>IF(A13="","",VLOOKUP(A13,'Employee Database'!A:B,2,FALSE))</f>
        <v>Asma</v>
      </c>
      <c r="C13" s="31">
        <v>52</v>
      </c>
      <c r="D13" s="31">
        <v>209</v>
      </c>
      <c r="E13" s="31">
        <v>26</v>
      </c>
      <c r="F13" s="39">
        <f>IF(COUNT(C13:E13)=0,0,SUMPRODUCT({5000,1000,500},C13:E13))</f>
        <v>482000</v>
      </c>
      <c r="G13" s="31"/>
      <c r="H13" s="31"/>
      <c r="I13" s="31"/>
      <c r="J13" s="39">
        <f>IF(COUNT(G13:I13)=0,0,SUMPRODUCT({5000,1000,500},G13:I13))</f>
        <v>0</v>
      </c>
      <c r="K13" s="31"/>
      <c r="L13" s="31"/>
      <c r="M13" s="31"/>
      <c r="N13" s="39">
        <f>IF(COUNT(K13:M13)=0,0,SUMPRODUCT({5000,1000,500},K13:M13))</f>
        <v>0</v>
      </c>
      <c r="O13" s="31"/>
      <c r="P13" s="31"/>
      <c r="Q13" s="31"/>
      <c r="R13" s="39">
        <f>IF(COUNT(O13:Q13)=0,0,SUMPRODUCT({5000,1000,500},O13:Q13))</f>
        <v>0</v>
      </c>
      <c r="S13" s="31"/>
      <c r="T13" s="31"/>
      <c r="U13" s="31"/>
      <c r="V13" s="31">
        <v>20</v>
      </c>
      <c r="W13" s="31"/>
      <c r="X13" s="31">
        <v>1</v>
      </c>
      <c r="Y13" s="31"/>
      <c r="Z13" s="31">
        <v>5</v>
      </c>
      <c r="AA13" s="31"/>
      <c r="AB13" s="31"/>
      <c r="AC13" s="31"/>
      <c r="AD13" s="34">
        <f>IF(COUNT(S13:AC13)=0,0,SUMPRODUCT({5000,1000,500,100,75,50,20,10,5,2,1}, S13:AC13))</f>
        <v>2100</v>
      </c>
      <c r="AE13" s="33">
        <v>484083</v>
      </c>
      <c r="AF13" s="24">
        <f>IF(AND(COUNT(C13:E13)=0,COUNT(G13:I13)=0,COUNT(K13:M13)=0,COUNT(O13:Q13)=0,COUNT(S13:AC13)=0,AE13=""),"",(IF(COUNT(C13:E13)=0,0,SUMPRODUCT({5000,1000,500},C13:E13))+IF(COUNT(G13:I13)=0,0,SUMPRODUCT({5000,1000,500},G13:I13))+IF(COUNT(K13:M13)=0,0,SUMPRODUCT({5000,1000,500},K13:M13))+IF(COUNT(O13:Q13)=0,0,SUMPRODUCT({5000,1000,500},O13:Q13))+AD13)-N(AE13))</f>
        <v>17</v>
      </c>
      <c r="AG13" s="35" t="str">
        <f t="shared" si="0"/>
        <v>Excess</v>
      </c>
      <c r="AH13" s="38"/>
      <c r="AI13" s="36">
        <v>871460</v>
      </c>
      <c r="AJ13" s="37">
        <f>340335+531124+1</f>
        <v>871460</v>
      </c>
      <c r="AK13" s="26">
        <f t="shared" si="1"/>
        <v>0</v>
      </c>
      <c r="AL13" s="25" t="str">
        <f t="shared" si="2"/>
        <v>Matched</v>
      </c>
      <c r="AM13" s="38"/>
    </row>
    <row r="14" spans="1:39" ht="12.75" customHeight="1" x14ac:dyDescent="0.25">
      <c r="A14" s="31">
        <v>59257</v>
      </c>
      <c r="B14" s="32" t="str">
        <f>IF(A14="","",VLOOKUP(A14,'Employee Database'!A:B,2,FALSE))</f>
        <v>Saddiqa Maryam</v>
      </c>
      <c r="C14" s="31">
        <v>42</v>
      </c>
      <c r="D14" s="31">
        <v>68</v>
      </c>
      <c r="E14" s="31">
        <v>1</v>
      </c>
      <c r="F14" s="39">
        <f>IF(COUNT(C14:E14)=0,0,SUMPRODUCT({5000,1000,500},C14:E14))</f>
        <v>278500</v>
      </c>
      <c r="G14" s="31"/>
      <c r="H14" s="31"/>
      <c r="I14" s="31"/>
      <c r="J14" s="39">
        <f>IF(COUNT(G14:I14)=0,0,SUMPRODUCT({5000,1000,500},G14:I14))</f>
        <v>0</v>
      </c>
      <c r="K14" s="31"/>
      <c r="L14" s="31"/>
      <c r="M14" s="31"/>
      <c r="N14" s="39">
        <f>IF(COUNT(K14:M14)=0,0,SUMPRODUCT({5000,1000,500},K14:M14))</f>
        <v>0</v>
      </c>
      <c r="O14" s="31"/>
      <c r="P14" s="31"/>
      <c r="Q14" s="31"/>
      <c r="R14" s="39">
        <f>IF(COUNT(O14:Q14)=0,0,SUMPRODUCT({5000,1000,500},O14:Q14))</f>
        <v>0</v>
      </c>
      <c r="S14" s="31"/>
      <c r="T14" s="31"/>
      <c r="U14" s="31"/>
      <c r="V14" s="31">
        <v>31</v>
      </c>
      <c r="W14" s="31"/>
      <c r="X14" s="31"/>
      <c r="Y14" s="31"/>
      <c r="Z14" s="31">
        <v>6</v>
      </c>
      <c r="AA14" s="31"/>
      <c r="AB14" s="31"/>
      <c r="AC14" s="31"/>
      <c r="AD14" s="34">
        <f>IF(COUNT(S14:AC14)=0,0,SUMPRODUCT({5000,1000,500,100,75,50,20,10,5,2,1}, S14:AC14))</f>
        <v>3160</v>
      </c>
      <c r="AE14" s="33">
        <v>281916</v>
      </c>
      <c r="AF14" s="24">
        <f>IF(AND(COUNT(C14:E14)=0,COUNT(G14:I14)=0,COUNT(K14:M14)=0,COUNT(O14:Q14)=0,COUNT(S14:AC14)=0,AE14=""),"",(IF(COUNT(C14:E14)=0,0,SUMPRODUCT({5000,1000,500},C14:E14))+IF(COUNT(G14:I14)=0,0,SUMPRODUCT({5000,1000,500},G14:I14))+IF(COUNT(K14:M14)=0,0,SUMPRODUCT({5000,1000,500},K14:M14))+IF(COUNT(O14:Q14)=0,0,SUMPRODUCT({5000,1000,500},O14:Q14))+AD14)-N(AE14))</f>
        <v>-256</v>
      </c>
      <c r="AG14" s="35" t="str">
        <f t="shared" si="0"/>
        <v>Short</v>
      </c>
      <c r="AH14" s="38"/>
      <c r="AI14" s="36">
        <v>366712</v>
      </c>
      <c r="AJ14" s="37">
        <f>207128+159584</f>
        <v>366712</v>
      </c>
      <c r="AK14" s="26">
        <f t="shared" si="1"/>
        <v>0</v>
      </c>
      <c r="AL14" s="25" t="str">
        <f t="shared" si="2"/>
        <v>Matched</v>
      </c>
      <c r="AM14" s="38"/>
    </row>
    <row r="15" spans="1:39" ht="12.75" customHeight="1" x14ac:dyDescent="0.25">
      <c r="A15" s="31">
        <v>72873</v>
      </c>
      <c r="B15" s="32" t="str">
        <f>IF(A15="","",VLOOKUP(A15,'Employee Database'!A:B,2,FALSE))</f>
        <v>M Shajee</v>
      </c>
      <c r="C15" s="31">
        <v>13</v>
      </c>
      <c r="D15" s="31">
        <v>2</v>
      </c>
      <c r="E15" s="31">
        <v>3</v>
      </c>
      <c r="F15" s="39">
        <f>IF(COUNT(C15:E15)=0,0,SUMPRODUCT({5000,1000,500},C15:E15))</f>
        <v>68500</v>
      </c>
      <c r="G15" s="31"/>
      <c r="H15" s="31"/>
      <c r="I15" s="31"/>
      <c r="J15" s="39">
        <f>IF(COUNT(G15:I15)=0,0,SUMPRODUCT({5000,1000,500},G15:I15))</f>
        <v>0</v>
      </c>
      <c r="K15" s="31"/>
      <c r="L15" s="31"/>
      <c r="M15" s="31"/>
      <c r="N15" s="39">
        <f>IF(COUNT(K15:M15)=0,0,SUMPRODUCT({5000,1000,500},K15:M15))</f>
        <v>0</v>
      </c>
      <c r="O15" s="31"/>
      <c r="P15" s="31"/>
      <c r="Q15" s="31"/>
      <c r="R15" s="39">
        <f>IF(COUNT(O15:Q15)=0,0,SUMPRODUCT({5000,1000,500},O15:Q15))</f>
        <v>0</v>
      </c>
      <c r="S15" s="31"/>
      <c r="T15" s="31"/>
      <c r="U15" s="31"/>
      <c r="V15" s="31">
        <v>74</v>
      </c>
      <c r="W15" s="31"/>
      <c r="X15" s="31"/>
      <c r="Y15" s="31">
        <v>1</v>
      </c>
      <c r="Z15" s="31">
        <v>27</v>
      </c>
      <c r="AA15" s="31"/>
      <c r="AB15" s="31"/>
      <c r="AC15" s="31"/>
      <c r="AD15" s="34">
        <f>IF(COUNT(S15:AC15)=0,0,SUMPRODUCT({5000,1000,500,100,75,50,20,10,5,2,1}, S15:AC15))</f>
        <v>7690</v>
      </c>
      <c r="AE15" s="33">
        <v>76149</v>
      </c>
      <c r="AF15" s="24">
        <f>IF(AND(COUNT(C15:E15)=0,COUNT(G15:I15)=0,COUNT(K15:M15)=0,COUNT(O15:Q15)=0,COUNT(S15:AC15)=0,AE15=""),"",(IF(COUNT(C15:E15)=0,0,SUMPRODUCT({5000,1000,500},C15:E15))+IF(COUNT(G15:I15)=0,0,SUMPRODUCT({5000,1000,500},G15:I15))+IF(COUNT(K15:M15)=0,0,SUMPRODUCT({5000,1000,500},K15:M15))+IF(COUNT(O15:Q15)=0,0,SUMPRODUCT({5000,1000,500},O15:Q15))+AD15)-N(AE15))</f>
        <v>41</v>
      </c>
      <c r="AG15" s="35" t="str">
        <f t="shared" si="0"/>
        <v>Excess</v>
      </c>
      <c r="AH15" s="38"/>
      <c r="AI15" s="36">
        <v>125347</v>
      </c>
      <c r="AJ15" s="37">
        <v>125347</v>
      </c>
      <c r="AK15" s="26">
        <f t="shared" si="1"/>
        <v>0</v>
      </c>
      <c r="AL15" s="25" t="str">
        <f t="shared" si="2"/>
        <v>Matched</v>
      </c>
      <c r="AM15" s="38"/>
    </row>
    <row r="16" spans="1:39" ht="12.75" customHeight="1" x14ac:dyDescent="0.25">
      <c r="A16" s="31">
        <v>57653</v>
      </c>
      <c r="B16" s="32" t="str">
        <f>IF(A16="","",VLOOKUP(A16,'Employee Database'!A:B,2,FALSE))</f>
        <v>Amanat ali</v>
      </c>
      <c r="C16" s="31">
        <v>79</v>
      </c>
      <c r="D16" s="31">
        <v>81</v>
      </c>
      <c r="E16" s="31"/>
      <c r="F16" s="39">
        <f>IF(COUNT(C16:E16)=0,0,SUMPRODUCT({5000,1000,500},C16:E16))</f>
        <v>476000</v>
      </c>
      <c r="G16" s="31"/>
      <c r="H16" s="31"/>
      <c r="I16" s="31"/>
      <c r="J16" s="39">
        <f>IF(COUNT(G16:I16)=0,0,SUMPRODUCT({5000,1000,500},G16:I16))</f>
        <v>0</v>
      </c>
      <c r="K16" s="31"/>
      <c r="L16" s="31"/>
      <c r="M16" s="31"/>
      <c r="N16" s="39">
        <f>IF(COUNT(K16:M16)=0,0,SUMPRODUCT({5000,1000,500},K16:M16))</f>
        <v>0</v>
      </c>
      <c r="O16" s="31"/>
      <c r="P16" s="31"/>
      <c r="Q16" s="31"/>
      <c r="R16" s="39">
        <f>IF(COUNT(O16:Q16)=0,0,SUMPRODUCT({5000,1000,500},O16:Q16))</f>
        <v>0</v>
      </c>
      <c r="S16" s="31"/>
      <c r="T16" s="31"/>
      <c r="U16" s="31"/>
      <c r="V16" s="31">
        <v>17</v>
      </c>
      <c r="W16" s="31"/>
      <c r="X16" s="31">
        <v>1</v>
      </c>
      <c r="Y16" s="31"/>
      <c r="Z16" s="31">
        <v>44</v>
      </c>
      <c r="AA16" s="31"/>
      <c r="AB16" s="31"/>
      <c r="AC16" s="31"/>
      <c r="AD16" s="34">
        <f>IF(COUNT(S16:AC16)=0,0,SUMPRODUCT({5000,1000,500,100,75,50,20,10,5,2,1}, S16:AC16))</f>
        <v>2190</v>
      </c>
      <c r="AE16" s="33">
        <v>478082</v>
      </c>
      <c r="AF16" s="24">
        <f>IF(AND(COUNT(C16:E16)=0,COUNT(G16:I16)=0,COUNT(K16:M16)=0,COUNT(O16:Q16)=0,COUNT(S16:AC16)=0,AE16=""),"",(IF(COUNT(C16:E16)=0,0,SUMPRODUCT({5000,1000,500},C16:E16))+IF(COUNT(G16:I16)=0,0,SUMPRODUCT({5000,1000,500},G16:I16))+IF(COUNT(K16:M16)=0,0,SUMPRODUCT({5000,1000,500},K16:M16))+IF(COUNT(O16:Q16)=0,0,SUMPRODUCT({5000,1000,500},O16:Q16))+AD16)-N(AE16))</f>
        <v>108</v>
      </c>
      <c r="AG16" s="35" t="str">
        <f t="shared" si="0"/>
        <v>Excess</v>
      </c>
      <c r="AH16" s="38"/>
      <c r="AI16" s="36">
        <v>1089112</v>
      </c>
      <c r="AJ16" s="37">
        <f>1089112</f>
        <v>1089112</v>
      </c>
      <c r="AK16" s="26">
        <f t="shared" si="1"/>
        <v>0</v>
      </c>
      <c r="AL16" s="25" t="str">
        <f t="shared" si="2"/>
        <v>Matched</v>
      </c>
      <c r="AM16" s="38"/>
    </row>
    <row r="17" spans="1:39" ht="12.75" customHeight="1" x14ac:dyDescent="0.25">
      <c r="A17" s="31">
        <v>63854</v>
      </c>
      <c r="B17" s="32" t="str">
        <f>IF(A17="","",VLOOKUP(A17,'Employee Database'!A:B,2,FALSE))</f>
        <v>Maham</v>
      </c>
      <c r="C17" s="31">
        <v>59</v>
      </c>
      <c r="D17" s="31">
        <v>122</v>
      </c>
      <c r="E17" s="31">
        <v>4</v>
      </c>
      <c r="F17" s="39">
        <f>IF(COUNT(C17:E17)=0,0,SUMPRODUCT({5000,1000,500},C17:E17))</f>
        <v>419000</v>
      </c>
      <c r="G17" s="31"/>
      <c r="H17" s="31"/>
      <c r="I17" s="31"/>
      <c r="J17" s="39">
        <f>IF(COUNT(G17:I17)=0,0,SUMPRODUCT({5000,1000,500},G17:I17))</f>
        <v>0</v>
      </c>
      <c r="K17" s="31"/>
      <c r="L17" s="31"/>
      <c r="M17" s="31"/>
      <c r="N17" s="39">
        <f>IF(COUNT(K17:M17)=0,0,SUMPRODUCT({5000,1000,500},K17:M17))</f>
        <v>0</v>
      </c>
      <c r="O17" s="31"/>
      <c r="P17" s="31"/>
      <c r="Q17" s="31"/>
      <c r="R17" s="39">
        <f>IF(COUNT(O17:Q17)=0,0,SUMPRODUCT({5000,1000,500},O17:Q17))</f>
        <v>0</v>
      </c>
      <c r="S17" s="31"/>
      <c r="T17" s="31"/>
      <c r="U17" s="31"/>
      <c r="V17" s="31"/>
      <c r="W17" s="31"/>
      <c r="X17" s="31"/>
      <c r="Y17" s="31"/>
      <c r="Z17" s="31">
        <v>8</v>
      </c>
      <c r="AA17" s="31"/>
      <c r="AB17" s="31"/>
      <c r="AC17" s="31"/>
      <c r="AD17" s="34">
        <f>IF(COUNT(S17:AC17)=0,0,SUMPRODUCT({5000,1000,500,100,75,50,20,10,5,2,1}, S17:AC17))</f>
        <v>80</v>
      </c>
      <c r="AE17" s="33">
        <v>419150</v>
      </c>
      <c r="AF17" s="24">
        <f>IF(AND(COUNT(C17:E17)=0,COUNT(G17:I17)=0,COUNT(K17:M17)=0,COUNT(O17:Q17)=0,COUNT(S17:AC17)=0,AE17=""),"",(IF(COUNT(C17:E17)=0,0,SUMPRODUCT({5000,1000,500},C17:E17))+IF(COUNT(G17:I17)=0,0,SUMPRODUCT({5000,1000,500},G17:I17))+IF(COUNT(K17:M17)=0,0,SUMPRODUCT({5000,1000,500},K17:M17))+IF(COUNT(O17:Q17)=0,0,SUMPRODUCT({5000,1000,500},O17:Q17))+AD17)-N(AE17))</f>
        <v>-70</v>
      </c>
      <c r="AG17" s="35" t="str">
        <f t="shared" si="0"/>
        <v>Short</v>
      </c>
      <c r="AH17" s="38"/>
      <c r="AI17" s="36">
        <f>920+847529</f>
        <v>848449</v>
      </c>
      <c r="AJ17" s="37">
        <f>344355+920+503173+1</f>
        <v>848449</v>
      </c>
      <c r="AK17" s="26">
        <f t="shared" si="1"/>
        <v>0</v>
      </c>
      <c r="AL17" s="25" t="str">
        <f t="shared" si="2"/>
        <v>Matched</v>
      </c>
      <c r="AM17" s="38"/>
    </row>
    <row r="18" spans="1:39" ht="12.75" customHeight="1" x14ac:dyDescent="0.25">
      <c r="A18" s="31">
        <v>73679</v>
      </c>
      <c r="B18" s="32" t="str">
        <f>IF(A18="","",VLOOKUP(A18,'Employee Database'!A:B,2,FALSE))</f>
        <v>Imran Waqar</v>
      </c>
      <c r="C18" s="31"/>
      <c r="D18" s="31"/>
      <c r="E18" s="31"/>
      <c r="F18" s="39">
        <f>IF(COUNT(C18:E18)=0,0,SUMPRODUCT({5000,1000,500},C18:E18))</f>
        <v>0</v>
      </c>
      <c r="G18" s="31">
        <v>51</v>
      </c>
      <c r="H18" s="31">
        <v>193</v>
      </c>
      <c r="I18" s="31">
        <v>30</v>
      </c>
      <c r="J18" s="39">
        <f>IF(COUNT(G18:I18)=0,0,SUMPRODUCT({5000,1000,500},G18:I18))</f>
        <v>463000</v>
      </c>
      <c r="K18" s="31"/>
      <c r="L18" s="31"/>
      <c r="M18" s="31"/>
      <c r="N18" s="39">
        <f>IF(COUNT(K18:M18)=0,0,SUMPRODUCT({5000,1000,500},K18:M18))</f>
        <v>0</v>
      </c>
      <c r="O18" s="31"/>
      <c r="P18" s="31"/>
      <c r="Q18" s="31"/>
      <c r="R18" s="39">
        <f>IF(COUNT(O18:Q18)=0,0,SUMPRODUCT({5000,1000,500},O18:Q18))</f>
        <v>0</v>
      </c>
      <c r="S18" s="31"/>
      <c r="T18" s="31"/>
      <c r="U18" s="31"/>
      <c r="V18" s="31">
        <v>1</v>
      </c>
      <c r="W18" s="31"/>
      <c r="X18" s="31">
        <v>7</v>
      </c>
      <c r="Y18" s="31"/>
      <c r="Z18" s="31">
        <v>30</v>
      </c>
      <c r="AA18" s="31"/>
      <c r="AB18" s="31"/>
      <c r="AC18" s="31"/>
      <c r="AD18" s="34">
        <f>IF(COUNT(S18:AC18)=0,0,SUMPRODUCT({5000,1000,500,100,75,50,20,10,5,2,1}, S18:AC18))</f>
        <v>750</v>
      </c>
      <c r="AE18" s="33">
        <v>463763</v>
      </c>
      <c r="AF18" s="24">
        <f>IF(AND(COUNT(C18:E18)=0,COUNT(G18:I18)=0,COUNT(K18:M18)=0,COUNT(O18:Q18)=0,COUNT(S18:AC18)=0,AE18=""),"",(IF(COUNT(C18:E18)=0,0,SUMPRODUCT({5000,1000,500},C18:E18))+IF(COUNT(G18:I18)=0,0,SUMPRODUCT({5000,1000,500},G18:I18))+IF(COUNT(K18:M18)=0,0,SUMPRODUCT({5000,1000,500},K18:M18))+IF(COUNT(O18:Q18)=0,0,SUMPRODUCT({5000,1000,500},O18:Q18))+AD18)-N(AE18))</f>
        <v>-13</v>
      </c>
      <c r="AG18" s="35" t="str">
        <f t="shared" si="0"/>
        <v>Short</v>
      </c>
      <c r="AH18" s="38"/>
      <c r="AI18" s="36">
        <f>483429.49+612496.64</f>
        <v>1095926.1299999999</v>
      </c>
      <c r="AJ18" s="37">
        <f>422942.59+189554.05+483429.49</f>
        <v>1095926.1299999999</v>
      </c>
      <c r="AK18" s="26">
        <f t="shared" si="1"/>
        <v>0</v>
      </c>
      <c r="AL18" s="25" t="str">
        <f t="shared" si="2"/>
        <v>Matched</v>
      </c>
      <c r="AM18" s="38"/>
    </row>
    <row r="19" spans="1:39" ht="12.75" customHeight="1" x14ac:dyDescent="0.25">
      <c r="A19" s="31">
        <v>75768</v>
      </c>
      <c r="B19" s="32" t="str">
        <f>IF(A19="","",VLOOKUP(A19,'Employee Database'!A:B,2,FALSE))</f>
        <v>Zuhaib</v>
      </c>
      <c r="C19" s="31"/>
      <c r="D19" s="31"/>
      <c r="E19" s="31"/>
      <c r="F19" s="39">
        <f>IF(COUNT(C19:E19)=0,0,SUMPRODUCT({5000,1000,500},C19:E19))</f>
        <v>0</v>
      </c>
      <c r="G19" s="31">
        <v>55</v>
      </c>
      <c r="H19" s="31">
        <v>49</v>
      </c>
      <c r="I19" s="31">
        <v>3</v>
      </c>
      <c r="J19" s="39">
        <f>IF(COUNT(G19:I19)=0,0,SUMPRODUCT({5000,1000,500},G19:I19))</f>
        <v>325500</v>
      </c>
      <c r="K19" s="31"/>
      <c r="L19" s="31"/>
      <c r="M19" s="31"/>
      <c r="N19" s="39">
        <f>IF(COUNT(K19:M19)=0,0,SUMPRODUCT({5000,1000,500},K19:M19))</f>
        <v>0</v>
      </c>
      <c r="O19" s="31"/>
      <c r="P19" s="31"/>
      <c r="Q19" s="31"/>
      <c r="R19" s="39">
        <f>IF(COUNT(O19:Q19)=0,0,SUMPRODUCT({5000,1000,500},O19:Q19))</f>
        <v>0</v>
      </c>
      <c r="S19" s="31"/>
      <c r="T19" s="31"/>
      <c r="U19" s="31"/>
      <c r="V19" s="31">
        <v>1</v>
      </c>
      <c r="W19" s="31"/>
      <c r="X19" s="31">
        <v>43</v>
      </c>
      <c r="Y19" s="31"/>
      <c r="Z19" s="31">
        <v>19</v>
      </c>
      <c r="AA19" s="31"/>
      <c r="AB19" s="31"/>
      <c r="AC19" s="31"/>
      <c r="AD19" s="34">
        <f>IF(COUNT(S19:AC19)=0,0,SUMPRODUCT({5000,1000,500,100,75,50,20,10,5,2,1}, S19:AC19))</f>
        <v>2440</v>
      </c>
      <c r="AE19" s="33">
        <v>327912</v>
      </c>
      <c r="AF19" s="24">
        <f>IF(AND(COUNT(C19:E19)=0,COUNT(G19:I19)=0,COUNT(K19:M19)=0,COUNT(O19:Q19)=0,COUNT(S19:AC19)=0,AE19=""),"",(IF(COUNT(C19:E19)=0,0,SUMPRODUCT({5000,1000,500},C19:E19))+IF(COUNT(G19:I19)=0,0,SUMPRODUCT({5000,1000,500},G19:I19))+IF(COUNT(K19:M19)=0,0,SUMPRODUCT({5000,1000,500},K19:M19))+IF(COUNT(O19:Q19)=0,0,SUMPRODUCT({5000,1000,500},O19:Q19))+AD19)-N(AE19))</f>
        <v>28</v>
      </c>
      <c r="AG19" s="35" t="str">
        <f t="shared" si="0"/>
        <v>Excess</v>
      </c>
      <c r="AH19" s="38"/>
      <c r="AI19" s="36">
        <f>358003.16+655581.07</f>
        <v>1013584.23</v>
      </c>
      <c r="AJ19" s="37">
        <f>655581.07+358003.16</f>
        <v>1013584.23</v>
      </c>
      <c r="AK19" s="26">
        <f t="shared" ref="AK19" si="3">IF(AND(AI19="",AJ19=""),"",N(AI19)-N(AJ19))</f>
        <v>0</v>
      </c>
      <c r="AL19" s="25" t="str">
        <f t="shared" ref="AL19" si="4">IF(AK19="","",IF(AK19&gt;0,"POS Excess",IF(AK19&lt;0,"Bank Short","Matched")))</f>
        <v>Matched</v>
      </c>
      <c r="AM19" s="38"/>
    </row>
    <row r="20" spans="1:39" ht="12.75" customHeight="1" x14ac:dyDescent="0.25">
      <c r="A20" s="31">
        <v>78242</v>
      </c>
      <c r="B20" s="32" t="str">
        <f>IF(A20="","",VLOOKUP(A20,'Employee Database'!A:B,2,FALSE))</f>
        <v>Hamad Mughal</v>
      </c>
      <c r="C20" s="31"/>
      <c r="D20" s="31"/>
      <c r="E20" s="31"/>
      <c r="F20" s="39">
        <f>IF(COUNT(C20:E20)=0,0,SUMPRODUCT({5000,1000,500},C20:E20))</f>
        <v>0</v>
      </c>
      <c r="G20" s="31">
        <v>58</v>
      </c>
      <c r="H20" s="31">
        <v>105</v>
      </c>
      <c r="I20" s="31">
        <v>38</v>
      </c>
      <c r="J20" s="39">
        <f>IF(COUNT(G20:I20)=0,0,SUMPRODUCT({5000,1000,500},G20:I20))</f>
        <v>414000</v>
      </c>
      <c r="K20" s="31"/>
      <c r="L20" s="31"/>
      <c r="M20" s="31"/>
      <c r="N20" s="39">
        <f>IF(COUNT(K20:M20)=0,0,SUMPRODUCT({5000,1000,500},K20:M20))</f>
        <v>0</v>
      </c>
      <c r="O20" s="31"/>
      <c r="P20" s="31"/>
      <c r="Q20" s="31"/>
      <c r="R20" s="39">
        <f>IF(COUNT(O20:Q20)=0,0,SUMPRODUCT({5000,1000,500},O20:Q20))</f>
        <v>0</v>
      </c>
      <c r="S20" s="31"/>
      <c r="T20" s="31"/>
      <c r="U20" s="31"/>
      <c r="V20" s="31">
        <v>48</v>
      </c>
      <c r="W20" s="31"/>
      <c r="X20" s="31"/>
      <c r="Y20" s="31"/>
      <c r="Z20" s="31">
        <v>27</v>
      </c>
      <c r="AA20" s="31"/>
      <c r="AB20" s="31"/>
      <c r="AC20" s="31"/>
      <c r="AD20" s="34">
        <f>IF(COUNT(S20:AC20)=0,0,SUMPRODUCT({5000,1000,500,100,75,50,20,10,5,2,1}, S20:AC20))</f>
        <v>5070</v>
      </c>
      <c r="AE20" s="33">
        <v>419433</v>
      </c>
      <c r="AF20" s="24">
        <f>IF(AND(COUNT(C20:E20)=0,COUNT(G20:I20)=0,COUNT(K20:M20)=0,COUNT(O20:Q20)=0,COUNT(S20:AC20)=0,AE20=""),"",(IF(COUNT(C20:E20)=0,0,SUMPRODUCT({5000,1000,500},C20:E20))+IF(COUNT(G20:I20)=0,0,SUMPRODUCT({5000,1000,500},G20:I20))+IF(COUNT(K20:M20)=0,0,SUMPRODUCT({5000,1000,500},K20:M20))+IF(COUNT(O20:Q20)=0,0,SUMPRODUCT({5000,1000,500},O20:Q20))+AD20)-N(AE20))</f>
        <v>-363</v>
      </c>
      <c r="AG20" s="35" t="str">
        <f t="shared" si="0"/>
        <v>Short</v>
      </c>
      <c r="AH20" s="38"/>
      <c r="AI20" s="36">
        <f>629235.03+135919.42</f>
        <v>765154.45000000007</v>
      </c>
      <c r="AJ20" s="37">
        <f>629235.03+135919.42</f>
        <v>765154.45000000007</v>
      </c>
      <c r="AK20" s="26">
        <f t="shared" ref="AK20:AK36" si="5">IF(AND(AI20="",AJ20=""),"",N(AI20)-N(AJ20))</f>
        <v>0</v>
      </c>
      <c r="AL20" s="25" t="str">
        <f t="shared" ref="AL20:AL36" si="6">IF(AK20="","",IF(AK20&gt;0,"POS Excess",IF(AK20&lt;0,"Bank Short","Matched")))</f>
        <v>Matched</v>
      </c>
      <c r="AM20" s="38"/>
    </row>
    <row r="21" spans="1:39" ht="12.75" customHeight="1" x14ac:dyDescent="0.25">
      <c r="A21" s="31">
        <v>69728</v>
      </c>
      <c r="B21" s="32" t="str">
        <f>IF(A21="","",VLOOKUP(A21,'Employee Database'!A:B,2,FALSE))</f>
        <v>Hafiz Hafeez Ur Rehman</v>
      </c>
      <c r="C21" s="31"/>
      <c r="D21" s="31"/>
      <c r="E21" s="31"/>
      <c r="F21" s="39">
        <f>IF(COUNT(C21:E21)=0,0,SUMPRODUCT({5000,1000,500},C21:E21))</f>
        <v>0</v>
      </c>
      <c r="G21" s="31">
        <v>28</v>
      </c>
      <c r="H21" s="31">
        <v>140</v>
      </c>
      <c r="I21" s="31">
        <v>18</v>
      </c>
      <c r="J21" s="39">
        <f>IF(COUNT(G21:I21)=0,0,SUMPRODUCT({5000,1000,500},G21:I21))</f>
        <v>289000</v>
      </c>
      <c r="K21" s="31"/>
      <c r="L21" s="31"/>
      <c r="M21" s="31"/>
      <c r="N21" s="39">
        <f>IF(COUNT(K21:M21)=0,0,SUMPRODUCT({5000,1000,500},K21:M21))</f>
        <v>0</v>
      </c>
      <c r="O21" s="31"/>
      <c r="P21" s="31"/>
      <c r="Q21" s="31"/>
      <c r="R21" s="39">
        <f>IF(COUNT(O21:Q21)=0,0,SUMPRODUCT({5000,1000,500},O21:Q21))</f>
        <v>0</v>
      </c>
      <c r="S21" s="31"/>
      <c r="T21" s="31"/>
      <c r="U21" s="31"/>
      <c r="V21" s="31">
        <v>105</v>
      </c>
      <c r="W21" s="31"/>
      <c r="X21" s="31">
        <v>222</v>
      </c>
      <c r="Y21" s="31">
        <v>2</v>
      </c>
      <c r="Z21" s="31">
        <v>75</v>
      </c>
      <c r="AA21" s="31"/>
      <c r="AB21" s="31"/>
      <c r="AC21" s="31"/>
      <c r="AD21" s="34">
        <f>IF(COUNT(S21:AC21)=0,0,SUMPRODUCT({5000,1000,500,100,75,50,20,10,5,2,1}, S21:AC21))</f>
        <v>22390</v>
      </c>
      <c r="AE21" s="33">
        <v>311386</v>
      </c>
      <c r="AF21" s="24">
        <f>IF(AND(COUNT(C21:E21)=0,COUNT(G21:I21)=0,COUNT(K21:M21)=0,COUNT(O21:Q21)=0,COUNT(S21:AC21)=0,AE21=""),"",(IF(COUNT(C21:E21)=0,0,SUMPRODUCT({5000,1000,500},C21:E21))+IF(COUNT(G21:I21)=0,0,SUMPRODUCT({5000,1000,500},G21:I21))+IF(COUNT(K21:M21)=0,0,SUMPRODUCT({5000,1000,500},K21:M21))+IF(COUNT(O21:Q21)=0,0,SUMPRODUCT({5000,1000,500},O21:Q21))+AD21)-N(AE21))</f>
        <v>4</v>
      </c>
      <c r="AG21" s="35" t="str">
        <f t="shared" si="0"/>
        <v>Excess</v>
      </c>
      <c r="AH21" s="38"/>
      <c r="AI21" s="36">
        <v>1242163.3999999999</v>
      </c>
      <c r="AJ21" s="37">
        <f>493128.91+749034.49</f>
        <v>1242163.3999999999</v>
      </c>
      <c r="AK21" s="26">
        <f t="shared" si="5"/>
        <v>0</v>
      </c>
      <c r="AL21" s="25" t="str">
        <f t="shared" si="6"/>
        <v>Matched</v>
      </c>
      <c r="AM21" s="38"/>
    </row>
    <row r="22" spans="1:39" ht="12.75" customHeight="1" x14ac:dyDescent="0.25">
      <c r="A22" s="31">
        <v>63374</v>
      </c>
      <c r="B22" s="32" t="str">
        <f>IF(A22="","",VLOOKUP(A22,'Employee Database'!A:B,2,FALSE))</f>
        <v>Aftab Ali</v>
      </c>
      <c r="C22" s="31"/>
      <c r="D22" s="31"/>
      <c r="E22" s="31"/>
      <c r="F22" s="39">
        <f>IF(COUNT(C22:E22)=0,0,SUMPRODUCT({5000,1000,500},C22:E22))</f>
        <v>0</v>
      </c>
      <c r="G22" s="31">
        <v>44</v>
      </c>
      <c r="H22" s="31">
        <v>256</v>
      </c>
      <c r="I22" s="31">
        <v>2</v>
      </c>
      <c r="J22" s="39">
        <f>IF(COUNT(G22:I22)=0,0,SUMPRODUCT({5000,1000,500},G22:I22))</f>
        <v>477000</v>
      </c>
      <c r="K22" s="31"/>
      <c r="L22" s="31"/>
      <c r="M22" s="31"/>
      <c r="N22" s="39">
        <f>IF(COUNT(K22:M22)=0,0,SUMPRODUCT({5000,1000,500},K22:M22))</f>
        <v>0</v>
      </c>
      <c r="O22" s="31"/>
      <c r="P22" s="31"/>
      <c r="Q22" s="31"/>
      <c r="R22" s="39">
        <f>IF(COUNT(O22:Q22)=0,0,SUMPRODUCT({5000,1000,500},O22:Q22))</f>
        <v>0</v>
      </c>
      <c r="S22" s="31"/>
      <c r="T22" s="31"/>
      <c r="U22" s="31"/>
      <c r="V22" s="31">
        <v>12</v>
      </c>
      <c r="W22" s="31"/>
      <c r="X22" s="31">
        <v>8</v>
      </c>
      <c r="Y22" s="31">
        <v>3</v>
      </c>
      <c r="Z22" s="31">
        <v>71</v>
      </c>
      <c r="AA22" s="31"/>
      <c r="AB22" s="31"/>
      <c r="AC22" s="31"/>
      <c r="AD22" s="34">
        <f>IF(COUNT(S22:AC22)=0,0,SUMPRODUCT({5000,1000,500,100,75,50,20,10,5,2,1}, S22:AC22))</f>
        <v>2370</v>
      </c>
      <c r="AE22" s="33">
        <v>479353</v>
      </c>
      <c r="AF22" s="24">
        <f>IF(AND(COUNT(C22:E22)=0,COUNT(G22:I22)=0,COUNT(K22:M22)=0,COUNT(O22:Q22)=0,COUNT(S22:AC22)=0,AE22=""),"",(IF(COUNT(C22:E22)=0,0,SUMPRODUCT({5000,1000,500},C22:E22))+IF(COUNT(G22:I22)=0,0,SUMPRODUCT({5000,1000,500},G22:I22))+IF(COUNT(K22:M22)=0,0,SUMPRODUCT({5000,1000,500},K22:M22))+IF(COUNT(O22:Q22)=0,0,SUMPRODUCT({5000,1000,500},O22:Q22))+AD22)-N(AE22))</f>
        <v>17</v>
      </c>
      <c r="AG22" s="35" t="str">
        <f t="shared" si="0"/>
        <v>Excess</v>
      </c>
      <c r="AH22" s="38"/>
      <c r="AI22" s="36">
        <v>1156415.68</v>
      </c>
      <c r="AJ22" s="37">
        <f>214568.76+941846.92</f>
        <v>1156415.6800000002</v>
      </c>
      <c r="AK22" s="26">
        <f t="shared" si="5"/>
        <v>-2.3283064365386963E-10</v>
      </c>
      <c r="AL22" s="25" t="str">
        <f t="shared" si="6"/>
        <v>Bank Short</v>
      </c>
      <c r="AM22" s="38"/>
    </row>
    <row r="23" spans="1:39" ht="12.75" customHeight="1" x14ac:dyDescent="0.25">
      <c r="A23" s="31">
        <v>61648</v>
      </c>
      <c r="B23" s="32" t="str">
        <f>IF(A23="","",VLOOKUP(A23,'Employee Database'!A:B,2,FALSE))</f>
        <v>Rizwan</v>
      </c>
      <c r="C23" s="31"/>
      <c r="D23" s="31"/>
      <c r="E23" s="31"/>
      <c r="F23" s="39">
        <f>IF(COUNT(C23:E23)=0,0,SUMPRODUCT({5000,1000,500},C23:E23))</f>
        <v>0</v>
      </c>
      <c r="G23" s="31">
        <v>13</v>
      </c>
      <c r="H23" s="31">
        <v>52</v>
      </c>
      <c r="I23" s="31">
        <v>12</v>
      </c>
      <c r="J23" s="39">
        <f>IF(COUNT(G23:I23)=0,0,SUMPRODUCT({5000,1000,500},G23:I23))</f>
        <v>123000</v>
      </c>
      <c r="K23" s="31"/>
      <c r="L23" s="31"/>
      <c r="M23" s="31"/>
      <c r="N23" s="39">
        <f>IF(COUNT(K23:M23)=0,0,SUMPRODUCT({5000,1000,500},K23:M23))</f>
        <v>0</v>
      </c>
      <c r="O23" s="31"/>
      <c r="P23" s="31"/>
      <c r="Q23" s="31"/>
      <c r="R23" s="39">
        <f>IF(COUNT(O23:Q23)=0,0,SUMPRODUCT({5000,1000,500},O23:Q23))</f>
        <v>0</v>
      </c>
      <c r="S23" s="31"/>
      <c r="T23" s="31"/>
      <c r="U23" s="31"/>
      <c r="V23" s="31">
        <v>16</v>
      </c>
      <c r="W23" s="31"/>
      <c r="X23" s="31">
        <v>15</v>
      </c>
      <c r="Y23" s="31"/>
      <c r="Z23" s="31">
        <v>32</v>
      </c>
      <c r="AA23" s="31"/>
      <c r="AB23" s="31"/>
      <c r="AC23" s="31"/>
      <c r="AD23" s="34">
        <f>IF(COUNT(S23:AC23)=0,0,SUMPRODUCT({5000,1000,500,100,75,50,20,10,5,2,1}, S23:AC23))</f>
        <v>2670</v>
      </c>
      <c r="AE23" s="33">
        <v>125665</v>
      </c>
      <c r="AF23" s="24">
        <f>IF(AND(COUNT(C23:E23)=0,COUNT(G23:I23)=0,COUNT(K23:M23)=0,COUNT(O23:Q23)=0,COUNT(S23:AC23)=0,AE23=""),"",(IF(COUNT(C23:E23)=0,0,SUMPRODUCT({5000,1000,500},C23:E23))+IF(COUNT(G23:I23)=0,0,SUMPRODUCT({5000,1000,500},G23:I23))+IF(COUNT(K23:M23)=0,0,SUMPRODUCT({5000,1000,500},K23:M23))+IF(COUNT(O23:Q23)=0,0,SUMPRODUCT({5000,1000,500},O23:Q23))+AD23)-N(AE23))</f>
        <v>5</v>
      </c>
      <c r="AG23" s="35" t="str">
        <f t="shared" si="0"/>
        <v>Excess</v>
      </c>
      <c r="AH23" s="38"/>
      <c r="AI23" s="36">
        <f>48477.15+147822.79</f>
        <v>196299.94</v>
      </c>
      <c r="AJ23" s="37">
        <f>37926.08+10551.07+147822.79</f>
        <v>196299.94</v>
      </c>
      <c r="AK23" s="26">
        <f t="shared" si="5"/>
        <v>0</v>
      </c>
      <c r="AL23" s="25" t="str">
        <f t="shared" si="6"/>
        <v>Matched</v>
      </c>
      <c r="AM23" s="38"/>
    </row>
    <row r="24" spans="1:39" ht="12.75" customHeight="1" x14ac:dyDescent="0.25">
      <c r="A24" s="31">
        <v>77424</v>
      </c>
      <c r="B24" s="32" t="str">
        <f>IF(A24="","",VLOOKUP(A24,'Employee Database'!A:B,2,FALSE))</f>
        <v>M Husnain</v>
      </c>
      <c r="C24" s="31"/>
      <c r="D24" s="31"/>
      <c r="E24" s="31"/>
      <c r="F24" s="39">
        <f>IF(COUNT(C24:E24)=0,0,SUMPRODUCT({5000,1000,500},C24:E24))</f>
        <v>0</v>
      </c>
      <c r="G24" s="31">
        <v>43</v>
      </c>
      <c r="H24" s="31">
        <v>191</v>
      </c>
      <c r="I24" s="31">
        <v>4</v>
      </c>
      <c r="J24" s="39">
        <f>IF(COUNT(G24:I24)=0,0,SUMPRODUCT({5000,1000,500},G24:I24))</f>
        <v>408000</v>
      </c>
      <c r="K24" s="31"/>
      <c r="L24" s="31"/>
      <c r="M24" s="31"/>
      <c r="N24" s="39">
        <f>IF(COUNT(K24:M24)=0,0,SUMPRODUCT({5000,1000,500},K24:M24))</f>
        <v>0</v>
      </c>
      <c r="O24" s="31"/>
      <c r="P24" s="31"/>
      <c r="Q24" s="31"/>
      <c r="R24" s="39">
        <f>IF(COUNT(O24:Q24)=0,0,SUMPRODUCT({5000,1000,500},O24:Q24))</f>
        <v>0</v>
      </c>
      <c r="S24" s="31"/>
      <c r="T24" s="31"/>
      <c r="U24" s="31"/>
      <c r="V24" s="31">
        <v>1</v>
      </c>
      <c r="W24" s="31"/>
      <c r="X24" s="31">
        <v>18</v>
      </c>
      <c r="Y24" s="31"/>
      <c r="Z24" s="31">
        <v>49</v>
      </c>
      <c r="AA24" s="31"/>
      <c r="AB24" s="31"/>
      <c r="AC24" s="31"/>
      <c r="AD24" s="34">
        <f>IF(COUNT(S24:AC24)=0,0,SUMPRODUCT({5000,1000,500,100,75,50,20,10,5,2,1}, S24:AC24))</f>
        <v>1490</v>
      </c>
      <c r="AE24" s="33">
        <v>409465</v>
      </c>
      <c r="AF24" s="24">
        <f>IF(AND(COUNT(C24:E24)=0,COUNT(G24:I24)=0,COUNT(K24:M24)=0,COUNT(O24:Q24)=0,COUNT(S24:AC24)=0,AE24=""),"",(IF(COUNT(C24:E24)=0,0,SUMPRODUCT({5000,1000,500},C24:E24))+IF(COUNT(G24:I24)=0,0,SUMPRODUCT({5000,1000,500},G24:I24))+IF(COUNT(K24:M24)=0,0,SUMPRODUCT({5000,1000,500},K24:M24))+IF(COUNT(O24:Q24)=0,0,SUMPRODUCT({5000,1000,500},O24:Q24))+AD24)-N(AE24))</f>
        <v>25</v>
      </c>
      <c r="AG24" s="35" t="str">
        <f t="shared" si="0"/>
        <v>Excess</v>
      </c>
      <c r="AH24" s="38"/>
      <c r="AI24" s="36">
        <v>1028710.89</v>
      </c>
      <c r="AJ24" s="37">
        <f>726268.32+302442.57</f>
        <v>1028710.8899999999</v>
      </c>
      <c r="AK24" s="26">
        <f t="shared" si="5"/>
        <v>1.1641532182693481E-10</v>
      </c>
      <c r="AL24" s="25" t="str">
        <f t="shared" si="6"/>
        <v>POS Excess</v>
      </c>
      <c r="AM24" s="38"/>
    </row>
    <row r="25" spans="1:39" ht="12.75" customHeight="1" x14ac:dyDescent="0.25">
      <c r="A25" s="31">
        <v>68475</v>
      </c>
      <c r="B25" s="32" t="str">
        <f>IF(A25="","",VLOOKUP(A25,'Employee Database'!A:B,2,FALSE))</f>
        <v>M Azeem</v>
      </c>
      <c r="C25" s="31"/>
      <c r="D25" s="31"/>
      <c r="E25" s="31"/>
      <c r="F25" s="39">
        <f>IF(COUNT(C25:E25)=0,0,SUMPRODUCT({5000,1000,500},C25:E25))</f>
        <v>0</v>
      </c>
      <c r="G25" s="31">
        <v>41</v>
      </c>
      <c r="H25" s="31">
        <v>84</v>
      </c>
      <c r="I25" s="31">
        <v>15</v>
      </c>
      <c r="J25" s="39">
        <f>IF(COUNT(G25:I25)=0,0,SUMPRODUCT({5000,1000,500},G25:I25))</f>
        <v>296500</v>
      </c>
      <c r="K25" s="31"/>
      <c r="L25" s="31"/>
      <c r="M25" s="31"/>
      <c r="N25" s="39">
        <f>IF(COUNT(K25:M25)=0,0,SUMPRODUCT({5000,1000,500},K25:M25))</f>
        <v>0</v>
      </c>
      <c r="O25" s="31"/>
      <c r="P25" s="31"/>
      <c r="Q25" s="31"/>
      <c r="R25" s="39">
        <f>IF(COUNT(O25:Q25)=0,0,SUMPRODUCT({5000,1000,500},O25:Q25))</f>
        <v>0</v>
      </c>
      <c r="S25" s="31"/>
      <c r="T25" s="31"/>
      <c r="U25" s="31"/>
      <c r="V25" s="31">
        <v>13</v>
      </c>
      <c r="W25" s="31"/>
      <c r="X25" s="31">
        <v>18</v>
      </c>
      <c r="Y25" s="31"/>
      <c r="Z25" s="31">
        <v>6</v>
      </c>
      <c r="AA25" s="31"/>
      <c r="AB25" s="31"/>
      <c r="AC25" s="31"/>
      <c r="AD25" s="34">
        <f>IF(COUNT(S25:AC25)=0,0,SUMPRODUCT({5000,1000,500,100,75,50,20,10,5,2,1}, S25:AC25))</f>
        <v>2260</v>
      </c>
      <c r="AE25" s="33">
        <v>298754</v>
      </c>
      <c r="AF25" s="24">
        <f>IF(AND(COUNT(C25:E25)=0,COUNT(G25:I25)=0,COUNT(K25:M25)=0,COUNT(O25:Q25)=0,COUNT(S25:AC25)=0,AE25=""),"",(IF(COUNT(C25:E25)=0,0,SUMPRODUCT({5000,1000,500},C25:E25))+IF(COUNT(G25:I25)=0,0,SUMPRODUCT({5000,1000,500},G25:I25))+IF(COUNT(K25:M25)=0,0,SUMPRODUCT({5000,1000,500},K25:M25))+IF(COUNT(O25:Q25)=0,0,SUMPRODUCT({5000,1000,500},O25:Q25))+AD25)-N(AE25))</f>
        <v>6</v>
      </c>
      <c r="AG25" s="35" t="str">
        <f t="shared" si="0"/>
        <v>Excess</v>
      </c>
      <c r="AH25" s="38"/>
      <c r="AI25" s="36">
        <v>1211587.45</v>
      </c>
      <c r="AJ25" s="37">
        <f>595696.64+615890.81</f>
        <v>1211587.4500000002</v>
      </c>
      <c r="AK25" s="26">
        <f t="shared" si="5"/>
        <v>-2.3283064365386963E-10</v>
      </c>
      <c r="AL25" s="25" t="str">
        <f t="shared" si="6"/>
        <v>Bank Short</v>
      </c>
      <c r="AM25" s="38"/>
    </row>
    <row r="26" spans="1:39" ht="12.75" customHeight="1" x14ac:dyDescent="0.25">
      <c r="A26" s="31">
        <v>79593</v>
      </c>
      <c r="B26" s="32" t="str">
        <f>IF(A26="","",VLOOKUP(A26,'Employee Database'!A:B,2,FALSE))</f>
        <v>Amir</v>
      </c>
      <c r="C26" s="31"/>
      <c r="D26" s="31"/>
      <c r="E26" s="31"/>
      <c r="F26" s="39">
        <f>IF(COUNT(C26:E26)=0,0,SUMPRODUCT({5000,1000,500},C26:E26))</f>
        <v>0</v>
      </c>
      <c r="G26" s="31">
        <v>52</v>
      </c>
      <c r="H26" s="31">
        <v>189</v>
      </c>
      <c r="I26" s="31">
        <v>45</v>
      </c>
      <c r="J26" s="39">
        <f>IF(COUNT(G26:I26)=0,0,SUMPRODUCT({5000,1000,500},G26:I26))</f>
        <v>471500</v>
      </c>
      <c r="K26" s="31"/>
      <c r="L26" s="31"/>
      <c r="M26" s="31"/>
      <c r="N26" s="39">
        <f>IF(COUNT(K26:M26)=0,0,SUMPRODUCT({5000,1000,500},K26:M26))</f>
        <v>0</v>
      </c>
      <c r="O26" s="31"/>
      <c r="P26" s="31"/>
      <c r="Q26" s="31"/>
      <c r="R26" s="39">
        <f>IF(COUNT(O26:Q26)=0,0,SUMPRODUCT({5000,1000,500},O26:Q26))</f>
        <v>0</v>
      </c>
      <c r="S26" s="31"/>
      <c r="T26" s="31"/>
      <c r="U26" s="31"/>
      <c r="V26" s="31">
        <v>1</v>
      </c>
      <c r="W26" s="31"/>
      <c r="X26" s="31">
        <v>46</v>
      </c>
      <c r="Y26" s="31">
        <v>1</v>
      </c>
      <c r="Z26" s="31">
        <v>54</v>
      </c>
      <c r="AA26" s="31"/>
      <c r="AB26" s="31"/>
      <c r="AC26" s="31"/>
      <c r="AD26" s="34">
        <f>IF(COUNT(S26:AC26)=0,0,SUMPRODUCT({5000,1000,500,100,75,50,20,10,5,2,1}, S26:AC26))</f>
        <v>2960</v>
      </c>
      <c r="AE26" s="33">
        <v>474427</v>
      </c>
      <c r="AF26" s="24">
        <f>IF(AND(COUNT(C26:E26)=0,COUNT(G26:I26)=0,COUNT(K26:M26)=0,COUNT(O26:Q26)=0,COUNT(S26:AC26)=0,AE26=""),"",(IF(COUNT(C26:E26)=0,0,SUMPRODUCT({5000,1000,500},C26:E26))+IF(COUNT(G26:I26)=0,0,SUMPRODUCT({5000,1000,500},G26:I26))+IF(COUNT(K26:M26)=0,0,SUMPRODUCT({5000,1000,500},K26:M26))+IF(COUNT(O26:Q26)=0,0,SUMPRODUCT({5000,1000,500},O26:Q26))+AD26)-N(AE26))</f>
        <v>33</v>
      </c>
      <c r="AG26" s="35" t="str">
        <f t="shared" si="0"/>
        <v>Excess</v>
      </c>
      <c r="AH26" s="38"/>
      <c r="AI26" s="36">
        <v>1375898.87</v>
      </c>
      <c r="AJ26" s="37">
        <v>1375898.87</v>
      </c>
      <c r="AK26" s="26">
        <f t="shared" si="5"/>
        <v>0</v>
      </c>
      <c r="AL26" s="25" t="str">
        <f t="shared" si="6"/>
        <v>Matched</v>
      </c>
      <c r="AM26" s="38"/>
    </row>
    <row r="27" spans="1:39" ht="12.75" customHeight="1" x14ac:dyDescent="0.25">
      <c r="A27" s="31">
        <v>67799</v>
      </c>
      <c r="B27" s="32" t="str">
        <f>IF(A27="","",VLOOKUP(A27,'Employee Database'!A:B,2,FALSE))</f>
        <v>Hassan Raza</v>
      </c>
      <c r="C27" s="31"/>
      <c r="D27" s="31"/>
      <c r="E27" s="31"/>
      <c r="F27" s="39">
        <f>IF(COUNT(C27:E27)=0,0,SUMPRODUCT({5000,1000,500},C27:E27))</f>
        <v>0</v>
      </c>
      <c r="G27" s="31">
        <v>61</v>
      </c>
      <c r="H27" s="31">
        <v>49</v>
      </c>
      <c r="I27" s="31">
        <v>37</v>
      </c>
      <c r="J27" s="39">
        <f>IF(COUNT(G27:I27)=0,0,SUMPRODUCT({5000,1000,500},G27:I27))</f>
        <v>372500</v>
      </c>
      <c r="K27" s="31"/>
      <c r="L27" s="31"/>
      <c r="M27" s="31"/>
      <c r="N27" s="39">
        <f>IF(COUNT(K27:M27)=0,0,SUMPRODUCT({5000,1000,500},K27:M27))</f>
        <v>0</v>
      </c>
      <c r="O27" s="31"/>
      <c r="P27" s="31"/>
      <c r="Q27" s="31"/>
      <c r="R27" s="39">
        <f>IF(COUNT(O27:Q27)=0,0,SUMPRODUCT({5000,1000,500},O27:Q27))</f>
        <v>0</v>
      </c>
      <c r="S27" s="31"/>
      <c r="T27" s="31"/>
      <c r="U27" s="31"/>
      <c r="V27" s="31"/>
      <c r="W27" s="31"/>
      <c r="X27" s="31">
        <v>5</v>
      </c>
      <c r="Y27" s="31"/>
      <c r="Z27" s="31">
        <v>84</v>
      </c>
      <c r="AA27" s="31"/>
      <c r="AB27" s="31"/>
      <c r="AC27" s="31"/>
      <c r="AD27" s="34">
        <f>IF(COUNT(S27:AC27)=0,0,SUMPRODUCT({5000,1000,500,100,75,50,20,10,5,2,1}, S27:AC27))</f>
        <v>1090</v>
      </c>
      <c r="AE27" s="33">
        <v>373558.82</v>
      </c>
      <c r="AF27" s="24">
        <f>IF(AND(COUNT(C27:E27)=0,COUNT(G27:I27)=0,COUNT(K27:M27)=0,COUNT(O27:Q27)=0,COUNT(S27:AC27)=0,AE27=""),"",(IF(COUNT(C27:E27)=0,0,SUMPRODUCT({5000,1000,500},C27:E27))+IF(COUNT(G27:I27)=0,0,SUMPRODUCT({5000,1000,500},G27:I27))+IF(COUNT(K27:M27)=0,0,SUMPRODUCT({5000,1000,500},K27:M27))+IF(COUNT(O27:Q27)=0,0,SUMPRODUCT({5000,1000,500},O27:Q27))+AD27)-N(AE27))</f>
        <v>31.179999999993015</v>
      </c>
      <c r="AG27" s="35" t="str">
        <f t="shared" si="0"/>
        <v>Excess</v>
      </c>
      <c r="AH27" s="38"/>
      <c r="AI27" s="36">
        <v>1079127.04</v>
      </c>
      <c r="AJ27" s="37">
        <f>997210+81917.04</f>
        <v>1079127.04</v>
      </c>
      <c r="AK27" s="26">
        <f t="shared" si="5"/>
        <v>0</v>
      </c>
      <c r="AL27" s="25" t="str">
        <f t="shared" si="6"/>
        <v>Matched</v>
      </c>
      <c r="AM27" s="38"/>
    </row>
    <row r="28" spans="1:39" ht="12.75" customHeight="1" x14ac:dyDescent="0.25">
      <c r="A28" s="31">
        <v>69732</v>
      </c>
      <c r="B28" s="32" t="str">
        <f>IF(A28="","",VLOOKUP(A28,'Employee Database'!A:B,2,FALSE))</f>
        <v>Abdul Hafeez</v>
      </c>
      <c r="C28" s="31"/>
      <c r="D28" s="31"/>
      <c r="E28" s="31"/>
      <c r="F28" s="39">
        <f>IF(COUNT(C28:E28)=0,0,SUMPRODUCT({5000,1000,500},C28:E28))</f>
        <v>0</v>
      </c>
      <c r="G28" s="31">
        <v>35</v>
      </c>
      <c r="H28" s="31">
        <v>121</v>
      </c>
      <c r="I28" s="31">
        <v>16</v>
      </c>
      <c r="J28" s="39">
        <f>IF(COUNT(G28:I28)=0,0,SUMPRODUCT({5000,1000,500},G28:I28))</f>
        <v>304000</v>
      </c>
      <c r="K28" s="31"/>
      <c r="L28" s="31"/>
      <c r="M28" s="31"/>
      <c r="N28" s="39">
        <f>IF(COUNT(K28:M28)=0,0,SUMPRODUCT({5000,1000,500},K28:M28))</f>
        <v>0</v>
      </c>
      <c r="O28" s="31"/>
      <c r="P28" s="31"/>
      <c r="Q28" s="31"/>
      <c r="R28" s="39">
        <f>IF(COUNT(O28:Q28)=0,0,SUMPRODUCT({5000,1000,500},O28:Q28))</f>
        <v>0</v>
      </c>
      <c r="S28" s="31"/>
      <c r="T28" s="31"/>
      <c r="U28" s="31"/>
      <c r="V28" s="31">
        <v>10</v>
      </c>
      <c r="W28" s="31"/>
      <c r="X28" s="31"/>
      <c r="Y28" s="31">
        <v>1</v>
      </c>
      <c r="Z28" s="31">
        <v>47</v>
      </c>
      <c r="AA28" s="31"/>
      <c r="AB28" s="31"/>
      <c r="AC28" s="31"/>
      <c r="AD28" s="34">
        <f>IF(COUNT(S28:AC28)=0,0,SUMPRODUCT({5000,1000,500,100,75,50,20,10,5,2,1}, S28:AC28))</f>
        <v>1490</v>
      </c>
      <c r="AE28" s="33">
        <v>305459</v>
      </c>
      <c r="AF28" s="24">
        <f>IF(AND(COUNT(C28:E28)=0,COUNT(G28:I28)=0,COUNT(K28:M28)=0,COUNT(O28:Q28)=0,COUNT(S28:AC28)=0,AE28=""),"",(IF(COUNT(C28:E28)=0,0,SUMPRODUCT({5000,1000,500},C28:E28))+IF(COUNT(G28:I28)=0,0,SUMPRODUCT({5000,1000,500},G28:I28))+IF(COUNT(K28:M28)=0,0,SUMPRODUCT({5000,1000,500},K28:M28))+IF(COUNT(O28:Q28)=0,0,SUMPRODUCT({5000,1000,500},O28:Q28))+AD28)-N(AE28))</f>
        <v>31</v>
      </c>
      <c r="AG28" s="35" t="str">
        <f t="shared" si="0"/>
        <v>Excess</v>
      </c>
      <c r="AH28" s="38"/>
      <c r="AI28" s="36">
        <v>536346.1</v>
      </c>
      <c r="AJ28" s="37">
        <f>181177.67+355168.43</f>
        <v>536346.1</v>
      </c>
      <c r="AK28" s="26">
        <f t="shared" si="5"/>
        <v>0</v>
      </c>
      <c r="AL28" s="25" t="str">
        <f t="shared" si="6"/>
        <v>Matched</v>
      </c>
      <c r="AM28" s="38"/>
    </row>
    <row r="29" spans="1:39" ht="12.75" customHeight="1" x14ac:dyDescent="0.25">
      <c r="A29" s="31">
        <v>68473</v>
      </c>
      <c r="B29" s="32" t="str">
        <f>IF(A29="","",VLOOKUP(A29,'Employee Database'!A:B,2,FALSE))</f>
        <v>M Noman</v>
      </c>
      <c r="C29" s="31"/>
      <c r="D29" s="31"/>
      <c r="E29" s="31"/>
      <c r="F29" s="39">
        <f>IF(COUNT(C29:E29)=0,0,SUMPRODUCT({5000,1000,500},C29:E29))</f>
        <v>0</v>
      </c>
      <c r="G29" s="31"/>
      <c r="H29" s="31">
        <v>50</v>
      </c>
      <c r="I29" s="31">
        <v>1</v>
      </c>
      <c r="J29" s="39">
        <f>IF(COUNT(G29:I29)=0,0,SUMPRODUCT({5000,1000,500},G29:I29))</f>
        <v>50500</v>
      </c>
      <c r="K29" s="31"/>
      <c r="L29" s="31"/>
      <c r="M29" s="31"/>
      <c r="N29" s="39">
        <f>IF(COUNT(K29:M29)=0,0,SUMPRODUCT({5000,1000,500},K29:M29))</f>
        <v>0</v>
      </c>
      <c r="O29" s="31"/>
      <c r="P29" s="31"/>
      <c r="Q29" s="31"/>
      <c r="R29" s="39">
        <f>IF(COUNT(O29:Q29)=0,0,SUMPRODUCT({5000,1000,500},O29:Q29))</f>
        <v>0</v>
      </c>
      <c r="S29" s="31"/>
      <c r="T29" s="31"/>
      <c r="U29" s="31"/>
      <c r="V29" s="31">
        <v>3</v>
      </c>
      <c r="W29" s="31"/>
      <c r="X29" s="31">
        <v>37</v>
      </c>
      <c r="Y29" s="31"/>
      <c r="Z29" s="31">
        <v>86</v>
      </c>
      <c r="AA29" s="31"/>
      <c r="AB29" s="31"/>
      <c r="AC29" s="31"/>
      <c r="AD29" s="34">
        <f>IF(COUNT(S29:AC29)=0,0,SUMPRODUCT({5000,1000,500,100,75,50,20,10,5,2,1}, S29:AC29))</f>
        <v>3010</v>
      </c>
      <c r="AE29" s="33">
        <v>53509</v>
      </c>
      <c r="AF29" s="24">
        <f>IF(AND(COUNT(C29:E29)=0,COUNT(G29:I29)=0,COUNT(K29:M29)=0,COUNT(O29:Q29)=0,COUNT(S29:AC29)=0,AE29=""),"",(IF(COUNT(C29:E29)=0,0,SUMPRODUCT({5000,1000,500},C29:E29))+IF(COUNT(G29:I29)=0,0,SUMPRODUCT({5000,1000,500},G29:I29))+IF(COUNT(K29:M29)=0,0,SUMPRODUCT({5000,1000,500},K29:M29))+IF(COUNT(O29:Q29)=0,0,SUMPRODUCT({5000,1000,500},O29:Q29))+AD29)-N(AE29))</f>
        <v>1</v>
      </c>
      <c r="AG29" s="35" t="str">
        <f t="shared" si="0"/>
        <v>Excess</v>
      </c>
      <c r="AH29" s="38"/>
      <c r="AI29" s="36">
        <v>40012.18</v>
      </c>
      <c r="AJ29" s="37">
        <v>40012.18</v>
      </c>
      <c r="AK29" s="26">
        <f t="shared" si="5"/>
        <v>0</v>
      </c>
      <c r="AL29" s="25" t="str">
        <f t="shared" si="6"/>
        <v>Matched</v>
      </c>
      <c r="AM29" s="38"/>
    </row>
    <row r="30" spans="1:39" ht="12.75" customHeight="1" x14ac:dyDescent="0.25">
      <c r="A30" s="31">
        <v>50524</v>
      </c>
      <c r="B30" s="32" t="str">
        <f>IF(A30="","",VLOOKUP(A30,'Employee Database'!A:B,2,FALSE))</f>
        <v>Allah Rakha</v>
      </c>
      <c r="C30" s="31"/>
      <c r="D30" s="31"/>
      <c r="E30" s="31"/>
      <c r="F30" s="39">
        <f>IF(COUNT(C30:E30)=0,0,SUMPRODUCT({5000,1000,500},C30:E30))</f>
        <v>0</v>
      </c>
      <c r="G30" s="31">
        <v>100</v>
      </c>
      <c r="H30" s="31">
        <v>91</v>
      </c>
      <c r="I30" s="31">
        <v>3</v>
      </c>
      <c r="J30" s="39">
        <f>IF(COUNT(G30:I30)=0,0,SUMPRODUCT({5000,1000,500},G30:I30))</f>
        <v>592500</v>
      </c>
      <c r="K30" s="31"/>
      <c r="L30" s="31"/>
      <c r="M30" s="31"/>
      <c r="N30" s="39">
        <f>IF(COUNT(K30:M30)=0,0,SUMPRODUCT({5000,1000,500},K30:M30))</f>
        <v>0</v>
      </c>
      <c r="O30" s="31"/>
      <c r="P30" s="31"/>
      <c r="Q30" s="31"/>
      <c r="R30" s="39">
        <f>IF(COUNT(O30:Q30)=0,0,SUMPRODUCT({5000,1000,500},O30:Q30))</f>
        <v>0</v>
      </c>
      <c r="S30" s="31"/>
      <c r="T30" s="31"/>
      <c r="U30" s="31"/>
      <c r="V30" s="31">
        <v>29</v>
      </c>
      <c r="W30" s="31"/>
      <c r="X30" s="31">
        <v>6</v>
      </c>
      <c r="Y30" s="31"/>
      <c r="Z30" s="31">
        <v>5</v>
      </c>
      <c r="AA30" s="31"/>
      <c r="AB30" s="31"/>
      <c r="AC30" s="31"/>
      <c r="AD30" s="34">
        <f>IF(COUNT(S30:AC30)=0,0,SUMPRODUCT({5000,1000,500,100,75,50,20,10,5,2,1}, S30:AC30))</f>
        <v>3250</v>
      </c>
      <c r="AE30" s="33">
        <v>595652</v>
      </c>
      <c r="AF30" s="24">
        <f>IF(AND(COUNT(C30:E30)=0,COUNT(G30:I30)=0,COUNT(K30:M30)=0,COUNT(O30:Q30)=0,COUNT(S30:AC30)=0,AE30=""),"",(IF(COUNT(C30:E30)=0,0,SUMPRODUCT({5000,1000,500},C30:E30))+IF(COUNT(G30:I30)=0,0,SUMPRODUCT({5000,1000,500},G30:I30))+IF(COUNT(K30:M30)=0,0,SUMPRODUCT({5000,1000,500},K30:M30))+IF(COUNT(O30:Q30)=0,0,SUMPRODUCT({5000,1000,500},O30:Q30))+AD30)-N(AE30))</f>
        <v>98</v>
      </c>
      <c r="AG30" s="35" t="str">
        <f t="shared" si="0"/>
        <v>Excess</v>
      </c>
      <c r="AH30" s="38"/>
      <c r="AI30" s="36">
        <v>1300759.03</v>
      </c>
      <c r="AJ30" s="37">
        <f>598127.19+702631.84</f>
        <v>1300759.0299999998</v>
      </c>
      <c r="AK30" s="26">
        <f t="shared" si="5"/>
        <v>2.3283064365386963E-10</v>
      </c>
      <c r="AL30" s="25" t="str">
        <f t="shared" si="6"/>
        <v>POS Excess</v>
      </c>
      <c r="AM30" s="38"/>
    </row>
    <row r="31" spans="1:39" ht="12.75" customHeight="1" x14ac:dyDescent="0.25">
      <c r="A31" s="31">
        <v>50313</v>
      </c>
      <c r="B31" s="32" t="str">
        <f>IF(A31="","",VLOOKUP(A31,'Employee Database'!A:B,2,FALSE))</f>
        <v>Waseem Raza</v>
      </c>
      <c r="C31" s="31"/>
      <c r="D31" s="31"/>
      <c r="E31" s="31"/>
      <c r="F31" s="39">
        <f>IF(COUNT(C31:E31)=0,0,SUMPRODUCT({5000,1000,500},C31:E31))</f>
        <v>0</v>
      </c>
      <c r="G31" s="31"/>
      <c r="H31" s="31">
        <v>1</v>
      </c>
      <c r="I31" s="31">
        <v>9</v>
      </c>
      <c r="J31" s="39">
        <f>IF(COUNT(G31:I31)=0,0,SUMPRODUCT({5000,1000,500},G31:I31))</f>
        <v>5500</v>
      </c>
      <c r="K31" s="31"/>
      <c r="L31" s="31"/>
      <c r="M31" s="31"/>
      <c r="N31" s="39">
        <f>IF(COUNT(K31:M31)=0,0,SUMPRODUCT({5000,1000,500},K31:M31))</f>
        <v>0</v>
      </c>
      <c r="O31" s="31"/>
      <c r="P31" s="31"/>
      <c r="Q31" s="31"/>
      <c r="R31" s="39">
        <f>IF(COUNT(O31:Q31)=0,0,SUMPRODUCT({5000,1000,500},O31:Q31))</f>
        <v>0</v>
      </c>
      <c r="S31" s="31"/>
      <c r="T31" s="31"/>
      <c r="U31" s="31"/>
      <c r="V31" s="31"/>
      <c r="W31" s="31"/>
      <c r="X31" s="31"/>
      <c r="Y31" s="31"/>
      <c r="Z31" s="31">
        <v>3</v>
      </c>
      <c r="AA31" s="31"/>
      <c r="AB31" s="31"/>
      <c r="AC31" s="31"/>
      <c r="AD31" s="34">
        <f>IF(COUNT(S31:AC31)=0,0,SUMPRODUCT({5000,1000,500,100,75,50,20,10,5,2,1}, S31:AC31))</f>
        <v>30</v>
      </c>
      <c r="AE31" s="33">
        <v>5529</v>
      </c>
      <c r="AF31" s="24">
        <f>IF(AND(COUNT(C31:E31)=0,COUNT(G31:I31)=0,COUNT(K31:M31)=0,COUNT(O31:Q31)=0,COUNT(S31:AC31)=0,AE31=""),"",(IF(COUNT(C31:E31)=0,0,SUMPRODUCT({5000,1000,500},C31:E31))+IF(COUNT(G31:I31)=0,0,SUMPRODUCT({5000,1000,500},G31:I31))+IF(COUNT(K31:M31)=0,0,SUMPRODUCT({5000,1000,500},K31:M31))+IF(COUNT(O31:Q31)=0,0,SUMPRODUCT({5000,1000,500},O31:Q31))+AD31)-N(AE31))</f>
        <v>1</v>
      </c>
      <c r="AG31" s="35" t="str">
        <f t="shared" si="0"/>
        <v>Excess</v>
      </c>
      <c r="AH31" s="38"/>
      <c r="AI31" s="36"/>
      <c r="AJ31" s="37"/>
      <c r="AK31" s="26" t="str">
        <f t="shared" si="5"/>
        <v/>
      </c>
      <c r="AL31" s="25" t="str">
        <f t="shared" si="6"/>
        <v/>
      </c>
      <c r="AM31" s="38"/>
    </row>
    <row r="32" spans="1:39" ht="12.75" customHeight="1" x14ac:dyDescent="0.25">
      <c r="A32" s="31">
        <v>53893</v>
      </c>
      <c r="B32" s="32" t="str">
        <f>IF(A32="","",VLOOKUP(A32,'Employee Database'!A:B,2,FALSE))</f>
        <v>M Binyameen</v>
      </c>
      <c r="C32" s="31"/>
      <c r="D32" s="31"/>
      <c r="E32" s="31"/>
      <c r="F32" s="39">
        <f>IF(COUNT(C32:E32)=0,0,SUMPRODUCT({5000,1000,500},C32:E32))</f>
        <v>0</v>
      </c>
      <c r="G32" s="31">
        <v>49</v>
      </c>
      <c r="H32" s="31">
        <v>89</v>
      </c>
      <c r="I32" s="31">
        <v>8</v>
      </c>
      <c r="J32" s="39">
        <f>IF(COUNT(G32:I32)=0,0,SUMPRODUCT({5000,1000,500},G32:I32))</f>
        <v>338000</v>
      </c>
      <c r="K32" s="31"/>
      <c r="L32" s="31"/>
      <c r="M32" s="31"/>
      <c r="N32" s="39">
        <f>IF(COUNT(K32:M32)=0,0,SUMPRODUCT({5000,1000,500},K32:M32))</f>
        <v>0</v>
      </c>
      <c r="O32" s="31"/>
      <c r="P32" s="31"/>
      <c r="Q32" s="31"/>
      <c r="R32" s="39">
        <f>IF(COUNT(O32:Q32)=0,0,SUMPRODUCT({5000,1000,500},O32:Q32))</f>
        <v>0</v>
      </c>
      <c r="S32" s="31"/>
      <c r="T32" s="31"/>
      <c r="U32" s="31"/>
      <c r="V32" s="31"/>
      <c r="W32" s="31"/>
      <c r="X32" s="31">
        <v>8</v>
      </c>
      <c r="Y32" s="31"/>
      <c r="Z32" s="31">
        <v>61</v>
      </c>
      <c r="AA32" s="31"/>
      <c r="AB32" s="31"/>
      <c r="AC32" s="31"/>
      <c r="AD32" s="34">
        <f>IF(COUNT(S32:AC32)=0,0,SUMPRODUCT({5000,1000,500,100,75,50,20,10,5,2,1}, S32:AC32))</f>
        <v>1010</v>
      </c>
      <c r="AE32" s="33">
        <v>338949</v>
      </c>
      <c r="AF32" s="24">
        <f>IF(AND(COUNT(C32:E32)=0,COUNT(G32:I32)=0,COUNT(K32:M32)=0,COUNT(O32:Q32)=0,COUNT(S32:AC32)=0,AE32=""),"",(IF(COUNT(C32:E32)=0,0,SUMPRODUCT({5000,1000,500},C32:E32))+IF(COUNT(G32:I32)=0,0,SUMPRODUCT({5000,1000,500},G32:I32))+IF(COUNT(K32:M32)=0,0,SUMPRODUCT({5000,1000,500},K32:M32))+IF(COUNT(O32:Q32)=0,0,SUMPRODUCT({5000,1000,500},O32:Q32))+AD32)-N(AE32))</f>
        <v>61</v>
      </c>
      <c r="AG32" s="35" t="str">
        <f t="shared" si="0"/>
        <v>Excess</v>
      </c>
      <c r="AH32" s="38"/>
      <c r="AI32" s="36">
        <f>589770.59+713733.35</f>
        <v>1303503.94</v>
      </c>
      <c r="AJ32" s="37">
        <f>589770.59+713733.35</f>
        <v>1303503.94</v>
      </c>
      <c r="AK32" s="26">
        <f t="shared" si="5"/>
        <v>0</v>
      </c>
      <c r="AL32" s="25" t="str">
        <f t="shared" si="6"/>
        <v>Matched</v>
      </c>
      <c r="AM32" s="38"/>
    </row>
    <row r="33" spans="1:39" ht="12.75" customHeight="1" x14ac:dyDescent="0.25">
      <c r="A33" s="31">
        <v>50134</v>
      </c>
      <c r="B33" s="32" t="str">
        <f>IF(A33="","",VLOOKUP(A33,'Employee Database'!A:B,2,FALSE))</f>
        <v>Asif Abbas</v>
      </c>
      <c r="C33" s="31"/>
      <c r="D33" s="31"/>
      <c r="E33" s="31"/>
      <c r="F33" s="39">
        <f>IF(COUNT(C33:E33)=0,0,SUMPRODUCT({5000,1000,500},C33:E33))</f>
        <v>0</v>
      </c>
      <c r="G33" s="31">
        <v>19</v>
      </c>
      <c r="H33" s="31">
        <v>57</v>
      </c>
      <c r="I33" s="31">
        <v>19</v>
      </c>
      <c r="J33" s="39">
        <f>IF(COUNT(G33:I33)=0,0,SUMPRODUCT({5000,1000,500},G33:I33))</f>
        <v>161500</v>
      </c>
      <c r="K33" s="31"/>
      <c r="L33" s="31"/>
      <c r="M33" s="31"/>
      <c r="N33" s="39">
        <f>IF(COUNT(K33:M33)=0,0,SUMPRODUCT({5000,1000,500},K33:M33))</f>
        <v>0</v>
      </c>
      <c r="O33" s="31"/>
      <c r="P33" s="31"/>
      <c r="Q33" s="31"/>
      <c r="R33" s="39">
        <f>IF(COUNT(O33:Q33)=0,0,SUMPRODUCT({5000,1000,500},O33:Q33))</f>
        <v>0</v>
      </c>
      <c r="S33" s="31"/>
      <c r="T33" s="31"/>
      <c r="U33" s="31"/>
      <c r="V33" s="31">
        <v>25</v>
      </c>
      <c r="W33" s="31"/>
      <c r="X33" s="31"/>
      <c r="Y33" s="31"/>
      <c r="Z33" s="31">
        <v>1</v>
      </c>
      <c r="AA33" s="31"/>
      <c r="AB33" s="31"/>
      <c r="AC33" s="31"/>
      <c r="AD33" s="34">
        <f>IF(COUNT(S33:AC33)=0,0,SUMPRODUCT({5000,1000,500,100,75,50,20,10,5,2,1}, S33:AC33))</f>
        <v>2510</v>
      </c>
      <c r="AE33" s="33">
        <v>163998</v>
      </c>
      <c r="AF33" s="24">
        <f>IF(AND(COUNT(C33:E33)=0,COUNT(G33:I33)=0,COUNT(K33:M33)=0,COUNT(O33:Q33)=0,COUNT(S33:AC33)=0,AE33=""),"",(IF(COUNT(C33:E33)=0,0,SUMPRODUCT({5000,1000,500},C33:E33))+IF(COUNT(G33:I33)=0,0,SUMPRODUCT({5000,1000,500},G33:I33))+IF(COUNT(K33:M33)=0,0,SUMPRODUCT({5000,1000,500},K33:M33))+IF(COUNT(O33:Q33)=0,0,SUMPRODUCT({5000,1000,500},O33:Q33))+AD33)-N(AE33))</f>
        <v>12</v>
      </c>
      <c r="AG33" s="35" t="str">
        <f t="shared" si="0"/>
        <v>Excess</v>
      </c>
      <c r="AH33" s="38"/>
      <c r="AI33" s="36">
        <f>244716+219993.84</f>
        <v>464709.83999999997</v>
      </c>
      <c r="AJ33" s="37">
        <f>132516.78+244716+31985.31+55491.75</f>
        <v>464709.84</v>
      </c>
      <c r="AK33" s="26">
        <f t="shared" si="5"/>
        <v>-5.8207660913467407E-11</v>
      </c>
      <c r="AL33" s="25" t="str">
        <f t="shared" si="6"/>
        <v>Bank Short</v>
      </c>
      <c r="AM33" s="38"/>
    </row>
    <row r="34" spans="1:39" ht="12.75" customHeight="1" x14ac:dyDescent="0.25">
      <c r="A34" s="31">
        <v>71788</v>
      </c>
      <c r="B34" s="32" t="str">
        <f>IF(A34="","",VLOOKUP(A34,'Employee Database'!A:B,2,FALSE))</f>
        <v>Saaim</v>
      </c>
      <c r="C34" s="31"/>
      <c r="D34" s="31"/>
      <c r="E34" s="31"/>
      <c r="F34" s="39">
        <f>IF(COUNT(C34:E34)=0,0,SUMPRODUCT({5000,1000,500},C34:E34))</f>
        <v>0</v>
      </c>
      <c r="G34" s="31">
        <v>42</v>
      </c>
      <c r="H34" s="31">
        <v>99</v>
      </c>
      <c r="I34" s="31">
        <v>18</v>
      </c>
      <c r="J34" s="39">
        <f>IF(COUNT(G34:I34)=0,0,SUMPRODUCT({5000,1000,500},G34:I34))</f>
        <v>318000</v>
      </c>
      <c r="K34" s="31"/>
      <c r="L34" s="31"/>
      <c r="M34" s="31"/>
      <c r="N34" s="39">
        <f>IF(COUNT(K34:M34)=0,0,SUMPRODUCT({5000,1000,500},K34:M34))</f>
        <v>0</v>
      </c>
      <c r="O34" s="31"/>
      <c r="P34" s="31"/>
      <c r="Q34" s="31"/>
      <c r="R34" s="39">
        <f>IF(COUNT(O34:Q34)=0,0,SUMPRODUCT({5000,1000,500},O34:Q34))</f>
        <v>0</v>
      </c>
      <c r="S34" s="31"/>
      <c r="T34" s="31"/>
      <c r="U34" s="31"/>
      <c r="V34" s="31">
        <v>32</v>
      </c>
      <c r="W34" s="31"/>
      <c r="X34" s="31">
        <v>9</v>
      </c>
      <c r="Y34" s="31">
        <v>1</v>
      </c>
      <c r="Z34" s="31">
        <v>12</v>
      </c>
      <c r="AA34" s="31"/>
      <c r="AB34" s="31"/>
      <c r="AC34" s="31"/>
      <c r="AD34" s="34">
        <f>IF(COUNT(S34:AC34)=0,0,SUMPRODUCT({5000,1000,500,100,75,50,20,10,5,2,1}, S34:AC34))</f>
        <v>3790</v>
      </c>
      <c r="AE34" s="33">
        <v>321741</v>
      </c>
      <c r="AF34" s="24">
        <f>IF(AND(COUNT(C34:E34)=0,COUNT(G34:I34)=0,COUNT(K34:M34)=0,COUNT(O34:Q34)=0,COUNT(S34:AC34)=0,AE34=""),"",(IF(COUNT(C34:E34)=0,0,SUMPRODUCT({5000,1000,500},C34:E34))+IF(COUNT(G34:I34)=0,0,SUMPRODUCT({5000,1000,500},G34:I34))+IF(COUNT(K34:M34)=0,0,SUMPRODUCT({5000,1000,500},K34:M34))+IF(COUNT(O34:Q34)=0,0,SUMPRODUCT({5000,1000,500},O34:Q34))+AD34)-N(AE34))</f>
        <v>49</v>
      </c>
      <c r="AG34" s="35" t="str">
        <f t="shared" ref="AG34" si="7">IF(AF34="","",IF(AF34&gt;0,"Excess",IF(AF34&lt;0,"Short","Balanced")))</f>
        <v>Excess</v>
      </c>
      <c r="AH34" s="38"/>
      <c r="AI34" s="36">
        <f>604180.06+624599.12</f>
        <v>1228779.1800000002</v>
      </c>
      <c r="AJ34" s="37">
        <f>73808.15+624599.12+530371.91</f>
        <v>1228779.1800000002</v>
      </c>
      <c r="AK34" s="26">
        <f t="shared" ref="AK34" si="8">IF(AND(AI34="",AJ34=""),"",N(AI34)-N(AJ34))</f>
        <v>0</v>
      </c>
      <c r="AL34" s="25" t="str">
        <f t="shared" ref="AL34" si="9">IF(AK34="","",IF(AK34&gt;0,"POS Excess",IF(AK34&lt;0,"Bank Short","Matched")))</f>
        <v>Matched</v>
      </c>
      <c r="AM34" s="38"/>
    </row>
    <row r="35" spans="1:39" ht="12.75" customHeight="1" x14ac:dyDescent="0.25">
      <c r="A35" s="31">
        <v>67250</v>
      </c>
      <c r="B35" s="32" t="str">
        <f>IF(A35="","",VLOOKUP(A35,'Employee Database'!A:B,2,FALSE))</f>
        <v>M Fiaz</v>
      </c>
      <c r="C35" s="31"/>
      <c r="D35" s="31"/>
      <c r="E35" s="31"/>
      <c r="F35" s="39">
        <f>IF(COUNT(C35:E35)=0,0,SUMPRODUCT({5000,1000,500},C35:E35))</f>
        <v>0</v>
      </c>
      <c r="G35" s="31">
        <v>28</v>
      </c>
      <c r="H35" s="31">
        <v>65</v>
      </c>
      <c r="I35" s="31">
        <v>4</v>
      </c>
      <c r="J35" s="39">
        <f>IF(COUNT(G35:I35)=0,0,SUMPRODUCT({5000,1000,500},G35:I35))</f>
        <v>207000</v>
      </c>
      <c r="K35" s="31"/>
      <c r="L35" s="31"/>
      <c r="M35" s="31"/>
      <c r="N35" s="39">
        <f>IF(COUNT(K35:M35)=0,0,SUMPRODUCT({5000,1000,500},K35:M35))</f>
        <v>0</v>
      </c>
      <c r="O35" s="31"/>
      <c r="P35" s="31"/>
      <c r="Q35" s="31"/>
      <c r="R35" s="39">
        <f>IF(COUNT(O35:Q35)=0,0,SUMPRODUCT({5000,1000,500},O35:Q35))</f>
        <v>0</v>
      </c>
      <c r="S35" s="31"/>
      <c r="T35" s="31"/>
      <c r="U35" s="31"/>
      <c r="V35" s="31"/>
      <c r="W35" s="31"/>
      <c r="X35" s="31">
        <v>44</v>
      </c>
      <c r="Y35" s="31">
        <v>1</v>
      </c>
      <c r="Z35" s="31">
        <v>76</v>
      </c>
      <c r="AA35" s="31"/>
      <c r="AB35" s="31"/>
      <c r="AC35" s="31"/>
      <c r="AD35" s="34">
        <f>IF(COUNT(S35:AC35)=0,0,SUMPRODUCT({5000,1000,500,100,75,50,20,10,5,2,1}, S35:AC35))</f>
        <v>2980</v>
      </c>
      <c r="AE35" s="33">
        <v>209962</v>
      </c>
      <c r="AF35" s="24">
        <f>IF(AND(COUNT(C35:E35)=0,COUNT(G35:I35)=0,COUNT(K35:M35)=0,COUNT(O35:Q35)=0,COUNT(S35:AC35)=0,AE35=""),"",(IF(COUNT(C35:E35)=0,0,SUMPRODUCT({5000,1000,500},C35:E35))+IF(COUNT(G35:I35)=0,0,SUMPRODUCT({5000,1000,500},G35:I35))+IF(COUNT(K35:M35)=0,0,SUMPRODUCT({5000,1000,500},K35:M35))+IF(COUNT(O35:Q35)=0,0,SUMPRODUCT({5000,1000,500},O35:Q35))+AD35)-N(AE35))</f>
        <v>18</v>
      </c>
      <c r="AG35" s="35" t="str">
        <f t="shared" ref="AG35" si="10">IF(AF35="","",IF(AF35&gt;0,"Excess",IF(AF35&lt;0,"Short","Balanced")))</f>
        <v>Excess</v>
      </c>
      <c r="AH35" s="38"/>
      <c r="AI35" s="36">
        <v>956989.41</v>
      </c>
      <c r="AJ35" s="37">
        <f>694598.87+262390.54</f>
        <v>956989.40999999992</v>
      </c>
      <c r="AK35" s="26">
        <f t="shared" ref="AK35" si="11">IF(AND(AI35="",AJ35=""),"",N(AI35)-N(AJ35))</f>
        <v>1.1641532182693481E-10</v>
      </c>
      <c r="AL35" s="25" t="str">
        <f t="shared" ref="AL35" si="12">IF(AK35="","",IF(AK35&gt;0,"POS Excess",IF(AK35&lt;0,"Bank Short","Matched")))</f>
        <v>POS Excess</v>
      </c>
      <c r="AM35" s="38"/>
    </row>
    <row r="36" spans="1:39" ht="12.75" customHeight="1" x14ac:dyDescent="0.25">
      <c r="A36" s="31">
        <v>63599</v>
      </c>
      <c r="B36" s="32" t="str">
        <f>IF(A36="","",VLOOKUP(A36,'Employee Database'!A:B,2,FALSE))</f>
        <v>Hafsa</v>
      </c>
      <c r="C36" s="31"/>
      <c r="D36" s="31"/>
      <c r="E36" s="31"/>
      <c r="F36" s="39">
        <f>IF(COUNT(C36:E36)=0,0,SUMPRODUCT({5000,1000,500},C36:E36))</f>
        <v>0</v>
      </c>
      <c r="G36" s="31">
        <v>7</v>
      </c>
      <c r="H36" s="31">
        <v>58</v>
      </c>
      <c r="I36" s="31">
        <v>6</v>
      </c>
      <c r="J36" s="39">
        <f>IF(COUNT(G36:I36)=0,0,SUMPRODUCT({5000,1000,500},G36:I36))</f>
        <v>96000</v>
      </c>
      <c r="K36" s="31"/>
      <c r="L36" s="31"/>
      <c r="M36" s="31"/>
      <c r="N36" s="39">
        <f>IF(COUNT(K36:M36)=0,0,SUMPRODUCT({5000,1000,500},K36:M36))</f>
        <v>0</v>
      </c>
      <c r="O36" s="31"/>
      <c r="P36" s="31"/>
      <c r="Q36" s="31"/>
      <c r="R36" s="39">
        <f>IF(COUNT(O36:Q36)=0,0,SUMPRODUCT({5000,1000,500},O36:Q36))</f>
        <v>0</v>
      </c>
      <c r="S36" s="31"/>
      <c r="T36" s="31"/>
      <c r="U36" s="31"/>
      <c r="V36" s="31">
        <v>12</v>
      </c>
      <c r="W36" s="31"/>
      <c r="X36" s="31">
        <v>35</v>
      </c>
      <c r="Y36" s="31"/>
      <c r="Z36" s="31">
        <v>43</v>
      </c>
      <c r="AA36" s="31"/>
      <c r="AB36" s="31"/>
      <c r="AC36" s="31"/>
      <c r="AD36" s="34">
        <f>IF(COUNT(S36:AC36)=0,0,SUMPRODUCT({5000,1000,500,100,75,50,20,10,5,2,1}, S36:AC36))</f>
        <v>3380</v>
      </c>
      <c r="AE36" s="33">
        <v>99394</v>
      </c>
      <c r="AF36" s="24">
        <f>IF(AND(COUNT(C36:E36)=0,COUNT(G36:I36)=0,COUNT(K36:M36)=0,COUNT(O36:Q36)=0,COUNT(S36:AC36)=0,AE36=""),"",(IF(COUNT(C36:E36)=0,0,SUMPRODUCT({5000,1000,500},C36:E36))+IF(COUNT(G36:I36)=0,0,SUMPRODUCT({5000,1000,500},G36:I36))+IF(COUNT(K36:M36)=0,0,SUMPRODUCT({5000,1000,500},K36:M36))+IF(COUNT(O36:Q36)=0,0,SUMPRODUCT({5000,1000,500},O36:Q36))+AD36)-N(AE36))</f>
        <v>-14</v>
      </c>
      <c r="AG36" s="35" t="str">
        <f t="shared" si="0"/>
        <v>Short</v>
      </c>
      <c r="AH36" s="38"/>
      <c r="AI36" s="36">
        <v>450338.93</v>
      </c>
      <c r="AJ36" s="37">
        <v>450337.93</v>
      </c>
      <c r="AK36" s="26">
        <f t="shared" si="5"/>
        <v>1</v>
      </c>
      <c r="AL36" s="25" t="str">
        <f t="shared" si="6"/>
        <v>POS Excess</v>
      </c>
      <c r="AM36" s="38"/>
    </row>
    <row r="37" spans="1:39" ht="22.5" customHeight="1" x14ac:dyDescent="0.25">
      <c r="A37" s="27" t="s">
        <v>24</v>
      </c>
      <c r="B37" s="27" t="s">
        <v>24</v>
      </c>
      <c r="C37" s="28">
        <f t="shared" ref="C37:AF37" si="13">SUM(C5:C36)</f>
        <v>518</v>
      </c>
      <c r="D37" s="28">
        <f t="shared" si="13"/>
        <v>1013</v>
      </c>
      <c r="E37" s="28">
        <f t="shared" si="13"/>
        <v>204</v>
      </c>
      <c r="F37" s="40">
        <f t="shared" si="13"/>
        <v>3705000</v>
      </c>
      <c r="G37" s="28">
        <f t="shared" si="13"/>
        <v>726</v>
      </c>
      <c r="H37" s="28">
        <f t="shared" si="13"/>
        <v>1939</v>
      </c>
      <c r="I37" s="28">
        <f t="shared" si="13"/>
        <v>288</v>
      </c>
      <c r="J37" s="40">
        <f t="shared" si="13"/>
        <v>5713000</v>
      </c>
      <c r="K37" s="28">
        <f t="shared" si="13"/>
        <v>0</v>
      </c>
      <c r="L37" s="28">
        <f t="shared" si="13"/>
        <v>0</v>
      </c>
      <c r="M37" s="28">
        <f t="shared" si="13"/>
        <v>0</v>
      </c>
      <c r="N37" s="40">
        <f t="shared" si="13"/>
        <v>0</v>
      </c>
      <c r="O37" s="28">
        <f t="shared" si="13"/>
        <v>0</v>
      </c>
      <c r="P37" s="28">
        <f t="shared" si="13"/>
        <v>0</v>
      </c>
      <c r="Q37" s="28">
        <f t="shared" si="13"/>
        <v>0</v>
      </c>
      <c r="R37" s="40">
        <f t="shared" si="13"/>
        <v>0</v>
      </c>
      <c r="S37" s="28">
        <f t="shared" si="13"/>
        <v>0</v>
      </c>
      <c r="T37" s="28">
        <f t="shared" si="13"/>
        <v>0</v>
      </c>
      <c r="U37" s="28">
        <f t="shared" si="13"/>
        <v>0</v>
      </c>
      <c r="V37" s="28">
        <f t="shared" si="13"/>
        <v>904</v>
      </c>
      <c r="W37" s="28">
        <f t="shared" si="13"/>
        <v>0</v>
      </c>
      <c r="X37" s="28">
        <f t="shared" si="13"/>
        <v>554</v>
      </c>
      <c r="Y37" s="28">
        <f t="shared" si="13"/>
        <v>10</v>
      </c>
      <c r="Z37" s="28">
        <f t="shared" si="13"/>
        <v>1197</v>
      </c>
      <c r="AA37" s="28">
        <f t="shared" si="13"/>
        <v>0</v>
      </c>
      <c r="AB37" s="28">
        <f t="shared" si="13"/>
        <v>0</v>
      </c>
      <c r="AC37" s="28">
        <f t="shared" si="13"/>
        <v>0</v>
      </c>
      <c r="AD37" s="40">
        <f t="shared" si="13"/>
        <v>130270</v>
      </c>
      <c r="AE37" s="41">
        <f t="shared" si="13"/>
        <v>9548384.8200000003</v>
      </c>
      <c r="AF37" s="29">
        <f t="shared" si="13"/>
        <v>-114.82000000000698</v>
      </c>
      <c r="AG37" s="27" t="s">
        <v>24</v>
      </c>
      <c r="AH37" s="27" t="s">
        <v>24</v>
      </c>
      <c r="AI37" s="28">
        <f>SUM(AI5:AI36)</f>
        <v>24643264.690000001</v>
      </c>
      <c r="AJ37" s="28">
        <f>SUM(AJ5:AJ36)</f>
        <v>24643263.690000001</v>
      </c>
      <c r="AK37" s="28">
        <f>SUM(AK5:AK36)</f>
        <v>0.99999999994179234</v>
      </c>
      <c r="AL37" s="28">
        <f>AJ37+AE37</f>
        <v>34191648.510000005</v>
      </c>
      <c r="AM37" s="28">
        <f>SUM(AM5:AM36)</f>
        <v>0</v>
      </c>
    </row>
  </sheetData>
  <sheetProtection algorithmName="SHA-512" hashValue="9wIp5abHucM2OujB3WWZec36ZAh8r43iiWm5GXbppp5KMBE8/eehR7xOYWiuAESuUdtB4jp7DTWxD+VKfH3MZw==" saltValue="s4taRJqaatL0ccOkGDW/eg==" spinCount="100000" sheet="1" objects="1" scenarios="1"/>
  <mergeCells count="9">
    <mergeCell ref="S3:AC3"/>
    <mergeCell ref="AD3:AG3"/>
    <mergeCell ref="AH3:AM3"/>
    <mergeCell ref="A1:B1"/>
    <mergeCell ref="A3:B3"/>
    <mergeCell ref="C3:F3"/>
    <mergeCell ref="G3:J3"/>
    <mergeCell ref="K3:N3"/>
    <mergeCell ref="O3:R3"/>
  </mergeCells>
  <conditionalFormatting sqref="A5">
    <cfRule type="duplicateValues" dxfId="193" priority="7"/>
    <cfRule type="duplicateValues" dxfId="192" priority="8"/>
  </conditionalFormatting>
  <conditionalFormatting sqref="A6">
    <cfRule type="duplicateValues" dxfId="191" priority="9"/>
    <cfRule type="duplicateValues" dxfId="190" priority="10"/>
  </conditionalFormatting>
  <conditionalFormatting sqref="A7:A33 A36">
    <cfRule type="duplicateValues" dxfId="189" priority="5"/>
    <cfRule type="duplicateValues" dxfId="188" priority="6"/>
  </conditionalFormatting>
  <conditionalFormatting sqref="A34">
    <cfRule type="duplicateValues" dxfId="187" priority="3"/>
    <cfRule type="duplicateValues" dxfId="186" priority="4"/>
  </conditionalFormatting>
  <conditionalFormatting sqref="A35">
    <cfRule type="duplicateValues" dxfId="185" priority="1"/>
    <cfRule type="duplicateValues" dxfId="184" priority="2"/>
  </conditionalFormatting>
  <conditionalFormatting sqref="A37">
    <cfRule type="duplicateValues" dxfId="183" priority="11"/>
  </conditionalFormatting>
  <dataValidations count="1">
    <dataValidation type="list" allowBlank="1" showInputMessage="1" showErrorMessage="1" sqref="A1:B1" xr:uid="{00000000-0002-0000-0600-000000000000}">
      <formula1>Locations</formula1>
    </dataValidation>
  </dataValidations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rgb="FFFF0000"/>
  </sheetPr>
  <dimension ref="A1:AM35"/>
  <sheetViews>
    <sheetView showGridLines="0" topLeftCell="A14" zoomScale="85" zoomScaleNormal="85" workbookViewId="0">
      <pane xSplit="2" topLeftCell="C1" activePane="topRight" state="frozen"/>
      <selection activeCell="A4" sqref="A4"/>
      <selection pane="topRight" activeCell="B15" sqref="B15"/>
    </sheetView>
  </sheetViews>
  <sheetFormatPr defaultRowHeight="15" x14ac:dyDescent="0.25"/>
  <cols>
    <col min="1" max="1" width="11.85546875" customWidth="1"/>
    <col min="2" max="2" width="20.5703125" customWidth="1"/>
    <col min="6" max="6" width="14.42578125" bestFit="1" customWidth="1"/>
    <col min="10" max="10" width="14.42578125" bestFit="1" customWidth="1"/>
    <col min="14" max="14" width="14.42578125" bestFit="1" customWidth="1"/>
    <col min="18" max="18" width="14.42578125" bestFit="1" customWidth="1"/>
    <col min="30" max="31" width="18" customWidth="1"/>
    <col min="32" max="32" width="20" customWidth="1"/>
    <col min="33" max="33" width="14" customWidth="1"/>
    <col min="35" max="35" width="18" customWidth="1"/>
    <col min="36" max="36" width="22" customWidth="1"/>
    <col min="37" max="37" width="16" customWidth="1"/>
    <col min="38" max="38" width="14" customWidth="1"/>
  </cols>
  <sheetData>
    <row r="1" spans="1:39" ht="43.5" customHeight="1" x14ac:dyDescent="0.25">
      <c r="A1" s="48" t="s">
        <v>306</v>
      </c>
      <c r="B1" s="48"/>
    </row>
    <row r="2" spans="1:39" ht="13.5" customHeight="1" x14ac:dyDescent="0.25">
      <c r="A2" s="30">
        <f>'5'!A2+1</f>
        <v>46209</v>
      </c>
    </row>
    <row r="3" spans="1:39" ht="24" customHeight="1" x14ac:dyDescent="0.25">
      <c r="A3" s="49" t="s">
        <v>0</v>
      </c>
      <c r="B3" s="49"/>
      <c r="C3" s="49" t="s">
        <v>93</v>
      </c>
      <c r="D3" s="50"/>
      <c r="E3" s="50"/>
      <c r="F3" s="50"/>
      <c r="G3" s="49" t="s">
        <v>94</v>
      </c>
      <c r="H3" s="50"/>
      <c r="I3" s="50"/>
      <c r="J3" s="50"/>
      <c r="K3" s="49" t="s">
        <v>95</v>
      </c>
      <c r="L3" s="50"/>
      <c r="M3" s="50"/>
      <c r="N3" s="50"/>
      <c r="O3" s="49" t="s">
        <v>96</v>
      </c>
      <c r="P3" s="50"/>
      <c r="Q3" s="50"/>
      <c r="R3" s="50"/>
      <c r="S3" s="45" t="s">
        <v>1</v>
      </c>
      <c r="T3" s="46"/>
      <c r="U3" s="46"/>
      <c r="V3" s="46"/>
      <c r="W3" s="46"/>
      <c r="X3" s="46"/>
      <c r="Y3" s="46"/>
      <c r="Z3" s="46"/>
      <c r="AA3" s="46"/>
      <c r="AB3" s="46"/>
      <c r="AC3" s="46"/>
      <c r="AD3" s="47" t="s">
        <v>97</v>
      </c>
      <c r="AE3" s="46"/>
      <c r="AF3" s="46"/>
      <c r="AG3" s="46"/>
      <c r="AH3" s="47" t="s">
        <v>98</v>
      </c>
      <c r="AI3" s="46"/>
      <c r="AJ3" s="46"/>
      <c r="AK3" s="46"/>
      <c r="AL3" s="46"/>
      <c r="AM3" s="46"/>
    </row>
    <row r="4" spans="1:39" ht="27.95" customHeight="1" x14ac:dyDescent="0.25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92</v>
      </c>
      <c r="G4" s="1" t="s">
        <v>5</v>
      </c>
      <c r="H4" s="1" t="s">
        <v>6</v>
      </c>
      <c r="I4" s="1" t="s">
        <v>7</v>
      </c>
      <c r="J4" s="1" t="s">
        <v>92</v>
      </c>
      <c r="K4" s="1" t="s">
        <v>5</v>
      </c>
      <c r="L4" s="1" t="s">
        <v>6</v>
      </c>
      <c r="M4" s="1" t="s">
        <v>7</v>
      </c>
      <c r="N4" s="1" t="s">
        <v>92</v>
      </c>
      <c r="O4" s="1" t="s">
        <v>5</v>
      </c>
      <c r="P4" s="1" t="s">
        <v>6</v>
      </c>
      <c r="Q4" s="1" t="s">
        <v>7</v>
      </c>
      <c r="R4" s="1" t="s">
        <v>92</v>
      </c>
      <c r="S4" s="1" t="s">
        <v>5</v>
      </c>
      <c r="T4" s="1" t="s">
        <v>6</v>
      </c>
      <c r="U4" s="1" t="s">
        <v>7</v>
      </c>
      <c r="V4" s="1" t="s">
        <v>8</v>
      </c>
      <c r="W4" s="1" t="s">
        <v>9</v>
      </c>
      <c r="X4" s="1" t="s">
        <v>10</v>
      </c>
      <c r="Y4" s="1" t="s">
        <v>11</v>
      </c>
      <c r="Z4" s="1" t="s">
        <v>12</v>
      </c>
      <c r="AA4" s="1" t="s">
        <v>13</v>
      </c>
      <c r="AB4" s="1" t="s">
        <v>14</v>
      </c>
      <c r="AC4" s="1" t="s">
        <v>15</v>
      </c>
      <c r="AD4" s="1" t="s">
        <v>16</v>
      </c>
      <c r="AE4" s="1" t="s">
        <v>17</v>
      </c>
      <c r="AF4" s="1" t="s">
        <v>18</v>
      </c>
      <c r="AG4" s="1" t="s">
        <v>19</v>
      </c>
      <c r="AH4" s="1" t="s">
        <v>20</v>
      </c>
      <c r="AI4" s="4" t="s">
        <v>99</v>
      </c>
      <c r="AJ4" s="1" t="s">
        <v>21</v>
      </c>
      <c r="AK4" s="1" t="s">
        <v>22</v>
      </c>
      <c r="AL4" s="1" t="s">
        <v>23</v>
      </c>
      <c r="AM4" s="4" t="s">
        <v>100</v>
      </c>
    </row>
    <row r="5" spans="1:39" ht="12.75" customHeight="1" x14ac:dyDescent="0.25">
      <c r="A5" s="31">
        <v>73196</v>
      </c>
      <c r="B5" s="32" t="str">
        <f>IF(A5="","",VLOOKUP(A5,'Employee Database'!A:B,2,FALSE))</f>
        <v>Asma</v>
      </c>
      <c r="C5" s="31">
        <v>49</v>
      </c>
      <c r="D5" s="31">
        <v>72</v>
      </c>
      <c r="E5" s="31">
        <v>2</v>
      </c>
      <c r="F5" s="39">
        <f>IF(COUNT(C5:E5)=0,0,SUMPRODUCT({5000,1000,500},C5:E5))</f>
        <v>318000</v>
      </c>
      <c r="G5" s="31"/>
      <c r="H5" s="31"/>
      <c r="I5" s="31"/>
      <c r="J5" s="39">
        <f>IF(COUNT(G5:I5)=0,0,SUMPRODUCT({5000,1000,500},G5:I5))</f>
        <v>0</v>
      </c>
      <c r="K5" s="31"/>
      <c r="L5" s="31"/>
      <c r="M5" s="31"/>
      <c r="N5" s="39">
        <f>IF(COUNT(K5:M5)=0,0,SUMPRODUCT({5000,1000,500},K5:M5))</f>
        <v>0</v>
      </c>
      <c r="O5" s="31"/>
      <c r="P5" s="31"/>
      <c r="Q5" s="31"/>
      <c r="R5" s="39">
        <f>IF(COUNT(O5:Q5)=0,0,SUMPRODUCT({5000,1000,500},O5:Q5))</f>
        <v>0</v>
      </c>
      <c r="S5" s="31"/>
      <c r="T5" s="31"/>
      <c r="U5" s="31"/>
      <c r="V5" s="31">
        <v>2</v>
      </c>
      <c r="W5" s="31"/>
      <c r="X5" s="31">
        <v>66</v>
      </c>
      <c r="Y5" s="31"/>
      <c r="Z5" s="31">
        <v>7</v>
      </c>
      <c r="AA5" s="31"/>
      <c r="AB5" s="31"/>
      <c r="AC5" s="31"/>
      <c r="AD5" s="34">
        <f>IF(COUNT(S5:AC5)=0,0,SUMPRODUCT({5000,1000,500,100,75,50,20,10,5,2,1}, S5:AC5))</f>
        <v>3570</v>
      </c>
      <c r="AE5" s="33">
        <v>321527</v>
      </c>
      <c r="AF5" s="24">
        <f>IF(AND(COUNT(C5:E5)=0,COUNT(G5:I5)=0,COUNT(K5:M5)=0,COUNT(O5:Q5)=0,COUNT(S5:AC5)=0,AE5=""),"",(IF(COUNT(C5:E5)=0,0,SUMPRODUCT({5000,1000,500},C5:E5))+IF(COUNT(G5:I5)=0,0,SUMPRODUCT({5000,1000,500},G5:I5))+IF(COUNT(K5:M5)=0,0,SUMPRODUCT({5000,1000,500},K5:M5))+IF(COUNT(O5:Q5)=0,0,SUMPRODUCT({5000,1000,500},O5:Q5))+AD5)-N(AE5))</f>
        <v>43</v>
      </c>
      <c r="AG5" s="35" t="str">
        <f t="shared" ref="AG5:AG34" si="0">IF(AF5="","",IF(AF5&gt;0,"Excess",IF(AF5&lt;0,"Short","Balanced")))</f>
        <v>Excess</v>
      </c>
      <c r="AH5" s="38"/>
      <c r="AI5" s="36">
        <v>539888</v>
      </c>
      <c r="AJ5" s="37">
        <f>292570+247318</f>
        <v>539888</v>
      </c>
      <c r="AK5" s="26">
        <f t="shared" ref="AK5:AK28" si="1">IF(AND(AI5="",AJ5=""),"",N(AI5)-N(AJ5))</f>
        <v>0</v>
      </c>
      <c r="AL5" s="25" t="str">
        <f t="shared" ref="AL5:AL28" si="2">IF(AK5="","",IF(AK5&gt;0,"POS Excess",IF(AK5&lt;0,"Bank Short","Matched")))</f>
        <v>Matched</v>
      </c>
      <c r="AM5" s="38"/>
    </row>
    <row r="6" spans="1:39" ht="12.75" customHeight="1" x14ac:dyDescent="0.25">
      <c r="A6" s="31">
        <v>57653</v>
      </c>
      <c r="B6" s="32" t="str">
        <f>IF(A6="","",VLOOKUP(A6,'Employee Database'!A:B,2,FALSE))</f>
        <v>Amanat ali</v>
      </c>
      <c r="C6" s="31">
        <v>47</v>
      </c>
      <c r="D6" s="31">
        <v>210</v>
      </c>
      <c r="E6" s="31">
        <v>8</v>
      </c>
      <c r="F6" s="39">
        <f>IF(COUNT(C6:E6)=0,0,SUMPRODUCT({5000,1000,500},C6:E6))</f>
        <v>449000</v>
      </c>
      <c r="G6" s="31"/>
      <c r="H6" s="31"/>
      <c r="I6" s="31"/>
      <c r="J6" s="39">
        <f>IF(COUNT(G6:I6)=0,0,SUMPRODUCT({5000,1000,500},G6:I6))</f>
        <v>0</v>
      </c>
      <c r="K6" s="31"/>
      <c r="L6" s="31"/>
      <c r="M6" s="31"/>
      <c r="N6" s="39">
        <f>IF(COUNT(K6:M6)=0,0,SUMPRODUCT({5000,1000,500},K6:M6))</f>
        <v>0</v>
      </c>
      <c r="O6" s="31"/>
      <c r="P6" s="31"/>
      <c r="Q6" s="31"/>
      <c r="R6" s="39">
        <f>IF(COUNT(O6:Q6)=0,0,SUMPRODUCT({5000,1000,500},O6:Q6))</f>
        <v>0</v>
      </c>
      <c r="S6" s="31"/>
      <c r="T6" s="31"/>
      <c r="U6" s="31"/>
      <c r="V6" s="31"/>
      <c r="W6" s="31"/>
      <c r="X6" s="31">
        <v>24</v>
      </c>
      <c r="Y6" s="31"/>
      <c r="Z6" s="31">
        <v>28</v>
      </c>
      <c r="AA6" s="31"/>
      <c r="AB6" s="31"/>
      <c r="AC6" s="31"/>
      <c r="AD6" s="34">
        <f>IF(COUNT(S6:AC6)=0,0,SUMPRODUCT({5000,1000,500,100,75,50,20,10,5,2,1}, S6:AC6))</f>
        <v>1480</v>
      </c>
      <c r="AE6" s="33">
        <v>450458</v>
      </c>
      <c r="AF6" s="24">
        <f>IF(AND(COUNT(C6:E6)=0,COUNT(G6:I6)=0,COUNT(K6:M6)=0,COUNT(O6:Q6)=0,COUNT(S6:AC6)=0,AE6=""),"",(IF(COUNT(C6:E6)=0,0,SUMPRODUCT({5000,1000,500},C6:E6))+IF(COUNT(G6:I6)=0,0,SUMPRODUCT({5000,1000,500},G6:I6))+IF(COUNT(K6:M6)=0,0,SUMPRODUCT({5000,1000,500},K6:M6))+IF(COUNT(O6:Q6)=0,0,SUMPRODUCT({5000,1000,500},O6:Q6))+AD6)-N(AE6))</f>
        <v>22</v>
      </c>
      <c r="AG6" s="35" t="str">
        <f t="shared" si="0"/>
        <v>Excess</v>
      </c>
      <c r="AH6" s="38"/>
      <c r="AI6" s="36">
        <v>132129</v>
      </c>
      <c r="AJ6" s="37">
        <f>48765+83363+1</f>
        <v>132129</v>
      </c>
      <c r="AK6" s="26">
        <f t="shared" si="1"/>
        <v>0</v>
      </c>
      <c r="AL6" s="25" t="str">
        <f t="shared" si="2"/>
        <v>Matched</v>
      </c>
      <c r="AM6" s="38"/>
    </row>
    <row r="7" spans="1:39" ht="12.75" customHeight="1" x14ac:dyDescent="0.25">
      <c r="A7" s="31">
        <v>77423</v>
      </c>
      <c r="B7" s="32" t="str">
        <f>IF(A7="","",VLOOKUP(A7,'Employee Database'!A:B,2,FALSE))</f>
        <v>Shoaib Akhtar</v>
      </c>
      <c r="C7" s="31">
        <v>76</v>
      </c>
      <c r="D7" s="31">
        <v>153</v>
      </c>
      <c r="E7" s="31">
        <v>7</v>
      </c>
      <c r="F7" s="39">
        <f>IF(COUNT(C7:E7)=0,0,SUMPRODUCT({5000,1000,500},C7:E7))</f>
        <v>536500</v>
      </c>
      <c r="G7" s="31"/>
      <c r="H7" s="31"/>
      <c r="I7" s="31"/>
      <c r="J7" s="39">
        <f>IF(COUNT(G7:I7)=0,0,SUMPRODUCT({5000,1000,500},G7:I7))</f>
        <v>0</v>
      </c>
      <c r="K7" s="31"/>
      <c r="L7" s="31"/>
      <c r="M7" s="31"/>
      <c r="N7" s="39">
        <f>IF(COUNT(K7:M7)=0,0,SUMPRODUCT({5000,1000,500},K7:M7))</f>
        <v>0</v>
      </c>
      <c r="O7" s="31"/>
      <c r="P7" s="31"/>
      <c r="Q7" s="31"/>
      <c r="R7" s="39">
        <f>IF(COUNT(O7:Q7)=0,0,SUMPRODUCT({5000,1000,500},O7:Q7))</f>
        <v>0</v>
      </c>
      <c r="S7" s="31"/>
      <c r="T7" s="31"/>
      <c r="U7" s="31"/>
      <c r="V7" s="31"/>
      <c r="W7" s="31"/>
      <c r="X7" s="31">
        <v>49</v>
      </c>
      <c r="Y7" s="31"/>
      <c r="Z7" s="31">
        <v>20</v>
      </c>
      <c r="AA7" s="31"/>
      <c r="AB7" s="31">
        <v>2</v>
      </c>
      <c r="AC7" s="31"/>
      <c r="AD7" s="34">
        <f>IF(COUNT(S7:AC7)=0,0,SUMPRODUCT({5000,1000,500,100,75,50,20,10,5,2,1}, S7:AC7))</f>
        <v>2654</v>
      </c>
      <c r="AE7" s="33">
        <v>539099</v>
      </c>
      <c r="AF7" s="24">
        <f>IF(AND(COUNT(C7:E7)=0,COUNT(G7:I7)=0,COUNT(K7:M7)=0,COUNT(O7:Q7)=0,COUNT(S7:AC7)=0,AE7=""),"",(IF(COUNT(C7:E7)=0,0,SUMPRODUCT({5000,1000,500},C7:E7))+IF(COUNT(G7:I7)=0,0,SUMPRODUCT({5000,1000,500},G7:I7))+IF(COUNT(K7:M7)=0,0,SUMPRODUCT({5000,1000,500},K7:M7))+IF(COUNT(O7:Q7)=0,0,SUMPRODUCT({5000,1000,500},O7:Q7))+AD7)-N(AE7))</f>
        <v>55</v>
      </c>
      <c r="AG7" s="35" t="str">
        <f t="shared" si="0"/>
        <v>Excess</v>
      </c>
      <c r="AH7" s="38"/>
      <c r="AI7" s="36">
        <v>583827</v>
      </c>
      <c r="AJ7" s="37">
        <f>258888+324939</f>
        <v>583827</v>
      </c>
      <c r="AK7" s="26">
        <f t="shared" si="1"/>
        <v>0</v>
      </c>
      <c r="AL7" s="25" t="str">
        <f t="shared" si="2"/>
        <v>Matched</v>
      </c>
      <c r="AM7" s="38"/>
    </row>
    <row r="8" spans="1:39" ht="12.75" customHeight="1" x14ac:dyDescent="0.25">
      <c r="A8" s="31">
        <v>72873</v>
      </c>
      <c r="B8" s="32" t="str">
        <f>IF(A8="","",VLOOKUP(A8,'Employee Database'!A:B,2,FALSE))</f>
        <v>M Shajee</v>
      </c>
      <c r="C8" s="31">
        <v>56</v>
      </c>
      <c r="D8" s="31">
        <v>174</v>
      </c>
      <c r="E8" s="31">
        <v>22</v>
      </c>
      <c r="F8" s="39">
        <f>IF(COUNT(C8:E8)=0,0,SUMPRODUCT({5000,1000,500},C8:E8))</f>
        <v>465000</v>
      </c>
      <c r="G8" s="31"/>
      <c r="H8" s="31"/>
      <c r="I8" s="31"/>
      <c r="J8" s="39">
        <f>IF(COUNT(G8:I8)=0,0,SUMPRODUCT({5000,1000,500},G8:I8))</f>
        <v>0</v>
      </c>
      <c r="K8" s="31"/>
      <c r="L8" s="31"/>
      <c r="M8" s="31"/>
      <c r="N8" s="39">
        <f>IF(COUNT(K8:M8)=0,0,SUMPRODUCT({5000,1000,500},K8:M8))</f>
        <v>0</v>
      </c>
      <c r="O8" s="31"/>
      <c r="P8" s="31"/>
      <c r="Q8" s="31"/>
      <c r="R8" s="39">
        <f>IF(COUNT(O8:Q8)=0,0,SUMPRODUCT({5000,1000,500},O8:Q8))</f>
        <v>0</v>
      </c>
      <c r="S8" s="31"/>
      <c r="T8" s="31"/>
      <c r="U8" s="31"/>
      <c r="V8" s="31"/>
      <c r="W8" s="31"/>
      <c r="X8" s="31"/>
      <c r="Y8" s="31">
        <v>100</v>
      </c>
      <c r="Z8" s="31">
        <v>8</v>
      </c>
      <c r="AA8" s="31"/>
      <c r="AB8" s="31"/>
      <c r="AC8" s="31"/>
      <c r="AD8" s="34">
        <f>IF(COUNT(S8:AC8)=0,0,SUMPRODUCT({5000,1000,500,100,75,50,20,10,5,2,1}, S8:AC8))</f>
        <v>2080</v>
      </c>
      <c r="AE8" s="33">
        <v>468006</v>
      </c>
      <c r="AF8" s="24">
        <f>IF(AND(COUNT(C8:E8)=0,COUNT(G8:I8)=0,COUNT(K8:M8)=0,COUNT(O8:Q8)=0,COUNT(S8:AC8)=0,AE8=""),"",(IF(COUNT(C8:E8)=0,0,SUMPRODUCT({5000,1000,500},C8:E8))+IF(COUNT(G8:I8)=0,0,SUMPRODUCT({5000,1000,500},G8:I8))+IF(COUNT(K8:M8)=0,0,SUMPRODUCT({5000,1000,500},K8:M8))+IF(COUNT(O8:Q8)=0,0,SUMPRODUCT({5000,1000,500},O8:Q8))+AD8)-N(AE8))</f>
        <v>-926</v>
      </c>
      <c r="AG8" s="35" t="str">
        <f t="shared" si="0"/>
        <v>Short</v>
      </c>
      <c r="AH8" s="38"/>
      <c r="AI8" s="36">
        <v>681883</v>
      </c>
      <c r="AJ8" s="37">
        <f>385357+296526</f>
        <v>681883</v>
      </c>
      <c r="AK8" s="26">
        <f t="shared" si="1"/>
        <v>0</v>
      </c>
      <c r="AL8" s="25" t="str">
        <f t="shared" si="2"/>
        <v>Matched</v>
      </c>
      <c r="AM8" s="38"/>
    </row>
    <row r="9" spans="1:39" ht="12.75" customHeight="1" x14ac:dyDescent="0.25">
      <c r="A9" s="31">
        <v>59257</v>
      </c>
      <c r="B9" s="32" t="str">
        <f>IF(A9="","",VLOOKUP(A9,'Employee Database'!A:B,2,FALSE))</f>
        <v>Saddiqa Maryam</v>
      </c>
      <c r="C9" s="31">
        <v>47</v>
      </c>
      <c r="D9" s="31">
        <v>106</v>
      </c>
      <c r="E9" s="31">
        <v>18</v>
      </c>
      <c r="F9" s="39">
        <f>IF(COUNT(C9:E9)=0,0,SUMPRODUCT({5000,1000,500},C9:E9))</f>
        <v>350000</v>
      </c>
      <c r="G9" s="31"/>
      <c r="H9" s="31"/>
      <c r="I9" s="31"/>
      <c r="J9" s="39">
        <f>IF(COUNT(G9:I9)=0,0,SUMPRODUCT({5000,1000,500},G9:I9))</f>
        <v>0</v>
      </c>
      <c r="K9" s="31"/>
      <c r="L9" s="31"/>
      <c r="M9" s="31"/>
      <c r="N9" s="39">
        <f>IF(COUNT(K9:M9)=0,0,SUMPRODUCT({5000,1000,500},K9:M9))</f>
        <v>0</v>
      </c>
      <c r="O9" s="31"/>
      <c r="P9" s="31"/>
      <c r="Q9" s="31"/>
      <c r="R9" s="39">
        <f>IF(COUNT(O9:Q9)=0,0,SUMPRODUCT({5000,1000,500},O9:Q9))</f>
        <v>0</v>
      </c>
      <c r="S9" s="31"/>
      <c r="T9" s="31"/>
      <c r="U9" s="31"/>
      <c r="V9" s="31">
        <v>4</v>
      </c>
      <c r="W9" s="31"/>
      <c r="X9" s="31">
        <v>27</v>
      </c>
      <c r="Y9" s="31"/>
      <c r="Z9" s="31"/>
      <c r="AA9" s="31"/>
      <c r="AB9" s="31"/>
      <c r="AC9" s="31"/>
      <c r="AD9" s="34">
        <f>IF(COUNT(S9:AC9)=0,0,SUMPRODUCT({5000,1000,500,100,75,50,20,10,5,2,1}, S9:AC9))</f>
        <v>1750</v>
      </c>
      <c r="AE9" s="33">
        <v>351743</v>
      </c>
      <c r="AF9" s="24">
        <f>IF(AND(COUNT(C9:E9)=0,COUNT(G9:I9)=0,COUNT(K9:M9)=0,COUNT(O9:Q9)=0,COUNT(S9:AC9)=0,AE9=""),"",(IF(COUNT(C9:E9)=0,0,SUMPRODUCT({5000,1000,500},C9:E9))+IF(COUNT(G9:I9)=0,0,SUMPRODUCT({5000,1000,500},G9:I9))+IF(COUNT(K9:M9)=0,0,SUMPRODUCT({5000,1000,500},K9:M9))+IF(COUNT(O9:Q9)=0,0,SUMPRODUCT({5000,1000,500},O9:Q9))+AD9)-N(AE9))</f>
        <v>7</v>
      </c>
      <c r="AG9" s="35" t="str">
        <f t="shared" si="0"/>
        <v>Excess</v>
      </c>
      <c r="AH9" s="38"/>
      <c r="AI9" s="36">
        <v>668481</v>
      </c>
      <c r="AJ9" s="37">
        <f>362584+305896+1</f>
        <v>668481</v>
      </c>
      <c r="AK9" s="26">
        <f t="shared" si="1"/>
        <v>0</v>
      </c>
      <c r="AL9" s="25" t="str">
        <f t="shared" si="2"/>
        <v>Matched</v>
      </c>
      <c r="AM9" s="38"/>
    </row>
    <row r="10" spans="1:39" ht="12.75" customHeight="1" x14ac:dyDescent="0.25">
      <c r="A10" s="31">
        <v>67249</v>
      </c>
      <c r="B10" s="32" t="str">
        <f>IF(A10="","",VLOOKUP(A10,'Employee Database'!A:B,2,FALSE))</f>
        <v>Hanan Javaid</v>
      </c>
      <c r="C10" s="31">
        <v>26</v>
      </c>
      <c r="D10" s="31">
        <v>97</v>
      </c>
      <c r="E10" s="31">
        <v>44</v>
      </c>
      <c r="F10" s="39">
        <f>IF(COUNT(C10:E10)=0,0,SUMPRODUCT({5000,1000,500},C10:E10))</f>
        <v>249000</v>
      </c>
      <c r="G10" s="31"/>
      <c r="H10" s="31"/>
      <c r="I10" s="31"/>
      <c r="J10" s="39">
        <f>IF(COUNT(G10:I10)=0,0,SUMPRODUCT({5000,1000,500},G10:I10))</f>
        <v>0</v>
      </c>
      <c r="K10" s="31"/>
      <c r="L10" s="31"/>
      <c r="M10" s="31"/>
      <c r="N10" s="39">
        <f>IF(COUNT(K10:M10)=0,0,SUMPRODUCT({5000,1000,500},K10:M10))</f>
        <v>0</v>
      </c>
      <c r="O10" s="31"/>
      <c r="P10" s="31"/>
      <c r="Q10" s="31"/>
      <c r="R10" s="39">
        <f>IF(COUNT(O10:Q10)=0,0,SUMPRODUCT({5000,1000,500},O10:Q10))</f>
        <v>0</v>
      </c>
      <c r="S10" s="31"/>
      <c r="T10" s="31"/>
      <c r="U10" s="31"/>
      <c r="V10" s="31"/>
      <c r="W10" s="31"/>
      <c r="X10" s="31">
        <v>68</v>
      </c>
      <c r="Y10" s="31">
        <v>1</v>
      </c>
      <c r="Z10" s="31">
        <v>20</v>
      </c>
      <c r="AA10" s="31"/>
      <c r="AB10" s="31"/>
      <c r="AC10" s="31"/>
      <c r="AD10" s="34">
        <f>IF(COUNT(S10:AC10)=0,0,SUMPRODUCT({5000,1000,500,100,75,50,20,10,5,2,1}, S10:AC10))</f>
        <v>3620</v>
      </c>
      <c r="AE10" s="33">
        <v>252592</v>
      </c>
      <c r="AF10" s="24">
        <f>IF(AND(COUNT(C10:E10)=0,COUNT(G10:I10)=0,COUNT(K10:M10)=0,COUNT(O10:Q10)=0,COUNT(S10:AC10)=0,AE10=""),"",(IF(COUNT(C10:E10)=0,0,SUMPRODUCT({5000,1000,500},C10:E10))+IF(COUNT(G10:I10)=0,0,SUMPRODUCT({5000,1000,500},G10:I10))+IF(COUNT(K10:M10)=0,0,SUMPRODUCT({5000,1000,500},K10:M10))+IF(COUNT(O10:Q10)=0,0,SUMPRODUCT({5000,1000,500},O10:Q10))+AD10)-N(AE10))</f>
        <v>28</v>
      </c>
      <c r="AG10" s="35" t="str">
        <f t="shared" si="0"/>
        <v>Excess</v>
      </c>
      <c r="AH10" s="38"/>
      <c r="AI10" s="36">
        <f>278595+40</f>
        <v>278635</v>
      </c>
      <c r="AJ10" s="37">
        <f>172209+106385+40+1</f>
        <v>278635</v>
      </c>
      <c r="AK10" s="26">
        <f t="shared" si="1"/>
        <v>0</v>
      </c>
      <c r="AL10" s="25" t="str">
        <f t="shared" si="2"/>
        <v>Matched</v>
      </c>
      <c r="AM10" s="38"/>
    </row>
    <row r="11" spans="1:39" ht="12.75" customHeight="1" x14ac:dyDescent="0.25">
      <c r="A11" s="31">
        <v>56189</v>
      </c>
      <c r="B11" s="32" t="str">
        <f>IF(A11="","",VLOOKUP(A11,'Employee Database'!A:B,2,FALSE))</f>
        <v>Iffat Sultan</v>
      </c>
      <c r="C11" s="31">
        <v>17</v>
      </c>
      <c r="D11" s="31">
        <v>84</v>
      </c>
      <c r="E11" s="31"/>
      <c r="F11" s="39">
        <f>IF(COUNT(C11:E11)=0,0,SUMPRODUCT({5000,1000,500},C11:E11))</f>
        <v>169000</v>
      </c>
      <c r="G11" s="31"/>
      <c r="H11" s="31"/>
      <c r="I11" s="31"/>
      <c r="J11" s="39">
        <f>IF(COUNT(G11:I11)=0,0,SUMPRODUCT({5000,1000,500},G11:I11))</f>
        <v>0</v>
      </c>
      <c r="K11" s="31"/>
      <c r="L11" s="31"/>
      <c r="M11" s="31"/>
      <c r="N11" s="39">
        <f>IF(COUNT(K11:M11)=0,0,SUMPRODUCT({5000,1000,500},K11:M11))</f>
        <v>0</v>
      </c>
      <c r="O11" s="31"/>
      <c r="P11" s="31"/>
      <c r="Q11" s="31"/>
      <c r="R11" s="39">
        <f>IF(COUNT(O11:Q11)=0,0,SUMPRODUCT({5000,1000,500},O11:Q11))</f>
        <v>0</v>
      </c>
      <c r="S11" s="31"/>
      <c r="T11" s="31"/>
      <c r="U11" s="31"/>
      <c r="V11" s="31">
        <v>2</v>
      </c>
      <c r="W11" s="31"/>
      <c r="X11" s="31"/>
      <c r="Y11" s="31"/>
      <c r="Z11" s="31">
        <v>17</v>
      </c>
      <c r="AA11" s="31"/>
      <c r="AB11" s="31"/>
      <c r="AC11" s="31"/>
      <c r="AD11" s="34">
        <f>IF(COUNT(S11:AC11)=0,0,SUMPRODUCT({5000,1000,500,100,75,50,20,10,5,2,1}, S11:AC11))</f>
        <v>370</v>
      </c>
      <c r="AE11" s="33">
        <v>169334</v>
      </c>
      <c r="AF11" s="24">
        <f>IF(AND(COUNT(C11:E11)=0,COUNT(G11:I11)=0,COUNT(K11:M11)=0,COUNT(O11:Q11)=0,COUNT(S11:AC11)=0,AE11=""),"",(IF(COUNT(C11:E11)=0,0,SUMPRODUCT({5000,1000,500},C11:E11))+IF(COUNT(G11:I11)=0,0,SUMPRODUCT({5000,1000,500},G11:I11))+IF(COUNT(K11:M11)=0,0,SUMPRODUCT({5000,1000,500},K11:M11))+IF(COUNT(O11:Q11)=0,0,SUMPRODUCT({5000,1000,500},O11:Q11))+AD11)-N(AE11))</f>
        <v>36</v>
      </c>
      <c r="AG11" s="35" t="str">
        <f t="shared" si="0"/>
        <v>Excess</v>
      </c>
      <c r="AH11" s="38"/>
      <c r="AI11" s="36">
        <f>94395+199890+86856</f>
        <v>381141</v>
      </c>
      <c r="AJ11" s="37">
        <f>199890+86856+94395</f>
        <v>381141</v>
      </c>
      <c r="AK11" s="26">
        <f t="shared" si="1"/>
        <v>0</v>
      </c>
      <c r="AL11" s="25" t="str">
        <f t="shared" si="2"/>
        <v>Matched</v>
      </c>
      <c r="AM11" s="38"/>
    </row>
    <row r="12" spans="1:39" ht="12.75" customHeight="1" x14ac:dyDescent="0.25">
      <c r="A12" s="31">
        <v>50266</v>
      </c>
      <c r="B12" s="32" t="str">
        <f>IF(A12="","",VLOOKUP(A12,'Employee Database'!A:B,2,FALSE))</f>
        <v>Riaz</v>
      </c>
      <c r="C12" s="31">
        <v>36</v>
      </c>
      <c r="D12" s="31">
        <v>115</v>
      </c>
      <c r="E12" s="31">
        <v>10</v>
      </c>
      <c r="F12" s="39">
        <f>IF(COUNT(C12:E12)=0,0,SUMPRODUCT({5000,1000,500},C12:E12))</f>
        <v>300000</v>
      </c>
      <c r="G12" s="31"/>
      <c r="H12" s="31"/>
      <c r="I12" s="31"/>
      <c r="J12" s="39">
        <f>IF(COUNT(G12:I12)=0,0,SUMPRODUCT({5000,1000,500},G12:I12))</f>
        <v>0</v>
      </c>
      <c r="K12" s="31"/>
      <c r="L12" s="31"/>
      <c r="M12" s="31"/>
      <c r="N12" s="39">
        <f>IF(COUNT(K12:M12)=0,0,SUMPRODUCT({5000,1000,500},K12:M12))</f>
        <v>0</v>
      </c>
      <c r="O12" s="31"/>
      <c r="P12" s="31"/>
      <c r="Q12" s="31"/>
      <c r="R12" s="39">
        <f>IF(COUNT(O12:Q12)=0,0,SUMPRODUCT({5000,1000,500},O12:Q12))</f>
        <v>0</v>
      </c>
      <c r="S12" s="31"/>
      <c r="T12" s="31"/>
      <c r="U12" s="31"/>
      <c r="V12" s="31">
        <v>5</v>
      </c>
      <c r="W12" s="31"/>
      <c r="X12" s="31">
        <v>69</v>
      </c>
      <c r="Y12" s="31">
        <v>1</v>
      </c>
      <c r="Z12" s="31">
        <v>38</v>
      </c>
      <c r="AA12" s="31"/>
      <c r="AB12" s="31"/>
      <c r="AC12" s="31"/>
      <c r="AD12" s="34">
        <f>IF(COUNT(S12:AC12)=0,0,SUMPRODUCT({5000,1000,500,100,75,50,20,10,5,2,1}, S12:AC12))</f>
        <v>4350</v>
      </c>
      <c r="AE12" s="33">
        <v>304332</v>
      </c>
      <c r="AF12" s="24">
        <f>IF(AND(COUNT(C12:E12)=0,COUNT(G12:I12)=0,COUNT(K12:M12)=0,COUNT(O12:Q12)=0,COUNT(S12:AC12)=0,AE12=""),"",(IF(COUNT(C12:E12)=0,0,SUMPRODUCT({5000,1000,500},C12:E12))+IF(COUNT(G12:I12)=0,0,SUMPRODUCT({5000,1000,500},G12:I12))+IF(COUNT(K12:M12)=0,0,SUMPRODUCT({5000,1000,500},K12:M12))+IF(COUNT(O12:Q12)=0,0,SUMPRODUCT({5000,1000,500},O12:Q12))+AD12)-N(AE12))</f>
        <v>18</v>
      </c>
      <c r="AG12" s="35" t="str">
        <f t="shared" si="0"/>
        <v>Excess</v>
      </c>
      <c r="AH12" s="38"/>
      <c r="AI12" s="36">
        <v>562364</v>
      </c>
      <c r="AJ12" s="37">
        <f>280925+281439</f>
        <v>562364</v>
      </c>
      <c r="AK12" s="26">
        <f t="shared" si="1"/>
        <v>0</v>
      </c>
      <c r="AL12" s="25" t="str">
        <f t="shared" si="2"/>
        <v>Matched</v>
      </c>
      <c r="AM12" s="38"/>
    </row>
    <row r="13" spans="1:39" ht="12.75" customHeight="1" x14ac:dyDescent="0.25">
      <c r="A13" s="31">
        <v>65299</v>
      </c>
      <c r="B13" s="32" t="str">
        <f>IF(A13="","",VLOOKUP(A13,'Employee Database'!A:B,2,FALSE))</f>
        <v>M Faisal</v>
      </c>
      <c r="C13" s="31">
        <v>2</v>
      </c>
      <c r="D13" s="31">
        <v>11</v>
      </c>
      <c r="E13" s="31">
        <v>3</v>
      </c>
      <c r="F13" s="39">
        <f>IF(COUNT(C13:E13)=0,0,SUMPRODUCT({5000,1000,500},C13:E13))</f>
        <v>22500</v>
      </c>
      <c r="G13" s="31"/>
      <c r="H13" s="31"/>
      <c r="I13" s="31"/>
      <c r="J13" s="39">
        <f>IF(COUNT(G13:I13)=0,0,SUMPRODUCT({5000,1000,500},G13:I13))</f>
        <v>0</v>
      </c>
      <c r="K13" s="31"/>
      <c r="L13" s="31"/>
      <c r="M13" s="31"/>
      <c r="N13" s="39">
        <f>IF(COUNT(K13:M13)=0,0,SUMPRODUCT({5000,1000,500},K13:M13))</f>
        <v>0</v>
      </c>
      <c r="O13" s="31"/>
      <c r="P13" s="31"/>
      <c r="Q13" s="31"/>
      <c r="R13" s="39">
        <f>IF(COUNT(O13:Q13)=0,0,SUMPRODUCT({5000,1000,500},O13:Q13))</f>
        <v>0</v>
      </c>
      <c r="S13" s="31"/>
      <c r="T13" s="31"/>
      <c r="U13" s="31"/>
      <c r="V13" s="31">
        <v>12</v>
      </c>
      <c r="W13" s="31"/>
      <c r="X13" s="31">
        <v>68</v>
      </c>
      <c r="Y13" s="31"/>
      <c r="Z13" s="31">
        <v>25</v>
      </c>
      <c r="AA13" s="31"/>
      <c r="AB13" s="31"/>
      <c r="AC13" s="31"/>
      <c r="AD13" s="34">
        <f>IF(COUNT(S13:AC13)=0,0,SUMPRODUCT({5000,1000,500,100,75,50,20,10,5,2,1}, S13:AC13))</f>
        <v>4850</v>
      </c>
      <c r="AE13" s="33">
        <v>27296</v>
      </c>
      <c r="AF13" s="24">
        <f>IF(AND(COUNT(C13:E13)=0,COUNT(G13:I13)=0,COUNT(K13:M13)=0,COUNT(O13:Q13)=0,COUNT(S13:AC13)=0,AE13=""),"",(IF(COUNT(C13:E13)=0,0,SUMPRODUCT({5000,1000,500},C13:E13))+IF(COUNT(G13:I13)=0,0,SUMPRODUCT({5000,1000,500},G13:I13))+IF(COUNT(K13:M13)=0,0,SUMPRODUCT({5000,1000,500},K13:M13))+IF(COUNT(O13:Q13)=0,0,SUMPRODUCT({5000,1000,500},O13:Q13))+AD13)-N(AE13))</f>
        <v>54</v>
      </c>
      <c r="AG13" s="35" t="str">
        <f t="shared" si="0"/>
        <v>Excess</v>
      </c>
      <c r="AH13" s="38"/>
      <c r="AI13" s="36">
        <v>21102</v>
      </c>
      <c r="AJ13" s="37">
        <f>11293+18142</f>
        <v>29435</v>
      </c>
      <c r="AK13" s="26">
        <f t="shared" si="1"/>
        <v>-8333</v>
      </c>
      <c r="AL13" s="25" t="str">
        <f t="shared" si="2"/>
        <v>Bank Short</v>
      </c>
      <c r="AM13" s="38"/>
    </row>
    <row r="14" spans="1:39" ht="12.75" customHeight="1" x14ac:dyDescent="0.25">
      <c r="A14" s="31">
        <v>50524</v>
      </c>
      <c r="B14" s="32" t="str">
        <f>IF(A14="","",VLOOKUP(A14,'Employee Database'!A:B,2,FALSE))</f>
        <v>Allah Rakha</v>
      </c>
      <c r="C14" s="31"/>
      <c r="D14" s="31"/>
      <c r="E14" s="31"/>
      <c r="F14" s="39">
        <f>IF(COUNT(C14:E14)=0,0,SUMPRODUCT({5000,1000,500},C14:E14))</f>
        <v>0</v>
      </c>
      <c r="G14" s="31">
        <v>2</v>
      </c>
      <c r="H14" s="31">
        <v>46</v>
      </c>
      <c r="I14" s="31">
        <v>7</v>
      </c>
      <c r="J14" s="39">
        <f>IF(COUNT(G14:I14)=0,0,SUMPRODUCT({5000,1000,500},G14:I14))</f>
        <v>59500</v>
      </c>
      <c r="K14" s="31"/>
      <c r="L14" s="31"/>
      <c r="M14" s="31"/>
      <c r="N14" s="39">
        <f>IF(COUNT(K14:M14)=0,0,SUMPRODUCT({5000,1000,500},K14:M14))</f>
        <v>0</v>
      </c>
      <c r="O14" s="31"/>
      <c r="P14" s="31"/>
      <c r="Q14" s="31"/>
      <c r="R14" s="39">
        <f>IF(COUNT(O14:Q14)=0,0,SUMPRODUCT({5000,1000,500},O14:Q14))</f>
        <v>0</v>
      </c>
      <c r="S14" s="31"/>
      <c r="T14" s="31"/>
      <c r="U14" s="31"/>
      <c r="V14" s="31">
        <v>10</v>
      </c>
      <c r="W14" s="31"/>
      <c r="X14" s="31">
        <v>32</v>
      </c>
      <c r="Y14" s="31">
        <v>1</v>
      </c>
      <c r="Z14" s="31">
        <v>53</v>
      </c>
      <c r="AA14" s="31"/>
      <c r="AB14" s="31"/>
      <c r="AC14" s="31"/>
      <c r="AD14" s="34">
        <f>IF(COUNT(S14:AC14)=0,0,SUMPRODUCT({5000,1000,500,100,75,50,20,10,5,2,1}, S14:AC14))</f>
        <v>3150</v>
      </c>
      <c r="AE14" s="33">
        <v>62649</v>
      </c>
      <c r="AF14" s="24">
        <f>IF(AND(COUNT(C14:E14)=0,COUNT(G14:I14)=0,COUNT(K14:M14)=0,COUNT(O14:Q14)=0,COUNT(S14:AC14)=0,AE14=""),"",(IF(COUNT(C14:E14)=0,0,SUMPRODUCT({5000,1000,500},C14:E14))+IF(COUNT(G14:I14)=0,0,SUMPRODUCT({5000,1000,500},G14:I14))+IF(COUNT(K14:M14)=0,0,SUMPRODUCT({5000,1000,500},K14:M14))+IF(COUNT(O14:Q14)=0,0,SUMPRODUCT({5000,1000,500},O14:Q14))+AD14)-N(AE14))</f>
        <v>1</v>
      </c>
      <c r="AG14" s="35" t="str">
        <f t="shared" si="0"/>
        <v>Excess</v>
      </c>
      <c r="AH14" s="38"/>
      <c r="AI14" s="36">
        <v>63571</v>
      </c>
      <c r="AJ14" s="37">
        <f>4299+17587+41685</f>
        <v>63571</v>
      </c>
      <c r="AK14" s="26">
        <f t="shared" si="1"/>
        <v>0</v>
      </c>
      <c r="AL14" s="25" t="str">
        <f t="shared" si="2"/>
        <v>Matched</v>
      </c>
      <c r="AM14" s="38"/>
    </row>
    <row r="15" spans="1:39" ht="12.75" customHeight="1" x14ac:dyDescent="0.25">
      <c r="A15" s="31">
        <v>73679</v>
      </c>
      <c r="B15" s="32" t="str">
        <f>IF(A15="","",VLOOKUP(A15,'Employee Database'!A:B,2,FALSE))</f>
        <v>Imran Waqar</v>
      </c>
      <c r="C15" s="31"/>
      <c r="D15" s="31"/>
      <c r="E15" s="31"/>
      <c r="F15" s="39">
        <f>IF(COUNT(C15:E15)=0,0,SUMPRODUCT({5000,1000,500},C15:E15))</f>
        <v>0</v>
      </c>
      <c r="G15" s="31">
        <v>45</v>
      </c>
      <c r="H15" s="31">
        <v>182</v>
      </c>
      <c r="I15" s="31">
        <v>3</v>
      </c>
      <c r="J15" s="39">
        <f>IF(COUNT(G15:I15)=0,0,SUMPRODUCT({5000,1000,500},G15:I15))</f>
        <v>408500</v>
      </c>
      <c r="K15" s="31"/>
      <c r="L15" s="31"/>
      <c r="M15" s="31"/>
      <c r="N15" s="39">
        <f>IF(COUNT(K15:M15)=0,0,SUMPRODUCT({5000,1000,500},K15:M15))</f>
        <v>0</v>
      </c>
      <c r="O15" s="31"/>
      <c r="P15" s="31"/>
      <c r="Q15" s="31"/>
      <c r="R15" s="39">
        <f>IF(COUNT(O15:Q15)=0,0,SUMPRODUCT({5000,1000,500},O15:Q15))</f>
        <v>0</v>
      </c>
      <c r="S15" s="31"/>
      <c r="T15" s="31"/>
      <c r="U15" s="31"/>
      <c r="V15" s="31">
        <v>2</v>
      </c>
      <c r="W15" s="31"/>
      <c r="X15" s="31">
        <v>41</v>
      </c>
      <c r="Y15" s="31"/>
      <c r="Z15" s="31">
        <v>22</v>
      </c>
      <c r="AA15" s="31"/>
      <c r="AB15" s="31"/>
      <c r="AC15" s="31"/>
      <c r="AD15" s="34">
        <f>IF(COUNT(S15:AC15)=0,0,SUMPRODUCT({5000,1000,500,100,75,50,20,10,5,2,1}, S15:AC15))</f>
        <v>2470</v>
      </c>
      <c r="AE15" s="33">
        <v>410968</v>
      </c>
      <c r="AF15" s="24">
        <f>IF(AND(COUNT(C15:E15)=0,COUNT(G15:I15)=0,COUNT(K15:M15)=0,COUNT(O15:Q15)=0,COUNT(S15:AC15)=0,AE15=""),"",(IF(COUNT(C15:E15)=0,0,SUMPRODUCT({5000,1000,500},C15:E15))+IF(COUNT(G15:I15)=0,0,SUMPRODUCT({5000,1000,500},G15:I15))+IF(COUNT(K15:M15)=0,0,SUMPRODUCT({5000,1000,500},K15:M15))+IF(COUNT(O15:Q15)=0,0,SUMPRODUCT({5000,1000,500},O15:Q15))+AD15)-N(AE15))</f>
        <v>2</v>
      </c>
      <c r="AG15" s="35" t="str">
        <f t="shared" si="0"/>
        <v>Excess</v>
      </c>
      <c r="AH15" s="38"/>
      <c r="AI15" s="36">
        <v>842896</v>
      </c>
      <c r="AJ15" s="37">
        <f>282259+560637</f>
        <v>842896</v>
      </c>
      <c r="AK15" s="26">
        <f t="shared" si="1"/>
        <v>0</v>
      </c>
      <c r="AL15" s="25" t="str">
        <f t="shared" si="2"/>
        <v>Matched</v>
      </c>
      <c r="AM15" s="38"/>
    </row>
    <row r="16" spans="1:39" ht="12.75" customHeight="1" x14ac:dyDescent="0.25">
      <c r="A16" s="31">
        <v>75768</v>
      </c>
      <c r="B16" s="32" t="str">
        <f>IF(A16="","",VLOOKUP(A16,'Employee Database'!A:B,2,FALSE))</f>
        <v>Zuhaib</v>
      </c>
      <c r="C16" s="31"/>
      <c r="D16" s="31"/>
      <c r="E16" s="31"/>
      <c r="F16" s="39">
        <f>IF(COUNT(C16:E16)=0,0,SUMPRODUCT({5000,1000,500},C16:E16))</f>
        <v>0</v>
      </c>
      <c r="G16" s="31">
        <v>63</v>
      </c>
      <c r="H16" s="31">
        <v>58</v>
      </c>
      <c r="I16" s="31">
        <v>3</v>
      </c>
      <c r="J16" s="39">
        <f>IF(COUNT(G16:I16)=0,0,SUMPRODUCT({5000,1000,500},G16:I16))</f>
        <v>374500</v>
      </c>
      <c r="K16" s="31"/>
      <c r="L16" s="31"/>
      <c r="M16" s="31"/>
      <c r="N16" s="39">
        <f>IF(COUNT(K16:M16)=0,0,SUMPRODUCT({5000,1000,500},K16:M16))</f>
        <v>0</v>
      </c>
      <c r="O16" s="31"/>
      <c r="P16" s="31"/>
      <c r="Q16" s="31"/>
      <c r="R16" s="39">
        <f>IF(COUNT(O16:Q16)=0,0,SUMPRODUCT({5000,1000,500},O16:Q16))</f>
        <v>0</v>
      </c>
      <c r="S16" s="31"/>
      <c r="T16" s="31"/>
      <c r="U16" s="31"/>
      <c r="V16" s="31">
        <v>3</v>
      </c>
      <c r="W16" s="31"/>
      <c r="X16" s="31">
        <v>34</v>
      </c>
      <c r="Y16" s="31"/>
      <c r="Z16" s="31">
        <v>27</v>
      </c>
      <c r="AA16" s="31"/>
      <c r="AB16" s="31"/>
      <c r="AC16" s="31"/>
      <c r="AD16" s="34">
        <f>IF(COUNT(S16:AC16)=0,0,SUMPRODUCT({5000,1000,500,100,75,50,20,10,5,2,1}, S16:AC16))</f>
        <v>2270</v>
      </c>
      <c r="AE16" s="33">
        <v>376715</v>
      </c>
      <c r="AF16" s="24">
        <f>IF(AND(COUNT(C16:E16)=0,COUNT(G16:I16)=0,COUNT(K16:M16)=0,COUNT(O16:Q16)=0,COUNT(S16:AC16)=0,AE16=""),"",(IF(COUNT(C16:E16)=0,0,SUMPRODUCT({5000,1000,500},C16:E16))+IF(COUNT(G16:I16)=0,0,SUMPRODUCT({5000,1000,500},G16:I16))+IF(COUNT(K16:M16)=0,0,SUMPRODUCT({5000,1000,500},K16:M16))+IF(COUNT(O16:Q16)=0,0,SUMPRODUCT({5000,1000,500},O16:Q16))+AD16)-N(AE16))</f>
        <v>55</v>
      </c>
      <c r="AG16" s="35" t="str">
        <f t="shared" si="0"/>
        <v>Excess</v>
      </c>
      <c r="AH16" s="38"/>
      <c r="AI16" s="36">
        <v>719528</v>
      </c>
      <c r="AJ16" s="37">
        <f>475930+243598</f>
        <v>719528</v>
      </c>
      <c r="AK16" s="26">
        <f t="shared" si="1"/>
        <v>0</v>
      </c>
      <c r="AL16" s="25" t="str">
        <f t="shared" si="2"/>
        <v>Matched</v>
      </c>
      <c r="AM16" s="38"/>
    </row>
    <row r="17" spans="1:39" ht="12.75" customHeight="1" x14ac:dyDescent="0.25">
      <c r="A17" s="31">
        <v>67799</v>
      </c>
      <c r="B17" s="32" t="str">
        <f>IF(A17="","",VLOOKUP(A17,'Employee Database'!A:B,2,FALSE))</f>
        <v>Hassan Raza</v>
      </c>
      <c r="C17" s="31"/>
      <c r="D17" s="31"/>
      <c r="E17" s="31"/>
      <c r="F17" s="39">
        <f>IF(COUNT(C17:E17)=0,0,SUMPRODUCT({5000,1000,500},C17:E17))</f>
        <v>0</v>
      </c>
      <c r="G17" s="31">
        <v>41</v>
      </c>
      <c r="H17" s="31">
        <v>85</v>
      </c>
      <c r="I17" s="31">
        <v>9</v>
      </c>
      <c r="J17" s="39">
        <f>IF(COUNT(G17:I17)=0,0,SUMPRODUCT({5000,1000,500},G17:I17))</f>
        <v>294500</v>
      </c>
      <c r="K17" s="31"/>
      <c r="L17" s="31"/>
      <c r="M17" s="31"/>
      <c r="N17" s="39">
        <f>IF(COUNT(K17:M17)=0,0,SUMPRODUCT({5000,1000,500},K17:M17))</f>
        <v>0</v>
      </c>
      <c r="O17" s="31"/>
      <c r="P17" s="31"/>
      <c r="Q17" s="31"/>
      <c r="R17" s="39">
        <f>IF(COUNT(O17:Q17)=0,0,SUMPRODUCT({5000,1000,500},O17:Q17))</f>
        <v>0</v>
      </c>
      <c r="S17" s="31"/>
      <c r="T17" s="31"/>
      <c r="U17" s="31"/>
      <c r="V17" s="31">
        <v>1</v>
      </c>
      <c r="W17" s="31"/>
      <c r="X17" s="31">
        <v>28</v>
      </c>
      <c r="Y17" s="31"/>
      <c r="Z17" s="31">
        <v>83</v>
      </c>
      <c r="AA17" s="31"/>
      <c r="AB17" s="31"/>
      <c r="AC17" s="31"/>
      <c r="AD17" s="34">
        <f>IF(COUNT(S17:AC17)=0,0,SUMPRODUCT({5000,1000,500,100,75,50,20,10,5,2,1}, S17:AC17))</f>
        <v>2330</v>
      </c>
      <c r="AE17" s="33">
        <v>296766</v>
      </c>
      <c r="AF17" s="24">
        <f>IF(AND(COUNT(C17:E17)=0,COUNT(G17:I17)=0,COUNT(K17:M17)=0,COUNT(O17:Q17)=0,COUNT(S17:AC17)=0,AE17=""),"",(IF(COUNT(C17:E17)=0,0,SUMPRODUCT({5000,1000,500},C17:E17))+IF(COUNT(G17:I17)=0,0,SUMPRODUCT({5000,1000,500},G17:I17))+IF(COUNT(K17:M17)=0,0,SUMPRODUCT({5000,1000,500},K17:M17))+IF(COUNT(O17:Q17)=0,0,SUMPRODUCT({5000,1000,500},O17:Q17))+AD17)-N(AE17))</f>
        <v>64</v>
      </c>
      <c r="AG17" s="35" t="str">
        <f t="shared" si="0"/>
        <v>Excess</v>
      </c>
      <c r="AH17" s="38"/>
      <c r="AI17" s="36">
        <v>388040</v>
      </c>
      <c r="AJ17" s="37">
        <f>117219+270820+1</f>
        <v>388040</v>
      </c>
      <c r="AK17" s="26">
        <f t="shared" si="1"/>
        <v>0</v>
      </c>
      <c r="AL17" s="25" t="str">
        <f t="shared" si="2"/>
        <v>Matched</v>
      </c>
      <c r="AM17" s="38"/>
    </row>
    <row r="18" spans="1:39" ht="12.75" customHeight="1" x14ac:dyDescent="0.25">
      <c r="A18" s="31">
        <v>71788</v>
      </c>
      <c r="B18" s="32" t="str">
        <f>IF(A18="","",VLOOKUP(A18,'Employee Database'!A:B,2,FALSE))</f>
        <v>Saaim</v>
      </c>
      <c r="C18" s="31"/>
      <c r="D18" s="31"/>
      <c r="E18" s="31"/>
      <c r="F18" s="39">
        <f>IF(COUNT(C18:E18)=0,0,SUMPRODUCT({5000,1000,500},C18:E18))</f>
        <v>0</v>
      </c>
      <c r="G18" s="31">
        <v>12</v>
      </c>
      <c r="H18" s="31">
        <v>14</v>
      </c>
      <c r="I18" s="31">
        <v>1</v>
      </c>
      <c r="J18" s="39">
        <f>IF(COUNT(G18:I18)=0,0,SUMPRODUCT({5000,1000,500},G18:I18))</f>
        <v>74500</v>
      </c>
      <c r="K18" s="31"/>
      <c r="L18" s="31"/>
      <c r="M18" s="31"/>
      <c r="N18" s="39">
        <f>IF(COUNT(K18:M18)=0,0,SUMPRODUCT({5000,1000,500},K18:M18))</f>
        <v>0</v>
      </c>
      <c r="O18" s="31"/>
      <c r="P18" s="31"/>
      <c r="Q18" s="31"/>
      <c r="R18" s="39">
        <f>IF(COUNT(O18:Q18)=0,0,SUMPRODUCT({5000,1000,500},O18:Q18))</f>
        <v>0</v>
      </c>
      <c r="S18" s="31"/>
      <c r="T18" s="31"/>
      <c r="U18" s="31"/>
      <c r="V18" s="31">
        <v>3</v>
      </c>
      <c r="W18" s="31"/>
      <c r="X18" s="31">
        <v>82</v>
      </c>
      <c r="Y18" s="31"/>
      <c r="Z18" s="31">
        <v>87</v>
      </c>
      <c r="AA18" s="31"/>
      <c r="AB18" s="31"/>
      <c r="AC18" s="31"/>
      <c r="AD18" s="34">
        <f>IF(COUNT(S18:AC18)=0,0,SUMPRODUCT({5000,1000,500,100,75,50,20,10,5,2,1}, S18:AC18))</f>
        <v>5270</v>
      </c>
      <c r="AE18" s="33">
        <v>79755</v>
      </c>
      <c r="AF18" s="24">
        <f>IF(AND(COUNT(C18:E18)=0,COUNT(G18:I18)=0,COUNT(K18:M18)=0,COUNT(O18:Q18)=0,COUNT(S18:AC18)=0,AE18=""),"",(IF(COUNT(C18:E18)=0,0,SUMPRODUCT({5000,1000,500},C18:E18))+IF(COUNT(G18:I18)=0,0,SUMPRODUCT({5000,1000,500},G18:I18))+IF(COUNT(K18:M18)=0,0,SUMPRODUCT({5000,1000,500},K18:M18))+IF(COUNT(O18:Q18)=0,0,SUMPRODUCT({5000,1000,500},O18:Q18))+AD18)-N(AE18))</f>
        <v>15</v>
      </c>
      <c r="AG18" s="35" t="str">
        <f t="shared" si="0"/>
        <v>Excess</v>
      </c>
      <c r="AH18" s="38"/>
      <c r="AI18" s="36">
        <v>84033</v>
      </c>
      <c r="AJ18" s="37">
        <v>84033</v>
      </c>
      <c r="AK18" s="26">
        <f t="shared" si="1"/>
        <v>0</v>
      </c>
      <c r="AL18" s="25" t="str">
        <f t="shared" si="2"/>
        <v>Matched</v>
      </c>
      <c r="AM18" s="38"/>
    </row>
    <row r="19" spans="1:39" ht="12.75" customHeight="1" x14ac:dyDescent="0.25">
      <c r="A19" s="31">
        <v>67250</v>
      </c>
      <c r="B19" s="32" t="str">
        <f>IF(A19="","",VLOOKUP(A19,'Employee Database'!A:B,2,FALSE))</f>
        <v>M Fiaz</v>
      </c>
      <c r="C19" s="31"/>
      <c r="D19" s="31"/>
      <c r="E19" s="31"/>
      <c r="F19" s="39">
        <f>IF(COUNT(C19:E19)=0,0,SUMPRODUCT({5000,1000,500},C19:E19))</f>
        <v>0</v>
      </c>
      <c r="G19" s="31">
        <v>39</v>
      </c>
      <c r="H19" s="31">
        <v>80</v>
      </c>
      <c r="I19" s="31">
        <v>14</v>
      </c>
      <c r="J19" s="39">
        <f>IF(COUNT(G19:I19)=0,0,SUMPRODUCT({5000,1000,500},G19:I19))</f>
        <v>282000</v>
      </c>
      <c r="K19" s="31"/>
      <c r="L19" s="31"/>
      <c r="M19" s="31"/>
      <c r="N19" s="39">
        <f>IF(COUNT(K19:M19)=0,0,SUMPRODUCT({5000,1000,500},K19:M19))</f>
        <v>0</v>
      </c>
      <c r="O19" s="31"/>
      <c r="P19" s="31"/>
      <c r="Q19" s="31"/>
      <c r="R19" s="39">
        <f>IF(COUNT(O19:Q19)=0,0,SUMPRODUCT({5000,1000,500},O19:Q19))</f>
        <v>0</v>
      </c>
      <c r="S19" s="31"/>
      <c r="T19" s="31"/>
      <c r="U19" s="31"/>
      <c r="V19" s="31"/>
      <c r="W19" s="31"/>
      <c r="X19" s="31">
        <v>15</v>
      </c>
      <c r="Y19" s="31"/>
      <c r="Z19" s="31">
        <v>33</v>
      </c>
      <c r="AA19" s="31"/>
      <c r="AB19" s="31"/>
      <c r="AC19" s="31"/>
      <c r="AD19" s="34">
        <f>IF(COUNT(S19:AC19)=0,0,SUMPRODUCT({5000,1000,500,100,75,50,20,10,5,2,1}, S19:AC19))</f>
        <v>1080</v>
      </c>
      <c r="AE19" s="33">
        <v>283047</v>
      </c>
      <c r="AF19" s="24">
        <f>IF(AND(COUNT(C19:E19)=0,COUNT(G19:I19)=0,COUNT(K19:M19)=0,COUNT(O19:Q19)=0,COUNT(S19:AC19)=0,AE19=""),"",(IF(COUNT(C19:E19)=0,0,SUMPRODUCT({5000,1000,500},C19:E19))+IF(COUNT(G19:I19)=0,0,SUMPRODUCT({5000,1000,500},G19:I19))+IF(COUNT(K19:M19)=0,0,SUMPRODUCT({5000,1000,500},K19:M19))+IF(COUNT(O19:Q19)=0,0,SUMPRODUCT({5000,1000,500},O19:Q19))+AD19)-N(AE19))</f>
        <v>33</v>
      </c>
      <c r="AG19" s="35" t="str">
        <f t="shared" si="0"/>
        <v>Excess</v>
      </c>
      <c r="AH19" s="38"/>
      <c r="AI19" s="36">
        <v>831269</v>
      </c>
      <c r="AJ19" s="37">
        <f>677955+143828+1</f>
        <v>821784</v>
      </c>
      <c r="AK19" s="26">
        <f t="shared" si="1"/>
        <v>9485</v>
      </c>
      <c r="AL19" s="25" t="str">
        <f t="shared" si="2"/>
        <v>POS Excess</v>
      </c>
      <c r="AM19" s="38"/>
    </row>
    <row r="20" spans="1:39" ht="12.75" customHeight="1" x14ac:dyDescent="0.25">
      <c r="A20" s="31">
        <v>63374</v>
      </c>
      <c r="B20" s="32" t="str">
        <f>IF(A20="","",VLOOKUP(A20,'Employee Database'!A:B,2,FALSE))</f>
        <v>Aftab Ali</v>
      </c>
      <c r="C20" s="31"/>
      <c r="D20" s="31"/>
      <c r="E20" s="31"/>
      <c r="F20" s="39">
        <f>IF(COUNT(C20:E20)=0,0,SUMPRODUCT({5000,1000,500},C20:E20))</f>
        <v>0</v>
      </c>
      <c r="G20" s="31">
        <v>27</v>
      </c>
      <c r="H20" s="31">
        <v>105</v>
      </c>
      <c r="I20" s="31">
        <v>1</v>
      </c>
      <c r="J20" s="39">
        <f>IF(COUNT(G20:I20)=0,0,SUMPRODUCT({5000,1000,500},G20:I20))</f>
        <v>240500</v>
      </c>
      <c r="K20" s="31"/>
      <c r="L20" s="31"/>
      <c r="M20" s="31"/>
      <c r="N20" s="39">
        <f>IF(COUNT(K20:M20)=0,0,SUMPRODUCT({5000,1000,500},K20:M20))</f>
        <v>0</v>
      </c>
      <c r="O20" s="31"/>
      <c r="P20" s="31"/>
      <c r="Q20" s="31"/>
      <c r="R20" s="39">
        <f>IF(COUNT(O20:Q20)=0,0,SUMPRODUCT({5000,1000,500},O20:Q20))</f>
        <v>0</v>
      </c>
      <c r="S20" s="31"/>
      <c r="T20" s="31"/>
      <c r="U20" s="31"/>
      <c r="V20" s="31">
        <v>2</v>
      </c>
      <c r="W20" s="31"/>
      <c r="X20" s="31">
        <v>56</v>
      </c>
      <c r="Y20" s="31">
        <v>2</v>
      </c>
      <c r="Z20" s="31">
        <v>63</v>
      </c>
      <c r="AA20" s="31"/>
      <c r="AB20" s="31"/>
      <c r="AC20" s="31"/>
      <c r="AD20" s="34">
        <f>IF(COUNT(S20:AC20)=0,0,SUMPRODUCT({5000,1000,500,100,75,50,20,10,5,2,1}, S20:AC20))</f>
        <v>3670</v>
      </c>
      <c r="AE20" s="33">
        <v>244144</v>
      </c>
      <c r="AF20" s="24">
        <f>IF(AND(COUNT(C20:E20)=0,COUNT(G20:I20)=0,COUNT(K20:M20)=0,COUNT(O20:Q20)=0,COUNT(S20:AC20)=0,AE20=""),"",(IF(COUNT(C20:E20)=0,0,SUMPRODUCT({5000,1000,500},C20:E20))+IF(COUNT(G20:I20)=0,0,SUMPRODUCT({5000,1000,500},G20:I20))+IF(COUNT(K20:M20)=0,0,SUMPRODUCT({5000,1000,500},K20:M20))+IF(COUNT(O20:Q20)=0,0,SUMPRODUCT({5000,1000,500},O20:Q20))+AD20)-N(AE20))</f>
        <v>26</v>
      </c>
      <c r="AG20" s="35" t="str">
        <f t="shared" si="0"/>
        <v>Excess</v>
      </c>
      <c r="AH20" s="38"/>
      <c r="AI20" s="36">
        <f>512817+87363</f>
        <v>600180</v>
      </c>
      <c r="AJ20" s="37">
        <f>512817+87363</f>
        <v>600180</v>
      </c>
      <c r="AK20" s="26">
        <f t="shared" si="1"/>
        <v>0</v>
      </c>
      <c r="AL20" s="25" t="str">
        <f t="shared" si="2"/>
        <v>Matched</v>
      </c>
      <c r="AM20" s="38"/>
    </row>
    <row r="21" spans="1:39" ht="12.75" customHeight="1" x14ac:dyDescent="0.25">
      <c r="A21" s="31">
        <v>77424</v>
      </c>
      <c r="B21" s="32" t="str">
        <f>IF(A21="","",VLOOKUP(A21,'Employee Database'!A:B,2,FALSE))</f>
        <v>M Husnain</v>
      </c>
      <c r="C21" s="31"/>
      <c r="D21" s="31"/>
      <c r="E21" s="31"/>
      <c r="F21" s="39">
        <f>IF(COUNT(C21:E21)=0,0,SUMPRODUCT({5000,1000,500},C21:E21))</f>
        <v>0</v>
      </c>
      <c r="G21" s="31">
        <v>10</v>
      </c>
      <c r="H21" s="31">
        <v>27</v>
      </c>
      <c r="I21" s="31">
        <v>8</v>
      </c>
      <c r="J21" s="39">
        <f>IF(COUNT(G21:I21)=0,0,SUMPRODUCT({5000,1000,500},G21:I21))</f>
        <v>81000</v>
      </c>
      <c r="K21" s="31"/>
      <c r="L21" s="31"/>
      <c r="M21" s="31"/>
      <c r="N21" s="39">
        <f>IF(COUNT(K21:M21)=0,0,SUMPRODUCT({5000,1000,500},K21:M21))</f>
        <v>0</v>
      </c>
      <c r="O21" s="31"/>
      <c r="P21" s="31"/>
      <c r="Q21" s="31"/>
      <c r="R21" s="39">
        <f>IF(COUNT(O21:Q21)=0,0,SUMPRODUCT({5000,1000,500},O21:Q21))</f>
        <v>0</v>
      </c>
      <c r="S21" s="31"/>
      <c r="T21" s="31"/>
      <c r="U21" s="31"/>
      <c r="V21" s="31">
        <v>18</v>
      </c>
      <c r="W21" s="31"/>
      <c r="X21" s="31">
        <v>46</v>
      </c>
      <c r="Y21" s="31">
        <v>1</v>
      </c>
      <c r="Z21" s="31">
        <v>68</v>
      </c>
      <c r="AA21" s="31"/>
      <c r="AB21" s="31"/>
      <c r="AC21" s="31"/>
      <c r="AD21" s="34">
        <f>IF(COUNT(S21:AC21)=0,0,SUMPRODUCT({5000,1000,500,100,75,50,20,10,5,2,1}, S21:AC21))</f>
        <v>4800</v>
      </c>
      <c r="AE21" s="33">
        <v>85920</v>
      </c>
      <c r="AF21" s="24">
        <f>IF(AND(COUNT(C21:E21)=0,COUNT(G21:I21)=0,COUNT(K21:M21)=0,COUNT(O21:Q21)=0,COUNT(S21:AC21)=0,AE21=""),"",(IF(COUNT(C21:E21)=0,0,SUMPRODUCT({5000,1000,500},C21:E21))+IF(COUNT(G21:I21)=0,0,SUMPRODUCT({5000,1000,500},G21:I21))+IF(COUNT(K21:M21)=0,0,SUMPRODUCT({5000,1000,500},K21:M21))+IF(COUNT(O21:Q21)=0,0,SUMPRODUCT({5000,1000,500},O21:Q21))+AD21)-N(AE21))</f>
        <v>-120</v>
      </c>
      <c r="AG21" s="35" t="str">
        <f t="shared" si="0"/>
        <v>Short</v>
      </c>
      <c r="AH21" s="38"/>
      <c r="AI21" s="36">
        <f>117649+144259</f>
        <v>261908</v>
      </c>
      <c r="AJ21" s="37">
        <f>109315+198302</f>
        <v>307617</v>
      </c>
      <c r="AK21" s="26">
        <f t="shared" si="1"/>
        <v>-45709</v>
      </c>
      <c r="AL21" s="25" t="str">
        <f t="shared" si="2"/>
        <v>Bank Short</v>
      </c>
      <c r="AM21" s="38"/>
    </row>
    <row r="22" spans="1:39" ht="12.75" customHeight="1" x14ac:dyDescent="0.25">
      <c r="A22" s="31">
        <v>53893</v>
      </c>
      <c r="B22" s="32" t="str">
        <f>IF(A22="","",VLOOKUP(A22,'Employee Database'!A:B,2,FALSE))</f>
        <v>M Binyameen</v>
      </c>
      <c r="C22" s="31"/>
      <c r="D22" s="31"/>
      <c r="E22" s="31"/>
      <c r="F22" s="39">
        <f>IF(COUNT(C22:E22)=0,0,SUMPRODUCT({5000,1000,500},C22:E22))</f>
        <v>0</v>
      </c>
      <c r="G22" s="31">
        <v>60</v>
      </c>
      <c r="H22" s="31">
        <v>140</v>
      </c>
      <c r="I22" s="31">
        <v>4</v>
      </c>
      <c r="J22" s="39">
        <f>IF(COUNT(G22:I22)=0,0,SUMPRODUCT({5000,1000,500},G22:I22))</f>
        <v>442000</v>
      </c>
      <c r="K22" s="31"/>
      <c r="L22" s="31"/>
      <c r="M22" s="31"/>
      <c r="N22" s="39">
        <f>IF(COUNT(K22:M22)=0,0,SUMPRODUCT({5000,1000,500},K22:M22))</f>
        <v>0</v>
      </c>
      <c r="O22" s="31"/>
      <c r="P22" s="31"/>
      <c r="Q22" s="31"/>
      <c r="R22" s="39">
        <f>IF(COUNT(O22:Q22)=0,0,SUMPRODUCT({5000,1000,500},O22:Q22))</f>
        <v>0</v>
      </c>
      <c r="S22" s="31"/>
      <c r="T22" s="31"/>
      <c r="U22" s="31"/>
      <c r="V22" s="31"/>
      <c r="W22" s="31"/>
      <c r="X22" s="31"/>
      <c r="Y22" s="31"/>
      <c r="Z22" s="31">
        <v>6</v>
      </c>
      <c r="AA22" s="31"/>
      <c r="AB22" s="31"/>
      <c r="AC22" s="31"/>
      <c r="AD22" s="34">
        <f>IF(COUNT(S22:AC22)=0,0,SUMPRODUCT({5000,1000,500,100,75,50,20,10,5,2,1}, S22:AC22))</f>
        <v>60</v>
      </c>
      <c r="AE22" s="33">
        <v>442050</v>
      </c>
      <c r="AF22" s="24">
        <f>IF(AND(COUNT(C22:E22)=0,COUNT(G22:I22)=0,COUNT(K22:M22)=0,COUNT(O22:Q22)=0,COUNT(S22:AC22)=0,AE22=""),"",(IF(COUNT(C22:E22)=0,0,SUMPRODUCT({5000,1000,500},C22:E22))+IF(COUNT(G22:I22)=0,0,SUMPRODUCT({5000,1000,500},G22:I22))+IF(COUNT(K22:M22)=0,0,SUMPRODUCT({5000,1000,500},K22:M22))+IF(COUNT(O22:Q22)=0,0,SUMPRODUCT({5000,1000,500},O22:Q22))+AD22)-N(AE22))</f>
        <v>10</v>
      </c>
      <c r="AG22" s="35" t="str">
        <f t="shared" si="0"/>
        <v>Excess</v>
      </c>
      <c r="AH22" s="38"/>
      <c r="AI22" s="36">
        <f>839059+518</f>
        <v>839577</v>
      </c>
      <c r="AJ22" s="37">
        <f>526141+518+312917+1</f>
        <v>839577</v>
      </c>
      <c r="AK22" s="26">
        <f t="shared" si="1"/>
        <v>0</v>
      </c>
      <c r="AL22" s="25" t="str">
        <f t="shared" si="2"/>
        <v>Matched</v>
      </c>
      <c r="AM22" s="38"/>
    </row>
    <row r="23" spans="1:39" ht="12.75" customHeight="1" x14ac:dyDescent="0.25">
      <c r="A23" s="31">
        <v>50134</v>
      </c>
      <c r="B23" s="32" t="str">
        <f>IF(A23="","",VLOOKUP(A23,'Employee Database'!A:B,2,FALSE))</f>
        <v>Asif Abbas</v>
      </c>
      <c r="C23" s="31"/>
      <c r="D23" s="31"/>
      <c r="E23" s="31"/>
      <c r="F23" s="39">
        <f>IF(COUNT(C23:E23)=0,0,SUMPRODUCT({5000,1000,500},C23:E23))</f>
        <v>0</v>
      </c>
      <c r="G23" s="31">
        <v>32</v>
      </c>
      <c r="H23" s="31">
        <v>171</v>
      </c>
      <c r="I23" s="31">
        <v>95</v>
      </c>
      <c r="J23" s="39">
        <f>IF(COUNT(G23:I23)=0,0,SUMPRODUCT({5000,1000,500},G23:I23))</f>
        <v>378500</v>
      </c>
      <c r="K23" s="31"/>
      <c r="L23" s="31"/>
      <c r="M23" s="31"/>
      <c r="N23" s="39">
        <f>IF(COUNT(K23:M23)=0,0,SUMPRODUCT({5000,1000,500},K23:M23))</f>
        <v>0</v>
      </c>
      <c r="O23" s="31"/>
      <c r="P23" s="31"/>
      <c r="Q23" s="31"/>
      <c r="R23" s="39">
        <f>IF(COUNT(O23:Q23)=0,0,SUMPRODUCT({5000,1000,500},O23:Q23))</f>
        <v>0</v>
      </c>
      <c r="S23" s="31"/>
      <c r="T23" s="31"/>
      <c r="U23" s="31"/>
      <c r="V23" s="31">
        <v>2</v>
      </c>
      <c r="W23" s="31"/>
      <c r="X23" s="31">
        <v>15</v>
      </c>
      <c r="Y23" s="31"/>
      <c r="Z23" s="31">
        <v>8</v>
      </c>
      <c r="AA23" s="31"/>
      <c r="AB23" s="31"/>
      <c r="AC23" s="31"/>
      <c r="AD23" s="34">
        <f>IF(COUNT(S23:AC23)=0,0,SUMPRODUCT({5000,1000,500,100,75,50,20,10,5,2,1}, S23:AC23))</f>
        <v>1030</v>
      </c>
      <c r="AE23" s="33">
        <v>379499</v>
      </c>
      <c r="AF23" s="24">
        <f>IF(AND(COUNT(C23:E23)=0,COUNT(G23:I23)=0,COUNT(K23:M23)=0,COUNT(O23:Q23)=0,COUNT(S23:AC23)=0,AE23=""),"",(IF(COUNT(C23:E23)=0,0,SUMPRODUCT({5000,1000,500},C23:E23))+IF(COUNT(G23:I23)=0,0,SUMPRODUCT({5000,1000,500},G23:I23))+IF(COUNT(K23:M23)=0,0,SUMPRODUCT({5000,1000,500},K23:M23))+IF(COUNT(O23:Q23)=0,0,SUMPRODUCT({5000,1000,500},O23:Q23))+AD23)-N(AE23))</f>
        <v>31</v>
      </c>
      <c r="AG23" s="35" t="str">
        <f t="shared" si="0"/>
        <v>Excess</v>
      </c>
      <c r="AH23" s="38"/>
      <c r="AI23" s="36">
        <v>902085</v>
      </c>
      <c r="AJ23" s="37">
        <f>306282+595802+1</f>
        <v>902085</v>
      </c>
      <c r="AK23" s="26">
        <f t="shared" si="1"/>
        <v>0</v>
      </c>
      <c r="AL23" s="25" t="str">
        <f t="shared" si="2"/>
        <v>Matched</v>
      </c>
      <c r="AM23" s="38"/>
    </row>
    <row r="24" spans="1:39" ht="12.75" customHeight="1" x14ac:dyDescent="0.25">
      <c r="A24" s="31">
        <v>69732</v>
      </c>
      <c r="B24" s="32" t="str">
        <f>IF(A24="","",VLOOKUP(A24,'Employee Database'!A:B,2,FALSE))</f>
        <v>Abdul Hafeez</v>
      </c>
      <c r="C24" s="31"/>
      <c r="D24" s="31"/>
      <c r="E24" s="31"/>
      <c r="F24" s="39">
        <f>IF(COUNT(C24:E24)=0,0,SUMPRODUCT({5000,1000,500},C24:E24))</f>
        <v>0</v>
      </c>
      <c r="G24" s="31">
        <v>15</v>
      </c>
      <c r="H24" s="31">
        <v>15</v>
      </c>
      <c r="I24" s="31">
        <v>4</v>
      </c>
      <c r="J24" s="39">
        <f>IF(COUNT(G24:I24)=0,0,SUMPRODUCT({5000,1000,500},G24:I24))</f>
        <v>92000</v>
      </c>
      <c r="K24" s="31"/>
      <c r="L24" s="31"/>
      <c r="M24" s="31"/>
      <c r="N24" s="39">
        <f>IF(COUNT(K24:M24)=0,0,SUMPRODUCT({5000,1000,500},K24:M24))</f>
        <v>0</v>
      </c>
      <c r="O24" s="31"/>
      <c r="P24" s="31"/>
      <c r="Q24" s="31"/>
      <c r="R24" s="39">
        <f>IF(COUNT(O24:Q24)=0,0,SUMPRODUCT({5000,1000,500},O24:Q24))</f>
        <v>0</v>
      </c>
      <c r="S24" s="31"/>
      <c r="T24" s="31"/>
      <c r="U24" s="31"/>
      <c r="V24" s="31">
        <v>2</v>
      </c>
      <c r="W24" s="31"/>
      <c r="X24" s="31">
        <v>48</v>
      </c>
      <c r="Y24" s="31">
        <v>1</v>
      </c>
      <c r="Z24" s="31">
        <v>43</v>
      </c>
      <c r="AA24" s="31"/>
      <c r="AB24" s="31"/>
      <c r="AC24" s="31"/>
      <c r="AD24" s="34">
        <f>IF(COUNT(S24:AC24)=0,0,SUMPRODUCT({5000,1000,500,100,75,50,20,10,5,2,1}, S24:AC24))</f>
        <v>3050</v>
      </c>
      <c r="AE24" s="33">
        <v>95036</v>
      </c>
      <c r="AF24" s="24">
        <f>IF(AND(COUNT(C24:E24)=0,COUNT(G24:I24)=0,COUNT(K24:M24)=0,COUNT(O24:Q24)=0,COUNT(S24:AC24)=0,AE24=""),"",(IF(COUNT(C24:E24)=0,0,SUMPRODUCT({5000,1000,500},C24:E24))+IF(COUNT(G24:I24)=0,0,SUMPRODUCT({5000,1000,500},G24:I24))+IF(COUNT(K24:M24)=0,0,SUMPRODUCT({5000,1000,500},K24:M24))+IF(COUNT(O24:Q24)=0,0,SUMPRODUCT({5000,1000,500},O24:Q24))+AD24)-N(AE24))</f>
        <v>14</v>
      </c>
      <c r="AG24" s="35" t="str">
        <f t="shared" si="0"/>
        <v>Excess</v>
      </c>
      <c r="AH24" s="38"/>
      <c r="AI24" s="36">
        <v>163694</v>
      </c>
      <c r="AJ24" s="37">
        <f>118836+44858</f>
        <v>163694</v>
      </c>
      <c r="AK24" s="26">
        <f t="shared" si="1"/>
        <v>0</v>
      </c>
      <c r="AL24" s="25" t="str">
        <f t="shared" si="2"/>
        <v>Matched</v>
      </c>
      <c r="AM24" s="38"/>
    </row>
    <row r="25" spans="1:39" ht="12.75" customHeight="1" x14ac:dyDescent="0.25">
      <c r="A25" s="31">
        <v>69728</v>
      </c>
      <c r="B25" s="32" t="str">
        <f>IF(A25="","",VLOOKUP(A25,'Employee Database'!A:B,2,FALSE))</f>
        <v>Hafiz Hafeez Ur Rehman</v>
      </c>
      <c r="C25" s="31"/>
      <c r="D25" s="31"/>
      <c r="E25" s="31"/>
      <c r="F25" s="39">
        <f>IF(COUNT(C25:E25)=0,0,SUMPRODUCT({5000,1000,500},C25:E25))</f>
        <v>0</v>
      </c>
      <c r="G25" s="31">
        <v>58</v>
      </c>
      <c r="H25" s="31">
        <v>179</v>
      </c>
      <c r="I25" s="31">
        <v>1</v>
      </c>
      <c r="J25" s="39">
        <f>IF(COUNT(G25:I25)=0,0,SUMPRODUCT({5000,1000,500},G25:I25))</f>
        <v>469500</v>
      </c>
      <c r="K25" s="31"/>
      <c r="L25" s="31"/>
      <c r="M25" s="31"/>
      <c r="N25" s="39">
        <f>IF(COUNT(K25:M25)=0,0,SUMPRODUCT({5000,1000,500},K25:M25))</f>
        <v>0</v>
      </c>
      <c r="O25" s="31"/>
      <c r="P25" s="31"/>
      <c r="Q25" s="31"/>
      <c r="R25" s="39">
        <f>IF(COUNT(O25:Q25)=0,0,SUMPRODUCT({5000,1000,500},O25:Q25))</f>
        <v>0</v>
      </c>
      <c r="S25" s="31"/>
      <c r="T25" s="31"/>
      <c r="U25" s="31"/>
      <c r="V25" s="31">
        <v>3</v>
      </c>
      <c r="W25" s="31"/>
      <c r="X25" s="31">
        <v>24</v>
      </c>
      <c r="Y25" s="31"/>
      <c r="Z25" s="31">
        <v>344</v>
      </c>
      <c r="AA25" s="31"/>
      <c r="AB25" s="31"/>
      <c r="AC25" s="31"/>
      <c r="AD25" s="34">
        <f>IF(COUNT(S25:AC25)=0,0,SUMPRODUCT({5000,1000,500,100,75,50,20,10,5,2,1}, S25:AC25))</f>
        <v>4940</v>
      </c>
      <c r="AE25" s="33">
        <v>474439</v>
      </c>
      <c r="AF25" s="24">
        <f>IF(AND(COUNT(C25:E25)=0,COUNT(G25:I25)=0,COUNT(K25:M25)=0,COUNT(O25:Q25)=0,COUNT(S25:AC25)=0,AE25=""),"",(IF(COUNT(C25:E25)=0,0,SUMPRODUCT({5000,1000,500},C25:E25))+IF(COUNT(G25:I25)=0,0,SUMPRODUCT({5000,1000,500},G25:I25))+IF(COUNT(K25:M25)=0,0,SUMPRODUCT({5000,1000,500},K25:M25))+IF(COUNT(O25:Q25)=0,0,SUMPRODUCT({5000,1000,500},O25:Q25))+AD25)-N(AE25))</f>
        <v>1</v>
      </c>
      <c r="AG25" s="35" t="str">
        <f t="shared" si="0"/>
        <v>Excess</v>
      </c>
      <c r="AH25" s="38"/>
      <c r="AI25" s="36">
        <v>795264</v>
      </c>
      <c r="AJ25" s="37">
        <f>149366+645898</f>
        <v>795264</v>
      </c>
      <c r="AK25" s="26">
        <f t="shared" si="1"/>
        <v>0</v>
      </c>
      <c r="AL25" s="25" t="str">
        <f t="shared" si="2"/>
        <v>Matched</v>
      </c>
      <c r="AM25" s="38"/>
    </row>
    <row r="26" spans="1:39" ht="12.75" customHeight="1" x14ac:dyDescent="0.25">
      <c r="A26" s="31">
        <v>78242</v>
      </c>
      <c r="B26" s="32" t="str">
        <f>IF(A26="","",VLOOKUP(A26,'Employee Database'!A:B,2,FALSE))</f>
        <v>Hamad Mughal</v>
      </c>
      <c r="C26" s="31"/>
      <c r="D26" s="31"/>
      <c r="E26" s="31"/>
      <c r="F26" s="39">
        <f>IF(COUNT(C26:E26)=0,0,SUMPRODUCT({5000,1000,500},C26:E26))</f>
        <v>0</v>
      </c>
      <c r="G26" s="31">
        <v>62</v>
      </c>
      <c r="H26" s="31">
        <v>99</v>
      </c>
      <c r="I26" s="31">
        <v>12</v>
      </c>
      <c r="J26" s="39">
        <f>IF(COUNT(G26:I26)=0,0,SUMPRODUCT({5000,1000,500},G26:I26))</f>
        <v>415000</v>
      </c>
      <c r="K26" s="31"/>
      <c r="L26" s="31"/>
      <c r="M26" s="31"/>
      <c r="N26" s="39">
        <f>IF(COUNT(K26:M26)=0,0,SUMPRODUCT({5000,1000,500},K26:M26))</f>
        <v>0</v>
      </c>
      <c r="O26" s="31"/>
      <c r="P26" s="31"/>
      <c r="Q26" s="31"/>
      <c r="R26" s="39">
        <f>IF(COUNT(O26:Q26)=0,0,SUMPRODUCT({5000,1000,500},O26:Q26))</f>
        <v>0</v>
      </c>
      <c r="S26" s="31"/>
      <c r="T26" s="31"/>
      <c r="U26" s="31"/>
      <c r="V26" s="31">
        <v>1</v>
      </c>
      <c r="W26" s="31"/>
      <c r="X26" s="31"/>
      <c r="Y26" s="31">
        <v>1</v>
      </c>
      <c r="Z26" s="31">
        <v>1</v>
      </c>
      <c r="AA26" s="31"/>
      <c r="AB26" s="31"/>
      <c r="AC26" s="31"/>
      <c r="AD26" s="34">
        <f>IF(COUNT(S26:AC26)=0,0,SUMPRODUCT({5000,1000,500,100,75,50,20,10,5,2,1}, S26:AC26))</f>
        <v>130</v>
      </c>
      <c r="AE26" s="33">
        <v>415113</v>
      </c>
      <c r="AF26" s="24">
        <f>IF(AND(COUNT(C26:E26)=0,COUNT(G26:I26)=0,COUNT(K26:M26)=0,COUNT(O26:Q26)=0,COUNT(S26:AC26)=0,AE26=""),"",(IF(COUNT(C26:E26)=0,0,SUMPRODUCT({5000,1000,500},C26:E26))+IF(COUNT(G26:I26)=0,0,SUMPRODUCT({5000,1000,500},G26:I26))+IF(COUNT(K26:M26)=0,0,SUMPRODUCT({5000,1000,500},K26:M26))+IF(COUNT(O26:Q26)=0,0,SUMPRODUCT({5000,1000,500},O26:Q26))+AD26)-N(AE26))</f>
        <v>17</v>
      </c>
      <c r="AG26" s="35" t="str">
        <f t="shared" si="0"/>
        <v>Excess</v>
      </c>
      <c r="AH26" s="38"/>
      <c r="AI26" s="36">
        <f>66702+519932+3841</f>
        <v>590475</v>
      </c>
      <c r="AJ26" s="37">
        <f>66702+371100+148831+3841+1</f>
        <v>590475</v>
      </c>
      <c r="AK26" s="26">
        <f t="shared" si="1"/>
        <v>0</v>
      </c>
      <c r="AL26" s="25" t="str">
        <f t="shared" si="2"/>
        <v>Matched</v>
      </c>
      <c r="AM26" s="38"/>
    </row>
    <row r="27" spans="1:39" ht="12.75" customHeight="1" x14ac:dyDescent="0.25">
      <c r="A27" s="31">
        <v>79593</v>
      </c>
      <c r="B27" s="32" t="str">
        <f>IF(A27="","",VLOOKUP(A27,'Employee Database'!A:B,2,FALSE))</f>
        <v>Amir</v>
      </c>
      <c r="C27" s="31"/>
      <c r="D27" s="31"/>
      <c r="E27" s="31"/>
      <c r="F27" s="39">
        <f>IF(COUNT(C27:E27)=0,0,SUMPRODUCT({5000,1000,500},C27:E27))</f>
        <v>0</v>
      </c>
      <c r="G27" s="31">
        <v>36</v>
      </c>
      <c r="H27" s="31">
        <v>121</v>
      </c>
      <c r="I27" s="31">
        <v>3</v>
      </c>
      <c r="J27" s="39">
        <f>IF(COUNT(G27:I27)=0,0,SUMPRODUCT({5000,1000,500},G27:I27))</f>
        <v>302500</v>
      </c>
      <c r="K27" s="31"/>
      <c r="L27" s="31"/>
      <c r="M27" s="31"/>
      <c r="N27" s="39">
        <f>IF(COUNT(K27:M27)=0,0,SUMPRODUCT({5000,1000,500},K27:M27))</f>
        <v>0</v>
      </c>
      <c r="O27" s="31"/>
      <c r="P27" s="31"/>
      <c r="Q27" s="31"/>
      <c r="R27" s="39">
        <f>IF(COUNT(O27:Q27)=0,0,SUMPRODUCT({5000,1000,500},O27:Q27))</f>
        <v>0</v>
      </c>
      <c r="S27" s="31"/>
      <c r="T27" s="31"/>
      <c r="U27" s="31"/>
      <c r="V27" s="31"/>
      <c r="W27" s="31"/>
      <c r="X27" s="31">
        <v>76</v>
      </c>
      <c r="Y27" s="31"/>
      <c r="Z27" s="31">
        <v>46</v>
      </c>
      <c r="AA27" s="31"/>
      <c r="AB27" s="31"/>
      <c r="AC27" s="31"/>
      <c r="AD27" s="34">
        <f>IF(COUNT(S27:AC27)=0,0,SUMPRODUCT({5000,1000,500,100,75,50,20,10,5,2,1}, S27:AC27))</f>
        <v>4260</v>
      </c>
      <c r="AE27" s="33">
        <v>306713</v>
      </c>
      <c r="AF27" s="24">
        <f>IF(AND(COUNT(C27:E27)=0,COUNT(G27:I27)=0,COUNT(K27:M27)=0,COUNT(O27:Q27)=0,COUNT(S27:AC27)=0,AE27=""),"",(IF(COUNT(C27:E27)=0,0,SUMPRODUCT({5000,1000,500},C27:E27))+IF(COUNT(G27:I27)=0,0,SUMPRODUCT({5000,1000,500},G27:I27))+IF(COUNT(K27:M27)=0,0,SUMPRODUCT({5000,1000,500},K27:M27))+IF(COUNT(O27:Q27)=0,0,SUMPRODUCT({5000,1000,500},O27:Q27))+AD27)-N(AE27))</f>
        <v>47</v>
      </c>
      <c r="AG27" s="35" t="str">
        <f t="shared" si="0"/>
        <v>Excess</v>
      </c>
      <c r="AH27" s="38"/>
      <c r="AI27" s="36">
        <v>556318</v>
      </c>
      <c r="AJ27" s="37">
        <f>151542+404776</f>
        <v>556318</v>
      </c>
      <c r="AK27" s="26">
        <f t="shared" si="1"/>
        <v>0</v>
      </c>
      <c r="AL27" s="25" t="str">
        <f t="shared" si="2"/>
        <v>Matched</v>
      </c>
      <c r="AM27" s="38"/>
    </row>
    <row r="28" spans="1:39" ht="12.75" customHeight="1" x14ac:dyDescent="0.25">
      <c r="A28" s="31">
        <v>50313</v>
      </c>
      <c r="B28" s="32" t="str">
        <f>IF(A28="","",VLOOKUP(A28,'Employee Database'!A:B,2,FALSE))</f>
        <v>Waseem Raza</v>
      </c>
      <c r="C28" s="31"/>
      <c r="D28" s="31"/>
      <c r="E28" s="31"/>
      <c r="F28" s="39">
        <f>IF(COUNT(C28:E28)=0,0,SUMPRODUCT({5000,1000,500},C28:E28))</f>
        <v>0</v>
      </c>
      <c r="G28" s="31"/>
      <c r="H28" s="31">
        <v>5</v>
      </c>
      <c r="I28" s="31">
        <v>1</v>
      </c>
      <c r="J28" s="39">
        <f>IF(COUNT(G28:I28)=0,0,SUMPRODUCT({5000,1000,500},G28:I28))</f>
        <v>5500</v>
      </c>
      <c r="K28" s="31"/>
      <c r="L28" s="31"/>
      <c r="M28" s="31"/>
      <c r="N28" s="39">
        <f>IF(COUNT(K28:M28)=0,0,SUMPRODUCT({5000,1000,500},K28:M28))</f>
        <v>0</v>
      </c>
      <c r="O28" s="31"/>
      <c r="P28" s="31"/>
      <c r="Q28" s="31"/>
      <c r="R28" s="39">
        <f>IF(COUNT(O28:Q28)=0,0,SUMPRODUCT({5000,1000,500},O28:Q28))</f>
        <v>0</v>
      </c>
      <c r="S28" s="31"/>
      <c r="T28" s="31"/>
      <c r="U28" s="31"/>
      <c r="V28" s="31">
        <v>4</v>
      </c>
      <c r="W28" s="31"/>
      <c r="X28" s="31"/>
      <c r="Y28" s="31"/>
      <c r="Z28" s="31">
        <v>4</v>
      </c>
      <c r="AA28" s="31"/>
      <c r="AB28" s="31"/>
      <c r="AC28" s="31"/>
      <c r="AD28" s="34">
        <f>IF(COUNT(S28:AC28)=0,0,SUMPRODUCT({5000,1000,500,100,75,50,20,10,5,2,1}, S28:AC28))</f>
        <v>440</v>
      </c>
      <c r="AE28" s="33">
        <v>5943</v>
      </c>
      <c r="AF28" s="24">
        <f>IF(AND(COUNT(C28:E28)=0,COUNT(G28:I28)=0,COUNT(K28:M28)=0,COUNT(O28:Q28)=0,COUNT(S28:AC28)=0,AE28=""),"",(IF(COUNT(C28:E28)=0,0,SUMPRODUCT({5000,1000,500},C28:E28))+IF(COUNT(G28:I28)=0,0,SUMPRODUCT({5000,1000,500},G28:I28))+IF(COUNT(K28:M28)=0,0,SUMPRODUCT({5000,1000,500},K28:M28))+IF(COUNT(O28:Q28)=0,0,SUMPRODUCT({5000,1000,500},O28:Q28))+AD28)-N(AE28))</f>
        <v>-3</v>
      </c>
      <c r="AG28" s="35" t="str">
        <f t="shared" si="0"/>
        <v>Short</v>
      </c>
      <c r="AH28" s="38"/>
      <c r="AI28" s="36">
        <v>2678</v>
      </c>
      <c r="AJ28" s="37">
        <v>2678</v>
      </c>
      <c r="AK28" s="26">
        <f t="shared" si="1"/>
        <v>0</v>
      </c>
      <c r="AL28" s="25" t="str">
        <f t="shared" si="2"/>
        <v>Matched</v>
      </c>
      <c r="AM28" s="38"/>
    </row>
    <row r="29" spans="1:39" ht="12.75" customHeight="1" x14ac:dyDescent="0.25">
      <c r="A29" s="31"/>
      <c r="B29" s="32" t="str">
        <f>IF(A29="","",VLOOKUP(A29,'Employee Database'!A:B,2,FALSE))</f>
        <v/>
      </c>
      <c r="C29" s="31"/>
      <c r="D29" s="31"/>
      <c r="E29" s="31"/>
      <c r="F29" s="39">
        <f>IF(COUNT(C29:E29)=0,0,SUMPRODUCT({5000,1000,500},C29:E29))</f>
        <v>0</v>
      </c>
      <c r="G29" s="31"/>
      <c r="H29" s="31"/>
      <c r="I29" s="31"/>
      <c r="J29" s="39">
        <f>IF(COUNT(G29:I29)=0,0,SUMPRODUCT({5000,1000,500},G29:I29))</f>
        <v>0</v>
      </c>
      <c r="K29" s="31"/>
      <c r="L29" s="31"/>
      <c r="M29" s="31"/>
      <c r="N29" s="39">
        <f>IF(COUNT(K29:M29)=0,0,SUMPRODUCT({5000,1000,500},K29:M29))</f>
        <v>0</v>
      </c>
      <c r="O29" s="31"/>
      <c r="P29" s="31"/>
      <c r="Q29" s="31"/>
      <c r="R29" s="39">
        <f>IF(COUNT(O29:Q29)=0,0,SUMPRODUCT({5000,1000,500},O29:Q29))</f>
        <v>0</v>
      </c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4">
        <f>IF(COUNT(S29:AC29)=0,0,SUMPRODUCT({5000,1000,500,100,75,50,20,10,5,2,1}, S29:AC29))</f>
        <v>0</v>
      </c>
      <c r="AE29" s="33"/>
      <c r="AF29" s="24" t="str">
        <f>IF(AND(COUNT(C29:E29)=0,COUNT(G29:I29)=0,COUNT(K29:M29)=0,COUNT(O29:Q29)=0,COUNT(S29:AC29)=0,AE29=""),"",(IF(COUNT(C29:E29)=0,0,SUMPRODUCT({5000,1000,500},C29:E29))+IF(COUNT(G29:I29)=0,0,SUMPRODUCT({5000,1000,500},G29:I29))+IF(COUNT(K29:M29)=0,0,SUMPRODUCT({5000,1000,500},K29:M29))+IF(COUNT(O29:Q29)=0,0,SUMPRODUCT({5000,1000,500},O29:Q29))+AD29)-N(AE29))</f>
        <v/>
      </c>
      <c r="AG29" s="35" t="str">
        <f t="shared" si="0"/>
        <v/>
      </c>
      <c r="AH29" s="38"/>
      <c r="AI29" s="36"/>
      <c r="AJ29" s="37"/>
      <c r="AK29" s="26"/>
      <c r="AL29" s="25"/>
      <c r="AM29" s="38"/>
    </row>
    <row r="30" spans="1:39" ht="12.75" customHeight="1" x14ac:dyDescent="0.25">
      <c r="A30" s="31"/>
      <c r="B30" s="32" t="str">
        <f>IF(A30="","",VLOOKUP(A30,'Employee Database'!A:B,2,FALSE))</f>
        <v/>
      </c>
      <c r="C30" s="31"/>
      <c r="D30" s="31"/>
      <c r="E30" s="31"/>
      <c r="F30" s="39">
        <f>IF(COUNT(C30:E30)=0,0,SUMPRODUCT({5000,1000,500},C30:E30))</f>
        <v>0</v>
      </c>
      <c r="G30" s="31"/>
      <c r="H30" s="31"/>
      <c r="I30" s="31"/>
      <c r="J30" s="39">
        <f>IF(COUNT(G30:I30)=0,0,SUMPRODUCT({5000,1000,500},G30:I30))</f>
        <v>0</v>
      </c>
      <c r="K30" s="31"/>
      <c r="L30" s="31"/>
      <c r="M30" s="31"/>
      <c r="N30" s="39">
        <f>IF(COUNT(K30:M30)=0,0,SUMPRODUCT({5000,1000,500},K30:M30))</f>
        <v>0</v>
      </c>
      <c r="O30" s="31"/>
      <c r="P30" s="31"/>
      <c r="Q30" s="31"/>
      <c r="R30" s="39">
        <f>IF(COUNT(O30:Q30)=0,0,SUMPRODUCT({5000,1000,500},O30:Q30))</f>
        <v>0</v>
      </c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4">
        <f>IF(COUNT(S30:AC30)=0,0,SUMPRODUCT({5000,1000,500,100,75,50,20,10,5,2,1}, S30:AC30))</f>
        <v>0</v>
      </c>
      <c r="AE30" s="33"/>
      <c r="AF30" s="24" t="str">
        <f>IF(AND(COUNT(C30:E30)=0,COUNT(G30:I30)=0,COUNT(K30:M30)=0,COUNT(O30:Q30)=0,COUNT(S30:AC30)=0,AE30=""),"",(IF(COUNT(C30:E30)=0,0,SUMPRODUCT({5000,1000,500},C30:E30))+IF(COUNT(G30:I30)=0,0,SUMPRODUCT({5000,1000,500},G30:I30))+IF(COUNT(K30:M30)=0,0,SUMPRODUCT({5000,1000,500},K30:M30))+IF(COUNT(O30:Q30)=0,0,SUMPRODUCT({5000,1000,500},O30:Q30))+AD30)-N(AE30))</f>
        <v/>
      </c>
      <c r="AG30" s="35" t="str">
        <f t="shared" si="0"/>
        <v/>
      </c>
      <c r="AH30" s="38"/>
      <c r="AI30" s="36"/>
      <c r="AJ30" s="37"/>
      <c r="AK30" s="26"/>
      <c r="AL30" s="25"/>
      <c r="AM30" s="38"/>
    </row>
    <row r="31" spans="1:39" ht="12.75" customHeight="1" x14ac:dyDescent="0.25">
      <c r="A31" s="31"/>
      <c r="B31" s="32" t="str">
        <f>IF(A31="","",VLOOKUP(A31,'Employee Database'!A:B,2,FALSE))</f>
        <v/>
      </c>
      <c r="C31" s="31"/>
      <c r="D31" s="31"/>
      <c r="E31" s="31"/>
      <c r="F31" s="39">
        <f>IF(COUNT(C31:E31)=0,0,SUMPRODUCT({5000,1000,500},C31:E31))</f>
        <v>0</v>
      </c>
      <c r="G31" s="31"/>
      <c r="H31" s="31"/>
      <c r="I31" s="31"/>
      <c r="J31" s="39">
        <f>IF(COUNT(G31:I31)=0,0,SUMPRODUCT({5000,1000,500},G31:I31))</f>
        <v>0</v>
      </c>
      <c r="K31" s="31"/>
      <c r="L31" s="31"/>
      <c r="M31" s="31"/>
      <c r="N31" s="39">
        <f>IF(COUNT(K31:M31)=0,0,SUMPRODUCT({5000,1000,500},K31:M31))</f>
        <v>0</v>
      </c>
      <c r="O31" s="31"/>
      <c r="P31" s="31"/>
      <c r="Q31" s="31"/>
      <c r="R31" s="39">
        <f>IF(COUNT(O31:Q31)=0,0,SUMPRODUCT({5000,1000,500},O31:Q31))</f>
        <v>0</v>
      </c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4">
        <f>IF(COUNT(S31:AC31)=0,0,SUMPRODUCT({5000,1000,500,100,75,50,20,10,5,2,1}, S31:AC31))</f>
        <v>0</v>
      </c>
      <c r="AE31" s="33"/>
      <c r="AF31" s="24" t="str">
        <f>IF(AND(COUNT(C31:E31)=0,COUNT(G31:I31)=0,COUNT(K31:M31)=0,COUNT(O31:Q31)=0,COUNT(S31:AC31)=0,AE31=""),"",(IF(COUNT(C31:E31)=0,0,SUMPRODUCT({5000,1000,500},C31:E31))+IF(COUNT(G31:I31)=0,0,SUMPRODUCT({5000,1000,500},G31:I31))+IF(COUNT(K31:M31)=0,0,SUMPRODUCT({5000,1000,500},K31:M31))+IF(COUNT(O31:Q31)=0,0,SUMPRODUCT({5000,1000,500},O31:Q31))+AD31)-N(AE31))</f>
        <v/>
      </c>
      <c r="AG31" s="35" t="str">
        <f t="shared" si="0"/>
        <v/>
      </c>
      <c r="AH31" s="38"/>
      <c r="AI31" s="36"/>
      <c r="AJ31" s="37"/>
      <c r="AK31" s="26"/>
      <c r="AL31" s="25"/>
      <c r="AM31" s="38"/>
    </row>
    <row r="32" spans="1:39" ht="12.75" customHeight="1" x14ac:dyDescent="0.25">
      <c r="A32" s="31"/>
      <c r="B32" s="32" t="str">
        <f>IF(A32="","",VLOOKUP(A32,'Employee Database'!A:B,2,FALSE))</f>
        <v/>
      </c>
      <c r="C32" s="31"/>
      <c r="D32" s="31"/>
      <c r="E32" s="31"/>
      <c r="F32" s="39">
        <f>IF(COUNT(C32:E32)=0,0,SUMPRODUCT({5000,1000,500},C32:E32))</f>
        <v>0</v>
      </c>
      <c r="G32" s="31"/>
      <c r="H32" s="31"/>
      <c r="I32" s="31"/>
      <c r="J32" s="39">
        <f>IF(COUNT(G32:I32)=0,0,SUMPRODUCT({5000,1000,500},G32:I32))</f>
        <v>0</v>
      </c>
      <c r="K32" s="31"/>
      <c r="L32" s="31"/>
      <c r="M32" s="31"/>
      <c r="N32" s="39">
        <f>IF(COUNT(K32:M32)=0,0,SUMPRODUCT({5000,1000,500},K32:M32))</f>
        <v>0</v>
      </c>
      <c r="O32" s="31"/>
      <c r="P32" s="31"/>
      <c r="Q32" s="31"/>
      <c r="R32" s="39">
        <f>IF(COUNT(O32:Q32)=0,0,SUMPRODUCT({5000,1000,500},O32:Q32))</f>
        <v>0</v>
      </c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4">
        <f>IF(COUNT(S32:AC32)=0,0,SUMPRODUCT({5000,1000,500,100,75,50,20,10,5,2,1}, S32:AC32))</f>
        <v>0</v>
      </c>
      <c r="AE32" s="33"/>
      <c r="AF32" s="24" t="str">
        <f>IF(AND(COUNT(C32:E32)=0,COUNT(G32:I32)=0,COUNT(K32:M32)=0,COUNT(O32:Q32)=0,COUNT(S32:AC32)=0,AE32=""),"",(IF(COUNT(C32:E32)=0,0,SUMPRODUCT({5000,1000,500},C32:E32))+IF(COUNT(G32:I32)=0,0,SUMPRODUCT({5000,1000,500},G32:I32))+IF(COUNT(K32:M32)=0,0,SUMPRODUCT({5000,1000,500},K32:M32))+IF(COUNT(O32:Q32)=0,0,SUMPRODUCT({5000,1000,500},O32:Q32))+AD32)-N(AE32))</f>
        <v/>
      </c>
      <c r="AG32" s="35" t="str">
        <f t="shared" si="0"/>
        <v/>
      </c>
      <c r="AH32" s="38"/>
      <c r="AI32" s="36"/>
      <c r="AJ32" s="37"/>
      <c r="AK32" s="26"/>
      <c r="AL32" s="25"/>
      <c r="AM32" s="38"/>
    </row>
    <row r="33" spans="1:39" ht="12.75" customHeight="1" x14ac:dyDescent="0.25">
      <c r="A33" s="31"/>
      <c r="B33" s="32" t="str">
        <f>IF(A33="","",VLOOKUP(A33,'Employee Database'!A:B,2,FALSE))</f>
        <v/>
      </c>
      <c r="C33" s="31"/>
      <c r="D33" s="31"/>
      <c r="E33" s="31"/>
      <c r="F33" s="39">
        <f>IF(COUNT(C33:E33)=0,0,SUMPRODUCT({5000,1000,500},C33:E33))</f>
        <v>0</v>
      </c>
      <c r="G33" s="31"/>
      <c r="H33" s="31"/>
      <c r="I33" s="31"/>
      <c r="J33" s="39">
        <f>IF(COUNT(G33:I33)=0,0,SUMPRODUCT({5000,1000,500},G33:I33))</f>
        <v>0</v>
      </c>
      <c r="K33" s="31"/>
      <c r="L33" s="31"/>
      <c r="M33" s="31"/>
      <c r="N33" s="39">
        <f>IF(COUNT(K33:M33)=0,0,SUMPRODUCT({5000,1000,500},K33:M33))</f>
        <v>0</v>
      </c>
      <c r="O33" s="31"/>
      <c r="P33" s="31"/>
      <c r="Q33" s="31"/>
      <c r="R33" s="39">
        <f>IF(COUNT(O33:Q33)=0,0,SUMPRODUCT({5000,1000,500},O33:Q33))</f>
        <v>0</v>
      </c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4">
        <f>IF(COUNT(S33:AC33)=0,0,SUMPRODUCT({5000,1000,500,100,75,50,20,10,5,2,1}, S33:AC33))</f>
        <v>0</v>
      </c>
      <c r="AE33" s="33"/>
      <c r="AF33" s="24" t="str">
        <f>IF(AND(COUNT(C33:E33)=0,COUNT(G33:I33)=0,COUNT(K33:M33)=0,COUNT(O33:Q33)=0,COUNT(S33:AC33)=0,AE33=""),"",(IF(COUNT(C33:E33)=0,0,SUMPRODUCT({5000,1000,500},C33:E33))+IF(COUNT(G33:I33)=0,0,SUMPRODUCT({5000,1000,500},G33:I33))+IF(COUNT(K33:M33)=0,0,SUMPRODUCT({5000,1000,500},K33:M33))+IF(COUNT(O33:Q33)=0,0,SUMPRODUCT({5000,1000,500},O33:Q33))+AD33)-N(AE33))</f>
        <v/>
      </c>
      <c r="AG33" s="35" t="str">
        <f t="shared" si="0"/>
        <v/>
      </c>
      <c r="AH33" s="38"/>
      <c r="AI33" s="36"/>
      <c r="AJ33" s="37"/>
      <c r="AK33" s="26"/>
      <c r="AL33" s="25"/>
      <c r="AM33" s="38"/>
    </row>
    <row r="34" spans="1:39" ht="12.75" customHeight="1" x14ac:dyDescent="0.25">
      <c r="A34" s="31"/>
      <c r="B34" s="32" t="str">
        <f>IF(A34="","",VLOOKUP(A34,'Employee Database'!A:B,2,FALSE))</f>
        <v/>
      </c>
      <c r="C34" s="31"/>
      <c r="D34" s="31"/>
      <c r="E34" s="31"/>
      <c r="F34" s="39">
        <f>IF(COUNT(C34:E34)=0,0,SUMPRODUCT({5000,1000,500},C34:E34))</f>
        <v>0</v>
      </c>
      <c r="G34" s="31"/>
      <c r="H34" s="31"/>
      <c r="I34" s="31"/>
      <c r="J34" s="39">
        <f>IF(COUNT(G34:I34)=0,0,SUMPRODUCT({5000,1000,500},G34:I34))</f>
        <v>0</v>
      </c>
      <c r="K34" s="31"/>
      <c r="L34" s="31"/>
      <c r="M34" s="31"/>
      <c r="N34" s="39">
        <f>IF(COUNT(K34:M34)=0,0,SUMPRODUCT({5000,1000,500},K34:M34))</f>
        <v>0</v>
      </c>
      <c r="O34" s="31"/>
      <c r="P34" s="31"/>
      <c r="Q34" s="31"/>
      <c r="R34" s="39">
        <f>IF(COUNT(O34:Q34)=0,0,SUMPRODUCT({5000,1000,500},O34:Q34))</f>
        <v>0</v>
      </c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4">
        <f>IF(COUNT(S34:AC34)=0,0,SUMPRODUCT({5000,1000,500,100,75,50,20,10,5,2,1}, S34:AC34))</f>
        <v>0</v>
      </c>
      <c r="AE34" s="33"/>
      <c r="AF34" s="24" t="str">
        <f>IF(AND(COUNT(C34:E34)=0,COUNT(G34:I34)=0,COUNT(K34:M34)=0,COUNT(O34:Q34)=0,COUNT(S34:AC34)=0,AE34=""),"",(IF(COUNT(C34:E34)=0,0,SUMPRODUCT({5000,1000,500},C34:E34))+IF(COUNT(G34:I34)=0,0,SUMPRODUCT({5000,1000,500},G34:I34))+IF(COUNT(K34:M34)=0,0,SUMPRODUCT({5000,1000,500},K34:M34))+IF(COUNT(O34:Q34)=0,0,SUMPRODUCT({5000,1000,500},O34:Q34))+AD34)-N(AE34))</f>
        <v/>
      </c>
      <c r="AG34" s="35" t="str">
        <f t="shared" si="0"/>
        <v/>
      </c>
      <c r="AH34" s="38"/>
      <c r="AI34" s="36"/>
      <c r="AJ34" s="37"/>
      <c r="AK34" s="26"/>
      <c r="AL34" s="25"/>
      <c r="AM34" s="38"/>
    </row>
    <row r="35" spans="1:39" ht="22.5" customHeight="1" x14ac:dyDescent="0.25">
      <c r="A35" s="27" t="s">
        <v>24</v>
      </c>
      <c r="B35" s="27" t="s">
        <v>24</v>
      </c>
      <c r="C35" s="28">
        <f t="shared" ref="C35:AF35" si="3">SUM(C5:C34)</f>
        <v>356</v>
      </c>
      <c r="D35" s="28">
        <f t="shared" si="3"/>
        <v>1022</v>
      </c>
      <c r="E35" s="28">
        <f t="shared" si="3"/>
        <v>114</v>
      </c>
      <c r="F35" s="40">
        <f t="shared" si="3"/>
        <v>2859000</v>
      </c>
      <c r="G35" s="28">
        <f t="shared" si="3"/>
        <v>502</v>
      </c>
      <c r="H35" s="28">
        <f t="shared" si="3"/>
        <v>1327</v>
      </c>
      <c r="I35" s="28">
        <f t="shared" si="3"/>
        <v>166</v>
      </c>
      <c r="J35" s="40">
        <f t="shared" si="3"/>
        <v>3920000</v>
      </c>
      <c r="K35" s="28">
        <f t="shared" si="3"/>
        <v>0</v>
      </c>
      <c r="L35" s="28">
        <f t="shared" si="3"/>
        <v>0</v>
      </c>
      <c r="M35" s="28">
        <f t="shared" si="3"/>
        <v>0</v>
      </c>
      <c r="N35" s="40">
        <f t="shared" si="3"/>
        <v>0</v>
      </c>
      <c r="O35" s="28">
        <f t="shared" si="3"/>
        <v>0</v>
      </c>
      <c r="P35" s="28">
        <f t="shared" si="3"/>
        <v>0</v>
      </c>
      <c r="Q35" s="28">
        <f t="shared" si="3"/>
        <v>0</v>
      </c>
      <c r="R35" s="40">
        <f t="shared" si="3"/>
        <v>0</v>
      </c>
      <c r="S35" s="28">
        <f t="shared" si="3"/>
        <v>0</v>
      </c>
      <c r="T35" s="28">
        <f t="shared" si="3"/>
        <v>0</v>
      </c>
      <c r="U35" s="28">
        <f t="shared" si="3"/>
        <v>0</v>
      </c>
      <c r="V35" s="28">
        <f t="shared" si="3"/>
        <v>76</v>
      </c>
      <c r="W35" s="28">
        <f t="shared" si="3"/>
        <v>0</v>
      </c>
      <c r="X35" s="28">
        <f t="shared" si="3"/>
        <v>868</v>
      </c>
      <c r="Y35" s="28">
        <f t="shared" si="3"/>
        <v>108</v>
      </c>
      <c r="Z35" s="28">
        <f t="shared" si="3"/>
        <v>1051</v>
      </c>
      <c r="AA35" s="28">
        <f t="shared" si="3"/>
        <v>0</v>
      </c>
      <c r="AB35" s="28">
        <f t="shared" si="3"/>
        <v>2</v>
      </c>
      <c r="AC35" s="28">
        <f t="shared" si="3"/>
        <v>0</v>
      </c>
      <c r="AD35" s="40">
        <f t="shared" si="3"/>
        <v>63674</v>
      </c>
      <c r="AE35" s="41">
        <f t="shared" si="3"/>
        <v>6843144</v>
      </c>
      <c r="AF35" s="29">
        <f t="shared" si="3"/>
        <v>-470</v>
      </c>
      <c r="AG35" s="27" t="s">
        <v>24</v>
      </c>
      <c r="AH35" s="27" t="s">
        <v>24</v>
      </c>
      <c r="AI35" s="28">
        <f>SUM(AI5:AI34)</f>
        <v>11490966</v>
      </c>
      <c r="AJ35" s="28">
        <f>SUM(AJ5:AJ34)</f>
        <v>11535523</v>
      </c>
      <c r="AK35" s="28">
        <f>SUM(AK5:AK34)</f>
        <v>-44557</v>
      </c>
      <c r="AL35" s="28">
        <f>AJ35+AE35</f>
        <v>18378667</v>
      </c>
      <c r="AM35" s="28">
        <f>SUM(AM5:AM34)</f>
        <v>0</v>
      </c>
    </row>
  </sheetData>
  <sheetProtection algorithmName="SHA-512" hashValue="/Q/UVPqjelqHOgkJXKJrCBwRD7L17OTH2gskmhqjNadm1hoe1TKb7dAB9yoBCjyuHnhBz+wvQvXdZV8bvAEhJg==" saltValue="TTpfocTsjGAHODNW+yIciQ==" spinCount="100000" sheet="1" objects="1" scenarios="1"/>
  <mergeCells count="9">
    <mergeCell ref="S3:AC3"/>
    <mergeCell ref="AD3:AG3"/>
    <mergeCell ref="AH3:AM3"/>
    <mergeCell ref="A1:B1"/>
    <mergeCell ref="A3:B3"/>
    <mergeCell ref="C3:F3"/>
    <mergeCell ref="G3:J3"/>
    <mergeCell ref="K3:N3"/>
    <mergeCell ref="O3:R3"/>
  </mergeCells>
  <conditionalFormatting sqref="A5">
    <cfRule type="duplicateValues" dxfId="182" priority="3"/>
    <cfRule type="duplicateValues" dxfId="181" priority="4"/>
  </conditionalFormatting>
  <conditionalFormatting sqref="A6">
    <cfRule type="duplicateValues" dxfId="180" priority="5"/>
    <cfRule type="duplicateValues" dxfId="179" priority="6"/>
  </conditionalFormatting>
  <conditionalFormatting sqref="A7:A34">
    <cfRule type="duplicateValues" dxfId="178" priority="1"/>
    <cfRule type="duplicateValues" dxfId="177" priority="2"/>
  </conditionalFormatting>
  <conditionalFormatting sqref="A35">
    <cfRule type="duplicateValues" dxfId="176" priority="7"/>
  </conditionalFormatting>
  <dataValidations count="1">
    <dataValidation type="list" allowBlank="1" showInputMessage="1" showErrorMessage="1" sqref="A1:B1" xr:uid="{00000000-0002-0000-0700-000000000000}">
      <formula1>Locations</formula1>
    </dataValidation>
  </dataValidations>
  <pageMargins left="0.75" right="0.75" top="1" bottom="1" header="0.5" footer="0.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rgb="FFFF0000"/>
  </sheetPr>
  <dimension ref="A1:AM35"/>
  <sheetViews>
    <sheetView showGridLines="0" topLeftCell="A2" zoomScale="85" zoomScaleNormal="85" workbookViewId="0">
      <pane xSplit="2" topLeftCell="AB1" activePane="topRight" state="frozen"/>
      <selection activeCell="A4" sqref="A4"/>
      <selection pane="topRight" activeCell="AB26" sqref="AB26"/>
    </sheetView>
  </sheetViews>
  <sheetFormatPr defaultRowHeight="15" x14ac:dyDescent="0.25"/>
  <cols>
    <col min="1" max="1" width="11.85546875" customWidth="1"/>
    <col min="2" max="2" width="20.5703125" customWidth="1"/>
    <col min="6" max="6" width="14.42578125" bestFit="1" customWidth="1"/>
    <col min="10" max="10" width="14.42578125" bestFit="1" customWidth="1"/>
    <col min="14" max="14" width="14.42578125" bestFit="1" customWidth="1"/>
    <col min="18" max="18" width="14.42578125" bestFit="1" customWidth="1"/>
    <col min="30" max="31" width="18" customWidth="1"/>
    <col min="32" max="32" width="20" customWidth="1"/>
    <col min="33" max="33" width="14" customWidth="1"/>
    <col min="35" max="35" width="18" customWidth="1"/>
    <col min="36" max="36" width="22" customWidth="1"/>
    <col min="37" max="37" width="16" customWidth="1"/>
    <col min="38" max="38" width="14" customWidth="1"/>
  </cols>
  <sheetData>
    <row r="1" spans="1:39" ht="43.5" customHeight="1" x14ac:dyDescent="0.25">
      <c r="A1" s="48" t="s">
        <v>306</v>
      </c>
      <c r="B1" s="48"/>
    </row>
    <row r="2" spans="1:39" ht="13.5" customHeight="1" x14ac:dyDescent="0.25">
      <c r="A2" s="30">
        <f>'6'!A2+1</f>
        <v>46210</v>
      </c>
    </row>
    <row r="3" spans="1:39" ht="24" customHeight="1" x14ac:dyDescent="0.25">
      <c r="A3" s="49" t="s">
        <v>0</v>
      </c>
      <c r="B3" s="49"/>
      <c r="C3" s="49" t="s">
        <v>93</v>
      </c>
      <c r="D3" s="50"/>
      <c r="E3" s="50"/>
      <c r="F3" s="50"/>
      <c r="G3" s="49" t="s">
        <v>94</v>
      </c>
      <c r="H3" s="50"/>
      <c r="I3" s="50"/>
      <c r="J3" s="50"/>
      <c r="K3" s="49" t="s">
        <v>95</v>
      </c>
      <c r="L3" s="50"/>
      <c r="M3" s="50"/>
      <c r="N3" s="50"/>
      <c r="O3" s="49" t="s">
        <v>96</v>
      </c>
      <c r="P3" s="50"/>
      <c r="Q3" s="50"/>
      <c r="R3" s="50"/>
      <c r="S3" s="45" t="s">
        <v>1</v>
      </c>
      <c r="T3" s="46"/>
      <c r="U3" s="46"/>
      <c r="V3" s="46"/>
      <c r="W3" s="46"/>
      <c r="X3" s="46"/>
      <c r="Y3" s="46"/>
      <c r="Z3" s="46"/>
      <c r="AA3" s="46"/>
      <c r="AB3" s="46"/>
      <c r="AC3" s="46"/>
      <c r="AD3" s="47" t="s">
        <v>97</v>
      </c>
      <c r="AE3" s="46"/>
      <c r="AF3" s="46"/>
      <c r="AG3" s="46"/>
      <c r="AH3" s="47" t="s">
        <v>98</v>
      </c>
      <c r="AI3" s="46"/>
      <c r="AJ3" s="46"/>
      <c r="AK3" s="46"/>
      <c r="AL3" s="46"/>
      <c r="AM3" s="46"/>
    </row>
    <row r="4" spans="1:39" ht="27.95" customHeight="1" x14ac:dyDescent="0.25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92</v>
      </c>
      <c r="G4" s="1" t="s">
        <v>5</v>
      </c>
      <c r="H4" s="1" t="s">
        <v>6</v>
      </c>
      <c r="I4" s="1" t="s">
        <v>7</v>
      </c>
      <c r="J4" s="1" t="s">
        <v>92</v>
      </c>
      <c r="K4" s="1" t="s">
        <v>5</v>
      </c>
      <c r="L4" s="1" t="s">
        <v>6</v>
      </c>
      <c r="M4" s="1" t="s">
        <v>7</v>
      </c>
      <c r="N4" s="1" t="s">
        <v>92</v>
      </c>
      <c r="O4" s="1" t="s">
        <v>5</v>
      </c>
      <c r="P4" s="1" t="s">
        <v>6</v>
      </c>
      <c r="Q4" s="1" t="s">
        <v>7</v>
      </c>
      <c r="R4" s="1" t="s">
        <v>92</v>
      </c>
      <c r="S4" s="1" t="s">
        <v>5</v>
      </c>
      <c r="T4" s="1" t="s">
        <v>6</v>
      </c>
      <c r="U4" s="1" t="s">
        <v>7</v>
      </c>
      <c r="V4" s="1" t="s">
        <v>8</v>
      </c>
      <c r="W4" s="1" t="s">
        <v>9</v>
      </c>
      <c r="X4" s="1" t="s">
        <v>10</v>
      </c>
      <c r="Y4" s="1" t="s">
        <v>11</v>
      </c>
      <c r="Z4" s="1" t="s">
        <v>12</v>
      </c>
      <c r="AA4" s="1" t="s">
        <v>13</v>
      </c>
      <c r="AB4" s="1" t="s">
        <v>14</v>
      </c>
      <c r="AC4" s="1" t="s">
        <v>15</v>
      </c>
      <c r="AD4" s="1" t="s">
        <v>16</v>
      </c>
      <c r="AE4" s="1" t="s">
        <v>17</v>
      </c>
      <c r="AF4" s="1" t="s">
        <v>18</v>
      </c>
      <c r="AG4" s="1" t="s">
        <v>19</v>
      </c>
      <c r="AH4" s="1" t="s">
        <v>20</v>
      </c>
      <c r="AI4" s="4" t="s">
        <v>99</v>
      </c>
      <c r="AJ4" s="1" t="s">
        <v>21</v>
      </c>
      <c r="AK4" s="1" t="s">
        <v>22</v>
      </c>
      <c r="AL4" s="1" t="s">
        <v>23</v>
      </c>
      <c r="AM4" s="4" t="s">
        <v>100</v>
      </c>
    </row>
    <row r="5" spans="1:39" ht="12.75" customHeight="1" x14ac:dyDescent="0.25">
      <c r="A5" s="31">
        <v>69726</v>
      </c>
      <c r="B5" s="32" t="str">
        <f>IF(A5="","",VLOOKUP(A5,'Employee Database'!A:B,2,FALSE))</f>
        <v>M Arslan</v>
      </c>
      <c r="C5" s="31">
        <v>3</v>
      </c>
      <c r="D5" s="31">
        <v>6</v>
      </c>
      <c r="E5" s="31">
        <v>5</v>
      </c>
      <c r="F5" s="39">
        <f>IF(COUNT(C5:E5)=0,0,SUMPRODUCT({5000,1000,500},C5:E5))</f>
        <v>23500</v>
      </c>
      <c r="G5" s="31"/>
      <c r="H5" s="31"/>
      <c r="I5" s="31"/>
      <c r="J5" s="39">
        <f>IF(COUNT(G5:I5)=0,0,SUMPRODUCT({5000,1000,500},G5:I5))</f>
        <v>0</v>
      </c>
      <c r="K5" s="31"/>
      <c r="L5" s="31"/>
      <c r="M5" s="31"/>
      <c r="N5" s="39">
        <f>IF(COUNT(K5:M5)=0,0,SUMPRODUCT({5000,1000,500},K5:M5))</f>
        <v>0</v>
      </c>
      <c r="O5" s="31"/>
      <c r="P5" s="31"/>
      <c r="Q5" s="31"/>
      <c r="R5" s="39">
        <f>IF(COUNT(O5:Q5)=0,0,SUMPRODUCT({5000,1000,500},O5:Q5))</f>
        <v>0</v>
      </c>
      <c r="S5" s="31"/>
      <c r="T5" s="31"/>
      <c r="U5" s="31"/>
      <c r="V5" s="31">
        <v>1</v>
      </c>
      <c r="W5" s="31"/>
      <c r="X5" s="31"/>
      <c r="Y5" s="31"/>
      <c r="Z5" s="31"/>
      <c r="AA5" s="31"/>
      <c r="AB5" s="31">
        <v>1</v>
      </c>
      <c r="AC5" s="31"/>
      <c r="AD5" s="34">
        <f>IF(COUNT(S5:AC5)=0,0,SUMPRODUCT({5000,1000,500,100,75,50,20,10,5,2,1}, S5:AC5))</f>
        <v>102</v>
      </c>
      <c r="AE5" s="33">
        <v>23585</v>
      </c>
      <c r="AF5" s="24">
        <f>IF(AND(COUNT(C5:E5)=0,COUNT(G5:I5)=0,COUNT(K5:M5)=0,COUNT(O5:Q5)=0,COUNT(S5:AC5)=0,AE5=""),"",(IF(COUNT(C5:E5)=0,0,SUMPRODUCT({5000,1000,500},C5:E5))+IF(COUNT(G5:I5)=0,0,SUMPRODUCT({5000,1000,500},G5:I5))+IF(COUNT(K5:M5)=0,0,SUMPRODUCT({5000,1000,500},K5:M5))+IF(COUNT(O5:Q5)=0,0,SUMPRODUCT({5000,1000,500},O5:Q5))+AD5)-N(AE5))</f>
        <v>17</v>
      </c>
      <c r="AG5" s="35" t="str">
        <f t="shared" ref="AG5:AG34" si="0">IF(AF5="","",IF(AF5&gt;0,"Excess",IF(AF5&lt;0,"Short","Balanced")))</f>
        <v>Excess</v>
      </c>
      <c r="AH5" s="38"/>
      <c r="AI5" s="36">
        <v>23630</v>
      </c>
      <c r="AJ5" s="37">
        <v>23630</v>
      </c>
      <c r="AK5" s="26">
        <f t="shared" ref="AK5:AK34" si="1">IF(AND(AI5="",AJ5=""),"",N(AI5)-N(AJ5))</f>
        <v>0</v>
      </c>
      <c r="AL5" s="25" t="str">
        <f t="shared" ref="AL5:AL34" si="2">IF(AK5="","",IF(AK5&gt;0,"POS Excess",IF(AK5&lt;0,"Bank Short","Matched")))</f>
        <v>Matched</v>
      </c>
      <c r="AM5" s="38"/>
    </row>
    <row r="6" spans="1:39" ht="12.75" customHeight="1" x14ac:dyDescent="0.25">
      <c r="A6" s="31">
        <v>68107</v>
      </c>
      <c r="B6" s="32" t="str">
        <f>IF(A6="","",VLOOKUP(A6,'Employee Database'!A:B,2,FALSE))</f>
        <v>M Harris</v>
      </c>
      <c r="C6" s="31">
        <v>14</v>
      </c>
      <c r="D6" s="31">
        <v>58</v>
      </c>
      <c r="E6" s="31">
        <v>1</v>
      </c>
      <c r="F6" s="39">
        <f>IF(COUNT(C6:E6)=0,0,SUMPRODUCT({5000,1000,500},C6:E6))</f>
        <v>128500</v>
      </c>
      <c r="G6" s="31"/>
      <c r="H6" s="31"/>
      <c r="I6" s="31"/>
      <c r="J6" s="39">
        <f>IF(COUNT(G6:I6)=0,0,SUMPRODUCT({5000,1000,500},G6:I6))</f>
        <v>0</v>
      </c>
      <c r="K6" s="31"/>
      <c r="L6" s="31"/>
      <c r="M6" s="31"/>
      <c r="N6" s="39">
        <f>IF(COUNT(K6:M6)=0,0,SUMPRODUCT({5000,1000,500},K6:M6))</f>
        <v>0</v>
      </c>
      <c r="O6" s="31"/>
      <c r="P6" s="31"/>
      <c r="Q6" s="31"/>
      <c r="R6" s="39">
        <f>IF(COUNT(O6:Q6)=0,0,SUMPRODUCT({5000,1000,500},O6:Q6))</f>
        <v>0</v>
      </c>
      <c r="S6" s="31"/>
      <c r="T6" s="31"/>
      <c r="U6" s="31"/>
      <c r="V6" s="31">
        <v>1</v>
      </c>
      <c r="W6" s="31"/>
      <c r="X6" s="31">
        <v>31</v>
      </c>
      <c r="Y6" s="31"/>
      <c r="Z6" s="31">
        <v>26</v>
      </c>
      <c r="AA6" s="31"/>
      <c r="AB6" s="31"/>
      <c r="AC6" s="31"/>
      <c r="AD6" s="34">
        <f>IF(COUNT(S6:AC6)=0,0,SUMPRODUCT({5000,1000,500,100,75,50,20,10,5,2,1}, S6:AC6))</f>
        <v>1910</v>
      </c>
      <c r="AE6" s="33">
        <v>130398</v>
      </c>
      <c r="AF6" s="24">
        <f>IF(AND(COUNT(C6:E6)=0,COUNT(G6:I6)=0,COUNT(K6:M6)=0,COUNT(O6:Q6)=0,COUNT(S6:AC6)=0,AE6=""),"",(IF(COUNT(C6:E6)=0,0,SUMPRODUCT({5000,1000,500},C6:E6))+IF(COUNT(G6:I6)=0,0,SUMPRODUCT({5000,1000,500},G6:I6))+IF(COUNT(K6:M6)=0,0,SUMPRODUCT({5000,1000,500},K6:M6))+IF(COUNT(O6:Q6)=0,0,SUMPRODUCT({5000,1000,500},O6:Q6))+AD6)-N(AE6))</f>
        <v>12</v>
      </c>
      <c r="AG6" s="35" t="str">
        <f t="shared" si="0"/>
        <v>Excess</v>
      </c>
      <c r="AH6" s="38"/>
      <c r="AI6" s="36">
        <f>302697+54043</f>
        <v>356740</v>
      </c>
      <c r="AJ6" s="37">
        <v>302697</v>
      </c>
      <c r="AK6" s="26">
        <f t="shared" si="1"/>
        <v>54043</v>
      </c>
      <c r="AL6" s="25" t="str">
        <f t="shared" si="2"/>
        <v>POS Excess</v>
      </c>
      <c r="AM6" s="38"/>
    </row>
    <row r="7" spans="1:39" ht="12.75" customHeight="1" x14ac:dyDescent="0.25">
      <c r="A7" s="31">
        <v>77423</v>
      </c>
      <c r="B7" s="32" t="str">
        <f>IF(A7="","",VLOOKUP(A7,'Employee Database'!A:B,2,FALSE))</f>
        <v>Shoaib Akhtar</v>
      </c>
      <c r="C7" s="31">
        <v>55</v>
      </c>
      <c r="D7" s="31">
        <v>233</v>
      </c>
      <c r="E7" s="31">
        <v>2</v>
      </c>
      <c r="F7" s="39">
        <f>IF(COUNT(C7:E7)=0,0,SUMPRODUCT({5000,1000,500},C7:E7))</f>
        <v>509000</v>
      </c>
      <c r="G7" s="31"/>
      <c r="H7" s="31"/>
      <c r="I7" s="31"/>
      <c r="J7" s="39">
        <f>IF(COUNT(G7:I7)=0,0,SUMPRODUCT({5000,1000,500},G7:I7))</f>
        <v>0</v>
      </c>
      <c r="K7" s="31"/>
      <c r="L7" s="31"/>
      <c r="M7" s="31"/>
      <c r="N7" s="39">
        <f>IF(COUNT(K7:M7)=0,0,SUMPRODUCT({5000,1000,500},K7:M7))</f>
        <v>0</v>
      </c>
      <c r="O7" s="31"/>
      <c r="P7" s="31"/>
      <c r="Q7" s="31"/>
      <c r="R7" s="39">
        <f>IF(COUNT(O7:Q7)=0,0,SUMPRODUCT({5000,1000,500},O7:Q7))</f>
        <v>0</v>
      </c>
      <c r="S7" s="31"/>
      <c r="T7" s="31"/>
      <c r="U7" s="31"/>
      <c r="V7" s="31">
        <v>3</v>
      </c>
      <c r="W7" s="31"/>
      <c r="X7" s="31">
        <v>8</v>
      </c>
      <c r="Y7" s="31"/>
      <c r="Z7" s="31">
        <v>70</v>
      </c>
      <c r="AA7" s="31"/>
      <c r="AB7" s="31"/>
      <c r="AC7" s="31"/>
      <c r="AD7" s="34">
        <f>IF(COUNT(S7:AC7)=0,0,SUMPRODUCT({5000,1000,500,100,75,50,20,10,5,2,1}, S7:AC7))</f>
        <v>1400</v>
      </c>
      <c r="AE7" s="33">
        <v>510310</v>
      </c>
      <c r="AF7" s="24">
        <f>IF(AND(COUNT(C7:E7)=0,COUNT(G7:I7)=0,COUNT(K7:M7)=0,COUNT(O7:Q7)=0,COUNT(S7:AC7)=0,AE7=""),"",(IF(COUNT(C7:E7)=0,0,SUMPRODUCT({5000,1000,500},C7:E7))+IF(COUNT(G7:I7)=0,0,SUMPRODUCT({5000,1000,500},G7:I7))+IF(COUNT(K7:M7)=0,0,SUMPRODUCT({5000,1000,500},K7:M7))+IF(COUNT(O7:Q7)=0,0,SUMPRODUCT({5000,1000,500},O7:Q7))+AD7)-N(AE7))</f>
        <v>90</v>
      </c>
      <c r="AG7" s="35" t="str">
        <f t="shared" si="0"/>
        <v>Excess</v>
      </c>
      <c r="AH7" s="38"/>
      <c r="AI7" s="36">
        <v>563853</v>
      </c>
      <c r="AJ7" s="37">
        <f>563853</f>
        <v>563853</v>
      </c>
      <c r="AK7" s="26">
        <f t="shared" si="1"/>
        <v>0</v>
      </c>
      <c r="AL7" s="25" t="str">
        <f t="shared" si="2"/>
        <v>Matched</v>
      </c>
      <c r="AM7" s="38"/>
    </row>
    <row r="8" spans="1:39" ht="12.75" customHeight="1" x14ac:dyDescent="0.25">
      <c r="A8" s="31">
        <v>65299</v>
      </c>
      <c r="B8" s="32" t="str">
        <f>IF(A8="","",VLOOKUP(A8,'Employee Database'!A:B,2,FALSE))</f>
        <v>M Faisal</v>
      </c>
      <c r="C8" s="31">
        <v>27</v>
      </c>
      <c r="D8" s="31">
        <v>54</v>
      </c>
      <c r="E8" s="31">
        <v>11</v>
      </c>
      <c r="F8" s="39">
        <f>IF(COUNT(C8:E8)=0,0,SUMPRODUCT({5000,1000,500},C8:E8))</f>
        <v>194500</v>
      </c>
      <c r="G8" s="31"/>
      <c r="H8" s="31"/>
      <c r="I8" s="31"/>
      <c r="J8" s="39">
        <f>IF(COUNT(G8:I8)=0,0,SUMPRODUCT({5000,1000,500},G8:I8))</f>
        <v>0</v>
      </c>
      <c r="K8" s="31"/>
      <c r="L8" s="31"/>
      <c r="M8" s="31"/>
      <c r="N8" s="39">
        <f>IF(COUNT(K8:M8)=0,0,SUMPRODUCT({5000,1000,500},K8:M8))</f>
        <v>0</v>
      </c>
      <c r="O8" s="31"/>
      <c r="P8" s="31"/>
      <c r="Q8" s="31"/>
      <c r="R8" s="39">
        <f>IF(COUNT(O8:Q8)=0,0,SUMPRODUCT({5000,1000,500},O8:Q8))</f>
        <v>0</v>
      </c>
      <c r="S8" s="31"/>
      <c r="T8" s="31"/>
      <c r="U8" s="31"/>
      <c r="V8" s="31"/>
      <c r="W8" s="31"/>
      <c r="X8" s="31"/>
      <c r="Y8" s="31"/>
      <c r="Z8" s="31">
        <v>19</v>
      </c>
      <c r="AA8" s="31"/>
      <c r="AB8" s="31"/>
      <c r="AC8" s="31"/>
      <c r="AD8" s="34">
        <f>IF(COUNT(S8:AC8)=0,0,SUMPRODUCT({5000,1000,500,100,75,50,20,10,5,2,1}, S8:AC8))</f>
        <v>190</v>
      </c>
      <c r="AE8" s="33">
        <v>194702</v>
      </c>
      <c r="AF8" s="24">
        <f>IF(AND(COUNT(C8:E8)=0,COUNT(G8:I8)=0,COUNT(K8:M8)=0,COUNT(O8:Q8)=0,COUNT(S8:AC8)=0,AE8=""),"",(IF(COUNT(C8:E8)=0,0,SUMPRODUCT({5000,1000,500},C8:E8))+IF(COUNT(G8:I8)=0,0,SUMPRODUCT({5000,1000,500},G8:I8))+IF(COUNT(K8:M8)=0,0,SUMPRODUCT({5000,1000,500},K8:M8))+IF(COUNT(O8:Q8)=0,0,SUMPRODUCT({5000,1000,500},O8:Q8))+AD8)-N(AE8))</f>
        <v>-12</v>
      </c>
      <c r="AG8" s="35" t="str">
        <f t="shared" si="0"/>
        <v>Short</v>
      </c>
      <c r="AH8" s="38"/>
      <c r="AI8" s="36">
        <v>368302</v>
      </c>
      <c r="AJ8" s="37">
        <f>198263+170039</f>
        <v>368302</v>
      </c>
      <c r="AK8" s="26">
        <f t="shared" si="1"/>
        <v>0</v>
      </c>
      <c r="AL8" s="25" t="str">
        <f t="shared" si="2"/>
        <v>Matched</v>
      </c>
      <c r="AM8" s="38"/>
    </row>
    <row r="9" spans="1:39" ht="12.75" customHeight="1" x14ac:dyDescent="0.25">
      <c r="A9" s="31">
        <v>63854</v>
      </c>
      <c r="B9" s="32" t="str">
        <f>IF(A9="","",VLOOKUP(A9,'Employee Database'!A:B,2,FALSE))</f>
        <v>Maham</v>
      </c>
      <c r="C9" s="31">
        <v>53</v>
      </c>
      <c r="D9" s="31">
        <v>138</v>
      </c>
      <c r="E9" s="31">
        <v>94</v>
      </c>
      <c r="F9" s="39">
        <f>IF(COUNT(C9:E9)=0,0,SUMPRODUCT({5000,1000,500},C9:E9))</f>
        <v>450000</v>
      </c>
      <c r="G9" s="31"/>
      <c r="H9" s="31"/>
      <c r="I9" s="31"/>
      <c r="J9" s="39">
        <f>IF(COUNT(G9:I9)=0,0,SUMPRODUCT({5000,1000,500},G9:I9))</f>
        <v>0</v>
      </c>
      <c r="K9" s="31"/>
      <c r="L9" s="31"/>
      <c r="M9" s="31"/>
      <c r="N9" s="39">
        <f>IF(COUNT(K9:M9)=0,0,SUMPRODUCT({5000,1000,500},K9:M9))</f>
        <v>0</v>
      </c>
      <c r="O9" s="31"/>
      <c r="P9" s="31"/>
      <c r="Q9" s="31"/>
      <c r="R9" s="39">
        <f>IF(COUNT(O9:Q9)=0,0,SUMPRODUCT({5000,1000,500},O9:Q9))</f>
        <v>0</v>
      </c>
      <c r="S9" s="31"/>
      <c r="T9" s="31"/>
      <c r="U9" s="31"/>
      <c r="V9" s="31"/>
      <c r="W9" s="31"/>
      <c r="X9" s="31">
        <v>13</v>
      </c>
      <c r="Y9" s="31"/>
      <c r="Z9" s="31">
        <v>17</v>
      </c>
      <c r="AA9" s="31"/>
      <c r="AB9" s="31"/>
      <c r="AC9" s="31"/>
      <c r="AD9" s="34">
        <f>IF(COUNT(S9:AC9)=0,0,SUMPRODUCT({5000,1000,500,100,75,50,20,10,5,2,1}, S9:AC9))</f>
        <v>820</v>
      </c>
      <c r="AE9" s="33">
        <v>450802</v>
      </c>
      <c r="AF9" s="24">
        <f>IF(AND(COUNT(C9:E9)=0,COUNT(G9:I9)=0,COUNT(K9:M9)=0,COUNT(O9:Q9)=0,COUNT(S9:AC9)=0,AE9=""),"",(IF(COUNT(C9:E9)=0,0,SUMPRODUCT({5000,1000,500},C9:E9))+IF(COUNT(G9:I9)=0,0,SUMPRODUCT({5000,1000,500},G9:I9))+IF(COUNT(K9:M9)=0,0,SUMPRODUCT({5000,1000,500},K9:M9))+IF(COUNT(O9:Q9)=0,0,SUMPRODUCT({5000,1000,500},O9:Q9))+AD9)-N(AE9))</f>
        <v>18</v>
      </c>
      <c r="AG9" s="35" t="str">
        <f t="shared" si="0"/>
        <v>Excess</v>
      </c>
      <c r="AH9" s="38"/>
      <c r="AI9" s="36">
        <v>1222717</v>
      </c>
      <c r="AJ9" s="37">
        <f>414056+808661</f>
        <v>1222717</v>
      </c>
      <c r="AK9" s="26">
        <f t="shared" si="1"/>
        <v>0</v>
      </c>
      <c r="AL9" s="25" t="str">
        <f t="shared" si="2"/>
        <v>Matched</v>
      </c>
      <c r="AM9" s="38"/>
    </row>
    <row r="10" spans="1:39" ht="12.75" customHeight="1" x14ac:dyDescent="0.25">
      <c r="A10" s="31">
        <v>58112</v>
      </c>
      <c r="B10" s="32" t="str">
        <f>IF(A10="","",VLOOKUP(A10,'Employee Database'!A:B,2,FALSE))</f>
        <v>Shama</v>
      </c>
      <c r="C10" s="31">
        <v>17</v>
      </c>
      <c r="D10" s="31">
        <v>96</v>
      </c>
      <c r="E10" s="31">
        <v>16</v>
      </c>
      <c r="F10" s="39">
        <f>IF(COUNT(C10:E10)=0,0,SUMPRODUCT({5000,1000,500},C10:E10))</f>
        <v>189000</v>
      </c>
      <c r="G10" s="31"/>
      <c r="H10" s="31"/>
      <c r="I10" s="31"/>
      <c r="J10" s="39">
        <f>IF(COUNT(G10:I10)=0,0,SUMPRODUCT({5000,1000,500},G10:I10))</f>
        <v>0</v>
      </c>
      <c r="K10" s="31"/>
      <c r="L10" s="31"/>
      <c r="M10" s="31"/>
      <c r="N10" s="39">
        <f>IF(COUNT(K10:M10)=0,0,SUMPRODUCT({5000,1000,500},K10:M10))</f>
        <v>0</v>
      </c>
      <c r="O10" s="31"/>
      <c r="P10" s="31"/>
      <c r="Q10" s="31"/>
      <c r="R10" s="39">
        <f>IF(COUNT(O10:Q10)=0,0,SUMPRODUCT({5000,1000,500},O10:Q10))</f>
        <v>0</v>
      </c>
      <c r="S10" s="31"/>
      <c r="T10" s="31"/>
      <c r="U10" s="31"/>
      <c r="V10" s="31">
        <v>1</v>
      </c>
      <c r="W10" s="31"/>
      <c r="X10" s="31">
        <v>23</v>
      </c>
      <c r="Y10" s="31"/>
      <c r="Z10" s="31">
        <v>12</v>
      </c>
      <c r="AA10" s="31"/>
      <c r="AB10" s="31"/>
      <c r="AC10" s="31"/>
      <c r="AD10" s="34">
        <f>IF(COUNT(S10:AC10)=0,0,SUMPRODUCT({5000,1000,500,100,75,50,20,10,5,2,1}, S10:AC10))</f>
        <v>1370</v>
      </c>
      <c r="AE10" s="33">
        <v>190293</v>
      </c>
      <c r="AF10" s="24">
        <f>IF(AND(COUNT(C10:E10)=0,COUNT(G10:I10)=0,COUNT(K10:M10)=0,COUNT(O10:Q10)=0,COUNT(S10:AC10)=0,AE10=""),"",(IF(COUNT(C10:E10)=0,0,SUMPRODUCT({5000,1000,500},C10:E10))+IF(COUNT(G10:I10)=0,0,SUMPRODUCT({5000,1000,500},G10:I10))+IF(COUNT(K10:M10)=0,0,SUMPRODUCT({5000,1000,500},K10:M10))+IF(COUNT(O10:Q10)=0,0,SUMPRODUCT({5000,1000,500},O10:Q10))+AD10)-N(AE10))</f>
        <v>77</v>
      </c>
      <c r="AG10" s="35" t="str">
        <f t="shared" si="0"/>
        <v>Excess</v>
      </c>
      <c r="AH10" s="38"/>
      <c r="AI10" s="36">
        <v>288401</v>
      </c>
      <c r="AJ10" s="37">
        <f>227285+61116</f>
        <v>288401</v>
      </c>
      <c r="AK10" s="26">
        <f t="shared" si="1"/>
        <v>0</v>
      </c>
      <c r="AL10" s="25" t="str">
        <f t="shared" si="2"/>
        <v>Matched</v>
      </c>
      <c r="AM10" s="38"/>
    </row>
    <row r="11" spans="1:39" ht="12.75" customHeight="1" x14ac:dyDescent="0.25">
      <c r="A11" s="31">
        <v>72873</v>
      </c>
      <c r="B11" s="32" t="str">
        <f>IF(A11="","",VLOOKUP(A11,'Employee Database'!A:B,2,FALSE))</f>
        <v>M Shajee</v>
      </c>
      <c r="C11" s="31">
        <v>1</v>
      </c>
      <c r="D11" s="31">
        <v>24</v>
      </c>
      <c r="E11" s="31">
        <v>10</v>
      </c>
      <c r="F11" s="39">
        <f>IF(COUNT(C11:E11)=0,0,SUMPRODUCT({5000,1000,500},C11:E11))</f>
        <v>34000</v>
      </c>
      <c r="G11" s="31"/>
      <c r="H11" s="31"/>
      <c r="I11" s="31"/>
      <c r="J11" s="39">
        <f>IF(COUNT(G11:I11)=0,0,SUMPRODUCT({5000,1000,500},G11:I11))</f>
        <v>0</v>
      </c>
      <c r="K11" s="31"/>
      <c r="L11" s="31"/>
      <c r="M11" s="31"/>
      <c r="N11" s="39">
        <f>IF(COUNT(K11:M11)=0,0,SUMPRODUCT({5000,1000,500},K11:M11))</f>
        <v>0</v>
      </c>
      <c r="O11" s="31"/>
      <c r="P11" s="31"/>
      <c r="Q11" s="31"/>
      <c r="R11" s="39">
        <f>IF(COUNT(O11:Q11)=0,0,SUMPRODUCT({5000,1000,500},O11:Q11))</f>
        <v>0</v>
      </c>
      <c r="S11" s="31"/>
      <c r="T11" s="31"/>
      <c r="U11" s="31"/>
      <c r="V11" s="31">
        <v>19</v>
      </c>
      <c r="W11" s="31"/>
      <c r="X11" s="31">
        <v>41</v>
      </c>
      <c r="Y11" s="31"/>
      <c r="Z11" s="31">
        <v>1</v>
      </c>
      <c r="AA11" s="31"/>
      <c r="AB11" s="31"/>
      <c r="AC11" s="31"/>
      <c r="AD11" s="34">
        <f>IF(COUNT(S11:AC11)=0,0,SUMPRODUCT({5000,1000,500,100,75,50,20,10,5,2,1}, S11:AC11))</f>
        <v>3960</v>
      </c>
      <c r="AE11" s="33">
        <v>37953</v>
      </c>
      <c r="AF11" s="24">
        <f>IF(AND(COUNT(C11:E11)=0,COUNT(G11:I11)=0,COUNT(K11:M11)=0,COUNT(O11:Q11)=0,COUNT(S11:AC11)=0,AE11=""),"",(IF(COUNT(C11:E11)=0,0,SUMPRODUCT({5000,1000,500},C11:E11))+IF(COUNT(G11:I11)=0,0,SUMPRODUCT({5000,1000,500},G11:I11))+IF(COUNT(K11:M11)=0,0,SUMPRODUCT({5000,1000,500},K11:M11))+IF(COUNT(O11:Q11)=0,0,SUMPRODUCT({5000,1000,500},O11:Q11))+AD11)-N(AE11))</f>
        <v>7</v>
      </c>
      <c r="AG11" s="35" t="str">
        <f t="shared" si="0"/>
        <v>Excess</v>
      </c>
      <c r="AH11" s="38"/>
      <c r="AI11" s="36">
        <v>28416</v>
      </c>
      <c r="AJ11" s="37">
        <f>17187+11228+1</f>
        <v>28416</v>
      </c>
      <c r="AK11" s="26">
        <f t="shared" si="1"/>
        <v>0</v>
      </c>
      <c r="AL11" s="25" t="str">
        <f t="shared" si="2"/>
        <v>Matched</v>
      </c>
      <c r="AM11" s="38"/>
    </row>
    <row r="12" spans="1:39" ht="12.75" customHeight="1" x14ac:dyDescent="0.25">
      <c r="A12" s="31">
        <v>73196</v>
      </c>
      <c r="B12" s="32" t="str">
        <f>IF(A12="","",VLOOKUP(A12,'Employee Database'!A:B,2,FALSE))</f>
        <v>Asma</v>
      </c>
      <c r="C12" s="31">
        <v>70</v>
      </c>
      <c r="D12" s="31">
        <v>139</v>
      </c>
      <c r="E12" s="31">
        <v>64</v>
      </c>
      <c r="F12" s="39">
        <f>IF(COUNT(C12:E12)=0,0,SUMPRODUCT({5000,1000,500},C12:E12))</f>
        <v>521000</v>
      </c>
      <c r="G12" s="31"/>
      <c r="H12" s="31"/>
      <c r="I12" s="31"/>
      <c r="J12" s="39">
        <f>IF(COUNT(G12:I12)=0,0,SUMPRODUCT({5000,1000,500},G12:I12))</f>
        <v>0</v>
      </c>
      <c r="K12" s="31"/>
      <c r="L12" s="31"/>
      <c r="M12" s="31"/>
      <c r="N12" s="39">
        <f>IF(COUNT(K12:M12)=0,0,SUMPRODUCT({5000,1000,500},K12:M12))</f>
        <v>0</v>
      </c>
      <c r="O12" s="31"/>
      <c r="P12" s="31"/>
      <c r="Q12" s="31"/>
      <c r="R12" s="39">
        <f>IF(COUNT(O12:Q12)=0,0,SUMPRODUCT({5000,1000,500},O12:Q12))</f>
        <v>0</v>
      </c>
      <c r="S12" s="31"/>
      <c r="T12" s="31"/>
      <c r="U12" s="31"/>
      <c r="V12" s="31"/>
      <c r="W12" s="31"/>
      <c r="X12" s="31">
        <v>52</v>
      </c>
      <c r="Y12" s="31"/>
      <c r="Z12" s="31">
        <v>12</v>
      </c>
      <c r="AA12" s="31"/>
      <c r="AB12" s="31"/>
      <c r="AC12" s="31"/>
      <c r="AD12" s="34">
        <f>IF(COUNT(S12:AC12)=0,0,SUMPRODUCT({5000,1000,500,100,75,50,20,10,5,2,1}, S12:AC12))</f>
        <v>2720</v>
      </c>
      <c r="AE12" s="33">
        <v>523639</v>
      </c>
      <c r="AF12" s="24">
        <f>IF(AND(COUNT(C12:E12)=0,COUNT(G12:I12)=0,COUNT(K12:M12)=0,COUNT(O12:Q12)=0,COUNT(S12:AC12)=0,AE12=""),"",(IF(COUNT(C12:E12)=0,0,SUMPRODUCT({5000,1000,500},C12:E12))+IF(COUNT(G12:I12)=0,0,SUMPRODUCT({5000,1000,500},G12:I12))+IF(COUNT(K12:M12)=0,0,SUMPRODUCT({5000,1000,500},K12:M12))+IF(COUNT(O12:Q12)=0,0,SUMPRODUCT({5000,1000,500},O12:Q12))+AD12)-N(AE12))</f>
        <v>81</v>
      </c>
      <c r="AG12" s="35" t="str">
        <f t="shared" si="0"/>
        <v>Excess</v>
      </c>
      <c r="AH12" s="38"/>
      <c r="AI12" s="36">
        <v>790682</v>
      </c>
      <c r="AJ12" s="37">
        <f>332264+458417+1</f>
        <v>790682</v>
      </c>
      <c r="AK12" s="26">
        <f t="shared" si="1"/>
        <v>0</v>
      </c>
      <c r="AL12" s="25" t="str">
        <f t="shared" si="2"/>
        <v>Matched</v>
      </c>
      <c r="AM12" s="38"/>
    </row>
    <row r="13" spans="1:39" ht="12.75" customHeight="1" x14ac:dyDescent="0.25">
      <c r="A13" s="31">
        <v>59257</v>
      </c>
      <c r="B13" s="32" t="str">
        <f>IF(A13="","",VLOOKUP(A13,'Employee Database'!A:B,2,FALSE))</f>
        <v>Saddiqa Maryam</v>
      </c>
      <c r="C13" s="31">
        <v>28</v>
      </c>
      <c r="D13" s="31">
        <v>144</v>
      </c>
      <c r="E13" s="31">
        <v>31</v>
      </c>
      <c r="F13" s="39">
        <f>IF(COUNT(C13:E13)=0,0,SUMPRODUCT({5000,1000,500},C13:E13))</f>
        <v>299500</v>
      </c>
      <c r="G13" s="31"/>
      <c r="H13" s="31"/>
      <c r="I13" s="31"/>
      <c r="J13" s="39">
        <f>IF(COUNT(G13:I13)=0,0,SUMPRODUCT({5000,1000,500},G13:I13))</f>
        <v>0</v>
      </c>
      <c r="K13" s="31"/>
      <c r="L13" s="31"/>
      <c r="M13" s="31"/>
      <c r="N13" s="39">
        <f>IF(COUNT(K13:M13)=0,0,SUMPRODUCT({5000,1000,500},K13:M13))</f>
        <v>0</v>
      </c>
      <c r="O13" s="31"/>
      <c r="P13" s="31"/>
      <c r="Q13" s="31"/>
      <c r="R13" s="39">
        <f>IF(COUNT(O13:Q13)=0,0,SUMPRODUCT({5000,1000,500},O13:Q13))</f>
        <v>0</v>
      </c>
      <c r="S13" s="31"/>
      <c r="T13" s="31"/>
      <c r="U13" s="31"/>
      <c r="V13" s="31">
        <v>5</v>
      </c>
      <c r="W13" s="31"/>
      <c r="X13" s="31">
        <v>7</v>
      </c>
      <c r="Y13" s="31">
        <v>1</v>
      </c>
      <c r="Z13" s="31">
        <v>49</v>
      </c>
      <c r="AA13" s="31"/>
      <c r="AB13" s="31"/>
      <c r="AC13" s="31"/>
      <c r="AD13" s="34">
        <f>IF(COUNT(S13:AC13)=0,0,SUMPRODUCT({5000,1000,500,100,75,50,20,10,5,2,1}, S13:AC13))</f>
        <v>1360</v>
      </c>
      <c r="AE13" s="33">
        <v>300767</v>
      </c>
      <c r="AF13" s="24">
        <f>IF(AND(COUNT(C13:E13)=0,COUNT(G13:I13)=0,COUNT(K13:M13)=0,COUNT(O13:Q13)=0,COUNT(S13:AC13)=0,AE13=""),"",(IF(COUNT(C13:E13)=0,0,SUMPRODUCT({5000,1000,500},C13:E13))+IF(COUNT(G13:I13)=0,0,SUMPRODUCT({5000,1000,500},G13:I13))+IF(COUNT(K13:M13)=0,0,SUMPRODUCT({5000,1000,500},K13:M13))+IF(COUNT(O13:Q13)=0,0,SUMPRODUCT({5000,1000,500},O13:Q13))+AD13)-N(AE13))</f>
        <v>93</v>
      </c>
      <c r="AG13" s="35" t="str">
        <f t="shared" si="0"/>
        <v>Excess</v>
      </c>
      <c r="AH13" s="38"/>
      <c r="AI13" s="36">
        <f>5050+228036.66</f>
        <v>233086.66</v>
      </c>
      <c r="AJ13" s="37">
        <f>108744.23+119292.43+5050</f>
        <v>233086.65999999997</v>
      </c>
      <c r="AK13" s="26">
        <f t="shared" si="1"/>
        <v>2.9103830456733704E-11</v>
      </c>
      <c r="AL13" s="25" t="str">
        <f t="shared" si="2"/>
        <v>POS Excess</v>
      </c>
      <c r="AM13" s="38"/>
    </row>
    <row r="14" spans="1:39" ht="12.75" customHeight="1" x14ac:dyDescent="0.25">
      <c r="A14" s="31">
        <v>63599</v>
      </c>
      <c r="B14" s="32" t="str">
        <f>IF(A14="","",VLOOKUP(A14,'Employee Database'!A:B,2,FALSE))</f>
        <v>Hafsa</v>
      </c>
      <c r="C14" s="31"/>
      <c r="D14" s="31"/>
      <c r="E14" s="31"/>
      <c r="F14" s="39">
        <f>IF(COUNT(C14:E14)=0,0,SUMPRODUCT({5000,1000,500},C14:E14))</f>
        <v>0</v>
      </c>
      <c r="G14" s="31">
        <v>5</v>
      </c>
      <c r="H14" s="31">
        <v>26</v>
      </c>
      <c r="I14" s="31">
        <v>11</v>
      </c>
      <c r="J14" s="39">
        <f>IF(COUNT(G14:I14)=0,0,SUMPRODUCT({5000,1000,500},G14:I14))</f>
        <v>56500</v>
      </c>
      <c r="K14" s="31"/>
      <c r="L14" s="31"/>
      <c r="M14" s="31"/>
      <c r="N14" s="39">
        <f>IF(COUNT(K14:M14)=0,0,SUMPRODUCT({5000,1000,500},K14:M14))</f>
        <v>0</v>
      </c>
      <c r="O14" s="31"/>
      <c r="P14" s="31"/>
      <c r="Q14" s="31"/>
      <c r="R14" s="39">
        <f>IF(COUNT(O14:Q14)=0,0,SUMPRODUCT({5000,1000,500},O14:Q14))</f>
        <v>0</v>
      </c>
      <c r="S14" s="31"/>
      <c r="T14" s="31"/>
      <c r="U14" s="31"/>
      <c r="V14" s="31"/>
      <c r="W14" s="31"/>
      <c r="X14" s="31">
        <v>81</v>
      </c>
      <c r="Y14" s="31"/>
      <c r="Z14" s="31">
        <v>81</v>
      </c>
      <c r="AA14" s="31"/>
      <c r="AB14" s="31"/>
      <c r="AC14" s="31"/>
      <c r="AD14" s="34">
        <f>IF(COUNT(S14:AC14)=0,0,SUMPRODUCT({5000,1000,500,100,75,50,20,10,5,2,1}, S14:AC14))</f>
        <v>4860</v>
      </c>
      <c r="AE14" s="33">
        <v>61270</v>
      </c>
      <c r="AF14" s="24">
        <f>IF(AND(COUNT(C14:E14)=0,COUNT(G14:I14)=0,COUNT(K14:M14)=0,COUNT(O14:Q14)=0,COUNT(S14:AC14)=0,AE14=""),"",(IF(COUNT(C14:E14)=0,0,SUMPRODUCT({5000,1000,500},C14:E14))+IF(COUNT(G14:I14)=0,0,SUMPRODUCT({5000,1000,500},G14:I14))+IF(COUNT(K14:M14)=0,0,SUMPRODUCT({5000,1000,500},K14:M14))+IF(COUNT(O14:Q14)=0,0,SUMPRODUCT({5000,1000,500},O14:Q14))+AD14)-N(AE14))</f>
        <v>90</v>
      </c>
      <c r="AG14" s="35" t="str">
        <f t="shared" si="0"/>
        <v>Excess</v>
      </c>
      <c r="AH14" s="38"/>
      <c r="AI14" s="36">
        <v>187280.51</v>
      </c>
      <c r="AJ14" s="37">
        <f>3712.09+183568.42</f>
        <v>187280.51</v>
      </c>
      <c r="AK14" s="26">
        <f t="shared" si="1"/>
        <v>0</v>
      </c>
      <c r="AL14" s="25" t="str">
        <f t="shared" si="2"/>
        <v>Matched</v>
      </c>
      <c r="AM14" s="38"/>
    </row>
    <row r="15" spans="1:39" ht="12.75" customHeight="1" x14ac:dyDescent="0.25">
      <c r="A15" s="31">
        <v>61648</v>
      </c>
      <c r="B15" s="32" t="str">
        <f>IF(A15="","",VLOOKUP(A15,'Employee Database'!A:B,2,FALSE))</f>
        <v>Rizwan</v>
      </c>
      <c r="C15" s="31"/>
      <c r="D15" s="31"/>
      <c r="E15" s="31"/>
      <c r="F15" s="39">
        <f>IF(COUNT(C15:E15)=0,0,SUMPRODUCT({5000,1000,500},C15:E15))</f>
        <v>0</v>
      </c>
      <c r="G15" s="31">
        <v>34</v>
      </c>
      <c r="H15" s="31">
        <v>93</v>
      </c>
      <c r="I15" s="31">
        <v>7</v>
      </c>
      <c r="J15" s="39">
        <f>IF(COUNT(G15:I15)=0,0,SUMPRODUCT({5000,1000,500},G15:I15))</f>
        <v>266500</v>
      </c>
      <c r="K15" s="31"/>
      <c r="L15" s="31"/>
      <c r="M15" s="31"/>
      <c r="N15" s="39">
        <f>IF(COUNT(K15:M15)=0,0,SUMPRODUCT({5000,1000,500},K15:M15))</f>
        <v>0</v>
      </c>
      <c r="O15" s="31"/>
      <c r="P15" s="31"/>
      <c r="Q15" s="31"/>
      <c r="R15" s="39">
        <f>IF(COUNT(O15:Q15)=0,0,SUMPRODUCT({5000,1000,500},O15:Q15))</f>
        <v>0</v>
      </c>
      <c r="S15" s="31"/>
      <c r="T15" s="31"/>
      <c r="U15" s="31"/>
      <c r="V15" s="31">
        <v>12</v>
      </c>
      <c r="W15" s="31"/>
      <c r="X15" s="31">
        <v>26</v>
      </c>
      <c r="Y15" s="31">
        <v>1</v>
      </c>
      <c r="Z15" s="31">
        <v>34</v>
      </c>
      <c r="AA15" s="31"/>
      <c r="AB15" s="31"/>
      <c r="AC15" s="31"/>
      <c r="AD15" s="34">
        <f>IF(COUNT(S15:AC15)=0,0,SUMPRODUCT({5000,1000,500,100,75,50,20,10,5,2,1}, S15:AC15))</f>
        <v>2860</v>
      </c>
      <c r="AE15" s="33">
        <v>269305</v>
      </c>
      <c r="AF15" s="24">
        <f>IF(AND(COUNT(C15:E15)=0,COUNT(G15:I15)=0,COUNT(K15:M15)=0,COUNT(O15:Q15)=0,COUNT(S15:AC15)=0,AE15=""),"",(IF(COUNT(C15:E15)=0,0,SUMPRODUCT({5000,1000,500},C15:E15))+IF(COUNT(G15:I15)=0,0,SUMPRODUCT({5000,1000,500},G15:I15))+IF(COUNT(K15:M15)=0,0,SUMPRODUCT({5000,1000,500},K15:M15))+IF(COUNT(O15:Q15)=0,0,SUMPRODUCT({5000,1000,500},O15:Q15))+AD15)-N(AE15))</f>
        <v>55</v>
      </c>
      <c r="AG15" s="35" t="str">
        <f t="shared" si="0"/>
        <v>Excess</v>
      </c>
      <c r="AH15" s="38"/>
      <c r="AI15" s="36">
        <f>104762.45+728691.41</f>
        <v>833453.86</v>
      </c>
      <c r="AJ15" s="37">
        <f>8422.41+96340.04+728691.41</f>
        <v>833453.86</v>
      </c>
      <c r="AK15" s="26">
        <f t="shared" si="1"/>
        <v>0</v>
      </c>
      <c r="AL15" s="25" t="str">
        <f t="shared" si="2"/>
        <v>Matched</v>
      </c>
      <c r="AM15" s="38"/>
    </row>
    <row r="16" spans="1:39" ht="12.75" customHeight="1" x14ac:dyDescent="0.25">
      <c r="A16" s="31">
        <v>79593</v>
      </c>
      <c r="B16" s="32" t="str">
        <f>IF(A16="","",VLOOKUP(A16,'Employee Database'!A:B,2,FALSE))</f>
        <v>Amir</v>
      </c>
      <c r="C16" s="31"/>
      <c r="D16" s="31"/>
      <c r="E16" s="31"/>
      <c r="F16" s="39">
        <f>IF(COUNT(C16:E16)=0,0,SUMPRODUCT({5000,1000,500},C16:E16))</f>
        <v>0</v>
      </c>
      <c r="G16" s="31">
        <v>35</v>
      </c>
      <c r="H16" s="31">
        <v>12</v>
      </c>
      <c r="I16" s="31">
        <v>18</v>
      </c>
      <c r="J16" s="39">
        <f>IF(COUNT(G16:I16)=0,0,SUMPRODUCT({5000,1000,500},G16:I16))</f>
        <v>196000</v>
      </c>
      <c r="K16" s="31"/>
      <c r="L16" s="31"/>
      <c r="M16" s="31"/>
      <c r="N16" s="39">
        <f>IF(COUNT(K16:M16)=0,0,SUMPRODUCT({5000,1000,500},K16:M16))</f>
        <v>0</v>
      </c>
      <c r="O16" s="31"/>
      <c r="P16" s="31"/>
      <c r="Q16" s="31"/>
      <c r="R16" s="39">
        <f>IF(COUNT(O16:Q16)=0,0,SUMPRODUCT({5000,1000,500},O16:Q16))</f>
        <v>0</v>
      </c>
      <c r="S16" s="31"/>
      <c r="T16" s="31"/>
      <c r="U16" s="31"/>
      <c r="V16" s="31">
        <v>1</v>
      </c>
      <c r="W16" s="31"/>
      <c r="X16" s="31">
        <v>34</v>
      </c>
      <c r="Y16" s="31"/>
      <c r="Z16" s="31">
        <v>66</v>
      </c>
      <c r="AA16" s="31"/>
      <c r="AB16" s="31"/>
      <c r="AC16" s="31"/>
      <c r="AD16" s="34">
        <f>IF(COUNT(S16:AC16)=0,0,SUMPRODUCT({5000,1000,500,100,75,50,20,10,5,2,1}, S16:AC16))</f>
        <v>2460</v>
      </c>
      <c r="AE16" s="33">
        <v>198463.84</v>
      </c>
      <c r="AF16" s="24">
        <f>IF(AND(COUNT(C16:E16)=0,COUNT(G16:I16)=0,COUNT(K16:M16)=0,COUNT(O16:Q16)=0,COUNT(S16:AC16)=0,AE16=""),"",(IF(COUNT(C16:E16)=0,0,SUMPRODUCT({5000,1000,500},C16:E16))+IF(COUNT(G16:I16)=0,0,SUMPRODUCT({5000,1000,500},G16:I16))+IF(COUNT(K16:M16)=0,0,SUMPRODUCT({5000,1000,500},K16:M16))+IF(COUNT(O16:Q16)=0,0,SUMPRODUCT({5000,1000,500},O16:Q16))+AD16)-N(AE16))</f>
        <v>-3.8399999999965075</v>
      </c>
      <c r="AG16" s="35" t="str">
        <f t="shared" si="0"/>
        <v>Short</v>
      </c>
      <c r="AH16" s="38"/>
      <c r="AI16" s="36">
        <v>803248.68</v>
      </c>
      <c r="AJ16" s="37">
        <f>141666.21+661582.47</f>
        <v>803248.67999999993</v>
      </c>
      <c r="AK16" s="26">
        <f t="shared" si="1"/>
        <v>1.1641532182693481E-10</v>
      </c>
      <c r="AL16" s="25" t="str">
        <f t="shared" si="2"/>
        <v>POS Excess</v>
      </c>
      <c r="AM16" s="38"/>
    </row>
    <row r="17" spans="1:39" ht="12.75" customHeight="1" x14ac:dyDescent="0.25">
      <c r="A17" s="31">
        <v>67250</v>
      </c>
      <c r="B17" s="32" t="str">
        <f>IF(A17="","",VLOOKUP(A17,'Employee Database'!A:B,2,FALSE))</f>
        <v>M Fiaz</v>
      </c>
      <c r="C17" s="31"/>
      <c r="D17" s="31"/>
      <c r="E17" s="31"/>
      <c r="F17" s="39">
        <f>IF(COUNT(C17:E17)=0,0,SUMPRODUCT({5000,1000,500},C17:E17))</f>
        <v>0</v>
      </c>
      <c r="G17" s="31">
        <v>62</v>
      </c>
      <c r="H17" s="31">
        <v>32</v>
      </c>
      <c r="I17" s="31">
        <v>1</v>
      </c>
      <c r="J17" s="39">
        <f>IF(COUNT(G17:I17)=0,0,SUMPRODUCT({5000,1000,500},G17:I17))</f>
        <v>342500</v>
      </c>
      <c r="K17" s="31"/>
      <c r="L17" s="31"/>
      <c r="M17" s="31"/>
      <c r="N17" s="39">
        <f>IF(COUNT(K17:M17)=0,0,SUMPRODUCT({5000,1000,500},K17:M17))</f>
        <v>0</v>
      </c>
      <c r="O17" s="31"/>
      <c r="P17" s="31"/>
      <c r="Q17" s="31"/>
      <c r="R17" s="39">
        <f>IF(COUNT(O17:Q17)=0,0,SUMPRODUCT({5000,1000,500},O17:Q17))</f>
        <v>0</v>
      </c>
      <c r="S17" s="31"/>
      <c r="T17" s="31"/>
      <c r="U17" s="31"/>
      <c r="V17" s="31"/>
      <c r="W17" s="31"/>
      <c r="X17" s="31">
        <v>75</v>
      </c>
      <c r="Y17" s="31"/>
      <c r="Z17" s="31">
        <v>30</v>
      </c>
      <c r="AA17" s="31"/>
      <c r="AB17" s="31"/>
      <c r="AC17" s="31"/>
      <c r="AD17" s="34">
        <f>IF(COUNT(S17:AC17)=0,0,SUMPRODUCT({5000,1000,500,100,75,50,20,10,5,2,1}, S17:AC17))</f>
        <v>4050</v>
      </c>
      <c r="AE17" s="33">
        <v>346541</v>
      </c>
      <c r="AF17" s="24">
        <f>IF(AND(COUNT(C17:E17)=0,COUNT(G17:I17)=0,COUNT(K17:M17)=0,COUNT(O17:Q17)=0,COUNT(S17:AC17)=0,AE17=""),"",(IF(COUNT(C17:E17)=0,0,SUMPRODUCT({5000,1000,500},C17:E17))+IF(COUNT(G17:I17)=0,0,SUMPRODUCT({5000,1000,500},G17:I17))+IF(COUNT(K17:M17)=0,0,SUMPRODUCT({5000,1000,500},K17:M17))+IF(COUNT(O17:Q17)=0,0,SUMPRODUCT({5000,1000,500},O17:Q17))+AD17)-N(AE17))</f>
        <v>9</v>
      </c>
      <c r="AG17" s="35" t="str">
        <f t="shared" si="0"/>
        <v>Excess</v>
      </c>
      <c r="AH17" s="38"/>
      <c r="AI17" s="36">
        <f>842531.82+39068.17</f>
        <v>881599.99</v>
      </c>
      <c r="AJ17" s="37">
        <f>671929.4+170602.42+39068.17</f>
        <v>881599.99000000011</v>
      </c>
      <c r="AK17" s="26">
        <f t="shared" si="1"/>
        <v>-1.1641532182693481E-10</v>
      </c>
      <c r="AL17" s="25" t="str">
        <f t="shared" si="2"/>
        <v>Bank Short</v>
      </c>
      <c r="AM17" s="38"/>
    </row>
    <row r="18" spans="1:39" ht="12.75" customHeight="1" x14ac:dyDescent="0.25">
      <c r="A18" s="31">
        <v>69213</v>
      </c>
      <c r="B18" s="32" t="str">
        <f>IF(A18="","",VLOOKUP(A18,'Employee Database'!A:B,2,FALSE))</f>
        <v>Muhammad Shahbaz</v>
      </c>
      <c r="C18" s="31"/>
      <c r="D18" s="31"/>
      <c r="E18" s="31"/>
      <c r="F18" s="39">
        <f>IF(COUNT(C18:E18)=0,0,SUMPRODUCT({5000,1000,500},C18:E18))</f>
        <v>0</v>
      </c>
      <c r="G18" s="31">
        <v>10</v>
      </c>
      <c r="H18" s="31">
        <v>45</v>
      </c>
      <c r="I18" s="31">
        <v>2</v>
      </c>
      <c r="J18" s="39">
        <f>IF(COUNT(G18:I18)=0,0,SUMPRODUCT({5000,1000,500},G18:I18))</f>
        <v>96000</v>
      </c>
      <c r="K18" s="31"/>
      <c r="L18" s="31"/>
      <c r="M18" s="31"/>
      <c r="N18" s="39">
        <f>IF(COUNT(K18:M18)=0,0,SUMPRODUCT({5000,1000,500},K18:M18))</f>
        <v>0</v>
      </c>
      <c r="O18" s="31"/>
      <c r="P18" s="31"/>
      <c r="Q18" s="31"/>
      <c r="R18" s="39">
        <f>IF(COUNT(O18:Q18)=0,0,SUMPRODUCT({5000,1000,500},O18:Q18))</f>
        <v>0</v>
      </c>
      <c r="S18" s="31"/>
      <c r="T18" s="31"/>
      <c r="U18" s="31"/>
      <c r="V18" s="31"/>
      <c r="W18" s="31"/>
      <c r="X18" s="31">
        <v>40</v>
      </c>
      <c r="Y18" s="31"/>
      <c r="Z18" s="31">
        <v>69</v>
      </c>
      <c r="AA18" s="31"/>
      <c r="AB18" s="31"/>
      <c r="AC18" s="31"/>
      <c r="AD18" s="34">
        <f>IF(COUNT(S18:AC18)=0,0,SUMPRODUCT({5000,1000,500,100,75,50,20,10,5,2,1}, S18:AC18))</f>
        <v>2690</v>
      </c>
      <c r="AE18" s="33">
        <v>98686</v>
      </c>
      <c r="AF18" s="24">
        <f>IF(AND(COUNT(C18:E18)=0,COUNT(G18:I18)=0,COUNT(K18:M18)=0,COUNT(O18:Q18)=0,COUNT(S18:AC18)=0,AE18=""),"",(IF(COUNT(C18:E18)=0,0,SUMPRODUCT({5000,1000,500},C18:E18))+IF(COUNT(G18:I18)=0,0,SUMPRODUCT({5000,1000,500},G18:I18))+IF(COUNT(K18:M18)=0,0,SUMPRODUCT({5000,1000,500},K18:M18))+IF(COUNT(O18:Q18)=0,0,SUMPRODUCT({5000,1000,500},O18:Q18))+AD18)-N(AE18))</f>
        <v>4</v>
      </c>
      <c r="AG18" s="35" t="str">
        <f t="shared" si="0"/>
        <v>Excess</v>
      </c>
      <c r="AH18" s="38"/>
      <c r="AI18" s="36">
        <v>580695.59</v>
      </c>
      <c r="AJ18" s="37">
        <f>13839.6+566855.99</f>
        <v>580695.59</v>
      </c>
      <c r="AK18" s="26">
        <f t="shared" si="1"/>
        <v>0</v>
      </c>
      <c r="AL18" s="25" t="str">
        <f t="shared" si="2"/>
        <v>Matched</v>
      </c>
      <c r="AM18" s="38"/>
    </row>
    <row r="19" spans="1:39" ht="12.75" customHeight="1" x14ac:dyDescent="0.25">
      <c r="A19" s="31">
        <v>53893</v>
      </c>
      <c r="B19" s="32" t="str">
        <f>IF(A19="","",VLOOKUP(A19,'Employee Database'!A:B,2,FALSE))</f>
        <v>M Binyameen</v>
      </c>
      <c r="C19" s="31"/>
      <c r="D19" s="31"/>
      <c r="E19" s="31"/>
      <c r="F19" s="39">
        <f>IF(COUNT(C19:E19)=0,0,SUMPRODUCT({5000,1000,500},C19:E19))</f>
        <v>0</v>
      </c>
      <c r="G19" s="31">
        <v>38</v>
      </c>
      <c r="H19" s="31">
        <v>29</v>
      </c>
      <c r="I19" s="31">
        <v>2</v>
      </c>
      <c r="J19" s="39">
        <f>IF(COUNT(G19:I19)=0,0,SUMPRODUCT({5000,1000,500},G19:I19))</f>
        <v>220000</v>
      </c>
      <c r="K19" s="31"/>
      <c r="L19" s="31"/>
      <c r="M19" s="31"/>
      <c r="N19" s="39">
        <f>IF(COUNT(K19:M19)=0,0,SUMPRODUCT({5000,1000,500},K19:M19))</f>
        <v>0</v>
      </c>
      <c r="O19" s="31"/>
      <c r="P19" s="31"/>
      <c r="Q19" s="31"/>
      <c r="R19" s="39">
        <f>IF(COUNT(O19:Q19)=0,0,SUMPRODUCT({5000,1000,500},O19:Q19))</f>
        <v>0</v>
      </c>
      <c r="S19" s="31"/>
      <c r="T19" s="31"/>
      <c r="U19" s="31"/>
      <c r="V19" s="31">
        <v>5</v>
      </c>
      <c r="W19" s="31"/>
      <c r="X19" s="31">
        <v>22</v>
      </c>
      <c r="Y19" s="31">
        <v>1</v>
      </c>
      <c r="Z19" s="31">
        <v>59</v>
      </c>
      <c r="AA19" s="31"/>
      <c r="AB19" s="31"/>
      <c r="AC19" s="31"/>
      <c r="AD19" s="34">
        <f>IF(COUNT(S19:AC19)=0,0,SUMPRODUCT({5000,1000,500,100,75,50,20,10,5,2,1}, S19:AC19))</f>
        <v>2210</v>
      </c>
      <c r="AE19" s="33">
        <v>222115</v>
      </c>
      <c r="AF19" s="24">
        <f>IF(AND(COUNT(C19:E19)=0,COUNT(G19:I19)=0,COUNT(K19:M19)=0,COUNT(O19:Q19)=0,COUNT(S19:AC19)=0,AE19=""),"",(IF(COUNT(C19:E19)=0,0,SUMPRODUCT({5000,1000,500},C19:E19))+IF(COUNT(G19:I19)=0,0,SUMPRODUCT({5000,1000,500},G19:I19))+IF(COUNT(K19:M19)=0,0,SUMPRODUCT({5000,1000,500},K19:M19))+IF(COUNT(O19:Q19)=0,0,SUMPRODUCT({5000,1000,500},O19:Q19))+AD19)-N(AE19))</f>
        <v>95</v>
      </c>
      <c r="AG19" s="35" t="str">
        <f t="shared" si="0"/>
        <v>Excess</v>
      </c>
      <c r="AH19" s="38"/>
      <c r="AI19" s="36">
        <v>484392.43</v>
      </c>
      <c r="AJ19" s="37">
        <v>484392.43</v>
      </c>
      <c r="AK19" s="26">
        <f t="shared" si="1"/>
        <v>0</v>
      </c>
      <c r="AL19" s="25" t="str">
        <f t="shared" si="2"/>
        <v>Matched</v>
      </c>
      <c r="AM19" s="38"/>
    </row>
    <row r="20" spans="1:39" ht="12.75" customHeight="1" x14ac:dyDescent="0.25">
      <c r="A20" s="31">
        <v>63374</v>
      </c>
      <c r="B20" s="32" t="str">
        <f>IF(A20="","",VLOOKUP(A20,'Employee Database'!A:B,2,FALSE))</f>
        <v>Aftab Ali</v>
      </c>
      <c r="C20" s="31"/>
      <c r="D20" s="31"/>
      <c r="E20" s="31"/>
      <c r="F20" s="39">
        <f>IF(COUNT(C20:E20)=0,0,SUMPRODUCT({5000,1000,500},C20:E20))</f>
        <v>0</v>
      </c>
      <c r="G20" s="31">
        <v>24</v>
      </c>
      <c r="H20" s="31">
        <v>55</v>
      </c>
      <c r="I20" s="31">
        <v>2</v>
      </c>
      <c r="J20" s="39">
        <f>IF(COUNT(G20:I20)=0,0,SUMPRODUCT({5000,1000,500},G20:I20))</f>
        <v>176000</v>
      </c>
      <c r="K20" s="31"/>
      <c r="L20" s="31"/>
      <c r="M20" s="31"/>
      <c r="N20" s="39">
        <f>IF(COUNT(K20:M20)=0,0,SUMPRODUCT({5000,1000,500},K20:M20))</f>
        <v>0</v>
      </c>
      <c r="O20" s="31"/>
      <c r="P20" s="31"/>
      <c r="Q20" s="31"/>
      <c r="R20" s="39">
        <f>IF(COUNT(O20:Q20)=0,0,SUMPRODUCT({5000,1000,500},O20:Q20))</f>
        <v>0</v>
      </c>
      <c r="S20" s="31"/>
      <c r="T20" s="31"/>
      <c r="U20" s="31"/>
      <c r="V20" s="31"/>
      <c r="W20" s="31"/>
      <c r="X20" s="31">
        <v>19</v>
      </c>
      <c r="Y20" s="31"/>
      <c r="Z20" s="31">
        <v>82</v>
      </c>
      <c r="AA20" s="31"/>
      <c r="AB20" s="31"/>
      <c r="AC20" s="31"/>
      <c r="AD20" s="34">
        <f>IF(COUNT(S20:AC20)=0,0,SUMPRODUCT({5000,1000,500,100,75,50,20,10,5,2,1}, S20:AC20))</f>
        <v>1770</v>
      </c>
      <c r="AE20" s="33">
        <v>177765</v>
      </c>
      <c r="AF20" s="24">
        <f>IF(AND(COUNT(C20:E20)=0,COUNT(G20:I20)=0,COUNT(K20:M20)=0,COUNT(O20:Q20)=0,COUNT(S20:AC20)=0,AE20=""),"",(IF(COUNT(C20:E20)=0,0,SUMPRODUCT({5000,1000,500},C20:E20))+IF(COUNT(G20:I20)=0,0,SUMPRODUCT({5000,1000,500},G20:I20))+IF(COUNT(K20:M20)=0,0,SUMPRODUCT({5000,1000,500},K20:M20))+IF(COUNT(O20:Q20)=0,0,SUMPRODUCT({5000,1000,500},O20:Q20))+AD20)-N(AE20))</f>
        <v>5</v>
      </c>
      <c r="AG20" s="35" t="str">
        <f t="shared" si="0"/>
        <v>Excess</v>
      </c>
      <c r="AH20" s="38"/>
      <c r="AI20" s="36">
        <f>272927.87+129113.87</f>
        <v>402041.74</v>
      </c>
      <c r="AJ20" s="37">
        <f>66971.35+129113.87+205956.52</f>
        <v>402041.74</v>
      </c>
      <c r="AK20" s="26">
        <f t="shared" si="1"/>
        <v>0</v>
      </c>
      <c r="AL20" s="25" t="str">
        <f t="shared" si="2"/>
        <v>Matched</v>
      </c>
      <c r="AM20" s="38"/>
    </row>
    <row r="21" spans="1:39" ht="12.75" customHeight="1" x14ac:dyDescent="0.25">
      <c r="A21" s="31">
        <v>73679</v>
      </c>
      <c r="B21" s="32" t="str">
        <f>IF(A21="","",VLOOKUP(A21,'Employee Database'!A:B,2,FALSE))</f>
        <v>Imran Waqar</v>
      </c>
      <c r="C21" s="31"/>
      <c r="D21" s="31"/>
      <c r="E21" s="31"/>
      <c r="F21" s="39">
        <f>IF(COUNT(C21:E21)=0,0,SUMPRODUCT({5000,1000,500},C21:E21))</f>
        <v>0</v>
      </c>
      <c r="G21" s="31">
        <v>64</v>
      </c>
      <c r="H21" s="31">
        <v>224</v>
      </c>
      <c r="I21" s="31">
        <v>3</v>
      </c>
      <c r="J21" s="39">
        <f>IF(COUNT(G21:I21)=0,0,SUMPRODUCT({5000,1000,500},G21:I21))</f>
        <v>545500</v>
      </c>
      <c r="K21" s="31"/>
      <c r="L21" s="31"/>
      <c r="M21" s="31"/>
      <c r="N21" s="39">
        <f>IF(COUNT(K21:M21)=0,0,SUMPRODUCT({5000,1000,500},K21:M21))</f>
        <v>0</v>
      </c>
      <c r="O21" s="31"/>
      <c r="P21" s="31"/>
      <c r="Q21" s="31"/>
      <c r="R21" s="39">
        <f>IF(COUNT(O21:Q21)=0,0,SUMPRODUCT({5000,1000,500},O21:Q21))</f>
        <v>0</v>
      </c>
      <c r="S21" s="31"/>
      <c r="T21" s="31"/>
      <c r="U21" s="31"/>
      <c r="V21" s="31">
        <v>7</v>
      </c>
      <c r="W21" s="31"/>
      <c r="X21" s="31">
        <v>2</v>
      </c>
      <c r="Y21" s="31"/>
      <c r="Z21" s="31">
        <v>45</v>
      </c>
      <c r="AA21" s="31"/>
      <c r="AB21" s="31"/>
      <c r="AC21" s="31"/>
      <c r="AD21" s="34">
        <f>IF(COUNT(S21:AC21)=0,0,SUMPRODUCT({5000,1000,500,100,75,50,20,10,5,2,1}, S21:AC21))</f>
        <v>1250</v>
      </c>
      <c r="AE21" s="33">
        <v>546829</v>
      </c>
      <c r="AF21" s="24">
        <f>IF(AND(COUNT(C21:E21)=0,COUNT(G21:I21)=0,COUNT(K21:M21)=0,COUNT(O21:Q21)=0,COUNT(S21:AC21)=0,AE21=""),"",(IF(COUNT(C21:E21)=0,0,SUMPRODUCT({5000,1000,500},C21:E21))+IF(COUNT(G21:I21)=0,0,SUMPRODUCT({5000,1000,500},G21:I21))+IF(COUNT(K21:M21)=0,0,SUMPRODUCT({5000,1000,500},K21:M21))+IF(COUNT(O21:Q21)=0,0,SUMPRODUCT({5000,1000,500},O21:Q21))+AD21)-N(AE21))</f>
        <v>-79</v>
      </c>
      <c r="AG21" s="35" t="str">
        <f t="shared" si="0"/>
        <v>Short</v>
      </c>
      <c r="AH21" s="38"/>
      <c r="AI21" s="36">
        <f>371534.6+108797.65</f>
        <v>480332.25</v>
      </c>
      <c r="AJ21" s="37">
        <f>108797.65+371534.6</f>
        <v>480332.25</v>
      </c>
      <c r="AK21" s="26">
        <f t="shared" si="1"/>
        <v>0</v>
      </c>
      <c r="AL21" s="25" t="str">
        <f t="shared" si="2"/>
        <v>Matched</v>
      </c>
      <c r="AM21" s="38"/>
    </row>
    <row r="22" spans="1:39" ht="12.75" customHeight="1" x14ac:dyDescent="0.25">
      <c r="A22" s="31">
        <v>50134</v>
      </c>
      <c r="B22" s="32" t="str">
        <f>IF(A22="","",VLOOKUP(A22,'Employee Database'!A:B,2,FALSE))</f>
        <v>Asif Abbas</v>
      </c>
      <c r="C22" s="31"/>
      <c r="D22" s="31"/>
      <c r="E22" s="31"/>
      <c r="F22" s="39">
        <f>IF(COUNT(C22:E22)=0,0,SUMPRODUCT({5000,1000,500},C22:E22))</f>
        <v>0</v>
      </c>
      <c r="G22" s="31">
        <v>63</v>
      </c>
      <c r="H22" s="31">
        <v>120</v>
      </c>
      <c r="I22" s="31">
        <v>12</v>
      </c>
      <c r="J22" s="39">
        <f>IF(COUNT(G22:I22)=0,0,SUMPRODUCT({5000,1000,500},G22:I22))</f>
        <v>441000</v>
      </c>
      <c r="K22" s="31"/>
      <c r="L22" s="31"/>
      <c r="M22" s="31"/>
      <c r="N22" s="39">
        <f>IF(COUNT(K22:M22)=0,0,SUMPRODUCT({5000,1000,500},K22:M22))</f>
        <v>0</v>
      </c>
      <c r="O22" s="31"/>
      <c r="P22" s="31"/>
      <c r="Q22" s="31"/>
      <c r="R22" s="39">
        <f>IF(COUNT(O22:Q22)=0,0,SUMPRODUCT({5000,1000,500},O22:Q22))</f>
        <v>0</v>
      </c>
      <c r="S22" s="31"/>
      <c r="T22" s="31"/>
      <c r="U22" s="31"/>
      <c r="V22" s="31">
        <v>5</v>
      </c>
      <c r="W22" s="31"/>
      <c r="X22" s="31">
        <v>57</v>
      </c>
      <c r="Y22" s="31"/>
      <c r="Z22" s="31">
        <v>41</v>
      </c>
      <c r="AA22" s="31"/>
      <c r="AB22" s="31"/>
      <c r="AC22" s="31"/>
      <c r="AD22" s="34">
        <f>IF(COUNT(S22:AC22)=0,0,SUMPRODUCT({5000,1000,500,100,75,50,20,10,5,2,1}, S22:AC22))</f>
        <v>3760</v>
      </c>
      <c r="AE22" s="33">
        <v>444783</v>
      </c>
      <c r="AF22" s="24">
        <f>IF(AND(COUNT(C22:E22)=0,COUNT(G22:I22)=0,COUNT(K22:M22)=0,COUNT(O22:Q22)=0,COUNT(S22:AC22)=0,AE22=""),"",(IF(COUNT(C22:E22)=0,0,SUMPRODUCT({5000,1000,500},C22:E22))+IF(COUNT(G22:I22)=0,0,SUMPRODUCT({5000,1000,500},G22:I22))+IF(COUNT(K22:M22)=0,0,SUMPRODUCT({5000,1000,500},K22:M22))+IF(COUNT(O22:Q22)=0,0,SUMPRODUCT({5000,1000,500},O22:Q22))+AD22)-N(AE22))</f>
        <v>-23</v>
      </c>
      <c r="AG22" s="35" t="str">
        <f t="shared" si="0"/>
        <v>Short</v>
      </c>
      <c r="AH22" s="38"/>
      <c r="AI22" s="36">
        <v>1350159.15</v>
      </c>
      <c r="AJ22" s="37">
        <f>434427.02+915732.13</f>
        <v>1350159.15</v>
      </c>
      <c r="AK22" s="26">
        <f t="shared" si="1"/>
        <v>0</v>
      </c>
      <c r="AL22" s="25" t="str">
        <f t="shared" si="2"/>
        <v>Matched</v>
      </c>
      <c r="AM22" s="38"/>
    </row>
    <row r="23" spans="1:39" ht="12.75" customHeight="1" x14ac:dyDescent="0.25">
      <c r="A23" s="31">
        <v>77424</v>
      </c>
      <c r="B23" s="32" t="str">
        <f>IF(A23="","",VLOOKUP(A23,'Employee Database'!A:B,2,FALSE))</f>
        <v>M Husnain</v>
      </c>
      <c r="C23" s="31"/>
      <c r="D23" s="31"/>
      <c r="E23" s="31"/>
      <c r="F23" s="39">
        <f>IF(COUNT(C23:E23)=0,0,SUMPRODUCT({5000,1000,500},C23:E23))</f>
        <v>0</v>
      </c>
      <c r="G23" s="31">
        <v>68</v>
      </c>
      <c r="H23" s="31">
        <v>146</v>
      </c>
      <c r="I23" s="31">
        <v>7</v>
      </c>
      <c r="J23" s="39">
        <f>IF(COUNT(G23:I23)=0,0,SUMPRODUCT({5000,1000,500},G23:I23))</f>
        <v>489500</v>
      </c>
      <c r="K23" s="31"/>
      <c r="L23" s="31"/>
      <c r="M23" s="31"/>
      <c r="N23" s="39">
        <f>IF(COUNT(K23:M23)=0,0,SUMPRODUCT({5000,1000,500},K23:M23))</f>
        <v>0</v>
      </c>
      <c r="O23" s="31"/>
      <c r="P23" s="31"/>
      <c r="Q23" s="31"/>
      <c r="R23" s="39">
        <f>IF(COUNT(O23:Q23)=0,0,SUMPRODUCT({5000,1000,500},O23:Q23))</f>
        <v>0</v>
      </c>
      <c r="S23" s="31"/>
      <c r="T23" s="31"/>
      <c r="U23" s="31"/>
      <c r="V23" s="31"/>
      <c r="W23" s="31"/>
      <c r="X23" s="31">
        <v>28</v>
      </c>
      <c r="Y23" s="31"/>
      <c r="Z23" s="31">
        <v>51</v>
      </c>
      <c r="AA23" s="31"/>
      <c r="AB23" s="31"/>
      <c r="AC23" s="31"/>
      <c r="AD23" s="34">
        <f>IF(COUNT(S23:AC23)=0,0,SUMPRODUCT({5000,1000,500,100,75,50,20,10,5,2,1}, S23:AC23))</f>
        <v>1910</v>
      </c>
      <c r="AE23" s="33">
        <v>491411</v>
      </c>
      <c r="AF23" s="24">
        <f>IF(AND(COUNT(C23:E23)=0,COUNT(G23:I23)=0,COUNT(K23:M23)=0,COUNT(O23:Q23)=0,COUNT(S23:AC23)=0,AE23=""),"",(IF(COUNT(C23:E23)=0,0,SUMPRODUCT({5000,1000,500},C23:E23))+IF(COUNT(G23:I23)=0,0,SUMPRODUCT({5000,1000,500},G23:I23))+IF(COUNT(K23:M23)=0,0,SUMPRODUCT({5000,1000,500},K23:M23))+IF(COUNT(O23:Q23)=0,0,SUMPRODUCT({5000,1000,500},O23:Q23))+AD23)-N(AE23))</f>
        <v>-1</v>
      </c>
      <c r="AG23" s="35" t="str">
        <f t="shared" si="0"/>
        <v>Short</v>
      </c>
      <c r="AH23" s="38"/>
      <c r="AI23" s="36">
        <v>825406.73</v>
      </c>
      <c r="AJ23" s="37">
        <v>825406.73</v>
      </c>
      <c r="AK23" s="26">
        <f t="shared" si="1"/>
        <v>0</v>
      </c>
      <c r="AL23" s="25" t="str">
        <f t="shared" si="2"/>
        <v>Matched</v>
      </c>
      <c r="AM23" s="38"/>
    </row>
    <row r="24" spans="1:39" ht="12.75" customHeight="1" x14ac:dyDescent="0.25">
      <c r="A24" s="31">
        <v>67799</v>
      </c>
      <c r="B24" s="32" t="str">
        <f>IF(A24="","",VLOOKUP(A24,'Employee Database'!A:B,2,FALSE))</f>
        <v>Hassan Raza</v>
      </c>
      <c r="C24" s="31"/>
      <c r="D24" s="31"/>
      <c r="E24" s="31"/>
      <c r="F24" s="39">
        <f>IF(COUNT(C24:E24)=0,0,SUMPRODUCT({5000,1000,500},C24:E24))</f>
        <v>0</v>
      </c>
      <c r="G24" s="31">
        <v>55</v>
      </c>
      <c r="H24" s="31">
        <v>127</v>
      </c>
      <c r="I24" s="31">
        <v>13</v>
      </c>
      <c r="J24" s="39">
        <f>IF(COUNT(G24:I24)=0,0,SUMPRODUCT({5000,1000,500},G24:I24))</f>
        <v>408500</v>
      </c>
      <c r="K24" s="31"/>
      <c r="L24" s="31"/>
      <c r="M24" s="31"/>
      <c r="N24" s="39">
        <f>IF(COUNT(K24:M24)=0,0,SUMPRODUCT({5000,1000,500},K24:M24))</f>
        <v>0</v>
      </c>
      <c r="O24" s="31"/>
      <c r="P24" s="31"/>
      <c r="Q24" s="31"/>
      <c r="R24" s="39">
        <f>IF(COUNT(O24:Q24)=0,0,SUMPRODUCT({5000,1000,500},O24:Q24))</f>
        <v>0</v>
      </c>
      <c r="S24" s="31"/>
      <c r="T24" s="31"/>
      <c r="U24" s="31"/>
      <c r="V24" s="31"/>
      <c r="W24" s="31"/>
      <c r="X24" s="31">
        <v>82</v>
      </c>
      <c r="Y24" s="31"/>
      <c r="Z24" s="31">
        <v>80</v>
      </c>
      <c r="AA24" s="31"/>
      <c r="AB24" s="31"/>
      <c r="AC24" s="31"/>
      <c r="AD24" s="34">
        <f>IF(COUNT(S24:AC24)=0,0,SUMPRODUCT({5000,1000,500,100,75,50,20,10,5,2,1}, S24:AC24))</f>
        <v>4900</v>
      </c>
      <c r="AE24" s="33">
        <v>413418</v>
      </c>
      <c r="AF24" s="24">
        <f>IF(AND(COUNT(C24:E24)=0,COUNT(G24:I24)=0,COUNT(K24:M24)=0,COUNT(O24:Q24)=0,COUNT(S24:AC24)=0,AE24=""),"",(IF(COUNT(C24:E24)=0,0,SUMPRODUCT({5000,1000,500},C24:E24))+IF(COUNT(G24:I24)=0,0,SUMPRODUCT({5000,1000,500},G24:I24))+IF(COUNT(K24:M24)=0,0,SUMPRODUCT({5000,1000,500},K24:M24))+IF(COUNT(O24:Q24)=0,0,SUMPRODUCT({5000,1000,500},O24:Q24))+AD24)-N(AE24))</f>
        <v>-18</v>
      </c>
      <c r="AG24" s="35" t="str">
        <f t="shared" si="0"/>
        <v>Short</v>
      </c>
      <c r="AH24" s="38"/>
      <c r="AI24" s="36">
        <v>464635.78</v>
      </c>
      <c r="AJ24" s="37">
        <f>35507.49+215809.47+213318.82</f>
        <v>464635.78</v>
      </c>
      <c r="AK24" s="26">
        <f t="shared" si="1"/>
        <v>0</v>
      </c>
      <c r="AL24" s="25" t="str">
        <f t="shared" si="2"/>
        <v>Matched</v>
      </c>
      <c r="AM24" s="38"/>
    </row>
    <row r="25" spans="1:39" ht="12.75" customHeight="1" x14ac:dyDescent="0.25">
      <c r="A25" s="31">
        <v>71788</v>
      </c>
      <c r="B25" s="32" t="str">
        <f>IF(A25="","",VLOOKUP(A25,'Employee Database'!A:B,2,FALSE))</f>
        <v>Saaim</v>
      </c>
      <c r="C25" s="31"/>
      <c r="D25" s="31"/>
      <c r="E25" s="31"/>
      <c r="F25" s="39">
        <f>IF(COUNT(C25:E25)=0,0,SUMPRODUCT({5000,1000,500},C25:E25))</f>
        <v>0</v>
      </c>
      <c r="G25" s="31">
        <v>32</v>
      </c>
      <c r="H25" s="31">
        <v>68</v>
      </c>
      <c r="I25" s="31">
        <v>14</v>
      </c>
      <c r="J25" s="39">
        <f>IF(COUNT(G25:I25)=0,0,SUMPRODUCT({5000,1000,500},G25:I25))</f>
        <v>235000</v>
      </c>
      <c r="K25" s="31"/>
      <c r="L25" s="31"/>
      <c r="M25" s="31"/>
      <c r="N25" s="39">
        <f>IF(COUNT(K25:M25)=0,0,SUMPRODUCT({5000,1000,500},K25:M25))</f>
        <v>0</v>
      </c>
      <c r="O25" s="31"/>
      <c r="P25" s="31"/>
      <c r="Q25" s="31"/>
      <c r="R25" s="39">
        <f>IF(COUNT(O25:Q25)=0,0,SUMPRODUCT({5000,1000,500},O25:Q25))</f>
        <v>0</v>
      </c>
      <c r="S25" s="31"/>
      <c r="T25" s="31"/>
      <c r="U25" s="31"/>
      <c r="V25" s="31">
        <v>1</v>
      </c>
      <c r="W25" s="31"/>
      <c r="X25" s="31">
        <v>96</v>
      </c>
      <c r="Y25" s="31"/>
      <c r="Z25" s="31">
        <v>65</v>
      </c>
      <c r="AA25" s="31"/>
      <c r="AB25" s="31"/>
      <c r="AC25" s="31"/>
      <c r="AD25" s="34">
        <f>IF(COUNT(S25:AC25)=0,0,SUMPRODUCT({5000,1000,500,100,75,50,20,10,5,2,1}, S25:AC25))</f>
        <v>5550</v>
      </c>
      <c r="AE25" s="33">
        <v>240559</v>
      </c>
      <c r="AF25" s="24">
        <f>IF(AND(COUNT(C25:E25)=0,COUNT(G25:I25)=0,COUNT(K25:M25)=0,COUNT(O25:Q25)=0,COUNT(S25:AC25)=0,AE25=""),"",(IF(COUNT(C25:E25)=0,0,SUMPRODUCT({5000,1000,500},C25:E25))+IF(COUNT(G25:I25)=0,0,SUMPRODUCT({5000,1000,500},G25:I25))+IF(COUNT(K25:M25)=0,0,SUMPRODUCT({5000,1000,500},K25:M25))+IF(COUNT(O25:Q25)=0,0,SUMPRODUCT({5000,1000,500},O25:Q25))+AD25)-N(AE25))</f>
        <v>-9</v>
      </c>
      <c r="AG25" s="35" t="str">
        <f t="shared" si="0"/>
        <v>Short</v>
      </c>
      <c r="AH25" s="38"/>
      <c r="AI25" s="36">
        <f>1085420.4+4634.43</f>
        <v>1090054.8299999998</v>
      </c>
      <c r="AJ25" s="37">
        <f>4634.43+361371.67+724589.73</f>
        <v>1090595.83</v>
      </c>
      <c r="AK25" s="26">
        <f t="shared" si="1"/>
        <v>-541.00000000023283</v>
      </c>
      <c r="AL25" s="25" t="str">
        <f t="shared" si="2"/>
        <v>Bank Short</v>
      </c>
      <c r="AM25" s="38"/>
    </row>
    <row r="26" spans="1:39" ht="12.75" customHeight="1" x14ac:dyDescent="0.25">
      <c r="A26" s="31">
        <v>50313</v>
      </c>
      <c r="B26" s="32" t="str">
        <f>IF(A26="","",VLOOKUP(A26,'Employee Database'!A:B,2,FALSE))</f>
        <v>Waseem Raza</v>
      </c>
      <c r="C26" s="31"/>
      <c r="D26" s="31"/>
      <c r="E26" s="31"/>
      <c r="F26" s="39">
        <f>IF(COUNT(C26:E26)=0,0,SUMPRODUCT({5000,1000,500},C26:E26))</f>
        <v>0</v>
      </c>
      <c r="G26" s="31"/>
      <c r="H26" s="31">
        <v>7</v>
      </c>
      <c r="I26" s="31">
        <v>1</v>
      </c>
      <c r="J26" s="39">
        <f>IF(COUNT(G26:I26)=0,0,SUMPRODUCT({5000,1000,500},G26:I26))</f>
        <v>7500</v>
      </c>
      <c r="K26" s="31"/>
      <c r="L26" s="31"/>
      <c r="M26" s="31"/>
      <c r="N26" s="39">
        <f>IF(COUNT(K26:M26)=0,0,SUMPRODUCT({5000,1000,500},K26:M26))</f>
        <v>0</v>
      </c>
      <c r="O26" s="31"/>
      <c r="P26" s="31"/>
      <c r="Q26" s="31"/>
      <c r="R26" s="39">
        <f>IF(COUNT(O26:Q26)=0,0,SUMPRODUCT({5000,1000,500},O26:Q26))</f>
        <v>0</v>
      </c>
      <c r="S26" s="31"/>
      <c r="T26" s="31"/>
      <c r="U26" s="31"/>
      <c r="V26" s="31">
        <v>4</v>
      </c>
      <c r="W26" s="31"/>
      <c r="X26" s="31">
        <v>7</v>
      </c>
      <c r="Y26" s="31"/>
      <c r="Z26" s="31">
        <v>5</v>
      </c>
      <c r="AA26" s="31"/>
      <c r="AB26" s="31"/>
      <c r="AC26" s="31"/>
      <c r="AD26" s="34">
        <f>IF(COUNT(S26:AC26)=0,0,SUMPRODUCT({5000,1000,500,100,75,50,20,10,5,2,1}, S26:AC26))</f>
        <v>800</v>
      </c>
      <c r="AE26" s="33">
        <v>8295</v>
      </c>
      <c r="AF26" s="24">
        <f>IF(AND(COUNT(C26:E26)=0,COUNT(G26:I26)=0,COUNT(K26:M26)=0,COUNT(O26:Q26)=0,COUNT(S26:AC26)=0,AE26=""),"",(IF(COUNT(C26:E26)=0,0,SUMPRODUCT({5000,1000,500},C26:E26))+IF(COUNT(G26:I26)=0,0,SUMPRODUCT({5000,1000,500},G26:I26))+IF(COUNT(K26:M26)=0,0,SUMPRODUCT({5000,1000,500},K26:M26))+IF(COUNT(O26:Q26)=0,0,SUMPRODUCT({5000,1000,500},O26:Q26))+AD26)-N(AE26))</f>
        <v>5</v>
      </c>
      <c r="AG26" s="35" t="str">
        <f t="shared" si="0"/>
        <v>Excess</v>
      </c>
      <c r="AH26" s="38"/>
      <c r="AI26" s="36"/>
      <c r="AJ26" s="37"/>
      <c r="AK26" s="26" t="str">
        <f t="shared" si="1"/>
        <v/>
      </c>
      <c r="AL26" s="25" t="str">
        <f t="shared" si="2"/>
        <v/>
      </c>
      <c r="AM26" s="38"/>
    </row>
    <row r="27" spans="1:39" ht="12.75" customHeight="1" x14ac:dyDescent="0.25">
      <c r="A27" s="31"/>
      <c r="B27" s="32" t="str">
        <f>IF(A27="","",VLOOKUP(A27,'Employee Database'!A:B,2,FALSE))</f>
        <v/>
      </c>
      <c r="C27" s="31"/>
      <c r="D27" s="31"/>
      <c r="E27" s="31"/>
      <c r="F27" s="39">
        <f>IF(COUNT(C27:E27)=0,0,SUMPRODUCT({5000,1000,500},C27:E27))</f>
        <v>0</v>
      </c>
      <c r="G27" s="31"/>
      <c r="H27" s="31"/>
      <c r="I27" s="31"/>
      <c r="J27" s="39">
        <f>IF(COUNT(G27:I27)=0,0,SUMPRODUCT({5000,1000,500},G27:I27))</f>
        <v>0</v>
      </c>
      <c r="K27" s="31"/>
      <c r="L27" s="31"/>
      <c r="M27" s="31"/>
      <c r="N27" s="39">
        <f>IF(COUNT(K27:M27)=0,0,SUMPRODUCT({5000,1000,500},K27:M27))</f>
        <v>0</v>
      </c>
      <c r="O27" s="31"/>
      <c r="P27" s="31"/>
      <c r="Q27" s="31"/>
      <c r="R27" s="39">
        <f>IF(COUNT(O27:Q27)=0,0,SUMPRODUCT({5000,1000,500},O27:Q27))</f>
        <v>0</v>
      </c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4">
        <f>IF(COUNT(S27:AC27)=0,0,SUMPRODUCT({5000,1000,500,100,75,50,20,10,5,2,1}, S27:AC27))</f>
        <v>0</v>
      </c>
      <c r="AE27" s="33"/>
      <c r="AF27" s="24" t="str">
        <f>IF(AND(COUNT(C27:E27)=0,COUNT(G27:I27)=0,COUNT(K27:M27)=0,COUNT(O27:Q27)=0,COUNT(S27:AC27)=0,AE27=""),"",(IF(COUNT(C27:E27)=0,0,SUMPRODUCT({5000,1000,500},C27:E27))+IF(COUNT(G27:I27)=0,0,SUMPRODUCT({5000,1000,500},G27:I27))+IF(COUNT(K27:M27)=0,0,SUMPRODUCT({5000,1000,500},K27:M27))+IF(COUNT(O27:Q27)=0,0,SUMPRODUCT({5000,1000,500},O27:Q27))+AD27)-N(AE27))</f>
        <v/>
      </c>
      <c r="AG27" s="35" t="str">
        <f t="shared" si="0"/>
        <v/>
      </c>
      <c r="AH27" s="38"/>
      <c r="AI27" s="36"/>
      <c r="AJ27" s="37"/>
      <c r="AK27" s="26" t="str">
        <f t="shared" si="1"/>
        <v/>
      </c>
      <c r="AL27" s="25" t="str">
        <f t="shared" si="2"/>
        <v/>
      </c>
      <c r="AM27" s="38"/>
    </row>
    <row r="28" spans="1:39" ht="12.75" customHeight="1" x14ac:dyDescent="0.25">
      <c r="A28" s="31"/>
      <c r="B28" s="32" t="str">
        <f>IF(A28="","",VLOOKUP(A28,'Employee Database'!A:B,2,FALSE))</f>
        <v/>
      </c>
      <c r="C28" s="31"/>
      <c r="D28" s="31"/>
      <c r="E28" s="31"/>
      <c r="F28" s="39">
        <f>IF(COUNT(C28:E28)=0,0,SUMPRODUCT({5000,1000,500},C28:E28))</f>
        <v>0</v>
      </c>
      <c r="G28" s="31"/>
      <c r="H28" s="31"/>
      <c r="I28" s="31"/>
      <c r="J28" s="39">
        <f>IF(COUNT(G28:I28)=0,0,SUMPRODUCT({5000,1000,500},G28:I28))</f>
        <v>0</v>
      </c>
      <c r="K28" s="31"/>
      <c r="L28" s="31"/>
      <c r="M28" s="31"/>
      <c r="N28" s="39">
        <f>IF(COUNT(K28:M28)=0,0,SUMPRODUCT({5000,1000,500},K28:M28))</f>
        <v>0</v>
      </c>
      <c r="O28" s="31"/>
      <c r="P28" s="31"/>
      <c r="Q28" s="31"/>
      <c r="R28" s="39">
        <f>IF(COUNT(O28:Q28)=0,0,SUMPRODUCT({5000,1000,500},O28:Q28))</f>
        <v>0</v>
      </c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4">
        <f>IF(COUNT(S28:AC28)=0,0,SUMPRODUCT({5000,1000,500,100,75,50,20,10,5,2,1}, S28:AC28))</f>
        <v>0</v>
      </c>
      <c r="AE28" s="33"/>
      <c r="AF28" s="24" t="str">
        <f>IF(AND(COUNT(C28:E28)=0,COUNT(G28:I28)=0,COUNT(K28:M28)=0,COUNT(O28:Q28)=0,COUNT(S28:AC28)=0,AE28=""),"",(IF(COUNT(C28:E28)=0,0,SUMPRODUCT({5000,1000,500},C28:E28))+IF(COUNT(G28:I28)=0,0,SUMPRODUCT({5000,1000,500},G28:I28))+IF(COUNT(K28:M28)=0,0,SUMPRODUCT({5000,1000,500},K28:M28))+IF(COUNT(O28:Q28)=0,0,SUMPRODUCT({5000,1000,500},O28:Q28))+AD28)-N(AE28))</f>
        <v/>
      </c>
      <c r="AG28" s="35" t="str">
        <f t="shared" si="0"/>
        <v/>
      </c>
      <c r="AH28" s="38"/>
      <c r="AI28" s="36"/>
      <c r="AJ28" s="37"/>
      <c r="AK28" s="26" t="str">
        <f t="shared" si="1"/>
        <v/>
      </c>
      <c r="AL28" s="25" t="str">
        <f t="shared" si="2"/>
        <v/>
      </c>
      <c r="AM28" s="38"/>
    </row>
    <row r="29" spans="1:39" ht="12.75" customHeight="1" x14ac:dyDescent="0.25">
      <c r="A29" s="31"/>
      <c r="B29" s="32" t="str">
        <f>IF(A29="","",VLOOKUP(A29,'Employee Database'!A:B,2,FALSE))</f>
        <v/>
      </c>
      <c r="C29" s="31"/>
      <c r="D29" s="31"/>
      <c r="E29" s="31"/>
      <c r="F29" s="39">
        <f>IF(COUNT(C29:E29)=0,0,SUMPRODUCT({5000,1000,500},C29:E29))</f>
        <v>0</v>
      </c>
      <c r="G29" s="31"/>
      <c r="H29" s="31"/>
      <c r="I29" s="31"/>
      <c r="J29" s="39">
        <f>IF(COUNT(G29:I29)=0,0,SUMPRODUCT({5000,1000,500},G29:I29))</f>
        <v>0</v>
      </c>
      <c r="K29" s="31"/>
      <c r="L29" s="31"/>
      <c r="M29" s="31"/>
      <c r="N29" s="39">
        <f>IF(COUNT(K29:M29)=0,0,SUMPRODUCT({5000,1000,500},K29:M29))</f>
        <v>0</v>
      </c>
      <c r="O29" s="31"/>
      <c r="P29" s="31"/>
      <c r="Q29" s="31"/>
      <c r="R29" s="39">
        <f>IF(COUNT(O29:Q29)=0,0,SUMPRODUCT({5000,1000,500},O29:Q29))</f>
        <v>0</v>
      </c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4">
        <f>IF(COUNT(S29:AC29)=0,0,SUMPRODUCT({5000,1000,500,100,75,50,20,10,5,2,1}, S29:AC29))</f>
        <v>0</v>
      </c>
      <c r="AE29" s="33"/>
      <c r="AF29" s="24" t="str">
        <f>IF(AND(COUNT(C29:E29)=0,COUNT(G29:I29)=0,COUNT(K29:M29)=0,COUNT(O29:Q29)=0,COUNT(S29:AC29)=0,AE29=""),"",(IF(COUNT(C29:E29)=0,0,SUMPRODUCT({5000,1000,500},C29:E29))+IF(COUNT(G29:I29)=0,0,SUMPRODUCT({5000,1000,500},G29:I29))+IF(COUNT(K29:M29)=0,0,SUMPRODUCT({5000,1000,500},K29:M29))+IF(COUNT(O29:Q29)=0,0,SUMPRODUCT({5000,1000,500},O29:Q29))+AD29)-N(AE29))</f>
        <v/>
      </c>
      <c r="AG29" s="35" t="str">
        <f t="shared" si="0"/>
        <v/>
      </c>
      <c r="AH29" s="38"/>
      <c r="AI29" s="36"/>
      <c r="AJ29" s="37"/>
      <c r="AK29" s="26" t="str">
        <f t="shared" si="1"/>
        <v/>
      </c>
      <c r="AL29" s="25" t="str">
        <f t="shared" si="2"/>
        <v/>
      </c>
      <c r="AM29" s="38"/>
    </row>
    <row r="30" spans="1:39" ht="12.75" customHeight="1" x14ac:dyDescent="0.25">
      <c r="A30" s="31"/>
      <c r="B30" s="32" t="str">
        <f>IF(A30="","",VLOOKUP(A30,'Employee Database'!A:B,2,FALSE))</f>
        <v/>
      </c>
      <c r="C30" s="31"/>
      <c r="D30" s="31"/>
      <c r="E30" s="31"/>
      <c r="F30" s="39">
        <f>IF(COUNT(C30:E30)=0,0,SUMPRODUCT({5000,1000,500},C30:E30))</f>
        <v>0</v>
      </c>
      <c r="G30" s="31"/>
      <c r="H30" s="31"/>
      <c r="I30" s="31"/>
      <c r="J30" s="39">
        <f>IF(COUNT(G30:I30)=0,0,SUMPRODUCT({5000,1000,500},G30:I30))</f>
        <v>0</v>
      </c>
      <c r="K30" s="31"/>
      <c r="L30" s="31"/>
      <c r="M30" s="31"/>
      <c r="N30" s="39">
        <f>IF(COUNT(K30:M30)=0,0,SUMPRODUCT({5000,1000,500},K30:M30))</f>
        <v>0</v>
      </c>
      <c r="O30" s="31"/>
      <c r="P30" s="31"/>
      <c r="Q30" s="31"/>
      <c r="R30" s="39">
        <f>IF(COUNT(O30:Q30)=0,0,SUMPRODUCT({5000,1000,500},O30:Q30))</f>
        <v>0</v>
      </c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4">
        <f>IF(COUNT(S30:AC30)=0,0,SUMPRODUCT({5000,1000,500,100,75,50,20,10,5,2,1}, S30:AC30))</f>
        <v>0</v>
      </c>
      <c r="AE30" s="33"/>
      <c r="AF30" s="24" t="str">
        <f>IF(AND(COUNT(C30:E30)=0,COUNT(G30:I30)=0,COUNT(K30:M30)=0,COUNT(O30:Q30)=0,COUNT(S30:AC30)=0,AE30=""),"",(IF(COUNT(C30:E30)=0,0,SUMPRODUCT({5000,1000,500},C30:E30))+IF(COUNT(G30:I30)=0,0,SUMPRODUCT({5000,1000,500},G30:I30))+IF(COUNT(K30:M30)=0,0,SUMPRODUCT({5000,1000,500},K30:M30))+IF(COUNT(O30:Q30)=0,0,SUMPRODUCT({5000,1000,500},O30:Q30))+AD30)-N(AE30))</f>
        <v/>
      </c>
      <c r="AG30" s="35" t="str">
        <f t="shared" si="0"/>
        <v/>
      </c>
      <c r="AH30" s="38"/>
      <c r="AI30" s="36"/>
      <c r="AJ30" s="37"/>
      <c r="AK30" s="26" t="str">
        <f t="shared" si="1"/>
        <v/>
      </c>
      <c r="AL30" s="25" t="str">
        <f t="shared" si="2"/>
        <v/>
      </c>
      <c r="AM30" s="38"/>
    </row>
    <row r="31" spans="1:39" ht="12.75" customHeight="1" x14ac:dyDescent="0.25">
      <c r="A31" s="31"/>
      <c r="B31" s="32" t="str">
        <f>IF(A31="","",VLOOKUP(A31,'Employee Database'!A:B,2,FALSE))</f>
        <v/>
      </c>
      <c r="C31" s="31"/>
      <c r="D31" s="31"/>
      <c r="E31" s="31"/>
      <c r="F31" s="39">
        <f>IF(COUNT(C31:E31)=0,0,SUMPRODUCT({5000,1000,500},C31:E31))</f>
        <v>0</v>
      </c>
      <c r="G31" s="31"/>
      <c r="H31" s="31"/>
      <c r="I31" s="31"/>
      <c r="J31" s="39">
        <f>IF(COUNT(G31:I31)=0,0,SUMPRODUCT({5000,1000,500},G31:I31))</f>
        <v>0</v>
      </c>
      <c r="K31" s="31"/>
      <c r="L31" s="31"/>
      <c r="M31" s="31"/>
      <c r="N31" s="39">
        <f>IF(COUNT(K31:M31)=0,0,SUMPRODUCT({5000,1000,500},K31:M31))</f>
        <v>0</v>
      </c>
      <c r="O31" s="31"/>
      <c r="P31" s="31"/>
      <c r="Q31" s="31"/>
      <c r="R31" s="39">
        <f>IF(COUNT(O31:Q31)=0,0,SUMPRODUCT({5000,1000,500},O31:Q31))</f>
        <v>0</v>
      </c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4">
        <f>IF(COUNT(S31:AC31)=0,0,SUMPRODUCT({5000,1000,500,100,75,50,20,10,5,2,1}, S31:AC31))</f>
        <v>0</v>
      </c>
      <c r="AE31" s="33"/>
      <c r="AF31" s="24" t="str">
        <f>IF(AND(COUNT(C31:E31)=0,COUNT(G31:I31)=0,COUNT(K31:M31)=0,COUNT(O31:Q31)=0,COUNT(S31:AC31)=0,AE31=""),"",(IF(COUNT(C31:E31)=0,0,SUMPRODUCT({5000,1000,500},C31:E31))+IF(COUNT(G31:I31)=0,0,SUMPRODUCT({5000,1000,500},G31:I31))+IF(COUNT(K31:M31)=0,0,SUMPRODUCT({5000,1000,500},K31:M31))+IF(COUNT(O31:Q31)=0,0,SUMPRODUCT({5000,1000,500},O31:Q31))+AD31)-N(AE31))</f>
        <v/>
      </c>
      <c r="AG31" s="35" t="str">
        <f t="shared" si="0"/>
        <v/>
      </c>
      <c r="AH31" s="38"/>
      <c r="AI31" s="36"/>
      <c r="AJ31" s="37"/>
      <c r="AK31" s="26" t="str">
        <f t="shared" si="1"/>
        <v/>
      </c>
      <c r="AL31" s="25" t="str">
        <f t="shared" si="2"/>
        <v/>
      </c>
      <c r="AM31" s="38"/>
    </row>
    <row r="32" spans="1:39" ht="12.75" customHeight="1" x14ac:dyDescent="0.25">
      <c r="A32" s="31"/>
      <c r="B32" s="32" t="str">
        <f>IF(A32="","",VLOOKUP(A32,'Employee Database'!A:B,2,FALSE))</f>
        <v/>
      </c>
      <c r="C32" s="31"/>
      <c r="D32" s="31"/>
      <c r="E32" s="31"/>
      <c r="F32" s="39">
        <f>IF(COUNT(C32:E32)=0,0,SUMPRODUCT({5000,1000,500},C32:E32))</f>
        <v>0</v>
      </c>
      <c r="G32" s="31"/>
      <c r="H32" s="31"/>
      <c r="I32" s="31"/>
      <c r="J32" s="39">
        <f>IF(COUNT(G32:I32)=0,0,SUMPRODUCT({5000,1000,500},G32:I32))</f>
        <v>0</v>
      </c>
      <c r="K32" s="31"/>
      <c r="L32" s="31"/>
      <c r="M32" s="31"/>
      <c r="N32" s="39">
        <f>IF(COUNT(K32:M32)=0,0,SUMPRODUCT({5000,1000,500},K32:M32))</f>
        <v>0</v>
      </c>
      <c r="O32" s="31"/>
      <c r="P32" s="31"/>
      <c r="Q32" s="31"/>
      <c r="R32" s="39">
        <f>IF(COUNT(O32:Q32)=0,0,SUMPRODUCT({5000,1000,500},O32:Q32))</f>
        <v>0</v>
      </c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4">
        <f>IF(COUNT(S32:AC32)=0,0,SUMPRODUCT({5000,1000,500,100,75,50,20,10,5,2,1}, S32:AC32))</f>
        <v>0</v>
      </c>
      <c r="AE32" s="33"/>
      <c r="AF32" s="24" t="str">
        <f>IF(AND(COUNT(C32:E32)=0,COUNT(G32:I32)=0,COUNT(K32:M32)=0,COUNT(O32:Q32)=0,COUNT(S32:AC32)=0,AE32=""),"",(IF(COUNT(C32:E32)=0,0,SUMPRODUCT({5000,1000,500},C32:E32))+IF(COUNT(G32:I32)=0,0,SUMPRODUCT({5000,1000,500},G32:I32))+IF(COUNT(K32:M32)=0,0,SUMPRODUCT({5000,1000,500},K32:M32))+IF(COUNT(O32:Q32)=0,0,SUMPRODUCT({5000,1000,500},O32:Q32))+AD32)-N(AE32))</f>
        <v/>
      </c>
      <c r="AG32" s="35" t="str">
        <f t="shared" si="0"/>
        <v/>
      </c>
      <c r="AH32" s="38"/>
      <c r="AI32" s="36"/>
      <c r="AJ32" s="37"/>
      <c r="AK32" s="26" t="str">
        <f t="shared" si="1"/>
        <v/>
      </c>
      <c r="AL32" s="25" t="str">
        <f t="shared" si="2"/>
        <v/>
      </c>
      <c r="AM32" s="38"/>
    </row>
    <row r="33" spans="1:39" ht="12.75" customHeight="1" x14ac:dyDescent="0.25">
      <c r="A33" s="31"/>
      <c r="B33" s="32" t="str">
        <f>IF(A33="","",VLOOKUP(A33,'Employee Database'!A:B,2,FALSE))</f>
        <v/>
      </c>
      <c r="C33" s="31"/>
      <c r="D33" s="31"/>
      <c r="E33" s="31"/>
      <c r="F33" s="39">
        <f>IF(COUNT(C33:E33)=0,0,SUMPRODUCT({5000,1000,500},C33:E33))</f>
        <v>0</v>
      </c>
      <c r="G33" s="31"/>
      <c r="H33" s="31"/>
      <c r="I33" s="31"/>
      <c r="J33" s="39">
        <f>IF(COUNT(G33:I33)=0,0,SUMPRODUCT({5000,1000,500},G33:I33))</f>
        <v>0</v>
      </c>
      <c r="K33" s="31"/>
      <c r="L33" s="31"/>
      <c r="M33" s="31"/>
      <c r="N33" s="39">
        <f>IF(COUNT(K33:M33)=0,0,SUMPRODUCT({5000,1000,500},K33:M33))</f>
        <v>0</v>
      </c>
      <c r="O33" s="31"/>
      <c r="P33" s="31"/>
      <c r="Q33" s="31"/>
      <c r="R33" s="39">
        <f>IF(COUNT(O33:Q33)=0,0,SUMPRODUCT({5000,1000,500},O33:Q33))</f>
        <v>0</v>
      </c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4">
        <f>IF(COUNT(S33:AC33)=0,0,SUMPRODUCT({5000,1000,500,100,75,50,20,10,5,2,1}, S33:AC33))</f>
        <v>0</v>
      </c>
      <c r="AE33" s="33"/>
      <c r="AF33" s="24" t="str">
        <f>IF(AND(COUNT(C33:E33)=0,COUNT(G33:I33)=0,COUNT(K33:M33)=0,COUNT(O33:Q33)=0,COUNT(S33:AC33)=0,AE33=""),"",(IF(COUNT(C33:E33)=0,0,SUMPRODUCT({5000,1000,500},C33:E33))+IF(COUNT(G33:I33)=0,0,SUMPRODUCT({5000,1000,500},G33:I33))+IF(COUNT(K33:M33)=0,0,SUMPRODUCT({5000,1000,500},K33:M33))+IF(COUNT(O33:Q33)=0,0,SUMPRODUCT({5000,1000,500},O33:Q33))+AD33)-N(AE33))</f>
        <v/>
      </c>
      <c r="AG33" s="35" t="str">
        <f t="shared" si="0"/>
        <v/>
      </c>
      <c r="AH33" s="38"/>
      <c r="AI33" s="36"/>
      <c r="AJ33" s="37"/>
      <c r="AK33" s="26" t="str">
        <f t="shared" si="1"/>
        <v/>
      </c>
      <c r="AL33" s="25" t="str">
        <f t="shared" si="2"/>
        <v/>
      </c>
      <c r="AM33" s="38"/>
    </row>
    <row r="34" spans="1:39" ht="12.75" customHeight="1" x14ac:dyDescent="0.25">
      <c r="A34" s="31"/>
      <c r="B34" s="32" t="str">
        <f>IF(A34="","",VLOOKUP(A34,'Employee Database'!A:B,2,FALSE))</f>
        <v/>
      </c>
      <c r="C34" s="31"/>
      <c r="D34" s="31"/>
      <c r="E34" s="31"/>
      <c r="F34" s="39">
        <f>IF(COUNT(C34:E34)=0,0,SUMPRODUCT({5000,1000,500},C34:E34))</f>
        <v>0</v>
      </c>
      <c r="G34" s="31"/>
      <c r="H34" s="31"/>
      <c r="I34" s="31"/>
      <c r="J34" s="39">
        <f>IF(COUNT(G34:I34)=0,0,SUMPRODUCT({5000,1000,500},G34:I34))</f>
        <v>0</v>
      </c>
      <c r="K34" s="31"/>
      <c r="L34" s="31"/>
      <c r="M34" s="31"/>
      <c r="N34" s="39">
        <f>IF(COUNT(K34:M34)=0,0,SUMPRODUCT({5000,1000,500},K34:M34))</f>
        <v>0</v>
      </c>
      <c r="O34" s="31"/>
      <c r="P34" s="31"/>
      <c r="Q34" s="31"/>
      <c r="R34" s="39">
        <f>IF(COUNT(O34:Q34)=0,0,SUMPRODUCT({5000,1000,500},O34:Q34))</f>
        <v>0</v>
      </c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4">
        <f>IF(COUNT(S34:AC34)=0,0,SUMPRODUCT({5000,1000,500,100,75,50,20,10,5,2,1}, S34:AC34))</f>
        <v>0</v>
      </c>
      <c r="AE34" s="33"/>
      <c r="AF34" s="24" t="str">
        <f>IF(AND(COUNT(C34:E34)=0,COUNT(G34:I34)=0,COUNT(K34:M34)=0,COUNT(O34:Q34)=0,COUNT(S34:AC34)=0,AE34=""),"",(IF(COUNT(C34:E34)=0,0,SUMPRODUCT({5000,1000,500},C34:E34))+IF(COUNT(G34:I34)=0,0,SUMPRODUCT({5000,1000,500},G34:I34))+IF(COUNT(K34:M34)=0,0,SUMPRODUCT({5000,1000,500},K34:M34))+IF(COUNT(O34:Q34)=0,0,SUMPRODUCT({5000,1000,500},O34:Q34))+AD34)-N(AE34))</f>
        <v/>
      </c>
      <c r="AG34" s="35" t="str">
        <f t="shared" si="0"/>
        <v/>
      </c>
      <c r="AH34" s="38"/>
      <c r="AI34" s="36"/>
      <c r="AJ34" s="37"/>
      <c r="AK34" s="26" t="str">
        <f t="shared" si="1"/>
        <v/>
      </c>
      <c r="AL34" s="25" t="str">
        <f t="shared" si="2"/>
        <v/>
      </c>
      <c r="AM34" s="38"/>
    </row>
    <row r="35" spans="1:39" ht="22.5" customHeight="1" x14ac:dyDescent="0.25">
      <c r="A35" s="27" t="s">
        <v>24</v>
      </c>
      <c r="B35" s="27" t="s">
        <v>24</v>
      </c>
      <c r="C35" s="28">
        <f t="shared" ref="C35:AF35" si="3">SUM(C5:C34)</f>
        <v>268</v>
      </c>
      <c r="D35" s="28">
        <f t="shared" si="3"/>
        <v>892</v>
      </c>
      <c r="E35" s="28">
        <f t="shared" si="3"/>
        <v>234</v>
      </c>
      <c r="F35" s="40">
        <f t="shared" si="3"/>
        <v>2349000</v>
      </c>
      <c r="G35" s="28">
        <f t="shared" si="3"/>
        <v>490</v>
      </c>
      <c r="H35" s="28">
        <f t="shared" si="3"/>
        <v>984</v>
      </c>
      <c r="I35" s="28">
        <f t="shared" si="3"/>
        <v>93</v>
      </c>
      <c r="J35" s="40">
        <f t="shared" si="3"/>
        <v>3480500</v>
      </c>
      <c r="K35" s="28">
        <f t="shared" si="3"/>
        <v>0</v>
      </c>
      <c r="L35" s="28">
        <f t="shared" si="3"/>
        <v>0</v>
      </c>
      <c r="M35" s="28">
        <f t="shared" si="3"/>
        <v>0</v>
      </c>
      <c r="N35" s="40">
        <f t="shared" si="3"/>
        <v>0</v>
      </c>
      <c r="O35" s="28">
        <f t="shared" si="3"/>
        <v>0</v>
      </c>
      <c r="P35" s="28">
        <f t="shared" si="3"/>
        <v>0</v>
      </c>
      <c r="Q35" s="28">
        <f t="shared" si="3"/>
        <v>0</v>
      </c>
      <c r="R35" s="40">
        <f t="shared" si="3"/>
        <v>0</v>
      </c>
      <c r="S35" s="28">
        <f t="shared" si="3"/>
        <v>0</v>
      </c>
      <c r="T35" s="28">
        <f t="shared" si="3"/>
        <v>0</v>
      </c>
      <c r="U35" s="28">
        <f t="shared" si="3"/>
        <v>0</v>
      </c>
      <c r="V35" s="28">
        <f t="shared" si="3"/>
        <v>65</v>
      </c>
      <c r="W35" s="28">
        <f t="shared" si="3"/>
        <v>0</v>
      </c>
      <c r="X35" s="28">
        <f t="shared" si="3"/>
        <v>744</v>
      </c>
      <c r="Y35" s="28">
        <f t="shared" si="3"/>
        <v>3</v>
      </c>
      <c r="Z35" s="28">
        <f t="shared" si="3"/>
        <v>914</v>
      </c>
      <c r="AA35" s="28">
        <f t="shared" si="3"/>
        <v>0</v>
      </c>
      <c r="AB35" s="28">
        <f t="shared" si="3"/>
        <v>1</v>
      </c>
      <c r="AC35" s="28">
        <f t="shared" si="3"/>
        <v>0</v>
      </c>
      <c r="AD35" s="40">
        <f t="shared" si="3"/>
        <v>52902</v>
      </c>
      <c r="AE35" s="41">
        <f t="shared" si="3"/>
        <v>5881889.8399999999</v>
      </c>
      <c r="AF35" s="29">
        <f t="shared" si="3"/>
        <v>512.16000000000349</v>
      </c>
      <c r="AG35" s="27" t="s">
        <v>24</v>
      </c>
      <c r="AH35" s="27" t="s">
        <v>24</v>
      </c>
      <c r="AI35" s="28">
        <f>SUM(AI5:AI34)</f>
        <v>12259129.200000001</v>
      </c>
      <c r="AJ35" s="28">
        <f>SUM(AJ5:AJ34)</f>
        <v>12205627.200000001</v>
      </c>
      <c r="AK35" s="28">
        <f>SUM(AK5:AK34)</f>
        <v>53501.999999999796</v>
      </c>
      <c r="AL35" s="28">
        <f>AJ35+AE35</f>
        <v>18087517.039999999</v>
      </c>
      <c r="AM35" s="28">
        <f>SUM(AM5:AM34)</f>
        <v>0</v>
      </c>
    </row>
  </sheetData>
  <sheetProtection algorithmName="SHA-512" hashValue="HNgbHHQ+vrag542kWbOwvYU0hLMuoRVcx1m7sZ85sK9dmd0815dl08vFpHbv/E/EjNlBjf5wKeNjlhxMC7P2Kw==" saltValue="9lDtRSXM/fsURh78Li2xuQ==" spinCount="100000" sheet="1" objects="1" scenarios="1"/>
  <mergeCells count="9">
    <mergeCell ref="S3:AC3"/>
    <mergeCell ref="AD3:AG3"/>
    <mergeCell ref="AH3:AM3"/>
    <mergeCell ref="A1:B1"/>
    <mergeCell ref="A3:B3"/>
    <mergeCell ref="C3:F3"/>
    <mergeCell ref="G3:J3"/>
    <mergeCell ref="K3:N3"/>
    <mergeCell ref="O3:R3"/>
  </mergeCells>
  <conditionalFormatting sqref="A5">
    <cfRule type="duplicateValues" dxfId="175" priority="3"/>
    <cfRule type="duplicateValues" dxfId="174" priority="4"/>
  </conditionalFormatting>
  <conditionalFormatting sqref="A6">
    <cfRule type="duplicateValues" dxfId="173" priority="5"/>
    <cfRule type="duplicateValues" dxfId="172" priority="6"/>
  </conditionalFormatting>
  <conditionalFormatting sqref="A7:A34">
    <cfRule type="duplicateValues" dxfId="171" priority="1"/>
    <cfRule type="duplicateValues" dxfId="170" priority="2"/>
  </conditionalFormatting>
  <conditionalFormatting sqref="A35">
    <cfRule type="duplicateValues" dxfId="169" priority="7"/>
  </conditionalFormatting>
  <dataValidations count="1">
    <dataValidation type="list" allowBlank="1" showInputMessage="1" showErrorMessage="1" sqref="A1:B1" xr:uid="{00000000-0002-0000-0800-000000000000}">
      <formula1>Locations</formula1>
    </dataValidation>
  </dataValidations>
  <pageMargins left="0.75" right="0.75" top="1" bottom="1" header="0.5" footer="0.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rgb="FFFF0000"/>
  </sheetPr>
  <dimension ref="A1:AM35"/>
  <sheetViews>
    <sheetView showGridLines="0" topLeftCell="A3" zoomScale="85" zoomScaleNormal="85" workbookViewId="0">
      <pane xSplit="2" topLeftCell="AB1" activePane="topRight" state="frozen"/>
      <selection activeCell="A4" sqref="A4"/>
      <selection pane="topRight" activeCell="AK25" sqref="AK25"/>
    </sheetView>
  </sheetViews>
  <sheetFormatPr defaultRowHeight="15" x14ac:dyDescent="0.25"/>
  <cols>
    <col min="1" max="1" width="11.85546875" customWidth="1"/>
    <col min="2" max="2" width="20.5703125" customWidth="1"/>
    <col min="6" max="6" width="14.42578125" bestFit="1" customWidth="1"/>
    <col min="10" max="10" width="14.42578125" bestFit="1" customWidth="1"/>
    <col min="14" max="14" width="14.42578125" bestFit="1" customWidth="1"/>
    <col min="18" max="18" width="14.42578125" bestFit="1" customWidth="1"/>
    <col min="30" max="31" width="18" customWidth="1"/>
    <col min="32" max="32" width="20" customWidth="1"/>
    <col min="33" max="33" width="14" customWidth="1"/>
    <col min="35" max="35" width="18" customWidth="1"/>
    <col min="36" max="36" width="22" customWidth="1"/>
    <col min="37" max="37" width="16" customWidth="1"/>
    <col min="38" max="38" width="14" customWidth="1"/>
  </cols>
  <sheetData>
    <row r="1" spans="1:39" ht="43.5" customHeight="1" x14ac:dyDescent="0.25">
      <c r="A1" s="48" t="s">
        <v>306</v>
      </c>
      <c r="B1" s="48"/>
    </row>
    <row r="2" spans="1:39" ht="13.5" customHeight="1" x14ac:dyDescent="0.25">
      <c r="A2" s="30">
        <f>'7'!A2+1</f>
        <v>46211</v>
      </c>
    </row>
    <row r="3" spans="1:39" ht="24" customHeight="1" x14ac:dyDescent="0.25">
      <c r="A3" s="49" t="s">
        <v>0</v>
      </c>
      <c r="B3" s="49"/>
      <c r="C3" s="49" t="s">
        <v>93</v>
      </c>
      <c r="D3" s="50"/>
      <c r="E3" s="50"/>
      <c r="F3" s="50"/>
      <c r="G3" s="49" t="s">
        <v>94</v>
      </c>
      <c r="H3" s="50"/>
      <c r="I3" s="50"/>
      <c r="J3" s="50"/>
      <c r="K3" s="49" t="s">
        <v>95</v>
      </c>
      <c r="L3" s="50"/>
      <c r="M3" s="50"/>
      <c r="N3" s="50"/>
      <c r="O3" s="49" t="s">
        <v>96</v>
      </c>
      <c r="P3" s="50"/>
      <c r="Q3" s="50"/>
      <c r="R3" s="50"/>
      <c r="S3" s="45" t="s">
        <v>1</v>
      </c>
      <c r="T3" s="46"/>
      <c r="U3" s="46"/>
      <c r="V3" s="46"/>
      <c r="W3" s="46"/>
      <c r="X3" s="46"/>
      <c r="Y3" s="46"/>
      <c r="Z3" s="46"/>
      <c r="AA3" s="46"/>
      <c r="AB3" s="46"/>
      <c r="AC3" s="46"/>
      <c r="AD3" s="47" t="s">
        <v>97</v>
      </c>
      <c r="AE3" s="46"/>
      <c r="AF3" s="46"/>
      <c r="AG3" s="46"/>
      <c r="AH3" s="47" t="s">
        <v>98</v>
      </c>
      <c r="AI3" s="46"/>
      <c r="AJ3" s="46"/>
      <c r="AK3" s="46"/>
      <c r="AL3" s="46"/>
      <c r="AM3" s="46"/>
    </row>
    <row r="4" spans="1:39" ht="27.95" customHeight="1" x14ac:dyDescent="0.25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92</v>
      </c>
      <c r="G4" s="1" t="s">
        <v>5</v>
      </c>
      <c r="H4" s="1" t="s">
        <v>6</v>
      </c>
      <c r="I4" s="1" t="s">
        <v>7</v>
      </c>
      <c r="J4" s="1" t="s">
        <v>92</v>
      </c>
      <c r="K4" s="1" t="s">
        <v>5</v>
      </c>
      <c r="L4" s="1" t="s">
        <v>6</v>
      </c>
      <c r="M4" s="1" t="s">
        <v>7</v>
      </c>
      <c r="N4" s="1" t="s">
        <v>92</v>
      </c>
      <c r="O4" s="1" t="s">
        <v>5</v>
      </c>
      <c r="P4" s="1" t="s">
        <v>6</v>
      </c>
      <c r="Q4" s="1" t="s">
        <v>7</v>
      </c>
      <c r="R4" s="1" t="s">
        <v>92</v>
      </c>
      <c r="S4" s="1" t="s">
        <v>5</v>
      </c>
      <c r="T4" s="1" t="s">
        <v>6</v>
      </c>
      <c r="U4" s="1" t="s">
        <v>7</v>
      </c>
      <c r="V4" s="1" t="s">
        <v>8</v>
      </c>
      <c r="W4" s="1" t="s">
        <v>9</v>
      </c>
      <c r="X4" s="1" t="s">
        <v>10</v>
      </c>
      <c r="Y4" s="1" t="s">
        <v>11</v>
      </c>
      <c r="Z4" s="1" t="s">
        <v>12</v>
      </c>
      <c r="AA4" s="1" t="s">
        <v>13</v>
      </c>
      <c r="AB4" s="1" t="s">
        <v>14</v>
      </c>
      <c r="AC4" s="1" t="s">
        <v>15</v>
      </c>
      <c r="AD4" s="1" t="s">
        <v>16</v>
      </c>
      <c r="AE4" s="1" t="s">
        <v>17</v>
      </c>
      <c r="AF4" s="1" t="s">
        <v>18</v>
      </c>
      <c r="AG4" s="1" t="s">
        <v>19</v>
      </c>
      <c r="AH4" s="1" t="s">
        <v>20</v>
      </c>
      <c r="AI4" s="4" t="s">
        <v>99</v>
      </c>
      <c r="AJ4" s="1" t="s">
        <v>21</v>
      </c>
      <c r="AK4" s="1" t="s">
        <v>22</v>
      </c>
      <c r="AL4" s="1" t="s">
        <v>23</v>
      </c>
      <c r="AM4" s="4" t="s">
        <v>100</v>
      </c>
    </row>
    <row r="5" spans="1:39" ht="12.75" customHeight="1" x14ac:dyDescent="0.25">
      <c r="A5" s="31">
        <v>56189</v>
      </c>
      <c r="B5" s="32" t="str">
        <f>IF(A5="","",VLOOKUP(A5,'Employee Database'!A:B,2,FALSE))</f>
        <v>Iffat Sultan</v>
      </c>
      <c r="C5" s="31">
        <v>2</v>
      </c>
      <c r="D5" s="31">
        <v>20</v>
      </c>
      <c r="E5" s="31">
        <v>6</v>
      </c>
      <c r="F5" s="39">
        <f>IF(COUNT(C5:E5)=0,0,SUMPRODUCT({5000,1000,500},C5:E5))</f>
        <v>33000</v>
      </c>
      <c r="G5" s="31"/>
      <c r="H5" s="31"/>
      <c r="I5" s="31"/>
      <c r="J5" s="39">
        <f>IF(COUNT(G5:I5)=0,0,SUMPRODUCT({5000,1000,500},G5:I5))</f>
        <v>0</v>
      </c>
      <c r="K5" s="31"/>
      <c r="L5" s="31"/>
      <c r="M5" s="31"/>
      <c r="N5" s="39">
        <f>IF(COUNT(K5:M5)=0,0,SUMPRODUCT({5000,1000,500},K5:M5))</f>
        <v>0</v>
      </c>
      <c r="O5" s="31"/>
      <c r="P5" s="31"/>
      <c r="Q5" s="31"/>
      <c r="R5" s="39">
        <f>IF(COUNT(O5:Q5)=0,0,SUMPRODUCT({5000,1000,500},O5:Q5))</f>
        <v>0</v>
      </c>
      <c r="S5" s="31"/>
      <c r="T5" s="31"/>
      <c r="U5" s="31"/>
      <c r="V5" s="31">
        <v>3</v>
      </c>
      <c r="W5" s="31"/>
      <c r="X5" s="31">
        <v>37</v>
      </c>
      <c r="Y5" s="31">
        <v>3</v>
      </c>
      <c r="Z5" s="31">
        <v>32</v>
      </c>
      <c r="AA5" s="31"/>
      <c r="AB5" s="31"/>
      <c r="AC5" s="31"/>
      <c r="AD5" s="34">
        <f>IF(COUNT(S5:AC5)=0,0,SUMPRODUCT({5000,1000,500,100,75,50,20,10,5,2,1}, S5:AC5))</f>
        <v>2530</v>
      </c>
      <c r="AE5" s="33">
        <v>35785</v>
      </c>
      <c r="AF5" s="24">
        <f>IF(AND(COUNT(C5:E5)=0,COUNT(G5:I5)=0,COUNT(K5:M5)=0,COUNT(O5:Q5)=0,COUNT(S5:AC5)=0,AE5=""),"",(IF(COUNT(C5:E5)=0,0,SUMPRODUCT({5000,1000,500},C5:E5))+IF(COUNT(G5:I5)=0,0,SUMPRODUCT({5000,1000,500},G5:I5))+IF(COUNT(K5:M5)=0,0,SUMPRODUCT({5000,1000,500},K5:M5))+IF(COUNT(O5:Q5)=0,0,SUMPRODUCT({5000,1000,500},O5:Q5))+AD5)-N(AE5))</f>
        <v>-255</v>
      </c>
      <c r="AG5" s="35" t="str">
        <f t="shared" ref="AG5:AG34" si="0">IF(AF5="","",IF(AF5&gt;0,"Excess",IF(AF5&lt;0,"Short","Balanced")))</f>
        <v>Short</v>
      </c>
      <c r="AH5" s="38"/>
      <c r="AI5" s="36">
        <v>25680</v>
      </c>
      <c r="AJ5" s="37">
        <f>6587+19092+1</f>
        <v>25680</v>
      </c>
      <c r="AK5" s="26">
        <f t="shared" ref="AK5:AK30" si="1">IF(AND(AI5="",AJ5=""),"",N(AI5)-N(AJ5))</f>
        <v>0</v>
      </c>
      <c r="AL5" s="25" t="str">
        <f t="shared" ref="AL5:AL33" si="2">IF(AK5="","",IF(AK5&gt;0,"POS Excess",IF(AK5&lt;0,"Bank Short","Matched")))</f>
        <v>Matched</v>
      </c>
      <c r="AM5" s="38"/>
    </row>
    <row r="6" spans="1:39" ht="12.75" customHeight="1" x14ac:dyDescent="0.25">
      <c r="A6" s="31">
        <v>72873</v>
      </c>
      <c r="B6" s="32" t="str">
        <f>IF(A6="","",VLOOKUP(A6,'Employee Database'!A:B,2,FALSE))</f>
        <v>M Shajee</v>
      </c>
      <c r="C6" s="31">
        <v>45</v>
      </c>
      <c r="D6" s="31">
        <v>170</v>
      </c>
      <c r="E6" s="31">
        <v>2</v>
      </c>
      <c r="F6" s="39">
        <f>IF(COUNT(C6:E6)=0,0,SUMPRODUCT({5000,1000,500},C6:E6))</f>
        <v>396000</v>
      </c>
      <c r="G6" s="31"/>
      <c r="H6" s="31"/>
      <c r="I6" s="31"/>
      <c r="J6" s="39">
        <f>IF(COUNT(G6:I6)=0,0,SUMPRODUCT({5000,1000,500},G6:I6))</f>
        <v>0</v>
      </c>
      <c r="K6" s="31"/>
      <c r="L6" s="31"/>
      <c r="M6" s="31"/>
      <c r="N6" s="39">
        <f>IF(COUNT(K6:M6)=0,0,SUMPRODUCT({5000,1000,500},K6:M6))</f>
        <v>0</v>
      </c>
      <c r="O6" s="31"/>
      <c r="P6" s="31"/>
      <c r="Q6" s="31"/>
      <c r="R6" s="39">
        <f>IF(COUNT(O6:Q6)=0,0,SUMPRODUCT({5000,1000,500},O6:Q6))</f>
        <v>0</v>
      </c>
      <c r="S6" s="31"/>
      <c r="T6" s="31"/>
      <c r="U6" s="31"/>
      <c r="V6" s="31">
        <v>8</v>
      </c>
      <c r="W6" s="31"/>
      <c r="X6" s="31">
        <v>55</v>
      </c>
      <c r="Y6" s="31"/>
      <c r="Z6" s="31">
        <v>17</v>
      </c>
      <c r="AA6" s="31"/>
      <c r="AB6" s="31"/>
      <c r="AC6" s="31"/>
      <c r="AD6" s="34">
        <f>IF(COUNT(S6:AC6)=0,0,SUMPRODUCT({5000,1000,500,100,75,50,20,10,5,2,1}, S6:AC6))</f>
        <v>3720</v>
      </c>
      <c r="AE6" s="33">
        <v>399628</v>
      </c>
      <c r="AF6" s="24">
        <f>IF(AND(COUNT(C6:E6)=0,COUNT(G6:I6)=0,COUNT(K6:M6)=0,COUNT(O6:Q6)=0,COUNT(S6:AC6)=0,AE6=""),"",(IF(COUNT(C6:E6)=0,0,SUMPRODUCT({5000,1000,500},C6:E6))+IF(COUNT(G6:I6)=0,0,SUMPRODUCT({5000,1000,500},G6:I6))+IF(COUNT(K6:M6)=0,0,SUMPRODUCT({5000,1000,500},K6:M6))+IF(COUNT(O6:Q6)=0,0,SUMPRODUCT({5000,1000,500},O6:Q6))+AD6)-N(AE6))</f>
        <v>92</v>
      </c>
      <c r="AG6" s="35" t="str">
        <f t="shared" si="0"/>
        <v>Excess</v>
      </c>
      <c r="AH6" s="38"/>
      <c r="AI6" s="36">
        <v>777277</v>
      </c>
      <c r="AJ6" s="37">
        <v>777277</v>
      </c>
      <c r="AK6" s="26">
        <f t="shared" si="1"/>
        <v>0</v>
      </c>
      <c r="AL6" s="25" t="str">
        <f t="shared" si="2"/>
        <v>Matched</v>
      </c>
      <c r="AM6" s="38"/>
    </row>
    <row r="7" spans="1:39" ht="12.75" customHeight="1" x14ac:dyDescent="0.25">
      <c r="A7" s="31">
        <v>57653</v>
      </c>
      <c r="B7" s="32" t="str">
        <f>IF(A7="","",VLOOKUP(A7,'Employee Database'!A:B,2,FALSE))</f>
        <v>Amanat ali</v>
      </c>
      <c r="C7" s="31">
        <v>42</v>
      </c>
      <c r="D7" s="31">
        <v>229</v>
      </c>
      <c r="E7" s="31">
        <v>82</v>
      </c>
      <c r="F7" s="39">
        <f>IF(COUNT(C7:E7)=0,0,SUMPRODUCT({5000,1000,500},C7:E7))</f>
        <v>480000</v>
      </c>
      <c r="G7" s="31"/>
      <c r="H7" s="31"/>
      <c r="I7" s="31"/>
      <c r="J7" s="39">
        <f>IF(COUNT(G7:I7)=0,0,SUMPRODUCT({5000,1000,500},G7:I7))</f>
        <v>0</v>
      </c>
      <c r="K7" s="31"/>
      <c r="L7" s="31"/>
      <c r="M7" s="31"/>
      <c r="N7" s="39">
        <f>IF(COUNT(K7:M7)=0,0,SUMPRODUCT({5000,1000,500},K7:M7))</f>
        <v>0</v>
      </c>
      <c r="O7" s="31"/>
      <c r="P7" s="31"/>
      <c r="Q7" s="31"/>
      <c r="R7" s="39">
        <f>IF(COUNT(O7:Q7)=0,0,SUMPRODUCT({5000,1000,500},O7:Q7))</f>
        <v>0</v>
      </c>
      <c r="S7" s="31"/>
      <c r="T7" s="31"/>
      <c r="U7" s="31"/>
      <c r="V7" s="31"/>
      <c r="W7" s="31"/>
      <c r="X7" s="31">
        <v>30</v>
      </c>
      <c r="Y7" s="31"/>
      <c r="Z7" s="31">
        <v>9</v>
      </c>
      <c r="AA7" s="31"/>
      <c r="AB7" s="31"/>
      <c r="AC7" s="31"/>
      <c r="AD7" s="34">
        <f>IF(COUNT(S7:AC7)=0,0,SUMPRODUCT({5000,1000,500,100,75,50,20,10,5,2,1}, S7:AC7))</f>
        <v>1590</v>
      </c>
      <c r="AE7" s="33">
        <v>481549</v>
      </c>
      <c r="AF7" s="24">
        <f>IF(AND(COUNT(C7:E7)=0,COUNT(G7:I7)=0,COUNT(K7:M7)=0,COUNT(O7:Q7)=0,COUNT(S7:AC7)=0,AE7=""),"",(IF(COUNT(C7:E7)=0,0,SUMPRODUCT({5000,1000,500},C7:E7))+IF(COUNT(G7:I7)=0,0,SUMPRODUCT({5000,1000,500},G7:I7))+IF(COUNT(K7:M7)=0,0,SUMPRODUCT({5000,1000,500},K7:M7))+IF(COUNT(O7:Q7)=0,0,SUMPRODUCT({5000,1000,500},O7:Q7))+AD7)-N(AE7))</f>
        <v>41</v>
      </c>
      <c r="AG7" s="35" t="str">
        <f t="shared" si="0"/>
        <v>Excess</v>
      </c>
      <c r="AH7" s="38"/>
      <c r="AI7" s="36">
        <f>672885+27665</f>
        <v>700550</v>
      </c>
      <c r="AJ7" s="37">
        <f>294567+378318+27665</f>
        <v>700550</v>
      </c>
      <c r="AK7" s="26">
        <f t="shared" si="1"/>
        <v>0</v>
      </c>
      <c r="AL7" s="25" t="str">
        <f t="shared" si="2"/>
        <v>Matched</v>
      </c>
      <c r="AM7" s="38"/>
    </row>
    <row r="8" spans="1:39" ht="12.75" customHeight="1" x14ac:dyDescent="0.25">
      <c r="A8" s="31">
        <v>67249</v>
      </c>
      <c r="B8" s="32" t="str">
        <f>IF(A8="","",VLOOKUP(A8,'Employee Database'!A:B,2,FALSE))</f>
        <v>Hanan Javaid</v>
      </c>
      <c r="C8" s="31">
        <v>52</v>
      </c>
      <c r="D8" s="31">
        <v>102</v>
      </c>
      <c r="E8" s="31">
        <v>24</v>
      </c>
      <c r="F8" s="39">
        <f>IF(COUNT(C8:E8)=0,0,SUMPRODUCT({5000,1000,500},C8:E8))</f>
        <v>374000</v>
      </c>
      <c r="G8" s="31"/>
      <c r="H8" s="31"/>
      <c r="I8" s="31"/>
      <c r="J8" s="39">
        <f>IF(COUNT(G8:I8)=0,0,SUMPRODUCT({5000,1000,500},G8:I8))</f>
        <v>0</v>
      </c>
      <c r="K8" s="31"/>
      <c r="L8" s="31"/>
      <c r="M8" s="31"/>
      <c r="N8" s="39">
        <f>IF(COUNT(K8:M8)=0,0,SUMPRODUCT({5000,1000,500},K8:M8))</f>
        <v>0</v>
      </c>
      <c r="O8" s="31"/>
      <c r="P8" s="31"/>
      <c r="Q8" s="31"/>
      <c r="R8" s="39">
        <f>IF(COUNT(O8:Q8)=0,0,SUMPRODUCT({5000,1000,500},O8:Q8))</f>
        <v>0</v>
      </c>
      <c r="S8" s="31"/>
      <c r="T8" s="31"/>
      <c r="U8" s="31"/>
      <c r="V8" s="31">
        <v>2</v>
      </c>
      <c r="W8" s="31"/>
      <c r="X8" s="31">
        <v>25</v>
      </c>
      <c r="Y8" s="31"/>
      <c r="Z8" s="31">
        <v>7</v>
      </c>
      <c r="AA8" s="31"/>
      <c r="AB8" s="31"/>
      <c r="AC8" s="31"/>
      <c r="AD8" s="34">
        <f>IF(COUNT(S8:AC8)=0,0,SUMPRODUCT({5000,1000,500,100,75,50,20,10,5,2,1}, S8:AC8))</f>
        <v>1520</v>
      </c>
      <c r="AE8" s="33">
        <v>375499</v>
      </c>
      <c r="AF8" s="24">
        <f>IF(AND(COUNT(C8:E8)=0,COUNT(G8:I8)=0,COUNT(K8:M8)=0,COUNT(O8:Q8)=0,COUNT(S8:AC8)=0,AE8=""),"",(IF(COUNT(C8:E8)=0,0,SUMPRODUCT({5000,1000,500},C8:E8))+IF(COUNT(G8:I8)=0,0,SUMPRODUCT({5000,1000,500},G8:I8))+IF(COUNT(K8:M8)=0,0,SUMPRODUCT({5000,1000,500},K8:M8))+IF(COUNT(O8:Q8)=0,0,SUMPRODUCT({5000,1000,500},O8:Q8))+AD8)-N(AE8))</f>
        <v>21</v>
      </c>
      <c r="AG8" s="35" t="str">
        <f t="shared" si="0"/>
        <v>Excess</v>
      </c>
      <c r="AH8" s="38"/>
      <c r="AI8" s="36">
        <f>658986+86</f>
        <v>659072</v>
      </c>
      <c r="AJ8" s="37">
        <f>475585+183401+86</f>
        <v>659072</v>
      </c>
      <c r="AK8" s="26">
        <f t="shared" si="1"/>
        <v>0</v>
      </c>
      <c r="AL8" s="25" t="str">
        <f t="shared" si="2"/>
        <v>Matched</v>
      </c>
      <c r="AM8" s="38"/>
    </row>
    <row r="9" spans="1:39" ht="12.75" customHeight="1" x14ac:dyDescent="0.25">
      <c r="A9" s="31">
        <v>68107</v>
      </c>
      <c r="B9" s="32" t="str">
        <f>IF(A9="","",VLOOKUP(A9,'Employee Database'!A:B,2,FALSE))</f>
        <v>M Harris</v>
      </c>
      <c r="C9" s="31">
        <v>22</v>
      </c>
      <c r="D9" s="31">
        <v>78</v>
      </c>
      <c r="E9" s="31">
        <v>19</v>
      </c>
      <c r="F9" s="39">
        <f>IF(COUNT(C9:E9)=0,0,SUMPRODUCT({5000,1000,500},C9:E9))</f>
        <v>197500</v>
      </c>
      <c r="G9" s="31"/>
      <c r="H9" s="31"/>
      <c r="I9" s="31"/>
      <c r="J9" s="39">
        <f>IF(COUNT(G9:I9)=0,0,SUMPRODUCT({5000,1000,500},G9:I9))</f>
        <v>0</v>
      </c>
      <c r="K9" s="31"/>
      <c r="L9" s="31"/>
      <c r="M9" s="31"/>
      <c r="N9" s="39">
        <f>IF(COUNT(K9:M9)=0,0,SUMPRODUCT({5000,1000,500},K9:M9))</f>
        <v>0</v>
      </c>
      <c r="O9" s="31"/>
      <c r="P9" s="31"/>
      <c r="Q9" s="31"/>
      <c r="R9" s="39">
        <f>IF(COUNT(O9:Q9)=0,0,SUMPRODUCT({5000,1000,500},O9:Q9))</f>
        <v>0</v>
      </c>
      <c r="S9" s="31"/>
      <c r="T9" s="31"/>
      <c r="U9" s="31"/>
      <c r="V9" s="31">
        <v>5</v>
      </c>
      <c r="W9" s="31"/>
      <c r="X9" s="31">
        <v>17</v>
      </c>
      <c r="Y9" s="31"/>
      <c r="Z9" s="31">
        <v>3</v>
      </c>
      <c r="AA9" s="31"/>
      <c r="AB9" s="31"/>
      <c r="AC9" s="31"/>
      <c r="AD9" s="34">
        <f>IF(COUNT(S9:AC9)=0,0,SUMPRODUCT({5000,1000,500,100,75,50,20,10,5,2,1}, S9:AC9))</f>
        <v>1380</v>
      </c>
      <c r="AE9" s="33">
        <v>198781</v>
      </c>
      <c r="AF9" s="24">
        <f>IF(AND(COUNT(C9:E9)=0,COUNT(G9:I9)=0,COUNT(K9:M9)=0,COUNT(O9:Q9)=0,COUNT(S9:AC9)=0,AE9=""),"",(IF(COUNT(C9:E9)=0,0,SUMPRODUCT({5000,1000,500},C9:E9))+IF(COUNT(G9:I9)=0,0,SUMPRODUCT({5000,1000,500},G9:I9))+IF(COUNT(K9:M9)=0,0,SUMPRODUCT({5000,1000,500},K9:M9))+IF(COUNT(O9:Q9)=0,0,SUMPRODUCT({5000,1000,500},O9:Q9))+AD9)-N(AE9))</f>
        <v>99</v>
      </c>
      <c r="AG9" s="35" t="str">
        <f t="shared" si="0"/>
        <v>Excess</v>
      </c>
      <c r="AH9" s="38"/>
      <c r="AI9" s="36">
        <v>324362</v>
      </c>
      <c r="AJ9" s="37">
        <f>144773+179588+1</f>
        <v>324362</v>
      </c>
      <c r="AK9" s="26">
        <f t="shared" si="1"/>
        <v>0</v>
      </c>
      <c r="AL9" s="25" t="str">
        <f t="shared" si="2"/>
        <v>Matched</v>
      </c>
      <c r="AM9" s="38"/>
    </row>
    <row r="10" spans="1:39" ht="12.75" customHeight="1" x14ac:dyDescent="0.25">
      <c r="A10" s="31">
        <v>65299</v>
      </c>
      <c r="B10" s="32" t="str">
        <f>IF(A10="","",VLOOKUP(A10,'Employee Database'!A:B,2,FALSE))</f>
        <v>M Faisal</v>
      </c>
      <c r="C10" s="31">
        <v>28</v>
      </c>
      <c r="D10" s="31">
        <v>81</v>
      </c>
      <c r="E10" s="31">
        <v>8</v>
      </c>
      <c r="F10" s="39">
        <f>IF(COUNT(C10:E10)=0,0,SUMPRODUCT({5000,1000,500},C10:E10))</f>
        <v>225000</v>
      </c>
      <c r="G10" s="31"/>
      <c r="H10" s="31"/>
      <c r="I10" s="31"/>
      <c r="J10" s="39">
        <f>IF(COUNT(G10:I10)=0,0,SUMPRODUCT({5000,1000,500},G10:I10))</f>
        <v>0</v>
      </c>
      <c r="K10" s="31"/>
      <c r="L10" s="31"/>
      <c r="M10" s="31"/>
      <c r="N10" s="39">
        <f>IF(COUNT(K10:M10)=0,0,SUMPRODUCT({5000,1000,500},K10:M10))</f>
        <v>0</v>
      </c>
      <c r="O10" s="31"/>
      <c r="P10" s="31"/>
      <c r="Q10" s="31"/>
      <c r="R10" s="39">
        <f>IF(COUNT(O10:Q10)=0,0,SUMPRODUCT({5000,1000,500},O10:Q10))</f>
        <v>0</v>
      </c>
      <c r="S10" s="31"/>
      <c r="T10" s="31"/>
      <c r="U10" s="31"/>
      <c r="V10" s="31">
        <v>1</v>
      </c>
      <c r="W10" s="31"/>
      <c r="X10" s="31">
        <v>80</v>
      </c>
      <c r="Y10" s="31"/>
      <c r="Z10" s="31">
        <v>42</v>
      </c>
      <c r="AA10" s="31"/>
      <c r="AB10" s="31"/>
      <c r="AC10" s="31"/>
      <c r="AD10" s="34">
        <f>IF(COUNT(S10:AC10)=0,0,SUMPRODUCT({5000,1000,500,100,75,50,20,10,5,2,1}, S10:AC10))</f>
        <v>4520</v>
      </c>
      <c r="AE10" s="33">
        <v>229511</v>
      </c>
      <c r="AF10" s="24">
        <f>IF(AND(COUNT(C10:E10)=0,COUNT(G10:I10)=0,COUNT(K10:M10)=0,COUNT(O10:Q10)=0,COUNT(S10:AC10)=0,AE10=""),"",(IF(COUNT(C10:E10)=0,0,SUMPRODUCT({5000,1000,500},C10:E10))+IF(COUNT(G10:I10)=0,0,SUMPRODUCT({5000,1000,500},G10:I10))+IF(COUNT(K10:M10)=0,0,SUMPRODUCT({5000,1000,500},K10:M10))+IF(COUNT(O10:Q10)=0,0,SUMPRODUCT({5000,1000,500},O10:Q10))+AD10)-N(AE10))</f>
        <v>9</v>
      </c>
      <c r="AG10" s="35" t="str">
        <f t="shared" si="0"/>
        <v>Excess</v>
      </c>
      <c r="AH10" s="38"/>
      <c r="AI10" s="36">
        <v>383825</v>
      </c>
      <c r="AJ10" s="37">
        <f>273545+110280</f>
        <v>383825</v>
      </c>
      <c r="AK10" s="26">
        <f t="shared" si="1"/>
        <v>0</v>
      </c>
      <c r="AL10" s="25" t="str">
        <f t="shared" si="2"/>
        <v>Matched</v>
      </c>
      <c r="AM10" s="38"/>
    </row>
    <row r="11" spans="1:39" ht="12.75" customHeight="1" x14ac:dyDescent="0.25">
      <c r="A11" s="31">
        <v>73196</v>
      </c>
      <c r="B11" s="32" t="str">
        <f>IF(A11="","",VLOOKUP(A11,'Employee Database'!A:B,2,FALSE))</f>
        <v>Asma</v>
      </c>
      <c r="C11" s="31">
        <v>23</v>
      </c>
      <c r="D11" s="31">
        <v>182</v>
      </c>
      <c r="E11" s="31">
        <v>18</v>
      </c>
      <c r="F11" s="39">
        <f>IF(COUNT(C11:E11)=0,0,SUMPRODUCT({5000,1000,500},C11:E11))</f>
        <v>306000</v>
      </c>
      <c r="G11" s="31"/>
      <c r="H11" s="31"/>
      <c r="I11" s="31"/>
      <c r="J11" s="39">
        <f>IF(COUNT(G11:I11)=0,0,SUMPRODUCT({5000,1000,500},G11:I11))</f>
        <v>0</v>
      </c>
      <c r="K11" s="31"/>
      <c r="L11" s="31"/>
      <c r="M11" s="31"/>
      <c r="N11" s="39">
        <f>IF(COUNT(K11:M11)=0,0,SUMPRODUCT({5000,1000,500},K11:M11))</f>
        <v>0</v>
      </c>
      <c r="O11" s="31"/>
      <c r="P11" s="31"/>
      <c r="Q11" s="31"/>
      <c r="R11" s="39">
        <f>IF(COUNT(O11:Q11)=0,0,SUMPRODUCT({5000,1000,500},O11:Q11))</f>
        <v>0</v>
      </c>
      <c r="S11" s="31"/>
      <c r="T11" s="31"/>
      <c r="U11" s="31"/>
      <c r="V11" s="31">
        <v>10</v>
      </c>
      <c r="W11" s="31"/>
      <c r="X11" s="31">
        <v>43</v>
      </c>
      <c r="Y11" s="31"/>
      <c r="Z11" s="31">
        <v>16</v>
      </c>
      <c r="AA11" s="31"/>
      <c r="AB11" s="31"/>
      <c r="AC11" s="31"/>
      <c r="AD11" s="34">
        <f>IF(COUNT(S11:AC11)=0,0,SUMPRODUCT({5000,1000,500,100,75,50,20,10,5,2,1}, S11:AC11))</f>
        <v>3310</v>
      </c>
      <c r="AE11" s="33">
        <v>309298</v>
      </c>
      <c r="AF11" s="24">
        <f>IF(AND(COUNT(C11:E11)=0,COUNT(G11:I11)=0,COUNT(K11:M11)=0,COUNT(O11:Q11)=0,COUNT(S11:AC11)=0,AE11=""),"",(IF(COUNT(C11:E11)=0,0,SUMPRODUCT({5000,1000,500},C11:E11))+IF(COUNT(G11:I11)=0,0,SUMPRODUCT({5000,1000,500},G11:I11))+IF(COUNT(K11:M11)=0,0,SUMPRODUCT({5000,1000,500},K11:M11))+IF(COUNT(O11:Q11)=0,0,SUMPRODUCT({5000,1000,500},O11:Q11))+AD11)-N(AE11))</f>
        <v>12</v>
      </c>
      <c r="AG11" s="35" t="str">
        <f t="shared" si="0"/>
        <v>Excess</v>
      </c>
      <c r="AH11" s="38"/>
      <c r="AI11" s="36">
        <v>808553</v>
      </c>
      <c r="AJ11" s="37">
        <f>470254+338299</f>
        <v>808553</v>
      </c>
      <c r="AK11" s="26">
        <f t="shared" si="1"/>
        <v>0</v>
      </c>
      <c r="AL11" s="25" t="str">
        <f t="shared" si="2"/>
        <v>Matched</v>
      </c>
      <c r="AM11" s="38"/>
    </row>
    <row r="12" spans="1:39" ht="12.75" customHeight="1" x14ac:dyDescent="0.25">
      <c r="A12" s="31">
        <v>63854</v>
      </c>
      <c r="B12" s="32" t="str">
        <f>IF(A12="","",VLOOKUP(A12,'Employee Database'!A:B,2,FALSE))</f>
        <v>Maham</v>
      </c>
      <c r="C12" s="31">
        <v>50</v>
      </c>
      <c r="D12" s="31">
        <v>296</v>
      </c>
      <c r="E12" s="31">
        <v>16</v>
      </c>
      <c r="F12" s="39">
        <f>IF(COUNT(C12:E12)=0,0,SUMPRODUCT({5000,1000,500},C12:E12))</f>
        <v>554000</v>
      </c>
      <c r="G12" s="31"/>
      <c r="H12" s="31"/>
      <c r="I12" s="31"/>
      <c r="J12" s="39">
        <f>IF(COUNT(G12:I12)=0,0,SUMPRODUCT({5000,1000,500},G12:I12))</f>
        <v>0</v>
      </c>
      <c r="K12" s="31"/>
      <c r="L12" s="31"/>
      <c r="M12" s="31"/>
      <c r="N12" s="39">
        <f>IF(COUNT(K12:M12)=0,0,SUMPRODUCT({5000,1000,500},K12:M12))</f>
        <v>0</v>
      </c>
      <c r="O12" s="31"/>
      <c r="P12" s="31"/>
      <c r="Q12" s="31"/>
      <c r="R12" s="39">
        <f>IF(COUNT(O12:Q12)=0,0,SUMPRODUCT({5000,1000,500},O12:Q12))</f>
        <v>0</v>
      </c>
      <c r="S12" s="31"/>
      <c r="T12" s="31"/>
      <c r="U12" s="31"/>
      <c r="V12" s="31"/>
      <c r="W12" s="31"/>
      <c r="X12" s="31">
        <v>2</v>
      </c>
      <c r="Y12" s="31"/>
      <c r="Z12" s="31">
        <v>4</v>
      </c>
      <c r="AA12" s="31"/>
      <c r="AB12" s="31"/>
      <c r="AC12" s="31"/>
      <c r="AD12" s="34">
        <f>IF(COUNT(S12:AC12)=0,0,SUMPRODUCT({5000,1000,500,100,75,50,20,10,5,2,1}, S12:AC12))</f>
        <v>140</v>
      </c>
      <c r="AE12" s="33">
        <v>554152</v>
      </c>
      <c r="AF12" s="24">
        <f>IF(AND(COUNT(C12:E12)=0,COUNT(G12:I12)=0,COUNT(K12:M12)=0,COUNT(O12:Q12)=0,COUNT(S12:AC12)=0,AE12=""),"",(IF(COUNT(C12:E12)=0,0,SUMPRODUCT({5000,1000,500},C12:E12))+IF(COUNT(G12:I12)=0,0,SUMPRODUCT({5000,1000,500},G12:I12))+IF(COUNT(K12:M12)=0,0,SUMPRODUCT({5000,1000,500},K12:M12))+IF(COUNT(O12:Q12)=0,0,SUMPRODUCT({5000,1000,500},O12:Q12))+AD12)-N(AE12))</f>
        <v>-12</v>
      </c>
      <c r="AG12" s="35" t="str">
        <f t="shared" si="0"/>
        <v>Short</v>
      </c>
      <c r="AH12" s="38"/>
      <c r="AI12" s="36">
        <v>522724</v>
      </c>
      <c r="AJ12" s="37">
        <f>326762+195961+1</f>
        <v>522724</v>
      </c>
      <c r="AK12" s="26">
        <f t="shared" si="1"/>
        <v>0</v>
      </c>
      <c r="AL12" s="25" t="str">
        <f t="shared" si="2"/>
        <v>Matched</v>
      </c>
      <c r="AM12" s="38"/>
    </row>
    <row r="13" spans="1:39" ht="12.75" customHeight="1" x14ac:dyDescent="0.25">
      <c r="A13" s="31">
        <v>50524</v>
      </c>
      <c r="B13" s="32" t="str">
        <f>IF(A13="","",VLOOKUP(A13,'Employee Database'!A:B,2,FALSE))</f>
        <v>Allah Rakha</v>
      </c>
      <c r="C13" s="31"/>
      <c r="D13" s="31"/>
      <c r="E13" s="31"/>
      <c r="F13" s="39">
        <f>IF(COUNT(C13:E13)=0,0,SUMPRODUCT({5000,1000,500},C13:E13))</f>
        <v>0</v>
      </c>
      <c r="G13" s="31">
        <v>14</v>
      </c>
      <c r="H13" s="31">
        <v>89</v>
      </c>
      <c r="I13" s="31">
        <v>12</v>
      </c>
      <c r="J13" s="39">
        <f>IF(COUNT(G13:I13)=0,0,SUMPRODUCT({5000,1000,500},G13:I13))</f>
        <v>165000</v>
      </c>
      <c r="K13" s="31"/>
      <c r="L13" s="31"/>
      <c r="M13" s="31"/>
      <c r="N13" s="39">
        <f>IF(COUNT(K13:M13)=0,0,SUMPRODUCT({5000,1000,500},K13:M13))</f>
        <v>0</v>
      </c>
      <c r="O13" s="31"/>
      <c r="P13" s="31"/>
      <c r="Q13" s="31"/>
      <c r="R13" s="39">
        <f>IF(COUNT(O13:Q13)=0,0,SUMPRODUCT({5000,1000,500},O13:Q13))</f>
        <v>0</v>
      </c>
      <c r="S13" s="31"/>
      <c r="T13" s="31"/>
      <c r="U13" s="31"/>
      <c r="V13" s="31">
        <v>1</v>
      </c>
      <c r="W13" s="31"/>
      <c r="X13" s="31">
        <v>21</v>
      </c>
      <c r="Y13" s="31"/>
      <c r="Z13" s="31">
        <v>54</v>
      </c>
      <c r="AA13" s="31"/>
      <c r="AB13" s="31"/>
      <c r="AC13" s="31"/>
      <c r="AD13" s="34">
        <f>IF(COUNT(S13:AC13)=0,0,SUMPRODUCT({5000,1000,500,100,75,50,20,10,5,2,1}, S13:AC13))</f>
        <v>1690</v>
      </c>
      <c r="AE13" s="33">
        <v>166662</v>
      </c>
      <c r="AF13" s="24">
        <f>IF(AND(COUNT(C13:E13)=0,COUNT(G13:I13)=0,COUNT(K13:M13)=0,COUNT(O13:Q13)=0,COUNT(S13:AC13)=0,AE13=""),"",(IF(COUNT(C13:E13)=0,0,SUMPRODUCT({5000,1000,500},C13:E13))+IF(COUNT(G13:I13)=0,0,SUMPRODUCT({5000,1000,500},G13:I13))+IF(COUNT(K13:M13)=0,0,SUMPRODUCT({5000,1000,500},K13:M13))+IF(COUNT(O13:Q13)=0,0,SUMPRODUCT({5000,1000,500},O13:Q13))+AD13)-N(AE13))</f>
        <v>28</v>
      </c>
      <c r="AG13" s="35" t="str">
        <f t="shared" si="0"/>
        <v>Excess</v>
      </c>
      <c r="AH13" s="38"/>
      <c r="AI13" s="36">
        <f>175534.01+262296.49</f>
        <v>437830.5</v>
      </c>
      <c r="AJ13" s="37">
        <f>262296.49+175534.01</f>
        <v>437830.5</v>
      </c>
      <c r="AK13" s="26">
        <f t="shared" si="1"/>
        <v>0</v>
      </c>
      <c r="AL13" s="25" t="str">
        <f t="shared" si="2"/>
        <v>Matched</v>
      </c>
      <c r="AM13" s="38"/>
    </row>
    <row r="14" spans="1:39" ht="12.75" customHeight="1" x14ac:dyDescent="0.25">
      <c r="A14" s="31">
        <v>69732</v>
      </c>
      <c r="B14" s="32" t="str">
        <f>IF(A14="","",VLOOKUP(A14,'Employee Database'!A:B,2,FALSE))</f>
        <v>Abdul Hafeez</v>
      </c>
      <c r="C14" s="31"/>
      <c r="D14" s="31"/>
      <c r="E14" s="31"/>
      <c r="F14" s="39">
        <f>IF(COUNT(C14:E14)=0,0,SUMPRODUCT({5000,1000,500},C14:E14))</f>
        <v>0</v>
      </c>
      <c r="G14" s="31">
        <v>3</v>
      </c>
      <c r="H14" s="31">
        <v>49</v>
      </c>
      <c r="I14" s="31">
        <v>6</v>
      </c>
      <c r="J14" s="39">
        <f>IF(COUNT(G14:I14)=0,0,SUMPRODUCT({5000,1000,500},G14:I14))</f>
        <v>67000</v>
      </c>
      <c r="K14" s="31"/>
      <c r="L14" s="31"/>
      <c r="M14" s="31"/>
      <c r="N14" s="39">
        <f>IF(COUNT(K14:M14)=0,0,SUMPRODUCT({5000,1000,500},K14:M14))</f>
        <v>0</v>
      </c>
      <c r="O14" s="31"/>
      <c r="P14" s="31"/>
      <c r="Q14" s="31"/>
      <c r="R14" s="39">
        <f>IF(COUNT(O14:Q14)=0,0,SUMPRODUCT({5000,1000,500},O14:Q14))</f>
        <v>0</v>
      </c>
      <c r="S14" s="31"/>
      <c r="T14" s="31"/>
      <c r="U14" s="31"/>
      <c r="V14" s="31"/>
      <c r="W14" s="31"/>
      <c r="X14" s="31">
        <v>100</v>
      </c>
      <c r="Y14" s="31"/>
      <c r="Z14" s="31">
        <v>39</v>
      </c>
      <c r="AA14" s="31"/>
      <c r="AB14" s="31"/>
      <c r="AC14" s="31"/>
      <c r="AD14" s="34">
        <f>IF(COUNT(S14:AC14)=0,0,SUMPRODUCT({5000,1000,500,100,75,50,20,10,5,2,1}, S14:AC14))</f>
        <v>5390</v>
      </c>
      <c r="AE14" s="33">
        <v>72357</v>
      </c>
      <c r="AF14" s="24">
        <f>IF(AND(COUNT(C14:E14)=0,COUNT(G14:I14)=0,COUNT(K14:M14)=0,COUNT(O14:Q14)=0,COUNT(S14:AC14)=0,AE14=""),"",(IF(COUNT(C14:E14)=0,0,SUMPRODUCT({5000,1000,500},C14:E14))+IF(COUNT(G14:I14)=0,0,SUMPRODUCT({5000,1000,500},G14:I14))+IF(COUNT(K14:M14)=0,0,SUMPRODUCT({5000,1000,500},K14:M14))+IF(COUNT(O14:Q14)=0,0,SUMPRODUCT({5000,1000,500},O14:Q14))+AD14)-N(AE14))</f>
        <v>33</v>
      </c>
      <c r="AG14" s="35" t="str">
        <f t="shared" si="0"/>
        <v>Excess</v>
      </c>
      <c r="AH14" s="38"/>
      <c r="AI14" s="36">
        <f>99022.5+71618.28</f>
        <v>170640.78</v>
      </c>
      <c r="AJ14" s="37">
        <f>71618.28+99022.5</f>
        <v>170640.78</v>
      </c>
      <c r="AK14" s="26">
        <f t="shared" si="1"/>
        <v>0</v>
      </c>
      <c r="AL14" s="25" t="str">
        <f t="shared" si="2"/>
        <v>Matched</v>
      </c>
      <c r="AM14" s="38"/>
    </row>
    <row r="15" spans="1:39" ht="12.75" customHeight="1" x14ac:dyDescent="0.25">
      <c r="A15" s="31">
        <v>67799</v>
      </c>
      <c r="B15" s="32" t="str">
        <f>IF(A15="","",VLOOKUP(A15,'Employee Database'!A:B,2,FALSE))</f>
        <v>Hassan Raza</v>
      </c>
      <c r="C15" s="31"/>
      <c r="D15" s="31"/>
      <c r="E15" s="31"/>
      <c r="F15" s="39">
        <f>IF(COUNT(C15:E15)=0,0,SUMPRODUCT({5000,1000,500},C15:E15))</f>
        <v>0</v>
      </c>
      <c r="G15" s="31">
        <v>35</v>
      </c>
      <c r="H15" s="31">
        <v>51</v>
      </c>
      <c r="I15" s="31">
        <v>8</v>
      </c>
      <c r="J15" s="39">
        <f>IF(COUNT(G15:I15)=0,0,SUMPRODUCT({5000,1000,500},G15:I15))</f>
        <v>230000</v>
      </c>
      <c r="K15" s="31"/>
      <c r="L15" s="31"/>
      <c r="M15" s="31"/>
      <c r="N15" s="39">
        <f>IF(COUNT(K15:M15)=0,0,SUMPRODUCT({5000,1000,500},K15:M15))</f>
        <v>0</v>
      </c>
      <c r="O15" s="31"/>
      <c r="P15" s="31"/>
      <c r="Q15" s="31"/>
      <c r="R15" s="39">
        <f>IF(COUNT(O15:Q15)=0,0,SUMPRODUCT({5000,1000,500},O15:Q15))</f>
        <v>0</v>
      </c>
      <c r="S15" s="31"/>
      <c r="T15" s="31"/>
      <c r="U15" s="31"/>
      <c r="V15" s="31">
        <v>3</v>
      </c>
      <c r="W15" s="31"/>
      <c r="X15" s="31">
        <v>1</v>
      </c>
      <c r="Y15" s="31"/>
      <c r="Z15" s="31">
        <v>12</v>
      </c>
      <c r="AA15" s="31"/>
      <c r="AB15" s="31"/>
      <c r="AC15" s="31"/>
      <c r="AD15" s="34">
        <f>IF(COUNT(S15:AC15)=0,0,SUMPRODUCT({5000,1000,500,100,75,50,20,10,5,2,1}, S15:AC15))</f>
        <v>470</v>
      </c>
      <c r="AE15" s="33">
        <v>230472</v>
      </c>
      <c r="AF15" s="24">
        <f>IF(AND(COUNT(C15:E15)=0,COUNT(G15:I15)=0,COUNT(K15:M15)=0,COUNT(O15:Q15)=0,COUNT(S15:AC15)=0,AE15=""),"",(IF(COUNT(C15:E15)=0,0,SUMPRODUCT({5000,1000,500},C15:E15))+IF(COUNT(G15:I15)=0,0,SUMPRODUCT({5000,1000,500},G15:I15))+IF(COUNT(K15:M15)=0,0,SUMPRODUCT({5000,1000,500},K15:M15))+IF(COUNT(O15:Q15)=0,0,SUMPRODUCT({5000,1000,500},O15:Q15))+AD15)-N(AE15))</f>
        <v>-2</v>
      </c>
      <c r="AG15" s="35" t="str">
        <f t="shared" si="0"/>
        <v>Short</v>
      </c>
      <c r="AH15" s="38"/>
      <c r="AI15" s="36">
        <f>12769.48+274970.07</f>
        <v>287739.55</v>
      </c>
      <c r="AJ15" s="37">
        <f>12769.48+117763.97+157206.1</f>
        <v>287739.55</v>
      </c>
      <c r="AK15" s="26">
        <f t="shared" si="1"/>
        <v>0</v>
      </c>
      <c r="AL15" s="25" t="str">
        <f t="shared" si="2"/>
        <v>Matched</v>
      </c>
      <c r="AM15" s="38"/>
    </row>
    <row r="16" spans="1:39" ht="12.75" customHeight="1" x14ac:dyDescent="0.25">
      <c r="A16" s="31">
        <v>78242</v>
      </c>
      <c r="B16" s="32" t="str">
        <f>IF(A16="","",VLOOKUP(A16,'Employee Database'!A:B,2,FALSE))</f>
        <v>Hamad Mughal</v>
      </c>
      <c r="C16" s="31"/>
      <c r="D16" s="31"/>
      <c r="E16" s="31"/>
      <c r="F16" s="39">
        <f>IF(COUNT(C16:E16)=0,0,SUMPRODUCT({5000,1000,500},C16:E16))</f>
        <v>0</v>
      </c>
      <c r="G16" s="31">
        <v>24</v>
      </c>
      <c r="H16" s="31">
        <v>78</v>
      </c>
      <c r="I16" s="31">
        <v>36</v>
      </c>
      <c r="J16" s="39">
        <f>IF(COUNT(G16:I16)=0,0,SUMPRODUCT({5000,1000,500},G16:I16))</f>
        <v>216000</v>
      </c>
      <c r="K16" s="31"/>
      <c r="L16" s="31"/>
      <c r="M16" s="31"/>
      <c r="N16" s="39">
        <f>IF(COUNT(K16:M16)=0,0,SUMPRODUCT({5000,1000,500},K16:M16))</f>
        <v>0</v>
      </c>
      <c r="O16" s="31"/>
      <c r="P16" s="31"/>
      <c r="Q16" s="31"/>
      <c r="R16" s="39">
        <f>IF(COUNT(O16:Q16)=0,0,SUMPRODUCT({5000,1000,500},O16:Q16))</f>
        <v>0</v>
      </c>
      <c r="S16" s="31"/>
      <c r="T16" s="31"/>
      <c r="U16" s="31"/>
      <c r="V16" s="31">
        <v>46</v>
      </c>
      <c r="W16" s="31"/>
      <c r="X16" s="31">
        <v>25</v>
      </c>
      <c r="Y16" s="31"/>
      <c r="Z16" s="31">
        <v>5</v>
      </c>
      <c r="AA16" s="31"/>
      <c r="AB16" s="31"/>
      <c r="AC16" s="31"/>
      <c r="AD16" s="34">
        <f>IF(COUNT(S16:AC16)=0,0,SUMPRODUCT({5000,1000,500,100,75,50,20,10,5,2,1}, S16:AC16))</f>
        <v>5900</v>
      </c>
      <c r="AE16" s="33">
        <v>221864</v>
      </c>
      <c r="AF16" s="24">
        <f>IF(AND(COUNT(C16:E16)=0,COUNT(G16:I16)=0,COUNT(K16:M16)=0,COUNT(O16:Q16)=0,COUNT(S16:AC16)=0,AE16=""),"",(IF(COUNT(C16:E16)=0,0,SUMPRODUCT({5000,1000,500},C16:E16))+IF(COUNT(G16:I16)=0,0,SUMPRODUCT({5000,1000,500},G16:I16))+IF(COUNT(K16:M16)=0,0,SUMPRODUCT({5000,1000,500},K16:M16))+IF(COUNT(O16:Q16)=0,0,SUMPRODUCT({5000,1000,500},O16:Q16))+AD16)-N(AE16))</f>
        <v>36</v>
      </c>
      <c r="AG16" s="35" t="str">
        <f t="shared" si="0"/>
        <v>Excess</v>
      </c>
      <c r="AH16" s="38"/>
      <c r="AI16" s="36">
        <f>446200.15+80244.58</f>
        <v>526444.73</v>
      </c>
      <c r="AJ16" s="37">
        <f>80244.58+446200.15</f>
        <v>526444.73</v>
      </c>
      <c r="AK16" s="26">
        <f t="shared" si="1"/>
        <v>0</v>
      </c>
      <c r="AL16" s="25" t="str">
        <f t="shared" si="2"/>
        <v>Matched</v>
      </c>
      <c r="AM16" s="38"/>
    </row>
    <row r="17" spans="1:39" ht="12.75" customHeight="1" x14ac:dyDescent="0.25">
      <c r="A17" s="31">
        <v>73679</v>
      </c>
      <c r="B17" s="32" t="str">
        <f>IF(A17="","",VLOOKUP(A17,'Employee Database'!A:B,2,FALSE))</f>
        <v>Imran Waqar</v>
      </c>
      <c r="C17" s="31"/>
      <c r="D17" s="31"/>
      <c r="E17" s="31"/>
      <c r="F17" s="39">
        <f>IF(COUNT(C17:E17)=0,0,SUMPRODUCT({5000,1000,500},C17:E17))</f>
        <v>0</v>
      </c>
      <c r="G17" s="31">
        <v>45</v>
      </c>
      <c r="H17" s="31">
        <v>126</v>
      </c>
      <c r="I17" s="31">
        <v>15</v>
      </c>
      <c r="J17" s="39">
        <f>IF(COUNT(G17:I17)=0,0,SUMPRODUCT({5000,1000,500},G17:I17))</f>
        <v>358500</v>
      </c>
      <c r="K17" s="31"/>
      <c r="L17" s="31"/>
      <c r="M17" s="31"/>
      <c r="N17" s="39">
        <f>IF(COUNT(K17:M17)=0,0,SUMPRODUCT({5000,1000,500},K17:M17))</f>
        <v>0</v>
      </c>
      <c r="O17" s="31"/>
      <c r="P17" s="31"/>
      <c r="Q17" s="31"/>
      <c r="R17" s="39">
        <f>IF(COUNT(O17:Q17)=0,0,SUMPRODUCT({5000,1000,500},O17:Q17))</f>
        <v>0</v>
      </c>
      <c r="S17" s="31"/>
      <c r="T17" s="31"/>
      <c r="U17" s="31"/>
      <c r="V17" s="31">
        <v>4</v>
      </c>
      <c r="W17" s="31"/>
      <c r="X17" s="31">
        <v>36</v>
      </c>
      <c r="Y17" s="31"/>
      <c r="Z17" s="31">
        <v>21</v>
      </c>
      <c r="AA17" s="31"/>
      <c r="AB17" s="31"/>
      <c r="AC17" s="31"/>
      <c r="AD17" s="34">
        <f>IF(COUNT(S17:AC17)=0,0,SUMPRODUCT({5000,1000,500,100,75,50,20,10,5,2,1}, S17:AC17))</f>
        <v>2410</v>
      </c>
      <c r="AE17" s="33">
        <v>360877</v>
      </c>
      <c r="AF17" s="24">
        <f>IF(AND(COUNT(C17:E17)=0,COUNT(G17:I17)=0,COUNT(K17:M17)=0,COUNT(O17:Q17)=0,COUNT(S17:AC17)=0,AE17=""),"",(IF(COUNT(C17:E17)=0,0,SUMPRODUCT({5000,1000,500},C17:E17))+IF(COUNT(G17:I17)=0,0,SUMPRODUCT({5000,1000,500},G17:I17))+IF(COUNT(K17:M17)=0,0,SUMPRODUCT({5000,1000,500},K17:M17))+IF(COUNT(O17:Q17)=0,0,SUMPRODUCT({5000,1000,500},O17:Q17))+AD17)-N(AE17))</f>
        <v>33</v>
      </c>
      <c r="AG17" s="35" t="str">
        <f t="shared" si="0"/>
        <v>Excess</v>
      </c>
      <c r="AH17" s="38"/>
      <c r="AI17" s="36">
        <v>997207.21</v>
      </c>
      <c r="AJ17" s="37">
        <v>997207.21</v>
      </c>
      <c r="AK17" s="26">
        <f t="shared" si="1"/>
        <v>0</v>
      </c>
      <c r="AL17" s="25" t="str">
        <f t="shared" si="2"/>
        <v>Matched</v>
      </c>
      <c r="AM17" s="38"/>
    </row>
    <row r="18" spans="1:39" ht="12.75" customHeight="1" x14ac:dyDescent="0.25">
      <c r="A18" s="31">
        <v>53893</v>
      </c>
      <c r="B18" s="32" t="str">
        <f>IF(A18="","",VLOOKUP(A18,'Employee Database'!A:B,2,FALSE))</f>
        <v>M Binyameen</v>
      </c>
      <c r="C18" s="31"/>
      <c r="D18" s="31"/>
      <c r="E18" s="31"/>
      <c r="F18" s="39">
        <f>IF(COUNT(C18:E18)=0,0,SUMPRODUCT({5000,1000,500},C18:E18))</f>
        <v>0</v>
      </c>
      <c r="G18" s="31">
        <v>25</v>
      </c>
      <c r="H18" s="31">
        <v>147</v>
      </c>
      <c r="I18" s="31">
        <v>37</v>
      </c>
      <c r="J18" s="39">
        <f>IF(COUNT(G18:I18)=0,0,SUMPRODUCT({5000,1000,500},G18:I18))</f>
        <v>290500</v>
      </c>
      <c r="K18" s="31"/>
      <c r="L18" s="31"/>
      <c r="M18" s="31"/>
      <c r="N18" s="39">
        <f>IF(COUNT(K18:M18)=0,0,SUMPRODUCT({5000,1000,500},K18:M18))</f>
        <v>0</v>
      </c>
      <c r="O18" s="31"/>
      <c r="P18" s="31"/>
      <c r="Q18" s="31"/>
      <c r="R18" s="39">
        <f>IF(COUNT(O18:Q18)=0,0,SUMPRODUCT({5000,1000,500},O18:Q18))</f>
        <v>0</v>
      </c>
      <c r="S18" s="31"/>
      <c r="T18" s="31"/>
      <c r="U18" s="31"/>
      <c r="V18" s="31">
        <v>6</v>
      </c>
      <c r="W18" s="31"/>
      <c r="X18" s="31">
        <v>7</v>
      </c>
      <c r="Y18" s="31"/>
      <c r="Z18" s="31">
        <v>205</v>
      </c>
      <c r="AA18" s="31"/>
      <c r="AB18" s="31"/>
      <c r="AC18" s="31"/>
      <c r="AD18" s="34">
        <f>IF(COUNT(S18:AC18)=0,0,SUMPRODUCT({5000,1000,500,100,75,50,20,10,5,2,1}, S18:AC18))</f>
        <v>3000</v>
      </c>
      <c r="AE18" s="33">
        <v>293716</v>
      </c>
      <c r="AF18" s="24">
        <f>IF(AND(COUNT(C18:E18)=0,COUNT(G18:I18)=0,COUNT(K18:M18)=0,COUNT(O18:Q18)=0,COUNT(S18:AC18)=0,AE18=""),"",(IF(COUNT(C18:E18)=0,0,SUMPRODUCT({5000,1000,500},C18:E18))+IF(COUNT(G18:I18)=0,0,SUMPRODUCT({5000,1000,500},G18:I18))+IF(COUNT(K18:M18)=0,0,SUMPRODUCT({5000,1000,500},K18:M18))+IF(COUNT(O18:Q18)=0,0,SUMPRODUCT({5000,1000,500},O18:Q18))+AD18)-N(AE18))</f>
        <v>-216</v>
      </c>
      <c r="AG18" s="35" t="str">
        <f t="shared" si="0"/>
        <v>Short</v>
      </c>
      <c r="AH18" s="38"/>
      <c r="AI18" s="36">
        <v>303457.91999999998</v>
      </c>
      <c r="AJ18" s="37">
        <f>229342.84+74115.08</f>
        <v>303457.91999999998</v>
      </c>
      <c r="AK18" s="26">
        <f t="shared" si="1"/>
        <v>0</v>
      </c>
      <c r="AL18" s="25" t="str">
        <f t="shared" si="2"/>
        <v>Matched</v>
      </c>
      <c r="AM18" s="38"/>
    </row>
    <row r="19" spans="1:39" ht="12.75" customHeight="1" x14ac:dyDescent="0.25">
      <c r="A19" s="31">
        <v>71788</v>
      </c>
      <c r="B19" s="32" t="str">
        <f>IF(A19="","",VLOOKUP(A19,'Employee Database'!A:B,2,FALSE))</f>
        <v>Saaim</v>
      </c>
      <c r="C19" s="31"/>
      <c r="D19" s="31"/>
      <c r="E19" s="31"/>
      <c r="F19" s="39">
        <f>IF(COUNT(C19:E19)=0,0,SUMPRODUCT({5000,1000,500},C19:E19))</f>
        <v>0</v>
      </c>
      <c r="G19" s="31">
        <v>32</v>
      </c>
      <c r="H19" s="31">
        <v>123</v>
      </c>
      <c r="I19" s="31">
        <v>0</v>
      </c>
      <c r="J19" s="39">
        <f>IF(COUNT(G19:I19)=0,0,SUMPRODUCT({5000,1000,500},G19:I19))</f>
        <v>283000</v>
      </c>
      <c r="K19" s="31"/>
      <c r="L19" s="31"/>
      <c r="M19" s="31"/>
      <c r="N19" s="39">
        <f>IF(COUNT(K19:M19)=0,0,SUMPRODUCT({5000,1000,500},K19:M19))</f>
        <v>0</v>
      </c>
      <c r="O19" s="31"/>
      <c r="P19" s="31"/>
      <c r="Q19" s="31"/>
      <c r="R19" s="39">
        <f>IF(COUNT(O19:Q19)=0,0,SUMPRODUCT({5000,1000,500},O19:Q19))</f>
        <v>0</v>
      </c>
      <c r="S19" s="31"/>
      <c r="T19" s="31"/>
      <c r="U19" s="31"/>
      <c r="V19" s="31">
        <v>1</v>
      </c>
      <c r="W19" s="31"/>
      <c r="X19" s="31">
        <v>24</v>
      </c>
      <c r="Y19" s="31">
        <v>2</v>
      </c>
      <c r="Z19" s="31">
        <v>118</v>
      </c>
      <c r="AA19" s="31"/>
      <c r="AB19" s="31"/>
      <c r="AC19" s="31"/>
      <c r="AD19" s="34">
        <f>IF(COUNT(S19:AC19)=0,0,SUMPRODUCT({5000,1000,500,100,75,50,20,10,5,2,1}, S19:AC19))</f>
        <v>2520</v>
      </c>
      <c r="AE19" s="33">
        <v>285499</v>
      </c>
      <c r="AF19" s="24">
        <f>IF(AND(COUNT(C19:E19)=0,COUNT(G19:I19)=0,COUNT(K19:M19)=0,COUNT(O19:Q19)=0,COUNT(S19:AC19)=0,AE19=""),"",(IF(COUNT(C19:E19)=0,0,SUMPRODUCT({5000,1000,500},C19:E19))+IF(COUNT(G19:I19)=0,0,SUMPRODUCT({5000,1000,500},G19:I19))+IF(COUNT(K19:M19)=0,0,SUMPRODUCT({5000,1000,500},K19:M19))+IF(COUNT(O19:Q19)=0,0,SUMPRODUCT({5000,1000,500},O19:Q19))+AD19)-N(AE19))</f>
        <v>21</v>
      </c>
      <c r="AG19" s="35" t="str">
        <f t="shared" si="0"/>
        <v>Excess</v>
      </c>
      <c r="AH19" s="38"/>
      <c r="AI19" s="36">
        <v>704391.58</v>
      </c>
      <c r="AJ19" s="37">
        <f>48856.95+94280.38+561254.25</f>
        <v>704391.58000000007</v>
      </c>
      <c r="AK19" s="26">
        <f t="shared" si="1"/>
        <v>-1.1641532182693481E-10</v>
      </c>
      <c r="AL19" s="25" t="str">
        <f t="shared" si="2"/>
        <v>Bank Short</v>
      </c>
      <c r="AM19" s="38"/>
    </row>
    <row r="20" spans="1:39" ht="12.75" customHeight="1" x14ac:dyDescent="0.25">
      <c r="A20" s="31">
        <v>75768</v>
      </c>
      <c r="B20" s="32" t="str">
        <f>IF(A20="","",VLOOKUP(A20,'Employee Database'!A:B,2,FALSE))</f>
        <v>Zuhaib</v>
      </c>
      <c r="C20" s="31"/>
      <c r="D20" s="31"/>
      <c r="E20" s="31"/>
      <c r="F20" s="39">
        <f>IF(COUNT(C20:E20)=0,0,SUMPRODUCT({5000,1000,500},C20:E20))</f>
        <v>0</v>
      </c>
      <c r="G20" s="31">
        <v>26</v>
      </c>
      <c r="H20" s="31">
        <v>155</v>
      </c>
      <c r="I20" s="31">
        <v>0</v>
      </c>
      <c r="J20" s="39">
        <f>IF(COUNT(G20:I20)=0,0,SUMPRODUCT({5000,1000,500},G20:I20))</f>
        <v>285000</v>
      </c>
      <c r="K20" s="31"/>
      <c r="L20" s="31"/>
      <c r="M20" s="31"/>
      <c r="N20" s="39">
        <f>IF(COUNT(K20:M20)=0,0,SUMPRODUCT({5000,1000,500},K20:M20))</f>
        <v>0</v>
      </c>
      <c r="O20" s="31"/>
      <c r="P20" s="31"/>
      <c r="Q20" s="31"/>
      <c r="R20" s="39">
        <f>IF(COUNT(O20:Q20)=0,0,SUMPRODUCT({5000,1000,500},O20:Q20))</f>
        <v>0</v>
      </c>
      <c r="S20" s="31"/>
      <c r="T20" s="31"/>
      <c r="U20" s="31"/>
      <c r="V20" s="31">
        <v>6</v>
      </c>
      <c r="W20" s="31"/>
      <c r="X20" s="31">
        <v>104</v>
      </c>
      <c r="Y20" s="31">
        <v>2</v>
      </c>
      <c r="Z20" s="31">
        <v>28</v>
      </c>
      <c r="AA20" s="31"/>
      <c r="AB20" s="31"/>
      <c r="AC20" s="31"/>
      <c r="AD20" s="34">
        <f>IF(COUNT(S20:AC20)=0,0,SUMPRODUCT({5000,1000,500,100,75,50,20,10,5,2,1}, S20:AC20))</f>
        <v>6120</v>
      </c>
      <c r="AE20" s="33">
        <v>291058</v>
      </c>
      <c r="AF20" s="24">
        <f>IF(AND(COUNT(C20:E20)=0,COUNT(G20:I20)=0,COUNT(K20:M20)=0,COUNT(O20:Q20)=0,COUNT(S20:AC20)=0,AE20=""),"",(IF(COUNT(C20:E20)=0,0,SUMPRODUCT({5000,1000,500},C20:E20))+IF(COUNT(G20:I20)=0,0,SUMPRODUCT({5000,1000,500},G20:I20))+IF(COUNT(K20:M20)=0,0,SUMPRODUCT({5000,1000,500},K20:M20))+IF(COUNT(O20:Q20)=0,0,SUMPRODUCT({5000,1000,500},O20:Q20))+AD20)-N(AE20))</f>
        <v>62</v>
      </c>
      <c r="AG20" s="35" t="str">
        <f t="shared" si="0"/>
        <v>Excess</v>
      </c>
      <c r="AH20" s="38"/>
      <c r="AI20" s="36">
        <f>497575.66+66432.82</f>
        <v>564008.48</v>
      </c>
      <c r="AJ20" s="37">
        <f>66432.82+351179.77+146395.89</f>
        <v>564008.48</v>
      </c>
      <c r="AK20" s="26">
        <f t="shared" si="1"/>
        <v>0</v>
      </c>
      <c r="AL20" s="25" t="str">
        <f t="shared" si="2"/>
        <v>Matched</v>
      </c>
      <c r="AM20" s="38"/>
    </row>
    <row r="21" spans="1:39" ht="12.75" customHeight="1" x14ac:dyDescent="0.25">
      <c r="A21" s="31">
        <v>61648</v>
      </c>
      <c r="B21" s="32" t="str">
        <f>IF(A21="","",VLOOKUP(A21,'Employee Database'!A:B,2,FALSE))</f>
        <v>Rizwan</v>
      </c>
      <c r="C21" s="31"/>
      <c r="D21" s="31"/>
      <c r="E21" s="31"/>
      <c r="F21" s="39">
        <f>IF(COUNT(C21:E21)=0,0,SUMPRODUCT({5000,1000,500},C21:E21))</f>
        <v>0</v>
      </c>
      <c r="G21" s="31">
        <v>45</v>
      </c>
      <c r="H21" s="31">
        <v>170</v>
      </c>
      <c r="I21" s="31">
        <v>4</v>
      </c>
      <c r="J21" s="39">
        <f>IF(COUNT(G21:I21)=0,0,SUMPRODUCT({5000,1000,500},G21:I21))</f>
        <v>397000</v>
      </c>
      <c r="K21" s="31"/>
      <c r="L21" s="31"/>
      <c r="M21" s="31"/>
      <c r="N21" s="39">
        <f>IF(COUNT(K21:M21)=0,0,SUMPRODUCT({5000,1000,500},K21:M21))</f>
        <v>0</v>
      </c>
      <c r="O21" s="31"/>
      <c r="P21" s="31"/>
      <c r="Q21" s="31"/>
      <c r="R21" s="39">
        <f>IF(COUNT(O21:Q21)=0,0,SUMPRODUCT({5000,1000,500},O21:Q21))</f>
        <v>0</v>
      </c>
      <c r="S21" s="31"/>
      <c r="T21" s="31"/>
      <c r="U21" s="31"/>
      <c r="V21" s="31">
        <v>7</v>
      </c>
      <c r="W21" s="31"/>
      <c r="X21" s="31">
        <v>95</v>
      </c>
      <c r="Y21" s="31"/>
      <c r="Z21" s="31">
        <v>48</v>
      </c>
      <c r="AA21" s="31"/>
      <c r="AB21" s="31"/>
      <c r="AC21" s="31"/>
      <c r="AD21" s="34">
        <f>IF(COUNT(S21:AC21)=0,0,SUMPRODUCT({5000,1000,500,100,75,50,20,10,5,2,1}, S21:AC21))</f>
        <v>5930</v>
      </c>
      <c r="AE21" s="33">
        <v>403164</v>
      </c>
      <c r="AF21" s="24">
        <f>IF(AND(COUNT(C21:E21)=0,COUNT(G21:I21)=0,COUNT(K21:M21)=0,COUNT(O21:Q21)=0,COUNT(S21:AC21)=0,AE21=""),"",(IF(COUNT(C21:E21)=0,0,SUMPRODUCT({5000,1000,500},C21:E21))+IF(COUNT(G21:I21)=0,0,SUMPRODUCT({5000,1000,500},G21:I21))+IF(COUNT(K21:M21)=0,0,SUMPRODUCT({5000,1000,500},K21:M21))+IF(COUNT(O21:Q21)=0,0,SUMPRODUCT({5000,1000,500},O21:Q21))+AD21)-N(AE21))</f>
        <v>-234</v>
      </c>
      <c r="AG21" s="35" t="str">
        <f t="shared" si="0"/>
        <v>Short</v>
      </c>
      <c r="AH21" s="38"/>
      <c r="AI21" s="36">
        <v>898767.58</v>
      </c>
      <c r="AJ21" s="37">
        <v>898767.58</v>
      </c>
      <c r="AK21" s="26">
        <f t="shared" si="1"/>
        <v>0</v>
      </c>
      <c r="AL21" s="25" t="str">
        <f t="shared" si="2"/>
        <v>Matched</v>
      </c>
      <c r="AM21" s="38"/>
    </row>
    <row r="22" spans="1:39" ht="12.75" customHeight="1" x14ac:dyDescent="0.25">
      <c r="A22" s="31">
        <v>79593</v>
      </c>
      <c r="B22" s="32" t="str">
        <f>IF(A22="","",VLOOKUP(A22,'Employee Database'!A:B,2,FALSE))</f>
        <v>Amir</v>
      </c>
      <c r="C22" s="31"/>
      <c r="D22" s="31"/>
      <c r="E22" s="31"/>
      <c r="F22" s="39">
        <f>IF(COUNT(C22:E22)=0,0,SUMPRODUCT({5000,1000,500},C22:E22))</f>
        <v>0</v>
      </c>
      <c r="G22" s="31">
        <v>15</v>
      </c>
      <c r="H22" s="31">
        <v>176</v>
      </c>
      <c r="I22" s="31">
        <v>1</v>
      </c>
      <c r="J22" s="39">
        <f>IF(COUNT(G22:I22)=0,0,SUMPRODUCT({5000,1000,500},G22:I22))</f>
        <v>251500</v>
      </c>
      <c r="K22" s="31"/>
      <c r="L22" s="31"/>
      <c r="M22" s="31"/>
      <c r="N22" s="39">
        <f>IF(COUNT(K22:M22)=0,0,SUMPRODUCT({5000,1000,500},K22:M22))</f>
        <v>0</v>
      </c>
      <c r="O22" s="31"/>
      <c r="P22" s="31"/>
      <c r="Q22" s="31"/>
      <c r="R22" s="39">
        <f>IF(COUNT(O22:Q22)=0,0,SUMPRODUCT({5000,1000,500},O22:Q22))</f>
        <v>0</v>
      </c>
      <c r="S22" s="31"/>
      <c r="T22" s="31"/>
      <c r="U22" s="31"/>
      <c r="V22" s="31"/>
      <c r="W22" s="31"/>
      <c r="X22" s="31"/>
      <c r="Y22" s="31"/>
      <c r="Z22" s="31">
        <v>23</v>
      </c>
      <c r="AA22" s="31"/>
      <c r="AB22" s="31"/>
      <c r="AC22" s="31"/>
      <c r="AD22" s="34">
        <f>IF(COUNT(S22:AC22)=0,0,SUMPRODUCT({5000,1000,500,100,75,50,20,10,5,2,1}, S22:AC22))</f>
        <v>230</v>
      </c>
      <c r="AE22" s="33">
        <v>251714</v>
      </c>
      <c r="AF22" s="24">
        <f>IF(AND(COUNT(C22:E22)=0,COUNT(G22:I22)=0,COUNT(K22:M22)=0,COUNT(O22:Q22)=0,COUNT(S22:AC22)=0,AE22=""),"",(IF(COUNT(C22:E22)=0,0,SUMPRODUCT({5000,1000,500},C22:E22))+IF(COUNT(G22:I22)=0,0,SUMPRODUCT({5000,1000,500},G22:I22))+IF(COUNT(K22:M22)=0,0,SUMPRODUCT({5000,1000,500},K22:M22))+IF(COUNT(O22:Q22)=0,0,SUMPRODUCT({5000,1000,500},O22:Q22))+AD22)-N(AE22))</f>
        <v>16</v>
      </c>
      <c r="AG22" s="35" t="str">
        <f t="shared" si="0"/>
        <v>Excess</v>
      </c>
      <c r="AH22" s="38"/>
      <c r="AI22" s="36">
        <f>23679.54+618047.38</f>
        <v>641726.92000000004</v>
      </c>
      <c r="AJ22" s="37">
        <f>20831.07+2848.47+618047.38</f>
        <v>641726.92000000004</v>
      </c>
      <c r="AK22" s="26">
        <f t="shared" si="1"/>
        <v>0</v>
      </c>
      <c r="AL22" s="25" t="str">
        <f t="shared" si="2"/>
        <v>Matched</v>
      </c>
      <c r="AM22" s="38"/>
    </row>
    <row r="23" spans="1:39" ht="12.75" customHeight="1" x14ac:dyDescent="0.25">
      <c r="A23" s="31">
        <v>68475</v>
      </c>
      <c r="B23" s="32" t="str">
        <f>IF(A23="","",VLOOKUP(A23,'Employee Database'!A:B,2,FALSE))</f>
        <v>M Azeem</v>
      </c>
      <c r="C23" s="31"/>
      <c r="D23" s="31"/>
      <c r="E23" s="31"/>
      <c r="F23" s="39">
        <f>IF(COUNT(C23:E23)=0,0,SUMPRODUCT({5000,1000,500},C23:E23))</f>
        <v>0</v>
      </c>
      <c r="G23" s="31">
        <v>47</v>
      </c>
      <c r="H23" s="31">
        <v>142</v>
      </c>
      <c r="I23" s="31">
        <v>11</v>
      </c>
      <c r="J23" s="39">
        <f>IF(COUNT(G23:I23)=0,0,SUMPRODUCT({5000,1000,500},G23:I23))</f>
        <v>382500</v>
      </c>
      <c r="K23" s="31"/>
      <c r="L23" s="31"/>
      <c r="M23" s="31"/>
      <c r="N23" s="39">
        <f>IF(COUNT(K23:M23)=0,0,SUMPRODUCT({5000,1000,500},K23:M23))</f>
        <v>0</v>
      </c>
      <c r="O23" s="31"/>
      <c r="P23" s="31"/>
      <c r="Q23" s="31"/>
      <c r="R23" s="39">
        <f>IF(COUNT(O23:Q23)=0,0,SUMPRODUCT({5000,1000,500},O23:Q23))</f>
        <v>0</v>
      </c>
      <c r="S23" s="31"/>
      <c r="T23" s="31"/>
      <c r="U23" s="31"/>
      <c r="V23" s="31"/>
      <c r="W23" s="31"/>
      <c r="X23" s="31">
        <v>11</v>
      </c>
      <c r="Y23" s="31">
        <v>1</v>
      </c>
      <c r="Z23" s="31">
        <v>17</v>
      </c>
      <c r="AA23" s="31"/>
      <c r="AB23" s="31"/>
      <c r="AC23" s="31"/>
      <c r="AD23" s="34">
        <f>IF(COUNT(S23:AC23)=0,0,SUMPRODUCT({5000,1000,500,100,75,50,20,10,5,2,1}, S23:AC23))</f>
        <v>740</v>
      </c>
      <c r="AE23" s="33">
        <v>383211</v>
      </c>
      <c r="AF23" s="24">
        <f>IF(AND(COUNT(C23:E23)=0,COUNT(G23:I23)=0,COUNT(K23:M23)=0,COUNT(O23:Q23)=0,COUNT(S23:AC23)=0,AE23=""),"",(IF(COUNT(C23:E23)=0,0,SUMPRODUCT({5000,1000,500},C23:E23))+IF(COUNT(G23:I23)=0,0,SUMPRODUCT({5000,1000,500},G23:I23))+IF(COUNT(K23:M23)=0,0,SUMPRODUCT({5000,1000,500},K23:M23))+IF(COUNT(O23:Q23)=0,0,SUMPRODUCT({5000,1000,500},O23:Q23))+AD23)-N(AE23))</f>
        <v>29</v>
      </c>
      <c r="AG23" s="35" t="str">
        <f t="shared" si="0"/>
        <v>Excess</v>
      </c>
      <c r="AH23" s="38"/>
      <c r="AI23" s="36">
        <v>793328.58</v>
      </c>
      <c r="AJ23" s="37">
        <f>352159.52+441169.06</f>
        <v>793328.58000000007</v>
      </c>
      <c r="AK23" s="26">
        <f t="shared" si="1"/>
        <v>-1.1641532182693481E-10</v>
      </c>
      <c r="AL23" s="25" t="str">
        <f t="shared" si="2"/>
        <v>Bank Short</v>
      </c>
      <c r="AM23" s="38"/>
    </row>
    <row r="24" spans="1:39" ht="12.75" customHeight="1" x14ac:dyDescent="0.25">
      <c r="A24" s="31">
        <v>50134</v>
      </c>
      <c r="B24" s="32" t="str">
        <f>IF(A24="","",VLOOKUP(A24,'Employee Database'!A:B,2,FALSE))</f>
        <v>Asif Abbas</v>
      </c>
      <c r="C24" s="31"/>
      <c r="D24" s="31"/>
      <c r="E24" s="31"/>
      <c r="F24" s="39">
        <f>IF(COUNT(C24:E24)=0,0,SUMPRODUCT({5000,1000,500},C24:E24))</f>
        <v>0</v>
      </c>
      <c r="G24" s="31">
        <v>32</v>
      </c>
      <c r="H24" s="31">
        <v>248</v>
      </c>
      <c r="I24" s="31">
        <v>28</v>
      </c>
      <c r="J24" s="39">
        <f>IF(COUNT(G24:I24)=0,0,SUMPRODUCT({5000,1000,500},G24:I24))</f>
        <v>422000</v>
      </c>
      <c r="K24" s="31"/>
      <c r="L24" s="31"/>
      <c r="M24" s="31"/>
      <c r="N24" s="39">
        <f>IF(COUNT(K24:M24)=0,0,SUMPRODUCT({5000,1000,500},K24:M24))</f>
        <v>0</v>
      </c>
      <c r="O24" s="31"/>
      <c r="P24" s="31"/>
      <c r="Q24" s="31"/>
      <c r="R24" s="39">
        <f>IF(COUNT(O24:Q24)=0,0,SUMPRODUCT({5000,1000,500},O24:Q24))</f>
        <v>0</v>
      </c>
      <c r="S24" s="31"/>
      <c r="T24" s="31"/>
      <c r="U24" s="31"/>
      <c r="V24" s="31">
        <v>4</v>
      </c>
      <c r="W24" s="31"/>
      <c r="X24" s="31">
        <v>67</v>
      </c>
      <c r="Y24" s="31"/>
      <c r="Z24" s="31">
        <v>3</v>
      </c>
      <c r="AA24" s="31"/>
      <c r="AB24" s="31"/>
      <c r="AC24" s="31"/>
      <c r="AD24" s="34">
        <f>IF(COUNT(S24:AC24)=0,0,SUMPRODUCT({5000,1000,500,100,75,50,20,10,5,2,1}, S24:AC24))</f>
        <v>3780</v>
      </c>
      <c r="AE24" s="33">
        <v>425823</v>
      </c>
      <c r="AF24" s="24">
        <f>IF(AND(COUNT(C24:E24)=0,COUNT(G24:I24)=0,COUNT(K24:M24)=0,COUNT(O24:Q24)=0,COUNT(S24:AC24)=0,AE24=""),"",(IF(COUNT(C24:E24)=0,0,SUMPRODUCT({5000,1000,500},C24:E24))+IF(COUNT(G24:I24)=0,0,SUMPRODUCT({5000,1000,500},G24:I24))+IF(COUNT(K24:M24)=0,0,SUMPRODUCT({5000,1000,500},K24:M24))+IF(COUNT(O24:Q24)=0,0,SUMPRODUCT({5000,1000,500},O24:Q24))+AD24)-N(AE24))</f>
        <v>-43</v>
      </c>
      <c r="AG24" s="35" t="str">
        <f t="shared" si="0"/>
        <v>Short</v>
      </c>
      <c r="AH24" s="38"/>
      <c r="AI24" s="36">
        <v>868261.28</v>
      </c>
      <c r="AJ24" s="37">
        <v>868261.28</v>
      </c>
      <c r="AK24" s="26">
        <f t="shared" si="1"/>
        <v>0</v>
      </c>
      <c r="AL24" s="25" t="str">
        <f t="shared" si="2"/>
        <v>Matched</v>
      </c>
      <c r="AM24" s="38"/>
    </row>
    <row r="25" spans="1:39" ht="12.75" customHeight="1" x14ac:dyDescent="0.25">
      <c r="A25" s="31">
        <v>69728</v>
      </c>
      <c r="B25" s="32" t="str">
        <f>IF(A25="","",VLOOKUP(A25,'Employee Database'!A:B,2,FALSE))</f>
        <v>Hafiz Hafeez Ur Rehman</v>
      </c>
      <c r="C25" s="31"/>
      <c r="D25" s="31"/>
      <c r="E25" s="31"/>
      <c r="F25" s="39">
        <f>IF(COUNT(C25:E25)=0,0,SUMPRODUCT({5000,1000,500},C25:E25))</f>
        <v>0</v>
      </c>
      <c r="G25" s="31">
        <v>43</v>
      </c>
      <c r="H25" s="31">
        <v>208</v>
      </c>
      <c r="I25" s="31">
        <v>18</v>
      </c>
      <c r="J25" s="39">
        <f>IF(COUNT(G25:I25)=0,0,SUMPRODUCT({5000,1000,500},G25:I25))</f>
        <v>432000</v>
      </c>
      <c r="K25" s="31"/>
      <c r="L25" s="31"/>
      <c r="M25" s="31"/>
      <c r="N25" s="39">
        <f>IF(COUNT(K25:M25)=0,0,SUMPRODUCT({5000,1000,500},K25:M25))</f>
        <v>0</v>
      </c>
      <c r="O25" s="31"/>
      <c r="P25" s="31"/>
      <c r="Q25" s="31"/>
      <c r="R25" s="39">
        <f>IF(COUNT(O25:Q25)=0,0,SUMPRODUCT({5000,1000,500},O25:Q25))</f>
        <v>0</v>
      </c>
      <c r="S25" s="31"/>
      <c r="T25" s="31"/>
      <c r="U25" s="31"/>
      <c r="V25" s="31">
        <v>4</v>
      </c>
      <c r="W25" s="31"/>
      <c r="X25" s="31">
        <v>47</v>
      </c>
      <c r="Y25" s="31">
        <v>1</v>
      </c>
      <c r="Z25" s="31">
        <v>43</v>
      </c>
      <c r="AA25" s="31"/>
      <c r="AB25" s="31"/>
      <c r="AC25" s="31"/>
      <c r="AD25" s="34">
        <f>IF(COUNT(S25:AC25)=0,0,SUMPRODUCT({5000,1000,500,100,75,50,20,10,5,2,1}, S25:AC25))</f>
        <v>3200</v>
      </c>
      <c r="AE25" s="33">
        <v>442222</v>
      </c>
      <c r="AF25" s="24">
        <f>IF(AND(COUNT(C25:E25)=0,COUNT(G25:I25)=0,COUNT(K25:M25)=0,COUNT(O25:Q25)=0,COUNT(S25:AC25)=0,AE25=""),"",(IF(COUNT(C25:E25)=0,0,SUMPRODUCT({5000,1000,500},C25:E25))+IF(COUNT(G25:I25)=0,0,SUMPRODUCT({5000,1000,500},G25:I25))+IF(COUNT(K25:M25)=0,0,SUMPRODUCT({5000,1000,500},K25:M25))+IF(COUNT(O25:Q25)=0,0,SUMPRODUCT({5000,1000,500},O25:Q25))+AD25)-N(AE25))</f>
        <v>-7022</v>
      </c>
      <c r="AG25" s="35" t="str">
        <f t="shared" si="0"/>
        <v>Short</v>
      </c>
      <c r="AH25" s="38"/>
      <c r="AI25" s="36">
        <f>411901.6+416087.6</f>
        <v>827989.2</v>
      </c>
      <c r="AJ25" s="37">
        <f>418901.6+416087.6</f>
        <v>834989.2</v>
      </c>
      <c r="AK25" s="26">
        <f t="shared" si="1"/>
        <v>-7000</v>
      </c>
      <c r="AL25" s="25" t="str">
        <f t="shared" si="2"/>
        <v>Bank Short</v>
      </c>
      <c r="AM25" s="38"/>
    </row>
    <row r="26" spans="1:39" ht="12.75" customHeight="1" x14ac:dyDescent="0.25">
      <c r="A26" s="31">
        <v>68473</v>
      </c>
      <c r="B26" s="32" t="str">
        <f>IF(A26="","",VLOOKUP(A26,'Employee Database'!A:B,2,FALSE))</f>
        <v>M Noman</v>
      </c>
      <c r="C26" s="31"/>
      <c r="D26" s="31"/>
      <c r="E26" s="31"/>
      <c r="F26" s="39">
        <f>IF(COUNT(C26:E26)=0,0,SUMPRODUCT({5000,1000,500},C26:E26))</f>
        <v>0</v>
      </c>
      <c r="G26" s="31"/>
      <c r="H26" s="31">
        <v>3</v>
      </c>
      <c r="I26" s="31"/>
      <c r="J26" s="39">
        <f>IF(COUNT(G26:I26)=0,0,SUMPRODUCT({5000,1000,500},G26:I26))</f>
        <v>3000</v>
      </c>
      <c r="K26" s="31"/>
      <c r="L26" s="31"/>
      <c r="M26" s="31"/>
      <c r="N26" s="39">
        <f>IF(COUNT(K26:M26)=0,0,SUMPRODUCT({5000,1000,500},K26:M26))</f>
        <v>0</v>
      </c>
      <c r="O26" s="31"/>
      <c r="P26" s="31"/>
      <c r="Q26" s="31"/>
      <c r="R26" s="39">
        <f>IF(COUNT(O26:Q26)=0,0,SUMPRODUCT({5000,1000,500},O26:Q26))</f>
        <v>0</v>
      </c>
      <c r="S26" s="31"/>
      <c r="T26" s="31"/>
      <c r="U26" s="31"/>
      <c r="V26" s="31"/>
      <c r="W26" s="31"/>
      <c r="X26" s="31">
        <v>7</v>
      </c>
      <c r="Y26" s="31"/>
      <c r="Z26" s="31"/>
      <c r="AA26" s="31"/>
      <c r="AB26" s="31"/>
      <c r="AC26" s="31"/>
      <c r="AD26" s="34">
        <f>IF(COUNT(S26:AC26)=0,0,SUMPRODUCT({5000,1000,500,100,75,50,20,10,5,2,1}, S26:AC26))</f>
        <v>350</v>
      </c>
      <c r="AE26" s="33">
        <v>3352</v>
      </c>
      <c r="AF26" s="24">
        <f>IF(AND(COUNT(C26:E26)=0,COUNT(G26:I26)=0,COUNT(K26:M26)=0,COUNT(O26:Q26)=0,COUNT(S26:AC26)=0,AE26=""),"",(IF(COUNT(C26:E26)=0,0,SUMPRODUCT({5000,1000,500},C26:E26))+IF(COUNT(G26:I26)=0,0,SUMPRODUCT({5000,1000,500},G26:I26))+IF(COUNT(K26:M26)=0,0,SUMPRODUCT({5000,1000,500},K26:M26))+IF(COUNT(O26:Q26)=0,0,SUMPRODUCT({5000,1000,500},O26:Q26))+AD26)-N(AE26))</f>
        <v>-2</v>
      </c>
      <c r="AG26" s="35" t="str">
        <f t="shared" si="0"/>
        <v>Short</v>
      </c>
      <c r="AH26" s="38"/>
      <c r="AI26" s="36">
        <v>166483.20000000001</v>
      </c>
      <c r="AJ26" s="37">
        <v>166483.20000000001</v>
      </c>
      <c r="AK26" s="26">
        <f t="shared" si="1"/>
        <v>0</v>
      </c>
      <c r="AL26" s="25" t="str">
        <f t="shared" si="2"/>
        <v>Matched</v>
      </c>
      <c r="AM26" s="38"/>
    </row>
    <row r="27" spans="1:39" ht="12.75" customHeight="1" x14ac:dyDescent="0.25">
      <c r="A27" s="31"/>
      <c r="B27" s="32" t="str">
        <f>IF(A27="","",VLOOKUP(A27,'Employee Database'!A:B,2,FALSE))</f>
        <v/>
      </c>
      <c r="C27" s="31"/>
      <c r="D27" s="31"/>
      <c r="E27" s="31"/>
      <c r="F27" s="39">
        <f>IF(COUNT(C27:E27)=0,0,SUMPRODUCT({5000,1000,500},C27:E27))</f>
        <v>0</v>
      </c>
      <c r="G27" s="31"/>
      <c r="H27" s="31"/>
      <c r="I27" s="31"/>
      <c r="J27" s="39">
        <f>IF(COUNT(G27:I27)=0,0,SUMPRODUCT({5000,1000,500},G27:I27))</f>
        <v>0</v>
      </c>
      <c r="K27" s="31"/>
      <c r="L27" s="31"/>
      <c r="M27" s="31"/>
      <c r="N27" s="39">
        <f>IF(COUNT(K27:M27)=0,0,SUMPRODUCT({5000,1000,500},K27:M27))</f>
        <v>0</v>
      </c>
      <c r="O27" s="31"/>
      <c r="P27" s="31"/>
      <c r="Q27" s="31"/>
      <c r="R27" s="39">
        <f>IF(COUNT(O27:Q27)=0,0,SUMPRODUCT({5000,1000,500},O27:Q27))</f>
        <v>0</v>
      </c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4">
        <f>IF(COUNT(S27:AC27)=0,0,SUMPRODUCT({5000,1000,500,100,75,50,20,10,5,2,1}, S27:AC27))</f>
        <v>0</v>
      </c>
      <c r="AE27" s="33"/>
      <c r="AF27" s="24" t="str">
        <f>IF(AND(COUNT(C27:E27)=0,COUNT(G27:I27)=0,COUNT(K27:M27)=0,COUNT(O27:Q27)=0,COUNT(S27:AC27)=0,AE27=""),"",(IF(COUNT(C27:E27)=0,0,SUMPRODUCT({5000,1000,500},C27:E27))+IF(COUNT(G27:I27)=0,0,SUMPRODUCT({5000,1000,500},G27:I27))+IF(COUNT(K27:M27)=0,0,SUMPRODUCT({5000,1000,500},K27:M27))+IF(COUNT(O27:Q27)=0,0,SUMPRODUCT({5000,1000,500},O27:Q27))+AD27)-N(AE27))</f>
        <v/>
      </c>
      <c r="AG27" s="35" t="str">
        <f t="shared" si="0"/>
        <v/>
      </c>
      <c r="AH27" s="38"/>
      <c r="AI27" s="36"/>
      <c r="AJ27" s="37"/>
      <c r="AK27" s="26" t="str">
        <f t="shared" si="1"/>
        <v/>
      </c>
      <c r="AL27" s="25" t="str">
        <f t="shared" si="2"/>
        <v/>
      </c>
      <c r="AM27" s="38"/>
    </row>
    <row r="28" spans="1:39" ht="12.75" customHeight="1" x14ac:dyDescent="0.25">
      <c r="A28" s="31"/>
      <c r="B28" s="32" t="str">
        <f>IF(A28="","",VLOOKUP(A28,'Employee Database'!A:B,2,FALSE))</f>
        <v/>
      </c>
      <c r="C28" s="31"/>
      <c r="D28" s="31"/>
      <c r="E28" s="31"/>
      <c r="F28" s="39">
        <f>IF(COUNT(C28:E28)=0,0,SUMPRODUCT({5000,1000,500},C28:E28))</f>
        <v>0</v>
      </c>
      <c r="G28" s="31"/>
      <c r="H28" s="31"/>
      <c r="I28" s="31"/>
      <c r="J28" s="39">
        <f>IF(COUNT(G28:I28)=0,0,SUMPRODUCT({5000,1000,500},G28:I28))</f>
        <v>0</v>
      </c>
      <c r="K28" s="31"/>
      <c r="L28" s="31"/>
      <c r="M28" s="31"/>
      <c r="N28" s="39">
        <f>IF(COUNT(K28:M28)=0,0,SUMPRODUCT({5000,1000,500},K28:M28))</f>
        <v>0</v>
      </c>
      <c r="O28" s="31"/>
      <c r="P28" s="31"/>
      <c r="Q28" s="31"/>
      <c r="R28" s="39">
        <f>IF(COUNT(O28:Q28)=0,0,SUMPRODUCT({5000,1000,500},O28:Q28))</f>
        <v>0</v>
      </c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4">
        <f>IF(COUNT(S28:AC28)=0,0,SUMPRODUCT({5000,1000,500,100,75,50,20,10,5,2,1}, S28:AC28))</f>
        <v>0</v>
      </c>
      <c r="AE28" s="33"/>
      <c r="AF28" s="24" t="str">
        <f>IF(AND(COUNT(C28:E28)=0,COUNT(G28:I28)=0,COUNT(K28:M28)=0,COUNT(O28:Q28)=0,COUNT(S28:AC28)=0,AE28=""),"",(IF(COUNT(C28:E28)=0,0,SUMPRODUCT({5000,1000,500},C28:E28))+IF(COUNT(G28:I28)=0,0,SUMPRODUCT({5000,1000,500},G28:I28))+IF(COUNT(K28:M28)=0,0,SUMPRODUCT({5000,1000,500},K28:M28))+IF(COUNT(O28:Q28)=0,0,SUMPRODUCT({5000,1000,500},O28:Q28))+AD28)-N(AE28))</f>
        <v/>
      </c>
      <c r="AG28" s="35" t="str">
        <f t="shared" si="0"/>
        <v/>
      </c>
      <c r="AH28" s="38"/>
      <c r="AI28" s="36"/>
      <c r="AJ28" s="37"/>
      <c r="AK28" s="26" t="str">
        <f t="shared" si="1"/>
        <v/>
      </c>
      <c r="AL28" s="25" t="str">
        <f t="shared" si="2"/>
        <v/>
      </c>
      <c r="AM28" s="38"/>
    </row>
    <row r="29" spans="1:39" ht="12.75" customHeight="1" x14ac:dyDescent="0.25">
      <c r="A29" s="31"/>
      <c r="B29" s="32" t="str">
        <f>IF(A29="","",VLOOKUP(A29,'Employee Database'!A:B,2,FALSE))</f>
        <v/>
      </c>
      <c r="C29" s="31"/>
      <c r="D29" s="31"/>
      <c r="E29" s="31"/>
      <c r="F29" s="39">
        <f>IF(COUNT(C29:E29)=0,0,SUMPRODUCT({5000,1000,500},C29:E29))</f>
        <v>0</v>
      </c>
      <c r="G29" s="31"/>
      <c r="H29" s="31"/>
      <c r="I29" s="31"/>
      <c r="J29" s="39">
        <f>IF(COUNT(G29:I29)=0,0,SUMPRODUCT({5000,1000,500},G29:I29))</f>
        <v>0</v>
      </c>
      <c r="K29" s="31"/>
      <c r="L29" s="31"/>
      <c r="M29" s="31"/>
      <c r="N29" s="39">
        <f>IF(COUNT(K29:M29)=0,0,SUMPRODUCT({5000,1000,500},K29:M29))</f>
        <v>0</v>
      </c>
      <c r="O29" s="31"/>
      <c r="P29" s="31"/>
      <c r="Q29" s="31"/>
      <c r="R29" s="39">
        <f>IF(COUNT(O29:Q29)=0,0,SUMPRODUCT({5000,1000,500},O29:Q29))</f>
        <v>0</v>
      </c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4">
        <f>IF(COUNT(S29:AC29)=0,0,SUMPRODUCT({5000,1000,500,100,75,50,20,10,5,2,1}, S29:AC29))</f>
        <v>0</v>
      </c>
      <c r="AE29" s="33"/>
      <c r="AF29" s="24" t="str">
        <f>IF(AND(COUNT(C29:E29)=0,COUNT(G29:I29)=0,COUNT(K29:M29)=0,COUNT(O29:Q29)=0,COUNT(S29:AC29)=0,AE29=""),"",(IF(COUNT(C29:E29)=0,0,SUMPRODUCT({5000,1000,500},C29:E29))+IF(COUNT(G29:I29)=0,0,SUMPRODUCT({5000,1000,500},G29:I29))+IF(COUNT(K29:M29)=0,0,SUMPRODUCT({5000,1000,500},K29:M29))+IF(COUNT(O29:Q29)=0,0,SUMPRODUCT({5000,1000,500},O29:Q29))+AD29)-N(AE29))</f>
        <v/>
      </c>
      <c r="AG29" s="35" t="str">
        <f t="shared" si="0"/>
        <v/>
      </c>
      <c r="AH29" s="38"/>
      <c r="AI29" s="36"/>
      <c r="AJ29" s="37"/>
      <c r="AK29" s="26" t="str">
        <f t="shared" si="1"/>
        <v/>
      </c>
      <c r="AL29" s="25" t="str">
        <f t="shared" si="2"/>
        <v/>
      </c>
      <c r="AM29" s="38"/>
    </row>
    <row r="30" spans="1:39" ht="12.75" customHeight="1" x14ac:dyDescent="0.25">
      <c r="A30" s="31"/>
      <c r="B30" s="32" t="str">
        <f>IF(A30="","",VLOOKUP(A30,'Employee Database'!A:B,2,FALSE))</f>
        <v/>
      </c>
      <c r="C30" s="31"/>
      <c r="D30" s="31"/>
      <c r="E30" s="31"/>
      <c r="F30" s="39">
        <f>IF(COUNT(C30:E30)=0,0,SUMPRODUCT({5000,1000,500},C30:E30))</f>
        <v>0</v>
      </c>
      <c r="G30" s="31"/>
      <c r="H30" s="31"/>
      <c r="I30" s="31"/>
      <c r="J30" s="39">
        <f>IF(COUNT(G30:I30)=0,0,SUMPRODUCT({5000,1000,500},G30:I30))</f>
        <v>0</v>
      </c>
      <c r="K30" s="31"/>
      <c r="L30" s="31"/>
      <c r="M30" s="31"/>
      <c r="N30" s="39">
        <f>IF(COUNT(K30:M30)=0,0,SUMPRODUCT({5000,1000,500},K30:M30))</f>
        <v>0</v>
      </c>
      <c r="O30" s="31"/>
      <c r="P30" s="31"/>
      <c r="Q30" s="31"/>
      <c r="R30" s="39">
        <f>IF(COUNT(O30:Q30)=0,0,SUMPRODUCT({5000,1000,500},O30:Q30))</f>
        <v>0</v>
      </c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4">
        <f>IF(COUNT(S30:AC30)=0,0,SUMPRODUCT({5000,1000,500,100,75,50,20,10,5,2,1}, S30:AC30))</f>
        <v>0</v>
      </c>
      <c r="AE30" s="33"/>
      <c r="AF30" s="24" t="str">
        <f>IF(AND(COUNT(C30:E30)=0,COUNT(G30:I30)=0,COUNT(K30:M30)=0,COUNT(O30:Q30)=0,COUNT(S30:AC30)=0,AE30=""),"",(IF(COUNT(C30:E30)=0,0,SUMPRODUCT({5000,1000,500},C30:E30))+IF(COUNT(G30:I30)=0,0,SUMPRODUCT({5000,1000,500},G30:I30))+IF(COUNT(K30:M30)=0,0,SUMPRODUCT({5000,1000,500},K30:M30))+IF(COUNT(O30:Q30)=0,0,SUMPRODUCT({5000,1000,500},O30:Q30))+AD30)-N(AE30))</f>
        <v/>
      </c>
      <c r="AG30" s="35" t="str">
        <f t="shared" si="0"/>
        <v/>
      </c>
      <c r="AH30" s="38"/>
      <c r="AI30" s="36"/>
      <c r="AJ30" s="37"/>
      <c r="AK30" s="26" t="str">
        <f t="shared" si="1"/>
        <v/>
      </c>
      <c r="AL30" s="25" t="str">
        <f t="shared" si="2"/>
        <v/>
      </c>
      <c r="AM30" s="38"/>
    </row>
    <row r="31" spans="1:39" ht="12.75" customHeight="1" x14ac:dyDescent="0.25">
      <c r="A31" s="31"/>
      <c r="B31" s="32" t="str">
        <f>IF(A31="","",VLOOKUP(A31,'Employee Database'!A:B,2,FALSE))</f>
        <v/>
      </c>
      <c r="C31" s="31"/>
      <c r="D31" s="31"/>
      <c r="E31" s="31"/>
      <c r="F31" s="39">
        <f>IF(COUNT(C31:E31)=0,0,SUMPRODUCT({5000,1000,500},C31:E31))</f>
        <v>0</v>
      </c>
      <c r="G31" s="31"/>
      <c r="H31" s="31"/>
      <c r="I31" s="31"/>
      <c r="J31" s="39">
        <f>IF(COUNT(G31:I31)=0,0,SUMPRODUCT({5000,1000,500},G31:I31))</f>
        <v>0</v>
      </c>
      <c r="K31" s="31"/>
      <c r="L31" s="31"/>
      <c r="M31" s="31"/>
      <c r="N31" s="39">
        <f>IF(COUNT(K31:M31)=0,0,SUMPRODUCT({5000,1000,500},K31:M31))</f>
        <v>0</v>
      </c>
      <c r="O31" s="31"/>
      <c r="P31" s="31"/>
      <c r="Q31" s="31"/>
      <c r="R31" s="39">
        <f>IF(COUNT(O31:Q31)=0,0,SUMPRODUCT({5000,1000,500},O31:Q31))</f>
        <v>0</v>
      </c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4">
        <f>IF(COUNT(S31:AC31)=0,0,SUMPRODUCT({5000,1000,500,100,75,50,20,10,5,2,1}, S31:AC31))</f>
        <v>0</v>
      </c>
      <c r="AE31" s="33"/>
      <c r="AF31" s="24" t="str">
        <f>IF(AND(COUNT(C31:E31)=0,COUNT(G31:I31)=0,COUNT(K31:M31)=0,COUNT(O31:Q31)=0,COUNT(S31:AC31)=0,AE31=""),"",(IF(COUNT(C31:E31)=0,0,SUMPRODUCT({5000,1000,500},C31:E31))+IF(COUNT(G31:I31)=0,0,SUMPRODUCT({5000,1000,500},G31:I31))+IF(COUNT(K31:M31)=0,0,SUMPRODUCT({5000,1000,500},K31:M31))+IF(COUNT(O31:Q31)=0,0,SUMPRODUCT({5000,1000,500},O31:Q31))+AD31)-N(AE31))</f>
        <v/>
      </c>
      <c r="AG31" s="35" t="str">
        <f t="shared" si="0"/>
        <v/>
      </c>
      <c r="AH31" s="38"/>
      <c r="AI31" s="36"/>
      <c r="AJ31" s="37"/>
      <c r="AK31" s="26"/>
      <c r="AL31" s="25" t="str">
        <f t="shared" si="2"/>
        <v/>
      </c>
      <c r="AM31" s="38"/>
    </row>
    <row r="32" spans="1:39" ht="12.75" customHeight="1" x14ac:dyDescent="0.25">
      <c r="A32" s="31"/>
      <c r="B32" s="32" t="str">
        <f>IF(A32="","",VLOOKUP(A32,'Employee Database'!A:B,2,FALSE))</f>
        <v/>
      </c>
      <c r="C32" s="31"/>
      <c r="D32" s="31"/>
      <c r="E32" s="31"/>
      <c r="F32" s="39">
        <f>IF(COUNT(C32:E32)=0,0,SUMPRODUCT({5000,1000,500},C32:E32))</f>
        <v>0</v>
      </c>
      <c r="G32" s="31"/>
      <c r="H32" s="31"/>
      <c r="I32" s="31"/>
      <c r="J32" s="39">
        <f>IF(COUNT(G32:I32)=0,0,SUMPRODUCT({5000,1000,500},G32:I32))</f>
        <v>0</v>
      </c>
      <c r="K32" s="31"/>
      <c r="L32" s="31"/>
      <c r="M32" s="31"/>
      <c r="N32" s="39">
        <f>IF(COUNT(K32:M32)=0,0,SUMPRODUCT({5000,1000,500},K32:M32))</f>
        <v>0</v>
      </c>
      <c r="O32" s="31"/>
      <c r="P32" s="31"/>
      <c r="Q32" s="31"/>
      <c r="R32" s="39">
        <f>IF(COUNT(O32:Q32)=0,0,SUMPRODUCT({5000,1000,500},O32:Q32))</f>
        <v>0</v>
      </c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4">
        <f>IF(COUNT(S32:AC32)=0,0,SUMPRODUCT({5000,1000,500,100,75,50,20,10,5,2,1}, S32:AC32))</f>
        <v>0</v>
      </c>
      <c r="AE32" s="33"/>
      <c r="AF32" s="24" t="str">
        <f>IF(AND(COUNT(C32:E32)=0,COUNT(G32:I32)=0,COUNT(K32:M32)=0,COUNT(O32:Q32)=0,COUNT(S32:AC32)=0,AE32=""),"",(IF(COUNT(C32:E32)=0,0,SUMPRODUCT({5000,1000,500},C32:E32))+IF(COUNT(G32:I32)=0,0,SUMPRODUCT({5000,1000,500},G32:I32))+IF(COUNT(K32:M32)=0,0,SUMPRODUCT({5000,1000,500},K32:M32))+IF(COUNT(O32:Q32)=0,0,SUMPRODUCT({5000,1000,500},O32:Q32))+AD32)-N(AE32))</f>
        <v/>
      </c>
      <c r="AG32" s="35" t="str">
        <f t="shared" si="0"/>
        <v/>
      </c>
      <c r="AH32" s="38"/>
      <c r="AI32" s="36"/>
      <c r="AJ32" s="37"/>
      <c r="AK32" s="26"/>
      <c r="AL32" s="25" t="str">
        <f t="shared" si="2"/>
        <v/>
      </c>
      <c r="AM32" s="38"/>
    </row>
    <row r="33" spans="1:39" ht="12.75" customHeight="1" x14ac:dyDescent="0.25">
      <c r="A33" s="31"/>
      <c r="B33" s="32" t="str">
        <f>IF(A33="","",VLOOKUP(A33,'Employee Database'!A:B,2,FALSE))</f>
        <v/>
      </c>
      <c r="C33" s="31"/>
      <c r="D33" s="31"/>
      <c r="E33" s="31"/>
      <c r="F33" s="39">
        <f>IF(COUNT(C33:E33)=0,0,SUMPRODUCT({5000,1000,500},C33:E33))</f>
        <v>0</v>
      </c>
      <c r="G33" s="31"/>
      <c r="H33" s="31"/>
      <c r="I33" s="31"/>
      <c r="J33" s="39">
        <f>IF(COUNT(G33:I33)=0,0,SUMPRODUCT({5000,1000,500},G33:I33))</f>
        <v>0</v>
      </c>
      <c r="K33" s="31"/>
      <c r="L33" s="31"/>
      <c r="M33" s="31"/>
      <c r="N33" s="39">
        <f>IF(COUNT(K33:M33)=0,0,SUMPRODUCT({5000,1000,500},K33:M33))</f>
        <v>0</v>
      </c>
      <c r="O33" s="31"/>
      <c r="P33" s="31"/>
      <c r="Q33" s="31"/>
      <c r="R33" s="39">
        <f>IF(COUNT(O33:Q33)=0,0,SUMPRODUCT({5000,1000,500},O33:Q33))</f>
        <v>0</v>
      </c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4">
        <f>IF(COUNT(S33:AC33)=0,0,SUMPRODUCT({5000,1000,500,100,75,50,20,10,5,2,1}, S33:AC33))</f>
        <v>0</v>
      </c>
      <c r="AE33" s="33"/>
      <c r="AF33" s="24" t="str">
        <f>IF(AND(COUNT(C33:E33)=0,COUNT(G33:I33)=0,COUNT(K33:M33)=0,COUNT(O33:Q33)=0,COUNT(S33:AC33)=0,AE33=""),"",(IF(COUNT(C33:E33)=0,0,SUMPRODUCT({5000,1000,500},C33:E33))+IF(COUNT(G33:I33)=0,0,SUMPRODUCT({5000,1000,500},G33:I33))+IF(COUNT(K33:M33)=0,0,SUMPRODUCT({5000,1000,500},K33:M33))+IF(COUNT(O33:Q33)=0,0,SUMPRODUCT({5000,1000,500},O33:Q33))+AD33)-N(AE33))</f>
        <v/>
      </c>
      <c r="AG33" s="35" t="str">
        <f t="shared" si="0"/>
        <v/>
      </c>
      <c r="AH33" s="38"/>
      <c r="AI33" s="36"/>
      <c r="AJ33" s="37"/>
      <c r="AK33" s="26"/>
      <c r="AL33" s="25" t="str">
        <f t="shared" si="2"/>
        <v/>
      </c>
      <c r="AM33" s="38"/>
    </row>
    <row r="34" spans="1:39" ht="12.75" customHeight="1" x14ac:dyDescent="0.25">
      <c r="A34" s="31"/>
      <c r="B34" s="32" t="str">
        <f>IF(A34="","",VLOOKUP(A34,'Employee Database'!A:B,2,FALSE))</f>
        <v/>
      </c>
      <c r="C34" s="31"/>
      <c r="D34" s="31"/>
      <c r="E34" s="31"/>
      <c r="F34" s="39">
        <f>IF(COUNT(C34:E34)=0,0,SUMPRODUCT({5000,1000,500},C34:E34))</f>
        <v>0</v>
      </c>
      <c r="G34" s="31"/>
      <c r="H34" s="31"/>
      <c r="I34" s="31"/>
      <c r="J34" s="39">
        <f>IF(COUNT(G34:I34)=0,0,SUMPRODUCT({5000,1000,500},G34:I34))</f>
        <v>0</v>
      </c>
      <c r="K34" s="31"/>
      <c r="L34" s="31"/>
      <c r="M34" s="31"/>
      <c r="N34" s="39">
        <f>IF(COUNT(K34:M34)=0,0,SUMPRODUCT({5000,1000,500},K34:M34))</f>
        <v>0</v>
      </c>
      <c r="O34" s="31"/>
      <c r="P34" s="31"/>
      <c r="Q34" s="31"/>
      <c r="R34" s="39">
        <f>IF(COUNT(O34:Q34)=0,0,SUMPRODUCT({5000,1000,500},O34:Q34))</f>
        <v>0</v>
      </c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4">
        <f>IF(COUNT(S34:AC34)=0,0,SUMPRODUCT({5000,1000,500,100,75,50,20,10,5,2,1}, S34:AC34))</f>
        <v>0</v>
      </c>
      <c r="AE34" s="33"/>
      <c r="AF34" s="24" t="str">
        <f>IF(AND(COUNT(C34:E34)=0,COUNT(G34:I34)=0,COUNT(K34:M34)=0,COUNT(O34:Q34)=0,COUNT(S34:AC34)=0,AE34=""),"",(IF(COUNT(C34:E34)=0,0,SUMPRODUCT({5000,1000,500},C34:E34))+IF(COUNT(G34:I34)=0,0,SUMPRODUCT({5000,1000,500},G34:I34))+IF(COUNT(K34:M34)=0,0,SUMPRODUCT({5000,1000,500},K34:M34))+IF(COUNT(O34:Q34)=0,0,SUMPRODUCT({5000,1000,500},O34:Q34))+AD34)-N(AE34))</f>
        <v/>
      </c>
      <c r="AG34" s="35" t="str">
        <f t="shared" si="0"/>
        <v/>
      </c>
      <c r="AH34" s="38"/>
      <c r="AI34" s="36"/>
      <c r="AJ34" s="37"/>
      <c r="AK34" s="26"/>
      <c r="AL34" s="25"/>
      <c r="AM34" s="38"/>
    </row>
    <row r="35" spans="1:39" ht="22.5" customHeight="1" x14ac:dyDescent="0.25">
      <c r="A35" s="27" t="s">
        <v>24</v>
      </c>
      <c r="B35" s="27" t="s">
        <v>24</v>
      </c>
      <c r="C35" s="28">
        <f t="shared" ref="C35:AF35" si="3">SUM(C5:C34)</f>
        <v>264</v>
      </c>
      <c r="D35" s="28">
        <f t="shared" si="3"/>
        <v>1158</v>
      </c>
      <c r="E35" s="28">
        <f t="shared" si="3"/>
        <v>175</v>
      </c>
      <c r="F35" s="40">
        <f t="shared" si="3"/>
        <v>2565500</v>
      </c>
      <c r="G35" s="28">
        <f t="shared" si="3"/>
        <v>386</v>
      </c>
      <c r="H35" s="28">
        <f t="shared" si="3"/>
        <v>1765</v>
      </c>
      <c r="I35" s="28">
        <f t="shared" si="3"/>
        <v>176</v>
      </c>
      <c r="J35" s="40">
        <f t="shared" si="3"/>
        <v>3783000</v>
      </c>
      <c r="K35" s="28">
        <f t="shared" si="3"/>
        <v>0</v>
      </c>
      <c r="L35" s="28">
        <f t="shared" si="3"/>
        <v>0</v>
      </c>
      <c r="M35" s="28">
        <f t="shared" si="3"/>
        <v>0</v>
      </c>
      <c r="N35" s="40">
        <f t="shared" si="3"/>
        <v>0</v>
      </c>
      <c r="O35" s="28">
        <f t="shared" si="3"/>
        <v>0</v>
      </c>
      <c r="P35" s="28">
        <f t="shared" si="3"/>
        <v>0</v>
      </c>
      <c r="Q35" s="28">
        <f t="shared" si="3"/>
        <v>0</v>
      </c>
      <c r="R35" s="40">
        <f t="shared" si="3"/>
        <v>0</v>
      </c>
      <c r="S35" s="28">
        <f t="shared" si="3"/>
        <v>0</v>
      </c>
      <c r="T35" s="28">
        <f t="shared" si="3"/>
        <v>0</v>
      </c>
      <c r="U35" s="28">
        <f t="shared" si="3"/>
        <v>0</v>
      </c>
      <c r="V35" s="28">
        <f t="shared" si="3"/>
        <v>111</v>
      </c>
      <c r="W35" s="28">
        <f t="shared" si="3"/>
        <v>0</v>
      </c>
      <c r="X35" s="28">
        <f t="shared" si="3"/>
        <v>834</v>
      </c>
      <c r="Y35" s="28">
        <f t="shared" si="3"/>
        <v>9</v>
      </c>
      <c r="Z35" s="28">
        <f t="shared" si="3"/>
        <v>746</v>
      </c>
      <c r="AA35" s="28">
        <f t="shared" si="3"/>
        <v>0</v>
      </c>
      <c r="AB35" s="28">
        <f t="shared" si="3"/>
        <v>0</v>
      </c>
      <c r="AC35" s="28">
        <f t="shared" si="3"/>
        <v>0</v>
      </c>
      <c r="AD35" s="40">
        <f t="shared" si="3"/>
        <v>60440</v>
      </c>
      <c r="AE35" s="41">
        <f t="shared" si="3"/>
        <v>6416194</v>
      </c>
      <c r="AF35" s="29">
        <f t="shared" si="3"/>
        <v>-7254</v>
      </c>
      <c r="AG35" s="27" t="s">
        <v>24</v>
      </c>
      <c r="AH35" s="27" t="s">
        <v>24</v>
      </c>
      <c r="AI35" s="28">
        <f>SUM(AI5:AI34)</f>
        <v>12390320.509999998</v>
      </c>
      <c r="AJ35" s="28">
        <f>SUM(AJ5:AJ34)</f>
        <v>12397320.509999998</v>
      </c>
      <c r="AK35" s="28">
        <f>SUM(AK5:AK34)</f>
        <v>-7000.0000000002328</v>
      </c>
      <c r="AL35" s="28">
        <f>AJ35+AE35</f>
        <v>18813514.509999998</v>
      </c>
      <c r="AM35" s="28">
        <f>SUM(AM5:AM34)</f>
        <v>0</v>
      </c>
    </row>
  </sheetData>
  <sheetProtection algorithmName="SHA-512" hashValue="IkH16PE0KNVK6HPPPI5uGC9vK6dr9xn9djbXRotmgdsHYavAvj79fWbTP+62lhZHgIo60Dfx0oovHue2yhL3yw==" saltValue="SA1fCP+4Rr33AUKMnfBVqg==" spinCount="100000" sheet="1" objects="1" scenarios="1"/>
  <mergeCells count="9">
    <mergeCell ref="S3:AC3"/>
    <mergeCell ref="AD3:AG3"/>
    <mergeCell ref="AH3:AM3"/>
    <mergeCell ref="A1:B1"/>
    <mergeCell ref="A3:B3"/>
    <mergeCell ref="C3:F3"/>
    <mergeCell ref="G3:J3"/>
    <mergeCell ref="K3:N3"/>
    <mergeCell ref="O3:R3"/>
  </mergeCells>
  <conditionalFormatting sqref="A5">
    <cfRule type="duplicateValues" dxfId="168" priority="3"/>
    <cfRule type="duplicateValues" dxfId="167" priority="4"/>
  </conditionalFormatting>
  <conditionalFormatting sqref="A6">
    <cfRule type="duplicateValues" dxfId="166" priority="5"/>
    <cfRule type="duplicateValues" dxfId="165" priority="6"/>
  </conditionalFormatting>
  <conditionalFormatting sqref="A7:A34">
    <cfRule type="duplicateValues" dxfId="164" priority="1"/>
    <cfRule type="duplicateValues" dxfId="163" priority="2"/>
  </conditionalFormatting>
  <conditionalFormatting sqref="A35">
    <cfRule type="duplicateValues" dxfId="162" priority="7"/>
  </conditionalFormatting>
  <dataValidations count="1">
    <dataValidation type="list" allowBlank="1" showInputMessage="1" showErrorMessage="1" sqref="A1:B1" xr:uid="{00000000-0002-0000-0900-000000000000}">
      <formula1>Locations</formula1>
    </dataValidation>
  </dataValidations>
  <pageMargins left="0.75" right="0.75" top="1" bottom="1" header="0.5" footer="0.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rgb="FFFF0000"/>
  </sheetPr>
  <dimension ref="A1:AM35"/>
  <sheetViews>
    <sheetView showGridLines="0" zoomScale="85" zoomScaleNormal="85" workbookViewId="0">
      <pane xSplit="2" topLeftCell="AC1" activePane="topRight" state="frozen"/>
      <selection activeCell="A4" sqref="A4"/>
      <selection pane="topRight" activeCell="AF24" sqref="AF5:AF24"/>
    </sheetView>
  </sheetViews>
  <sheetFormatPr defaultRowHeight="15" x14ac:dyDescent="0.25"/>
  <cols>
    <col min="1" max="1" width="11.85546875" customWidth="1"/>
    <col min="2" max="2" width="20.5703125" customWidth="1"/>
    <col min="6" max="6" width="14.42578125" bestFit="1" customWidth="1"/>
    <col min="10" max="10" width="14.42578125" bestFit="1" customWidth="1"/>
    <col min="14" max="14" width="14.42578125" bestFit="1" customWidth="1"/>
    <col min="18" max="18" width="14.42578125" bestFit="1" customWidth="1"/>
    <col min="30" max="31" width="18" customWidth="1"/>
    <col min="32" max="32" width="20" customWidth="1"/>
    <col min="33" max="33" width="14" customWidth="1"/>
    <col min="35" max="35" width="18" customWidth="1"/>
    <col min="36" max="36" width="22" customWidth="1"/>
    <col min="37" max="37" width="16" customWidth="1"/>
    <col min="38" max="38" width="14" customWidth="1"/>
  </cols>
  <sheetData>
    <row r="1" spans="1:39" ht="43.5" customHeight="1" x14ac:dyDescent="0.25">
      <c r="A1" s="48" t="s">
        <v>306</v>
      </c>
      <c r="B1" s="48"/>
    </row>
    <row r="2" spans="1:39" ht="13.5" customHeight="1" x14ac:dyDescent="0.25">
      <c r="A2" s="30">
        <f>'8'!A2+1</f>
        <v>46212</v>
      </c>
    </row>
    <row r="3" spans="1:39" ht="24" customHeight="1" x14ac:dyDescent="0.25">
      <c r="A3" s="49" t="s">
        <v>0</v>
      </c>
      <c r="B3" s="49"/>
      <c r="C3" s="49" t="s">
        <v>93</v>
      </c>
      <c r="D3" s="50"/>
      <c r="E3" s="50"/>
      <c r="F3" s="50"/>
      <c r="G3" s="49" t="s">
        <v>94</v>
      </c>
      <c r="H3" s="50"/>
      <c r="I3" s="50"/>
      <c r="J3" s="50"/>
      <c r="K3" s="49" t="s">
        <v>95</v>
      </c>
      <c r="L3" s="50"/>
      <c r="M3" s="50"/>
      <c r="N3" s="50"/>
      <c r="O3" s="49" t="s">
        <v>96</v>
      </c>
      <c r="P3" s="50"/>
      <c r="Q3" s="50"/>
      <c r="R3" s="50"/>
      <c r="S3" s="45" t="s">
        <v>1</v>
      </c>
      <c r="T3" s="46"/>
      <c r="U3" s="46"/>
      <c r="V3" s="46"/>
      <c r="W3" s="46"/>
      <c r="X3" s="46"/>
      <c r="Y3" s="46"/>
      <c r="Z3" s="46"/>
      <c r="AA3" s="46"/>
      <c r="AB3" s="46"/>
      <c r="AC3" s="46"/>
      <c r="AD3" s="47" t="s">
        <v>97</v>
      </c>
      <c r="AE3" s="46"/>
      <c r="AF3" s="46"/>
      <c r="AG3" s="46"/>
      <c r="AH3" s="47" t="s">
        <v>98</v>
      </c>
      <c r="AI3" s="46"/>
      <c r="AJ3" s="46"/>
      <c r="AK3" s="46"/>
      <c r="AL3" s="46"/>
      <c r="AM3" s="46"/>
    </row>
    <row r="4" spans="1:39" ht="27.95" customHeight="1" x14ac:dyDescent="0.25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92</v>
      </c>
      <c r="G4" s="1" t="s">
        <v>5</v>
      </c>
      <c r="H4" s="1" t="s">
        <v>6</v>
      </c>
      <c r="I4" s="1" t="s">
        <v>7</v>
      </c>
      <c r="J4" s="1" t="s">
        <v>92</v>
      </c>
      <c r="K4" s="1" t="s">
        <v>5</v>
      </c>
      <c r="L4" s="1" t="s">
        <v>6</v>
      </c>
      <c r="M4" s="1" t="s">
        <v>7</v>
      </c>
      <c r="N4" s="1" t="s">
        <v>92</v>
      </c>
      <c r="O4" s="1" t="s">
        <v>5</v>
      </c>
      <c r="P4" s="1" t="s">
        <v>6</v>
      </c>
      <c r="Q4" s="1" t="s">
        <v>7</v>
      </c>
      <c r="R4" s="1" t="s">
        <v>92</v>
      </c>
      <c r="S4" s="1" t="s">
        <v>5</v>
      </c>
      <c r="T4" s="1" t="s">
        <v>6</v>
      </c>
      <c r="U4" s="1" t="s">
        <v>7</v>
      </c>
      <c r="V4" s="1" t="s">
        <v>8</v>
      </c>
      <c r="W4" s="1" t="s">
        <v>9</v>
      </c>
      <c r="X4" s="1" t="s">
        <v>10</v>
      </c>
      <c r="Y4" s="1" t="s">
        <v>11</v>
      </c>
      <c r="Z4" s="1" t="s">
        <v>12</v>
      </c>
      <c r="AA4" s="1" t="s">
        <v>13</v>
      </c>
      <c r="AB4" s="1" t="s">
        <v>14</v>
      </c>
      <c r="AC4" s="1" t="s">
        <v>15</v>
      </c>
      <c r="AD4" s="1" t="s">
        <v>16</v>
      </c>
      <c r="AE4" s="1" t="s">
        <v>17</v>
      </c>
      <c r="AF4" s="1" t="s">
        <v>18</v>
      </c>
      <c r="AG4" s="1" t="s">
        <v>19</v>
      </c>
      <c r="AH4" s="1" t="s">
        <v>20</v>
      </c>
      <c r="AI4" s="4" t="s">
        <v>99</v>
      </c>
      <c r="AJ4" s="1" t="s">
        <v>21</v>
      </c>
      <c r="AK4" s="1" t="s">
        <v>22</v>
      </c>
      <c r="AL4" s="1" t="s">
        <v>23</v>
      </c>
      <c r="AM4" s="4" t="s">
        <v>100</v>
      </c>
    </row>
    <row r="5" spans="1:39" ht="12.75" customHeight="1" x14ac:dyDescent="0.25">
      <c r="A5" s="31">
        <v>67249</v>
      </c>
      <c r="B5" s="32" t="str">
        <f>IF(A5="","",VLOOKUP(A5,'Employee Database'!A:B,2,FALSE))</f>
        <v>Hanan Javaid</v>
      </c>
      <c r="C5" s="31">
        <v>21</v>
      </c>
      <c r="D5" s="31">
        <v>103</v>
      </c>
      <c r="E5" s="31">
        <v>43</v>
      </c>
      <c r="F5" s="39">
        <f>IF(COUNT(C5:E5)=0,0,SUMPRODUCT({5000,1000,500},C5:E5))</f>
        <v>229500</v>
      </c>
      <c r="G5" s="31"/>
      <c r="H5" s="31"/>
      <c r="I5" s="31"/>
      <c r="J5" s="39">
        <f>IF(COUNT(G5:I5)=0,0,SUMPRODUCT({5000,1000,500},G5:I5))</f>
        <v>0</v>
      </c>
      <c r="K5" s="31"/>
      <c r="L5" s="31"/>
      <c r="M5" s="31"/>
      <c r="N5" s="39">
        <f>IF(COUNT(K5:M5)=0,0,SUMPRODUCT({5000,1000,500},K5:M5))</f>
        <v>0</v>
      </c>
      <c r="O5" s="31"/>
      <c r="P5" s="31"/>
      <c r="Q5" s="31"/>
      <c r="R5" s="39">
        <f>IF(COUNT(O5:Q5)=0,0,SUMPRODUCT({5000,1000,500},O5:Q5))</f>
        <v>0</v>
      </c>
      <c r="S5" s="31"/>
      <c r="T5" s="31"/>
      <c r="U5" s="31"/>
      <c r="V5" s="31">
        <v>4</v>
      </c>
      <c r="W5" s="31"/>
      <c r="X5" s="31">
        <v>10</v>
      </c>
      <c r="Y5" s="31">
        <v>2</v>
      </c>
      <c r="Z5" s="31">
        <v>42</v>
      </c>
      <c r="AA5" s="31"/>
      <c r="AB5" s="31"/>
      <c r="AC5" s="31">
        <v>5</v>
      </c>
      <c r="AD5" s="34">
        <f>IF(COUNT(S5:AC5)=0,0,SUMPRODUCT({5000,1000,500,100,75,50,20,10,5,2,1}, S5:AC5))</f>
        <v>1365</v>
      </c>
      <c r="AE5" s="33">
        <v>230880</v>
      </c>
      <c r="AF5" s="24">
        <f>IF(AND(COUNT(C5:E5)=0,COUNT(G5:I5)=0,COUNT(K5:M5)=0,COUNT(O5:Q5)=0,COUNT(S5:AC5)=0,AE5=""),"",(IF(COUNT(C5:E5)=0,0,SUMPRODUCT({5000,1000,500},C5:E5))+IF(COUNT(G5:I5)=0,0,SUMPRODUCT({5000,1000,500},G5:I5))+IF(COUNT(K5:M5)=0,0,SUMPRODUCT({5000,1000,500},K5:M5))+IF(COUNT(O5:Q5)=0,0,SUMPRODUCT({5000,1000,500},O5:Q5))+AD5)-N(AE5))</f>
        <v>-15</v>
      </c>
      <c r="AG5" s="35" t="str">
        <f t="shared" ref="AG5:AG34" si="0">IF(AF5="","",IF(AF5&gt;0,"Excess",IF(AF5&lt;0,"Short","Balanced")))</f>
        <v>Short</v>
      </c>
      <c r="AH5" s="38"/>
      <c r="AI5" s="36">
        <v>226196.81</v>
      </c>
      <c r="AJ5" s="37">
        <f>83577.76+142619.05</f>
        <v>226196.81</v>
      </c>
      <c r="AK5" s="26">
        <f t="shared" ref="AK5:AK34" si="1">IF(AND(AI5="",AJ5=""),"",N(AI5)-N(AJ5))</f>
        <v>0</v>
      </c>
      <c r="AL5" s="25" t="str">
        <f t="shared" ref="AL5:AL34" si="2">IF(AK5="","",IF(AK5&gt;0,"POS Excess",IF(AK5&lt;0,"Bank Short","Matched")))</f>
        <v>Matched</v>
      </c>
      <c r="AM5" s="38"/>
    </row>
    <row r="6" spans="1:39" ht="12.75" customHeight="1" x14ac:dyDescent="0.25">
      <c r="A6" s="31">
        <v>58112</v>
      </c>
      <c r="B6" s="32" t="str">
        <f>IF(A6="","",VLOOKUP(A6,'Employee Database'!A:B,2,FALSE))</f>
        <v>Shama</v>
      </c>
      <c r="C6" s="31">
        <v>58</v>
      </c>
      <c r="D6" s="31">
        <v>86</v>
      </c>
      <c r="E6" s="31">
        <v>16</v>
      </c>
      <c r="F6" s="39">
        <f>IF(COUNT(C6:E6)=0,0,SUMPRODUCT({5000,1000,500},C6:E6))</f>
        <v>384000</v>
      </c>
      <c r="G6" s="31"/>
      <c r="H6" s="31"/>
      <c r="I6" s="31"/>
      <c r="J6" s="39">
        <f>IF(COUNT(G6:I6)=0,0,SUMPRODUCT({5000,1000,500},G6:I6))</f>
        <v>0</v>
      </c>
      <c r="K6" s="31"/>
      <c r="L6" s="31"/>
      <c r="M6" s="31"/>
      <c r="N6" s="39">
        <f>IF(COUNT(K6:M6)=0,0,SUMPRODUCT({5000,1000,500},K6:M6))</f>
        <v>0</v>
      </c>
      <c r="O6" s="31"/>
      <c r="P6" s="31"/>
      <c r="Q6" s="31"/>
      <c r="R6" s="39">
        <f>IF(COUNT(O6:Q6)=0,0,SUMPRODUCT({5000,1000,500},O6:Q6))</f>
        <v>0</v>
      </c>
      <c r="S6" s="31"/>
      <c r="T6" s="31"/>
      <c r="U6" s="31"/>
      <c r="V6" s="31">
        <v>2</v>
      </c>
      <c r="W6" s="31"/>
      <c r="X6" s="31">
        <v>1</v>
      </c>
      <c r="Y6" s="31"/>
      <c r="Z6" s="31">
        <v>8</v>
      </c>
      <c r="AA6" s="31"/>
      <c r="AB6" s="31"/>
      <c r="AC6" s="31"/>
      <c r="AD6" s="34">
        <f>IF(COUNT(S6:AC6)=0,0,SUMPRODUCT({5000,1000,500,100,75,50,20,10,5,2,1}, S6:AC6))</f>
        <v>330</v>
      </c>
      <c r="AE6" s="33">
        <v>384308</v>
      </c>
      <c r="AF6" s="24">
        <f>IF(AND(COUNT(C6:E6)=0,COUNT(G6:I6)=0,COUNT(K6:M6)=0,COUNT(O6:Q6)=0,COUNT(S6:AC6)=0,AE6=""),"",(IF(COUNT(C6:E6)=0,0,SUMPRODUCT({5000,1000,500},C6:E6))+IF(COUNT(G6:I6)=0,0,SUMPRODUCT({5000,1000,500},G6:I6))+IF(COUNT(K6:M6)=0,0,SUMPRODUCT({5000,1000,500},K6:M6))+IF(COUNT(O6:Q6)=0,0,SUMPRODUCT({5000,1000,500},O6:Q6))+AD6)-N(AE6))</f>
        <v>22</v>
      </c>
      <c r="AG6" s="35" t="str">
        <f t="shared" si="0"/>
        <v>Excess</v>
      </c>
      <c r="AH6" s="38"/>
      <c r="AI6" s="36">
        <v>726611.38</v>
      </c>
      <c r="AJ6" s="37">
        <f>334097.67+392513.71</f>
        <v>726611.38</v>
      </c>
      <c r="AK6" s="26">
        <f t="shared" si="1"/>
        <v>0</v>
      </c>
      <c r="AL6" s="25" t="str">
        <f t="shared" si="2"/>
        <v>Matched</v>
      </c>
      <c r="AM6" s="38"/>
    </row>
    <row r="7" spans="1:39" ht="12.75" customHeight="1" x14ac:dyDescent="0.25">
      <c r="A7" s="31">
        <v>59257</v>
      </c>
      <c r="B7" s="32" t="str">
        <f>IF(A7="","",VLOOKUP(A7,'Employee Database'!A:B,2,FALSE))</f>
        <v>Saddiqa Maryam</v>
      </c>
      <c r="C7" s="31">
        <v>3</v>
      </c>
      <c r="D7" s="31">
        <v>8</v>
      </c>
      <c r="E7" s="31">
        <v>10</v>
      </c>
      <c r="F7" s="39">
        <f>IF(COUNT(C7:E7)=0,0,SUMPRODUCT({5000,1000,500},C7:E7))</f>
        <v>28000</v>
      </c>
      <c r="G7" s="31"/>
      <c r="H7" s="31"/>
      <c r="I7" s="31"/>
      <c r="J7" s="39">
        <f>IF(COUNT(G7:I7)=0,0,SUMPRODUCT({5000,1000,500},G7:I7))</f>
        <v>0</v>
      </c>
      <c r="K7" s="31"/>
      <c r="L7" s="31"/>
      <c r="M7" s="31"/>
      <c r="N7" s="39">
        <f>IF(COUNT(K7:M7)=0,0,SUMPRODUCT({5000,1000,500},K7:M7))</f>
        <v>0</v>
      </c>
      <c r="O7" s="31"/>
      <c r="P7" s="31"/>
      <c r="Q7" s="31"/>
      <c r="R7" s="39">
        <f>IF(COUNT(O7:Q7)=0,0,SUMPRODUCT({5000,1000,500},O7:Q7))</f>
        <v>0</v>
      </c>
      <c r="S7" s="31"/>
      <c r="T7" s="31"/>
      <c r="U7" s="31"/>
      <c r="V7" s="31">
        <v>8</v>
      </c>
      <c r="W7" s="31"/>
      <c r="X7" s="31">
        <v>12</v>
      </c>
      <c r="Y7" s="31"/>
      <c r="Z7" s="31">
        <v>14</v>
      </c>
      <c r="AA7" s="31"/>
      <c r="AB7" s="31"/>
      <c r="AC7" s="31"/>
      <c r="AD7" s="34">
        <f>IF(COUNT(S7:AC7)=0,0,SUMPRODUCT({5000,1000,500,100,75,50,20,10,5,2,1}, S7:AC7))</f>
        <v>1540</v>
      </c>
      <c r="AE7" s="33">
        <v>29550</v>
      </c>
      <c r="AF7" s="24">
        <f>IF(AND(COUNT(C7:E7)=0,COUNT(G7:I7)=0,COUNT(K7:M7)=0,COUNT(O7:Q7)=0,COUNT(S7:AC7)=0,AE7=""),"",(IF(COUNT(C7:E7)=0,0,SUMPRODUCT({5000,1000,500},C7:E7))+IF(COUNT(G7:I7)=0,0,SUMPRODUCT({5000,1000,500},G7:I7))+IF(COUNT(K7:M7)=0,0,SUMPRODUCT({5000,1000,500},K7:M7))+IF(COUNT(O7:Q7)=0,0,SUMPRODUCT({5000,1000,500},O7:Q7))+AD7)-N(AE7))</f>
        <v>-10</v>
      </c>
      <c r="AG7" s="35" t="str">
        <f t="shared" si="0"/>
        <v>Short</v>
      </c>
      <c r="AH7" s="38"/>
      <c r="AI7" s="36">
        <v>19093.8</v>
      </c>
      <c r="AJ7" s="37">
        <f>9771.36+9322.44</f>
        <v>19093.800000000003</v>
      </c>
      <c r="AK7" s="26">
        <f t="shared" si="1"/>
        <v>-3.637978807091713E-12</v>
      </c>
      <c r="AL7" s="25" t="str">
        <f t="shared" si="2"/>
        <v>Bank Short</v>
      </c>
      <c r="AM7" s="38"/>
    </row>
    <row r="8" spans="1:39" ht="12.75" customHeight="1" x14ac:dyDescent="0.25">
      <c r="A8" s="31">
        <v>77423</v>
      </c>
      <c r="B8" s="32" t="str">
        <f>IF(A8="","",VLOOKUP(A8,'Employee Database'!A:B,2,FALSE))</f>
        <v>Shoaib Akhtar</v>
      </c>
      <c r="C8" s="31">
        <v>56</v>
      </c>
      <c r="D8" s="31">
        <v>157</v>
      </c>
      <c r="E8" s="31">
        <v>12</v>
      </c>
      <c r="F8" s="39">
        <f>IF(COUNT(C8:E8)=0,0,SUMPRODUCT({5000,1000,500},C8:E8))</f>
        <v>443000</v>
      </c>
      <c r="G8" s="31"/>
      <c r="H8" s="31"/>
      <c r="I8" s="31"/>
      <c r="J8" s="39">
        <f>IF(COUNT(G8:I8)=0,0,SUMPRODUCT({5000,1000,500},G8:I8))</f>
        <v>0</v>
      </c>
      <c r="K8" s="31"/>
      <c r="L8" s="31"/>
      <c r="M8" s="31"/>
      <c r="N8" s="39">
        <f>IF(COUNT(K8:M8)=0,0,SUMPRODUCT({5000,1000,500},K8:M8))</f>
        <v>0</v>
      </c>
      <c r="O8" s="31"/>
      <c r="P8" s="31"/>
      <c r="Q8" s="31"/>
      <c r="R8" s="39">
        <f>IF(COUNT(O8:Q8)=0,0,SUMPRODUCT({5000,1000,500},O8:Q8))</f>
        <v>0</v>
      </c>
      <c r="S8" s="31"/>
      <c r="T8" s="31"/>
      <c r="U8" s="31"/>
      <c r="V8" s="31">
        <v>11</v>
      </c>
      <c r="W8" s="31"/>
      <c r="X8" s="31">
        <v>54</v>
      </c>
      <c r="Y8" s="31"/>
      <c r="Z8" s="31">
        <v>16</v>
      </c>
      <c r="AA8" s="31"/>
      <c r="AB8" s="31"/>
      <c r="AC8" s="31"/>
      <c r="AD8" s="34">
        <f>IF(COUNT(S8:AC8)=0,0,SUMPRODUCT({5000,1000,500,100,75,50,20,10,5,2,1}, S8:AC8))</f>
        <v>3960</v>
      </c>
      <c r="AE8" s="33">
        <v>446975</v>
      </c>
      <c r="AF8" s="24">
        <f>IF(AND(COUNT(C8:E8)=0,COUNT(G8:I8)=0,COUNT(K8:M8)=0,COUNT(O8:Q8)=0,COUNT(S8:AC8)=0,AE8=""),"",(IF(COUNT(C8:E8)=0,0,SUMPRODUCT({5000,1000,500},C8:E8))+IF(COUNT(G8:I8)=0,0,SUMPRODUCT({5000,1000,500},G8:I8))+IF(COUNT(K8:M8)=0,0,SUMPRODUCT({5000,1000,500},K8:M8))+IF(COUNT(O8:Q8)=0,0,SUMPRODUCT({5000,1000,500},O8:Q8))+AD8)-N(AE8))</f>
        <v>-15</v>
      </c>
      <c r="AG8" s="35" t="str">
        <f t="shared" si="0"/>
        <v>Short</v>
      </c>
      <c r="AH8" s="38"/>
      <c r="AI8" s="36">
        <v>692205.65</v>
      </c>
      <c r="AJ8" s="37">
        <f>282526.2+409679.45</f>
        <v>692205.65</v>
      </c>
      <c r="AK8" s="26">
        <f t="shared" si="1"/>
        <v>0</v>
      </c>
      <c r="AL8" s="25" t="str">
        <f t="shared" si="2"/>
        <v>Matched</v>
      </c>
      <c r="AM8" s="38"/>
    </row>
    <row r="9" spans="1:39" ht="12.75" customHeight="1" x14ac:dyDescent="0.25">
      <c r="A9" s="31">
        <v>56189</v>
      </c>
      <c r="B9" s="32" t="str">
        <f>IF(A9="","",VLOOKUP(A9,'Employee Database'!A:B,2,FALSE))</f>
        <v>Iffat Sultan</v>
      </c>
      <c r="C9" s="31">
        <v>35</v>
      </c>
      <c r="D9" s="31">
        <v>47</v>
      </c>
      <c r="E9" s="31">
        <v>2</v>
      </c>
      <c r="F9" s="39">
        <f>IF(COUNT(C9:E9)=0,0,SUMPRODUCT({5000,1000,500},C9:E9))</f>
        <v>223000</v>
      </c>
      <c r="G9" s="31"/>
      <c r="H9" s="31"/>
      <c r="I9" s="31"/>
      <c r="J9" s="39">
        <f>IF(COUNT(G9:I9)=0,0,SUMPRODUCT({5000,1000,500},G9:I9))</f>
        <v>0</v>
      </c>
      <c r="K9" s="31"/>
      <c r="L9" s="31"/>
      <c r="M9" s="31"/>
      <c r="N9" s="39">
        <f>IF(COUNT(K9:M9)=0,0,SUMPRODUCT({5000,1000,500},K9:M9))</f>
        <v>0</v>
      </c>
      <c r="O9" s="31"/>
      <c r="P9" s="31"/>
      <c r="Q9" s="31"/>
      <c r="R9" s="39">
        <f>IF(COUNT(O9:Q9)=0,0,SUMPRODUCT({5000,1000,500},O9:Q9))</f>
        <v>0</v>
      </c>
      <c r="S9" s="31"/>
      <c r="T9" s="31"/>
      <c r="U9" s="31"/>
      <c r="V9" s="31"/>
      <c r="W9" s="31"/>
      <c r="X9" s="31">
        <v>102</v>
      </c>
      <c r="Y9" s="31"/>
      <c r="Z9" s="31">
        <v>24</v>
      </c>
      <c r="AA9" s="31"/>
      <c r="AB9" s="31"/>
      <c r="AC9" s="31"/>
      <c r="AD9" s="34">
        <f>IF(COUNT(S9:AC9)=0,0,SUMPRODUCT({5000,1000,500,100,75,50,20,10,5,2,1}, S9:AC9))</f>
        <v>5340</v>
      </c>
      <c r="AE9" s="33">
        <v>228333</v>
      </c>
      <c r="AF9" s="24">
        <f>IF(AND(COUNT(C9:E9)=0,COUNT(G9:I9)=0,COUNT(K9:M9)=0,COUNT(O9:Q9)=0,COUNT(S9:AC9)=0,AE9=""),"",(IF(COUNT(C9:E9)=0,0,SUMPRODUCT({5000,1000,500},C9:E9))+IF(COUNT(G9:I9)=0,0,SUMPRODUCT({5000,1000,500},G9:I9))+IF(COUNT(K9:M9)=0,0,SUMPRODUCT({5000,1000,500},K9:M9))+IF(COUNT(O9:Q9)=0,0,SUMPRODUCT({5000,1000,500},O9:Q9))+AD9)-N(AE9))</f>
        <v>7</v>
      </c>
      <c r="AG9" s="35" t="str">
        <f t="shared" si="0"/>
        <v>Excess</v>
      </c>
      <c r="AH9" s="38"/>
      <c r="AI9" s="36">
        <f>28838.3+437496.13</f>
        <v>466334.43</v>
      </c>
      <c r="AJ9" s="37">
        <f>408742.94+28753.19+28838.3</f>
        <v>466334.43</v>
      </c>
      <c r="AK9" s="26">
        <f t="shared" si="1"/>
        <v>0</v>
      </c>
      <c r="AL9" s="25" t="str">
        <f t="shared" si="2"/>
        <v>Matched</v>
      </c>
      <c r="AM9" s="38"/>
    </row>
    <row r="10" spans="1:39" ht="12.75" customHeight="1" x14ac:dyDescent="0.25">
      <c r="A10" s="31">
        <v>63854</v>
      </c>
      <c r="B10" s="32" t="str">
        <f>IF(A10="","",VLOOKUP(A10,'Employee Database'!A:B,2,FALSE))</f>
        <v>Maham</v>
      </c>
      <c r="C10" s="31">
        <v>45</v>
      </c>
      <c r="D10" s="31">
        <v>141</v>
      </c>
      <c r="E10" s="31">
        <v>4</v>
      </c>
      <c r="F10" s="39">
        <f>IF(COUNT(C10:E10)=0,0,SUMPRODUCT({5000,1000,500},C10:E10))</f>
        <v>368000</v>
      </c>
      <c r="G10" s="31"/>
      <c r="H10" s="31"/>
      <c r="I10" s="31"/>
      <c r="J10" s="39">
        <f>IF(COUNT(G10:I10)=0,0,SUMPRODUCT({5000,1000,500},G10:I10))</f>
        <v>0</v>
      </c>
      <c r="K10" s="31"/>
      <c r="L10" s="31"/>
      <c r="M10" s="31"/>
      <c r="N10" s="39">
        <f>IF(COUNT(K10:M10)=0,0,SUMPRODUCT({5000,1000,500},K10:M10))</f>
        <v>0</v>
      </c>
      <c r="O10" s="31"/>
      <c r="P10" s="31"/>
      <c r="Q10" s="31"/>
      <c r="R10" s="39">
        <f>IF(COUNT(O10:Q10)=0,0,SUMPRODUCT({5000,1000,500},O10:Q10))</f>
        <v>0</v>
      </c>
      <c r="S10" s="31"/>
      <c r="T10" s="31"/>
      <c r="U10" s="31"/>
      <c r="V10" s="31"/>
      <c r="W10" s="31"/>
      <c r="X10" s="31">
        <v>6</v>
      </c>
      <c r="Y10" s="31"/>
      <c r="Z10" s="31"/>
      <c r="AA10" s="31"/>
      <c r="AB10" s="31"/>
      <c r="AC10" s="31"/>
      <c r="AD10" s="34">
        <f>IF(COUNT(S10:AC10)=0,0,SUMPRODUCT({5000,1000,500,100,75,50,20,10,5,2,1}, S10:AC10))</f>
        <v>300</v>
      </c>
      <c r="AE10" s="33">
        <v>368230</v>
      </c>
      <c r="AF10" s="24">
        <f>IF(AND(COUNT(C10:E10)=0,COUNT(G10:I10)=0,COUNT(K10:M10)=0,COUNT(O10:Q10)=0,COUNT(S10:AC10)=0,AE10=""),"",(IF(COUNT(C10:E10)=0,0,SUMPRODUCT({5000,1000,500},C10:E10))+IF(COUNT(G10:I10)=0,0,SUMPRODUCT({5000,1000,500},G10:I10))+IF(COUNT(K10:M10)=0,0,SUMPRODUCT({5000,1000,500},K10:M10))+IF(COUNT(O10:Q10)=0,0,SUMPRODUCT({5000,1000,500},O10:Q10))+AD10)-N(AE10))</f>
        <v>70</v>
      </c>
      <c r="AG10" s="35" t="str">
        <f t="shared" si="0"/>
        <v>Excess</v>
      </c>
      <c r="AH10" s="38"/>
      <c r="AI10" s="36">
        <v>697918.19</v>
      </c>
      <c r="AJ10" s="37">
        <f>283510.69+414407.5</f>
        <v>697918.19</v>
      </c>
      <c r="AK10" s="26">
        <f t="shared" si="1"/>
        <v>0</v>
      </c>
      <c r="AL10" s="25" t="str">
        <f t="shared" si="2"/>
        <v>Matched</v>
      </c>
      <c r="AM10" s="38"/>
    </row>
    <row r="11" spans="1:39" ht="12.75" customHeight="1" x14ac:dyDescent="0.25">
      <c r="A11" s="31">
        <v>57653</v>
      </c>
      <c r="B11" s="32" t="str">
        <f>IF(A11="","",VLOOKUP(A11,'Employee Database'!A:B,2,FALSE))</f>
        <v>Amanat ali</v>
      </c>
      <c r="C11" s="31">
        <v>50</v>
      </c>
      <c r="D11" s="31">
        <v>166</v>
      </c>
      <c r="E11" s="31">
        <v>10</v>
      </c>
      <c r="F11" s="39">
        <f>IF(COUNT(C11:E11)=0,0,SUMPRODUCT({5000,1000,500},C11:E11))</f>
        <v>421000</v>
      </c>
      <c r="G11" s="31"/>
      <c r="H11" s="31"/>
      <c r="I11" s="31"/>
      <c r="J11" s="39">
        <f>IF(COUNT(G11:I11)=0,0,SUMPRODUCT({5000,1000,500},G11:I11))</f>
        <v>0</v>
      </c>
      <c r="K11" s="31"/>
      <c r="L11" s="31"/>
      <c r="M11" s="31"/>
      <c r="N11" s="39">
        <f>IF(COUNT(K11:M11)=0,0,SUMPRODUCT({5000,1000,500},K11:M11))</f>
        <v>0</v>
      </c>
      <c r="O11" s="31"/>
      <c r="P11" s="31"/>
      <c r="Q11" s="31"/>
      <c r="R11" s="39">
        <f>IF(COUNT(O11:Q11)=0,0,SUMPRODUCT({5000,1000,500},O11:Q11))</f>
        <v>0</v>
      </c>
      <c r="S11" s="31"/>
      <c r="T11" s="31"/>
      <c r="U11" s="31"/>
      <c r="V11" s="31">
        <v>1</v>
      </c>
      <c r="W11" s="31"/>
      <c r="X11" s="31">
        <v>44</v>
      </c>
      <c r="Y11" s="31">
        <v>53</v>
      </c>
      <c r="Z11" s="31">
        <v>79</v>
      </c>
      <c r="AA11" s="31"/>
      <c r="AB11" s="31"/>
      <c r="AC11" s="31"/>
      <c r="AD11" s="34">
        <f>IF(COUNT(S11:AC11)=0,0,SUMPRODUCT({5000,1000,500,100,75,50,20,10,5,2,1}, S11:AC11))</f>
        <v>4150</v>
      </c>
      <c r="AE11" s="33">
        <v>425109</v>
      </c>
      <c r="AF11" s="24">
        <f>IF(AND(COUNT(C11:E11)=0,COUNT(G11:I11)=0,COUNT(K11:M11)=0,COUNT(O11:Q11)=0,COUNT(S11:AC11)=0,AE11=""),"",(IF(COUNT(C11:E11)=0,0,SUMPRODUCT({5000,1000,500},C11:E11))+IF(COUNT(G11:I11)=0,0,SUMPRODUCT({5000,1000,500},G11:I11))+IF(COUNT(K11:M11)=0,0,SUMPRODUCT({5000,1000,500},K11:M11))+IF(COUNT(O11:Q11)=0,0,SUMPRODUCT({5000,1000,500},O11:Q11))+AD11)-N(AE11))</f>
        <v>41</v>
      </c>
      <c r="AG11" s="35" t="str">
        <f t="shared" si="0"/>
        <v>Excess</v>
      </c>
      <c r="AH11" s="38"/>
      <c r="AI11" s="36">
        <v>804909.74</v>
      </c>
      <c r="AJ11" s="37">
        <f>456741.15+348168.59</f>
        <v>804909.74</v>
      </c>
      <c r="AK11" s="26">
        <f t="shared" si="1"/>
        <v>0</v>
      </c>
      <c r="AL11" s="25" t="str">
        <f t="shared" si="2"/>
        <v>Matched</v>
      </c>
      <c r="AM11" s="38"/>
    </row>
    <row r="12" spans="1:39" ht="12.75" customHeight="1" x14ac:dyDescent="0.25">
      <c r="A12" s="31">
        <v>68107</v>
      </c>
      <c r="B12" s="32" t="str">
        <f>IF(A12="","",VLOOKUP(A12,'Employee Database'!A:B,2,FALSE))</f>
        <v>M Harris</v>
      </c>
      <c r="C12" s="31">
        <v>31</v>
      </c>
      <c r="D12" s="31">
        <v>30</v>
      </c>
      <c r="E12" s="31">
        <v>5</v>
      </c>
      <c r="F12" s="39">
        <f>IF(COUNT(C12:E12)=0,0,SUMPRODUCT({5000,1000,500},C12:E12))</f>
        <v>187500</v>
      </c>
      <c r="G12" s="31"/>
      <c r="H12" s="31"/>
      <c r="I12" s="31"/>
      <c r="J12" s="39">
        <f>IF(COUNT(G12:I12)=0,0,SUMPRODUCT({5000,1000,500},G12:I12))</f>
        <v>0</v>
      </c>
      <c r="K12" s="31"/>
      <c r="L12" s="31"/>
      <c r="M12" s="31"/>
      <c r="N12" s="39">
        <f>IF(COUNT(K12:M12)=0,0,SUMPRODUCT({5000,1000,500},K12:M12))</f>
        <v>0</v>
      </c>
      <c r="O12" s="31"/>
      <c r="P12" s="31"/>
      <c r="Q12" s="31"/>
      <c r="R12" s="39">
        <f>IF(COUNT(O12:Q12)=0,0,SUMPRODUCT({5000,1000,500},O12:Q12))</f>
        <v>0</v>
      </c>
      <c r="S12" s="31"/>
      <c r="T12" s="31"/>
      <c r="U12" s="31"/>
      <c r="V12" s="31"/>
      <c r="W12" s="31"/>
      <c r="X12" s="31">
        <v>23</v>
      </c>
      <c r="Y12" s="31">
        <v>4</v>
      </c>
      <c r="Z12" s="31">
        <v>17</v>
      </c>
      <c r="AA12" s="31"/>
      <c r="AB12" s="31"/>
      <c r="AC12" s="31"/>
      <c r="AD12" s="34">
        <f>IF(COUNT(S12:AC12)=0,0,SUMPRODUCT({5000,1000,500,100,75,50,20,10,5,2,1}, S12:AC12))</f>
        <v>1400</v>
      </c>
      <c r="AE12" s="33">
        <v>188888</v>
      </c>
      <c r="AF12" s="24">
        <f>IF(AND(COUNT(C12:E12)=0,COUNT(G12:I12)=0,COUNT(K12:M12)=0,COUNT(O12:Q12)=0,COUNT(S12:AC12)=0,AE12=""),"",(IF(COUNT(C12:E12)=0,0,SUMPRODUCT({5000,1000,500},C12:E12))+IF(COUNT(G12:I12)=0,0,SUMPRODUCT({5000,1000,500},G12:I12))+IF(COUNT(K12:M12)=0,0,SUMPRODUCT({5000,1000,500},K12:M12))+IF(COUNT(O12:Q12)=0,0,SUMPRODUCT({5000,1000,500},O12:Q12))+AD12)-N(AE12))</f>
        <v>12</v>
      </c>
      <c r="AG12" s="35" t="str">
        <f t="shared" si="0"/>
        <v>Excess</v>
      </c>
      <c r="AH12" s="38"/>
      <c r="AI12" s="36">
        <v>159678.96</v>
      </c>
      <c r="AJ12" s="37">
        <f>53708.87+105970.09</f>
        <v>159678.96</v>
      </c>
      <c r="AK12" s="26">
        <f t="shared" si="1"/>
        <v>0</v>
      </c>
      <c r="AL12" s="25" t="str">
        <f t="shared" si="2"/>
        <v>Matched</v>
      </c>
      <c r="AM12" s="38"/>
    </row>
    <row r="13" spans="1:39" ht="12.75" customHeight="1" x14ac:dyDescent="0.25">
      <c r="A13" s="31">
        <v>63374</v>
      </c>
      <c r="B13" s="32" t="str">
        <f>IF(A13="","",VLOOKUP(A13,'Employee Database'!A:B,2,FALSE))</f>
        <v>Aftab Ali</v>
      </c>
      <c r="C13" s="31"/>
      <c r="D13" s="31"/>
      <c r="E13" s="31"/>
      <c r="F13" s="39">
        <f>IF(COUNT(C13:E13)=0,0,SUMPRODUCT({5000,1000,500},C13:E13))</f>
        <v>0</v>
      </c>
      <c r="G13" s="31">
        <v>23</v>
      </c>
      <c r="H13" s="31">
        <v>132</v>
      </c>
      <c r="I13" s="31">
        <v>6</v>
      </c>
      <c r="J13" s="39">
        <f>IF(COUNT(G13:I13)=0,0,SUMPRODUCT({5000,1000,500},G13:I13))</f>
        <v>250000</v>
      </c>
      <c r="K13" s="31"/>
      <c r="L13" s="31"/>
      <c r="M13" s="31"/>
      <c r="N13" s="39">
        <f>IF(COUNT(K13:M13)=0,0,SUMPRODUCT({5000,1000,500},K13:M13))</f>
        <v>0</v>
      </c>
      <c r="O13" s="31"/>
      <c r="P13" s="31"/>
      <c r="Q13" s="31"/>
      <c r="R13" s="39">
        <f>IF(COUNT(O13:Q13)=0,0,SUMPRODUCT({5000,1000,500},O13:Q13))</f>
        <v>0</v>
      </c>
      <c r="S13" s="31"/>
      <c r="T13" s="31"/>
      <c r="U13" s="31"/>
      <c r="V13" s="31"/>
      <c r="W13" s="31"/>
      <c r="X13" s="31">
        <v>17</v>
      </c>
      <c r="Y13" s="31">
        <v>1</v>
      </c>
      <c r="Z13" s="31">
        <v>68</v>
      </c>
      <c r="AA13" s="31"/>
      <c r="AB13" s="31"/>
      <c r="AC13" s="31"/>
      <c r="AD13" s="34">
        <f>IF(COUNT(S13:AC13)=0,0,SUMPRODUCT({5000,1000,500,100,75,50,20,10,5,2,1}, S13:AC13))</f>
        <v>1550</v>
      </c>
      <c r="AE13" s="33">
        <v>251549</v>
      </c>
      <c r="AF13" s="24">
        <f>IF(AND(COUNT(C13:E13)=0,COUNT(G13:I13)=0,COUNT(K13:M13)=0,COUNT(O13:Q13)=0,COUNT(S13:AC13)=0,AE13=""),"",(IF(COUNT(C13:E13)=0,0,SUMPRODUCT({5000,1000,500},C13:E13))+IF(COUNT(G13:I13)=0,0,SUMPRODUCT({5000,1000,500},G13:I13))+IF(COUNT(K13:M13)=0,0,SUMPRODUCT({5000,1000,500},K13:M13))+IF(COUNT(O13:Q13)=0,0,SUMPRODUCT({5000,1000,500},O13:Q13))+AD13)-N(AE13))</f>
        <v>1</v>
      </c>
      <c r="AG13" s="35" t="str">
        <f t="shared" si="0"/>
        <v>Excess</v>
      </c>
      <c r="AH13" s="38"/>
      <c r="AI13" s="36">
        <f>71664.84+309639.39</f>
        <v>381304.23</v>
      </c>
      <c r="AJ13" s="37">
        <f>29383.6+280255.79+71664.84</f>
        <v>381304.23</v>
      </c>
      <c r="AK13" s="26">
        <f t="shared" si="1"/>
        <v>0</v>
      </c>
      <c r="AL13" s="25" t="str">
        <f t="shared" si="2"/>
        <v>Matched</v>
      </c>
      <c r="AM13" s="38"/>
    </row>
    <row r="14" spans="1:39" ht="12.75" customHeight="1" x14ac:dyDescent="0.25">
      <c r="A14" s="31">
        <v>78242</v>
      </c>
      <c r="B14" s="32" t="str">
        <f>IF(A14="","",VLOOKUP(A14,'Employee Database'!A:B,2,FALSE))</f>
        <v>Hamad Mughal</v>
      </c>
      <c r="C14" s="31"/>
      <c r="D14" s="31"/>
      <c r="E14" s="31"/>
      <c r="F14" s="39">
        <f>IF(COUNT(C14:E14)=0,0,SUMPRODUCT({5000,1000,500},C14:E14))</f>
        <v>0</v>
      </c>
      <c r="G14" s="31">
        <v>42</v>
      </c>
      <c r="H14" s="31">
        <v>109</v>
      </c>
      <c r="I14" s="31">
        <v>24</v>
      </c>
      <c r="J14" s="39">
        <f>IF(COUNT(G14:I14)=0,0,SUMPRODUCT({5000,1000,500},G14:I14))</f>
        <v>331000</v>
      </c>
      <c r="K14" s="31"/>
      <c r="L14" s="31"/>
      <c r="M14" s="31"/>
      <c r="N14" s="39">
        <f>IF(COUNT(K14:M14)=0,0,SUMPRODUCT({5000,1000,500},K14:M14))</f>
        <v>0</v>
      </c>
      <c r="O14" s="31"/>
      <c r="P14" s="31"/>
      <c r="Q14" s="31"/>
      <c r="R14" s="39">
        <f>IF(COUNT(O14:Q14)=0,0,SUMPRODUCT({5000,1000,500},O14:Q14))</f>
        <v>0</v>
      </c>
      <c r="S14" s="31"/>
      <c r="T14" s="31"/>
      <c r="U14" s="31"/>
      <c r="V14" s="31">
        <v>7</v>
      </c>
      <c r="W14" s="31"/>
      <c r="X14" s="31">
        <v>4</v>
      </c>
      <c r="Y14" s="31">
        <v>1</v>
      </c>
      <c r="Z14" s="31">
        <v>40</v>
      </c>
      <c r="AA14" s="31"/>
      <c r="AB14" s="31"/>
      <c r="AC14" s="31"/>
      <c r="AD14" s="34">
        <f>IF(COUNT(S14:AC14)=0,0,SUMPRODUCT({5000,1000,500,100,75,50,20,10,5,2,1}, S14:AC14))</f>
        <v>1320</v>
      </c>
      <c r="AE14" s="33">
        <v>332291</v>
      </c>
      <c r="AF14" s="24">
        <f>IF(AND(COUNT(C14:E14)=0,COUNT(G14:I14)=0,COUNT(K14:M14)=0,COUNT(O14:Q14)=0,COUNT(S14:AC14)=0,AE14=""),"",(IF(COUNT(C14:E14)=0,0,SUMPRODUCT({5000,1000,500},C14:E14))+IF(COUNT(G14:I14)=0,0,SUMPRODUCT({5000,1000,500},G14:I14))+IF(COUNT(K14:M14)=0,0,SUMPRODUCT({5000,1000,500},K14:M14))+IF(COUNT(O14:Q14)=0,0,SUMPRODUCT({5000,1000,500},O14:Q14))+AD14)-N(AE14))</f>
        <v>29</v>
      </c>
      <c r="AG14" s="35" t="str">
        <f t="shared" si="0"/>
        <v>Excess</v>
      </c>
      <c r="AH14" s="38"/>
      <c r="AI14" s="36">
        <f>448369.99+285817.33</f>
        <v>734187.32000000007</v>
      </c>
      <c r="AJ14" s="37">
        <f>448369.99+285817.33</f>
        <v>734187.32000000007</v>
      </c>
      <c r="AK14" s="26">
        <f t="shared" si="1"/>
        <v>0</v>
      </c>
      <c r="AL14" s="25" t="str">
        <f t="shared" si="2"/>
        <v>Matched</v>
      </c>
      <c r="AM14" s="38"/>
    </row>
    <row r="15" spans="1:39" ht="12.75" customHeight="1" x14ac:dyDescent="0.25">
      <c r="A15" s="31">
        <v>50524</v>
      </c>
      <c r="B15" s="32" t="str">
        <f>IF(A15="","",VLOOKUP(A15,'Employee Database'!A:B,2,FALSE))</f>
        <v>Allah Rakha</v>
      </c>
      <c r="C15" s="31"/>
      <c r="D15" s="31"/>
      <c r="E15" s="31"/>
      <c r="F15" s="39">
        <f>IF(COUNT(C15:E15)=0,0,SUMPRODUCT({5000,1000,500},C15:E15))</f>
        <v>0</v>
      </c>
      <c r="G15" s="31">
        <v>31</v>
      </c>
      <c r="H15" s="31">
        <v>62</v>
      </c>
      <c r="I15" s="31">
        <v>8</v>
      </c>
      <c r="J15" s="39">
        <f>IF(COUNT(G15:I15)=0,0,SUMPRODUCT({5000,1000,500},G15:I15))</f>
        <v>221000</v>
      </c>
      <c r="K15" s="31"/>
      <c r="L15" s="31"/>
      <c r="M15" s="31"/>
      <c r="N15" s="39">
        <f>IF(COUNT(K15:M15)=0,0,SUMPRODUCT({5000,1000,500},K15:M15))</f>
        <v>0</v>
      </c>
      <c r="O15" s="31"/>
      <c r="P15" s="31"/>
      <c r="Q15" s="31"/>
      <c r="R15" s="39">
        <f>IF(COUNT(O15:Q15)=0,0,SUMPRODUCT({5000,1000,500},O15:Q15))</f>
        <v>0</v>
      </c>
      <c r="S15" s="31"/>
      <c r="T15" s="31"/>
      <c r="U15" s="31"/>
      <c r="V15" s="31">
        <v>4</v>
      </c>
      <c r="W15" s="31"/>
      <c r="X15" s="31">
        <v>41</v>
      </c>
      <c r="Y15" s="31"/>
      <c r="Z15" s="31">
        <v>53</v>
      </c>
      <c r="AA15" s="31"/>
      <c r="AB15" s="31"/>
      <c r="AC15" s="31"/>
      <c r="AD15" s="34">
        <f>IF(COUNT(S15:AC15)=0,0,SUMPRODUCT({5000,1000,500,100,75,50,20,10,5,2,1}, S15:AC15))</f>
        <v>2980</v>
      </c>
      <c r="AE15" s="33">
        <v>223924</v>
      </c>
      <c r="AF15" s="24">
        <f>IF(AND(COUNT(C15:E15)=0,COUNT(G15:I15)=0,COUNT(K15:M15)=0,COUNT(O15:Q15)=0,COUNT(S15:AC15)=0,AE15=""),"",(IF(COUNT(C15:E15)=0,0,SUMPRODUCT({5000,1000,500},C15:E15))+IF(COUNT(G15:I15)=0,0,SUMPRODUCT({5000,1000,500},G15:I15))+IF(COUNT(K15:M15)=0,0,SUMPRODUCT({5000,1000,500},K15:M15))+IF(COUNT(O15:Q15)=0,0,SUMPRODUCT({5000,1000,500},O15:Q15))+AD15)-N(AE15))</f>
        <v>56</v>
      </c>
      <c r="AG15" s="35" t="str">
        <f t="shared" si="0"/>
        <v>Excess</v>
      </c>
      <c r="AH15" s="38"/>
      <c r="AI15" s="36">
        <v>591465.87</v>
      </c>
      <c r="AJ15" s="37">
        <f>504343.72+87122.15</f>
        <v>591465.87</v>
      </c>
      <c r="AK15" s="26">
        <f t="shared" si="1"/>
        <v>0</v>
      </c>
      <c r="AL15" s="25" t="str">
        <f t="shared" si="2"/>
        <v>Matched</v>
      </c>
      <c r="AM15" s="38"/>
    </row>
    <row r="16" spans="1:39" ht="12.75" customHeight="1" x14ac:dyDescent="0.25">
      <c r="A16" s="31">
        <v>67250</v>
      </c>
      <c r="B16" s="32" t="str">
        <f>IF(A16="","",VLOOKUP(A16,'Employee Database'!A:B,2,FALSE))</f>
        <v>M Fiaz</v>
      </c>
      <c r="C16" s="31"/>
      <c r="D16" s="31"/>
      <c r="E16" s="31"/>
      <c r="F16" s="39">
        <f>IF(COUNT(C16:E16)=0,0,SUMPRODUCT({5000,1000,500},C16:E16))</f>
        <v>0</v>
      </c>
      <c r="G16" s="31">
        <v>68</v>
      </c>
      <c r="H16" s="31">
        <v>92</v>
      </c>
      <c r="I16" s="31">
        <v>25</v>
      </c>
      <c r="J16" s="39">
        <f>IF(COUNT(G16:I16)=0,0,SUMPRODUCT({5000,1000,500},G16:I16))</f>
        <v>444500</v>
      </c>
      <c r="K16" s="31"/>
      <c r="L16" s="31"/>
      <c r="M16" s="31"/>
      <c r="N16" s="39">
        <f>IF(COUNT(K16:M16)=0,0,SUMPRODUCT({5000,1000,500},K16:M16))</f>
        <v>0</v>
      </c>
      <c r="O16" s="31"/>
      <c r="P16" s="31"/>
      <c r="Q16" s="31"/>
      <c r="R16" s="39">
        <f>IF(COUNT(O16:Q16)=0,0,SUMPRODUCT({5000,1000,500},O16:Q16))</f>
        <v>0</v>
      </c>
      <c r="S16" s="31"/>
      <c r="T16" s="31"/>
      <c r="U16" s="31"/>
      <c r="V16" s="31"/>
      <c r="W16" s="31"/>
      <c r="X16" s="31">
        <v>4</v>
      </c>
      <c r="Y16" s="31"/>
      <c r="Z16" s="31">
        <v>34</v>
      </c>
      <c r="AA16" s="31"/>
      <c r="AB16" s="31"/>
      <c r="AC16" s="31"/>
      <c r="AD16" s="34">
        <f>IF(COUNT(S16:AC16)=0,0,SUMPRODUCT({5000,1000,500,100,75,50,20,10,5,2,1}, S16:AC16))</f>
        <v>540</v>
      </c>
      <c r="AE16" s="33">
        <v>445036</v>
      </c>
      <c r="AF16" s="24">
        <f>IF(AND(COUNT(C16:E16)=0,COUNT(G16:I16)=0,COUNT(K16:M16)=0,COUNT(O16:Q16)=0,COUNT(S16:AC16)=0,AE16=""),"",(IF(COUNT(C16:E16)=0,0,SUMPRODUCT({5000,1000,500},C16:E16))+IF(COUNT(G16:I16)=0,0,SUMPRODUCT({5000,1000,500},G16:I16))+IF(COUNT(K16:M16)=0,0,SUMPRODUCT({5000,1000,500},K16:M16))+IF(COUNT(O16:Q16)=0,0,SUMPRODUCT({5000,1000,500},O16:Q16))+AD16)-N(AE16))</f>
        <v>4</v>
      </c>
      <c r="AG16" s="35" t="str">
        <f t="shared" si="0"/>
        <v>Excess</v>
      </c>
      <c r="AH16" s="38"/>
      <c r="AI16" s="36">
        <v>708979.52</v>
      </c>
      <c r="AJ16" s="37">
        <f>106309.94+602669.58</f>
        <v>708979.52</v>
      </c>
      <c r="AK16" s="26">
        <f t="shared" si="1"/>
        <v>0</v>
      </c>
      <c r="AL16" s="25" t="str">
        <f t="shared" si="2"/>
        <v>Matched</v>
      </c>
      <c r="AM16" s="38"/>
    </row>
    <row r="17" spans="1:39" ht="12.75" customHeight="1" x14ac:dyDescent="0.25">
      <c r="A17" s="31">
        <v>71788</v>
      </c>
      <c r="B17" s="32" t="str">
        <f>IF(A17="","",VLOOKUP(A17,'Employee Database'!A:B,2,FALSE))</f>
        <v>Saaim</v>
      </c>
      <c r="C17" s="31"/>
      <c r="D17" s="31"/>
      <c r="E17" s="31"/>
      <c r="F17" s="39">
        <f>IF(COUNT(C17:E17)=0,0,SUMPRODUCT({5000,1000,500},C17:E17))</f>
        <v>0</v>
      </c>
      <c r="G17" s="31">
        <v>28</v>
      </c>
      <c r="H17" s="31">
        <v>32</v>
      </c>
      <c r="I17" s="31">
        <v>1</v>
      </c>
      <c r="J17" s="39">
        <f>IF(COUNT(G17:I17)=0,0,SUMPRODUCT({5000,1000,500},G17:I17))</f>
        <v>172500</v>
      </c>
      <c r="K17" s="31"/>
      <c r="L17" s="31"/>
      <c r="M17" s="31"/>
      <c r="N17" s="39">
        <f>IF(COUNT(K17:M17)=0,0,SUMPRODUCT({5000,1000,500},K17:M17))</f>
        <v>0</v>
      </c>
      <c r="O17" s="31"/>
      <c r="P17" s="31"/>
      <c r="Q17" s="31"/>
      <c r="R17" s="39">
        <f>IF(COUNT(O17:Q17)=0,0,SUMPRODUCT({5000,1000,500},O17:Q17))</f>
        <v>0</v>
      </c>
      <c r="S17" s="31"/>
      <c r="T17" s="31"/>
      <c r="U17" s="31"/>
      <c r="V17" s="31"/>
      <c r="W17" s="31"/>
      <c r="X17" s="31">
        <v>2</v>
      </c>
      <c r="Y17" s="31"/>
      <c r="Z17" s="31">
        <v>78</v>
      </c>
      <c r="AA17" s="31"/>
      <c r="AB17" s="31"/>
      <c r="AC17" s="31"/>
      <c r="AD17" s="34">
        <f>IF(COUNT(S17:AC17)=0,0,SUMPRODUCT({5000,1000,500,100,75,50,20,10,5,2,1}, S17:AC17))</f>
        <v>880</v>
      </c>
      <c r="AE17" s="33">
        <v>173335</v>
      </c>
      <c r="AF17" s="24">
        <f>IF(AND(COUNT(C17:E17)=0,COUNT(G17:I17)=0,COUNT(K17:M17)=0,COUNT(O17:Q17)=0,COUNT(S17:AC17)=0,AE17=""),"",(IF(COUNT(C17:E17)=0,0,SUMPRODUCT({5000,1000,500},C17:E17))+IF(COUNT(G17:I17)=0,0,SUMPRODUCT({5000,1000,500},G17:I17))+IF(COUNT(K17:M17)=0,0,SUMPRODUCT({5000,1000,500},K17:M17))+IF(COUNT(O17:Q17)=0,0,SUMPRODUCT({5000,1000,500},O17:Q17))+AD17)-N(AE17))</f>
        <v>45</v>
      </c>
      <c r="AG17" s="35" t="str">
        <f t="shared" si="0"/>
        <v>Excess</v>
      </c>
      <c r="AH17" s="38"/>
      <c r="AI17" s="36">
        <v>225588.93</v>
      </c>
      <c r="AJ17" s="37">
        <f>154671.63+16129+54788.3</f>
        <v>225588.93</v>
      </c>
      <c r="AK17" s="26">
        <f t="shared" si="1"/>
        <v>0</v>
      </c>
      <c r="AL17" s="25" t="str">
        <f t="shared" si="2"/>
        <v>Matched</v>
      </c>
      <c r="AM17" s="38"/>
    </row>
    <row r="18" spans="1:39" ht="12.75" customHeight="1" x14ac:dyDescent="0.25">
      <c r="A18" s="31">
        <v>61648</v>
      </c>
      <c r="B18" s="32" t="str">
        <f>IF(A18="","",VLOOKUP(A18,'Employee Database'!A:B,2,FALSE))</f>
        <v>Rizwan</v>
      </c>
      <c r="C18" s="31"/>
      <c r="D18" s="31"/>
      <c r="E18" s="31"/>
      <c r="F18" s="39">
        <f>IF(COUNT(C18:E18)=0,0,SUMPRODUCT({5000,1000,500},C18:E18))</f>
        <v>0</v>
      </c>
      <c r="G18" s="31">
        <v>135</v>
      </c>
      <c r="H18" s="31">
        <v>42</v>
      </c>
      <c r="I18" s="31">
        <v>2</v>
      </c>
      <c r="J18" s="39">
        <f>IF(COUNT(G18:I18)=0,0,SUMPRODUCT({5000,1000,500},G18:I18))</f>
        <v>718000</v>
      </c>
      <c r="K18" s="31"/>
      <c r="L18" s="31"/>
      <c r="M18" s="31"/>
      <c r="N18" s="39">
        <f>IF(COUNT(K18:M18)=0,0,SUMPRODUCT({5000,1000,500},K18:M18))</f>
        <v>0</v>
      </c>
      <c r="O18" s="31"/>
      <c r="P18" s="31"/>
      <c r="Q18" s="31"/>
      <c r="R18" s="39">
        <f>IF(COUNT(O18:Q18)=0,0,SUMPRODUCT({5000,1000,500},O18:Q18))</f>
        <v>0</v>
      </c>
      <c r="S18" s="31"/>
      <c r="T18" s="31"/>
      <c r="U18" s="31"/>
      <c r="V18" s="31"/>
      <c r="W18" s="31"/>
      <c r="X18" s="31">
        <v>45</v>
      </c>
      <c r="Y18" s="31"/>
      <c r="Z18" s="31">
        <v>22</v>
      </c>
      <c r="AA18" s="31"/>
      <c r="AB18" s="31"/>
      <c r="AC18" s="31"/>
      <c r="AD18" s="34">
        <f>IF(COUNT(S18:AC18)=0,0,SUMPRODUCT({5000,1000,500,100,75,50,20,10,5,2,1}, S18:AC18))</f>
        <v>2470</v>
      </c>
      <c r="AE18" s="33">
        <v>720450</v>
      </c>
      <c r="AF18" s="24">
        <f>IF(AND(COUNT(C18:E18)=0,COUNT(G18:I18)=0,COUNT(K18:M18)=0,COUNT(O18:Q18)=0,COUNT(S18:AC18)=0,AE18=""),"",(IF(COUNT(C18:E18)=0,0,SUMPRODUCT({5000,1000,500},C18:E18))+IF(COUNT(G18:I18)=0,0,SUMPRODUCT({5000,1000,500},G18:I18))+IF(COUNT(K18:M18)=0,0,SUMPRODUCT({5000,1000,500},K18:M18))+IF(COUNT(O18:Q18)=0,0,SUMPRODUCT({5000,1000,500},O18:Q18))+AD18)-N(AE18))</f>
        <v>20</v>
      </c>
      <c r="AG18" s="35" t="str">
        <f t="shared" si="0"/>
        <v>Excess</v>
      </c>
      <c r="AH18" s="38"/>
      <c r="AI18" s="36">
        <f>7583.85+346988.78</f>
        <v>354572.63</v>
      </c>
      <c r="AJ18" s="37">
        <f>6024.05+1558.8+346988.78</f>
        <v>354571.63</v>
      </c>
      <c r="AK18" s="26">
        <f t="shared" si="1"/>
        <v>1</v>
      </c>
      <c r="AL18" s="25" t="str">
        <f t="shared" si="2"/>
        <v>POS Excess</v>
      </c>
      <c r="AM18" s="38"/>
    </row>
    <row r="19" spans="1:39" ht="12.75" customHeight="1" x14ac:dyDescent="0.25">
      <c r="A19" s="31">
        <v>53893</v>
      </c>
      <c r="B19" s="32" t="str">
        <f>IF(A19="","",VLOOKUP(A19,'Employee Database'!A:B,2,FALSE))</f>
        <v>M Binyameen</v>
      </c>
      <c r="C19" s="31"/>
      <c r="D19" s="31"/>
      <c r="E19" s="31"/>
      <c r="F19" s="39">
        <f>IF(COUNT(C19:E19)=0,0,SUMPRODUCT({5000,1000,500},C19:E19))</f>
        <v>0</v>
      </c>
      <c r="G19" s="31">
        <v>30</v>
      </c>
      <c r="H19" s="31">
        <v>130</v>
      </c>
      <c r="I19" s="31">
        <v>0</v>
      </c>
      <c r="J19" s="39">
        <f>IF(COUNT(G19:I19)=0,0,SUMPRODUCT({5000,1000,500},G19:I19))</f>
        <v>280000</v>
      </c>
      <c r="K19" s="31"/>
      <c r="L19" s="31"/>
      <c r="M19" s="31"/>
      <c r="N19" s="39">
        <f>IF(COUNT(K19:M19)=0,0,SUMPRODUCT({5000,1000,500},K19:M19))</f>
        <v>0</v>
      </c>
      <c r="O19" s="31"/>
      <c r="P19" s="31"/>
      <c r="Q19" s="31"/>
      <c r="R19" s="39">
        <f>IF(COUNT(O19:Q19)=0,0,SUMPRODUCT({5000,1000,500},O19:Q19))</f>
        <v>0</v>
      </c>
      <c r="S19" s="31"/>
      <c r="T19" s="31"/>
      <c r="U19" s="31"/>
      <c r="V19" s="31">
        <v>1</v>
      </c>
      <c r="W19" s="31"/>
      <c r="X19" s="31">
        <v>6</v>
      </c>
      <c r="Y19" s="31"/>
      <c r="Z19" s="31">
        <v>32</v>
      </c>
      <c r="AA19" s="31"/>
      <c r="AB19" s="31"/>
      <c r="AC19" s="31"/>
      <c r="AD19" s="34">
        <f>IF(COUNT(S19:AC19)=0,0,SUMPRODUCT({5000,1000,500,100,75,50,20,10,5,2,1}, S19:AC19))</f>
        <v>720</v>
      </c>
      <c r="AE19" s="33">
        <v>280676</v>
      </c>
      <c r="AF19" s="24">
        <f>IF(AND(COUNT(C19:E19)=0,COUNT(G19:I19)=0,COUNT(K19:M19)=0,COUNT(O19:Q19)=0,COUNT(S19:AC19)=0,AE19=""),"",(IF(COUNT(C19:E19)=0,0,SUMPRODUCT({5000,1000,500},C19:E19))+IF(COUNT(G19:I19)=0,0,SUMPRODUCT({5000,1000,500},G19:I19))+IF(COUNT(K19:M19)=0,0,SUMPRODUCT({5000,1000,500},K19:M19))+IF(COUNT(O19:Q19)=0,0,SUMPRODUCT({5000,1000,500},O19:Q19))+AD19)-N(AE19))</f>
        <v>44</v>
      </c>
      <c r="AG19" s="35" t="str">
        <f t="shared" si="0"/>
        <v>Excess</v>
      </c>
      <c r="AH19" s="38"/>
      <c r="AI19" s="36">
        <f>114000.17+710437.44</f>
        <v>824437.61</v>
      </c>
      <c r="AJ19" s="37">
        <f>114000.17+710437.44</f>
        <v>824437.61</v>
      </c>
      <c r="AK19" s="26">
        <f t="shared" si="1"/>
        <v>0</v>
      </c>
      <c r="AL19" s="25" t="str">
        <f t="shared" si="2"/>
        <v>Matched</v>
      </c>
      <c r="AM19" s="38"/>
    </row>
    <row r="20" spans="1:39" ht="12.75" customHeight="1" x14ac:dyDescent="0.25">
      <c r="A20" s="31">
        <v>69213</v>
      </c>
      <c r="B20" s="32" t="str">
        <f>IF(A20="","",VLOOKUP(A20,'Employee Database'!A:B,2,FALSE))</f>
        <v>Muhammad Shahbaz</v>
      </c>
      <c r="C20" s="31"/>
      <c r="D20" s="31"/>
      <c r="E20" s="31"/>
      <c r="F20" s="39">
        <f>IF(COUNT(C20:E20)=0,0,SUMPRODUCT({5000,1000,500},C20:E20))</f>
        <v>0</v>
      </c>
      <c r="G20" s="31">
        <v>38</v>
      </c>
      <c r="H20" s="31">
        <v>54</v>
      </c>
      <c r="I20" s="31">
        <v>1</v>
      </c>
      <c r="J20" s="39">
        <f>IF(COUNT(G20:I20)=0,0,SUMPRODUCT({5000,1000,500},G20:I20))</f>
        <v>244500</v>
      </c>
      <c r="K20" s="31"/>
      <c r="L20" s="31"/>
      <c r="M20" s="31"/>
      <c r="N20" s="39">
        <f>IF(COUNT(K20:M20)=0,0,SUMPRODUCT({5000,1000,500},K20:M20))</f>
        <v>0</v>
      </c>
      <c r="O20" s="31"/>
      <c r="P20" s="31"/>
      <c r="Q20" s="31"/>
      <c r="R20" s="39">
        <f>IF(COUNT(O20:Q20)=0,0,SUMPRODUCT({5000,1000,500},O20:Q20))</f>
        <v>0</v>
      </c>
      <c r="S20" s="31"/>
      <c r="T20" s="31"/>
      <c r="U20" s="31"/>
      <c r="V20" s="31">
        <v>1</v>
      </c>
      <c r="W20" s="31"/>
      <c r="X20" s="31">
        <v>1</v>
      </c>
      <c r="Y20" s="31"/>
      <c r="Z20" s="31">
        <v>38</v>
      </c>
      <c r="AA20" s="31"/>
      <c r="AB20" s="31"/>
      <c r="AC20" s="31"/>
      <c r="AD20" s="34">
        <f>IF(COUNT(S20:AC20)=0,0,SUMPRODUCT({5000,1000,500,100,75,50,20,10,5,2,1}, S20:AC20))</f>
        <v>530</v>
      </c>
      <c r="AE20" s="33">
        <v>246029</v>
      </c>
      <c r="AF20" s="24">
        <f>IF(AND(COUNT(C20:E20)=0,COUNT(G20:I20)=0,COUNT(K20:M20)=0,COUNT(O20:Q20)=0,COUNT(S20:AC20)=0,AE20=""),"",(IF(COUNT(C20:E20)=0,0,SUMPRODUCT({5000,1000,500},C20:E20))+IF(COUNT(G20:I20)=0,0,SUMPRODUCT({5000,1000,500},G20:I20))+IF(COUNT(K20:M20)=0,0,SUMPRODUCT({5000,1000,500},K20:M20))+IF(COUNT(O20:Q20)=0,0,SUMPRODUCT({5000,1000,500},O20:Q20))+AD20)-N(AE20))</f>
        <v>-999</v>
      </c>
      <c r="AG20" s="35" t="str">
        <f t="shared" si="0"/>
        <v>Short</v>
      </c>
      <c r="AH20" s="38"/>
      <c r="AI20" s="36">
        <f>33850.31+544641.24</f>
        <v>578491.55000000005</v>
      </c>
      <c r="AJ20" s="37">
        <f>544641.24+33850.31</f>
        <v>578491.55000000005</v>
      </c>
      <c r="AK20" s="26">
        <f t="shared" si="1"/>
        <v>0</v>
      </c>
      <c r="AL20" s="25" t="str">
        <f t="shared" si="2"/>
        <v>Matched</v>
      </c>
      <c r="AM20" s="38"/>
    </row>
    <row r="21" spans="1:39" ht="12.75" customHeight="1" x14ac:dyDescent="0.25">
      <c r="A21" s="31">
        <v>77424</v>
      </c>
      <c r="B21" s="32" t="str">
        <f>IF(A21="","",VLOOKUP(A21,'Employee Database'!A:B,2,FALSE))</f>
        <v>M Husnain</v>
      </c>
      <c r="C21" s="31"/>
      <c r="D21" s="31"/>
      <c r="E21" s="31"/>
      <c r="F21" s="39">
        <f>IF(COUNT(C21:E21)=0,0,SUMPRODUCT({5000,1000,500},C21:E21))</f>
        <v>0</v>
      </c>
      <c r="G21" s="31">
        <v>34</v>
      </c>
      <c r="H21" s="31">
        <v>92</v>
      </c>
      <c r="I21" s="31">
        <v>12</v>
      </c>
      <c r="J21" s="39">
        <f>IF(COUNT(G21:I21)=0,0,SUMPRODUCT({5000,1000,500},G21:I21))</f>
        <v>268000</v>
      </c>
      <c r="K21" s="31"/>
      <c r="L21" s="31"/>
      <c r="M21" s="31"/>
      <c r="N21" s="39">
        <f>IF(COUNT(K21:M21)=0,0,SUMPRODUCT({5000,1000,500},K21:M21))</f>
        <v>0</v>
      </c>
      <c r="O21" s="31"/>
      <c r="P21" s="31"/>
      <c r="Q21" s="31"/>
      <c r="R21" s="39">
        <f>IF(COUNT(O21:Q21)=0,0,SUMPRODUCT({5000,1000,500},O21:Q21))</f>
        <v>0</v>
      </c>
      <c r="S21" s="31"/>
      <c r="T21" s="31"/>
      <c r="U21" s="31"/>
      <c r="V21" s="31">
        <v>8</v>
      </c>
      <c r="W21" s="31"/>
      <c r="X21" s="31">
        <v>377</v>
      </c>
      <c r="Y21" s="31"/>
      <c r="Z21" s="31">
        <v>386</v>
      </c>
      <c r="AA21" s="31"/>
      <c r="AB21" s="31"/>
      <c r="AC21" s="31"/>
      <c r="AD21" s="34">
        <f>IF(COUNT(S21:AC21)=0,0,SUMPRODUCT({5000,1000,500,100,75,50,20,10,5,2,1}, S21:AC21))</f>
        <v>23510</v>
      </c>
      <c r="AE21" s="33">
        <v>291597</v>
      </c>
      <c r="AF21" s="24">
        <f>IF(AND(COUNT(C21:E21)=0,COUNT(G21:I21)=0,COUNT(K21:M21)=0,COUNT(O21:Q21)=0,COUNT(S21:AC21)=0,AE21=""),"",(IF(COUNT(C21:E21)=0,0,SUMPRODUCT({5000,1000,500},C21:E21))+IF(COUNT(G21:I21)=0,0,SUMPRODUCT({5000,1000,500},G21:I21))+IF(COUNT(K21:M21)=0,0,SUMPRODUCT({5000,1000,500},K21:M21))+IF(COUNT(O21:Q21)=0,0,SUMPRODUCT({5000,1000,500},O21:Q21))+AD21)-N(AE21))</f>
        <v>-87</v>
      </c>
      <c r="AG21" s="35" t="str">
        <f t="shared" si="0"/>
        <v>Short</v>
      </c>
      <c r="AH21" s="38"/>
      <c r="AI21" s="36">
        <v>419937.88</v>
      </c>
      <c r="AJ21" s="37">
        <f>150666.02+269271.86</f>
        <v>419937.88</v>
      </c>
      <c r="AK21" s="26">
        <f t="shared" si="1"/>
        <v>0</v>
      </c>
      <c r="AL21" s="25" t="str">
        <f t="shared" si="2"/>
        <v>Matched</v>
      </c>
      <c r="AM21" s="38"/>
    </row>
    <row r="22" spans="1:39" ht="12.75" customHeight="1" x14ac:dyDescent="0.25">
      <c r="A22" s="31">
        <v>75768</v>
      </c>
      <c r="B22" s="32" t="str">
        <f>IF(A22="","",VLOOKUP(A22,'Employee Database'!A:B,2,FALSE))</f>
        <v>Zuhaib</v>
      </c>
      <c r="C22" s="31"/>
      <c r="D22" s="31"/>
      <c r="E22" s="31"/>
      <c r="F22" s="39">
        <f>IF(COUNT(C22:E22)=0,0,SUMPRODUCT({5000,1000,500},C22:E22))</f>
        <v>0</v>
      </c>
      <c r="G22" s="31">
        <v>54</v>
      </c>
      <c r="H22" s="31">
        <v>82</v>
      </c>
      <c r="I22" s="31">
        <v>0</v>
      </c>
      <c r="J22" s="39">
        <f>IF(COUNT(G22:I22)=0,0,SUMPRODUCT({5000,1000,500},G22:I22))</f>
        <v>352000</v>
      </c>
      <c r="K22" s="31"/>
      <c r="L22" s="31"/>
      <c r="M22" s="31"/>
      <c r="N22" s="39">
        <f>IF(COUNT(K22:M22)=0,0,SUMPRODUCT({5000,1000,500},K22:M22))</f>
        <v>0</v>
      </c>
      <c r="O22" s="31"/>
      <c r="P22" s="31"/>
      <c r="Q22" s="31"/>
      <c r="R22" s="39">
        <f>IF(COUNT(O22:Q22)=0,0,SUMPRODUCT({5000,1000,500},O22:Q22))</f>
        <v>0</v>
      </c>
      <c r="S22" s="31"/>
      <c r="T22" s="31"/>
      <c r="U22" s="31"/>
      <c r="V22" s="31"/>
      <c r="W22" s="31"/>
      <c r="X22" s="31">
        <v>12</v>
      </c>
      <c r="Y22" s="31"/>
      <c r="Z22" s="31">
        <v>71</v>
      </c>
      <c r="AA22" s="31"/>
      <c r="AB22" s="31"/>
      <c r="AC22" s="31"/>
      <c r="AD22" s="34">
        <f>IF(COUNT(S22:AC22)=0,0,SUMPRODUCT({5000,1000,500,100,75,50,20,10,5,2,1}, S22:AC22))</f>
        <v>1310</v>
      </c>
      <c r="AE22" s="33">
        <v>353280</v>
      </c>
      <c r="AF22" s="24">
        <f>IF(AND(COUNT(C22:E22)=0,COUNT(G22:I22)=0,COUNT(K22:M22)=0,COUNT(O22:Q22)=0,COUNT(S22:AC22)=0,AE22=""),"",(IF(COUNT(C22:E22)=0,0,SUMPRODUCT({5000,1000,500},C22:E22))+IF(COUNT(G22:I22)=0,0,SUMPRODUCT({5000,1000,500},G22:I22))+IF(COUNT(K22:M22)=0,0,SUMPRODUCT({5000,1000,500},K22:M22))+IF(COUNT(O22:Q22)=0,0,SUMPRODUCT({5000,1000,500},O22:Q22))+AD22)-N(AE22))</f>
        <v>30</v>
      </c>
      <c r="AG22" s="35" t="str">
        <f t="shared" si="0"/>
        <v>Excess</v>
      </c>
      <c r="AH22" s="38"/>
      <c r="AI22" s="36">
        <f>596875.31+115955.58</f>
        <v>712830.89</v>
      </c>
      <c r="AJ22" s="37">
        <f>596875.31+115955.58</f>
        <v>712830.89</v>
      </c>
      <c r="AK22" s="26">
        <f t="shared" si="1"/>
        <v>0</v>
      </c>
      <c r="AL22" s="25" t="str">
        <f t="shared" si="2"/>
        <v>Matched</v>
      </c>
      <c r="AM22" s="38"/>
    </row>
    <row r="23" spans="1:39" ht="12.75" customHeight="1" x14ac:dyDescent="0.25">
      <c r="A23" s="31">
        <v>69728</v>
      </c>
      <c r="B23" s="32" t="str">
        <f>IF(A23="","",VLOOKUP(A23,'Employee Database'!A:B,2,FALSE))</f>
        <v>Hafiz Hafeez Ur Rehman</v>
      </c>
      <c r="C23" s="31"/>
      <c r="D23" s="31"/>
      <c r="E23" s="31"/>
      <c r="F23" s="39">
        <f>IF(COUNT(C23:E23)=0,0,SUMPRODUCT({5000,1000,500},C23:E23))</f>
        <v>0</v>
      </c>
      <c r="G23" s="31">
        <v>50</v>
      </c>
      <c r="H23" s="31">
        <v>208</v>
      </c>
      <c r="I23" s="31">
        <v>1</v>
      </c>
      <c r="J23" s="39">
        <f>IF(COUNT(G23:I23)=0,0,SUMPRODUCT({5000,1000,500},G23:I23))</f>
        <v>458500</v>
      </c>
      <c r="K23" s="31"/>
      <c r="L23" s="31"/>
      <c r="M23" s="31"/>
      <c r="N23" s="39">
        <f>IF(COUNT(K23:M23)=0,0,SUMPRODUCT({5000,1000,500},K23:M23))</f>
        <v>0</v>
      </c>
      <c r="O23" s="31"/>
      <c r="P23" s="31"/>
      <c r="Q23" s="31"/>
      <c r="R23" s="39">
        <f>IF(COUNT(O23:Q23)=0,0,SUMPRODUCT({5000,1000,500},O23:Q23))</f>
        <v>0</v>
      </c>
      <c r="S23" s="31"/>
      <c r="T23" s="31"/>
      <c r="U23" s="31"/>
      <c r="V23" s="31">
        <v>2</v>
      </c>
      <c r="W23" s="31"/>
      <c r="X23" s="31">
        <v>7</v>
      </c>
      <c r="Y23" s="31"/>
      <c r="Z23" s="31">
        <v>40</v>
      </c>
      <c r="AA23" s="31"/>
      <c r="AB23" s="31"/>
      <c r="AC23" s="31"/>
      <c r="AD23" s="34">
        <f>IF(COUNT(S23:AC23)=0,0,SUMPRODUCT({5000,1000,500,100,75,50,20,10,5,2,1}, S23:AC23))</f>
        <v>950</v>
      </c>
      <c r="AE23" s="33">
        <v>459938</v>
      </c>
      <c r="AF23" s="24">
        <f>IF(AND(COUNT(C23:E23)=0,COUNT(G23:I23)=0,COUNT(K23:M23)=0,COUNT(O23:Q23)=0,COUNT(S23:AC23)=0,AE23=""),"",(IF(COUNT(C23:E23)=0,0,SUMPRODUCT({5000,1000,500},C23:E23))+IF(COUNT(G23:I23)=0,0,SUMPRODUCT({5000,1000,500},G23:I23))+IF(COUNT(K23:M23)=0,0,SUMPRODUCT({5000,1000,500},K23:M23))+IF(COUNT(O23:Q23)=0,0,SUMPRODUCT({5000,1000,500},O23:Q23))+AD23)-N(AE23))</f>
        <v>-488</v>
      </c>
      <c r="AG23" s="35" t="str">
        <f t="shared" si="0"/>
        <v>Short</v>
      </c>
      <c r="AH23" s="38"/>
      <c r="AI23" s="36">
        <f>52041.27+571881.7+19924</f>
        <v>643846.97</v>
      </c>
      <c r="AJ23" s="37">
        <f>425357.85+146523.85+6200+45841.27+19924</f>
        <v>643846.97</v>
      </c>
      <c r="AK23" s="26">
        <f t="shared" si="1"/>
        <v>0</v>
      </c>
      <c r="AL23" s="25" t="str">
        <f t="shared" si="2"/>
        <v>Matched</v>
      </c>
      <c r="AM23" s="38"/>
    </row>
    <row r="24" spans="1:39" ht="12.75" customHeight="1" x14ac:dyDescent="0.25">
      <c r="A24" s="31">
        <v>68475</v>
      </c>
      <c r="B24" s="32" t="str">
        <f>IF(A24="","",VLOOKUP(A24,'Employee Database'!A:B,2,FALSE))</f>
        <v>M Azeem</v>
      </c>
      <c r="C24" s="31"/>
      <c r="D24" s="31"/>
      <c r="E24" s="31"/>
      <c r="F24" s="39">
        <f>IF(COUNT(C24:E24)=0,0,SUMPRODUCT({5000,1000,500},C24:E24))</f>
        <v>0</v>
      </c>
      <c r="G24" s="31">
        <v>48</v>
      </c>
      <c r="H24" s="31">
        <v>142</v>
      </c>
      <c r="I24" s="31">
        <v>14</v>
      </c>
      <c r="J24" s="39">
        <f>IF(COUNT(G24:I24)=0,0,SUMPRODUCT({5000,1000,500},G24:I24))</f>
        <v>389000</v>
      </c>
      <c r="K24" s="31"/>
      <c r="L24" s="31"/>
      <c r="M24" s="31"/>
      <c r="N24" s="39">
        <f>IF(COUNT(K24:M24)=0,0,SUMPRODUCT({5000,1000,500},K24:M24))</f>
        <v>0</v>
      </c>
      <c r="O24" s="31"/>
      <c r="P24" s="31"/>
      <c r="Q24" s="31"/>
      <c r="R24" s="39">
        <f>IF(COUNT(O24:Q24)=0,0,SUMPRODUCT({5000,1000,500},O24:Q24))</f>
        <v>0</v>
      </c>
      <c r="S24" s="31"/>
      <c r="T24" s="31"/>
      <c r="U24" s="31"/>
      <c r="V24" s="31"/>
      <c r="W24" s="31"/>
      <c r="X24" s="31">
        <v>39</v>
      </c>
      <c r="Y24" s="31"/>
      <c r="Z24" s="31">
        <v>29</v>
      </c>
      <c r="AA24" s="31"/>
      <c r="AB24" s="31"/>
      <c r="AC24" s="31"/>
      <c r="AD24" s="34">
        <f>IF(COUNT(S24:AC24)=0,0,SUMPRODUCT({5000,1000,500,100,75,50,20,10,5,2,1}, S24:AC24))</f>
        <v>2240</v>
      </c>
      <c r="AE24" s="33">
        <v>391222</v>
      </c>
      <c r="AF24" s="24">
        <f>IF(AND(COUNT(C24:E24)=0,COUNT(G24:I24)=0,COUNT(K24:M24)=0,COUNT(O24:Q24)=0,COUNT(S24:AC24)=0,AE24=""),"",(IF(COUNT(C24:E24)=0,0,SUMPRODUCT({5000,1000,500},C24:E24))+IF(COUNT(G24:I24)=0,0,SUMPRODUCT({5000,1000,500},G24:I24))+IF(COUNT(K24:M24)=0,0,SUMPRODUCT({5000,1000,500},K24:M24))+IF(COUNT(O24:Q24)=0,0,SUMPRODUCT({5000,1000,500},O24:Q24))+AD24)-N(AE24))</f>
        <v>18</v>
      </c>
      <c r="AG24" s="35" t="str">
        <f t="shared" si="0"/>
        <v>Excess</v>
      </c>
      <c r="AH24" s="38"/>
      <c r="AI24" s="36">
        <v>542105.81999999995</v>
      </c>
      <c r="AJ24" s="37">
        <f>27078.27+515027.55</f>
        <v>542105.81999999995</v>
      </c>
      <c r="AK24" s="26">
        <f t="shared" si="1"/>
        <v>0</v>
      </c>
      <c r="AL24" s="25" t="str">
        <f t="shared" si="2"/>
        <v>Matched</v>
      </c>
      <c r="AM24" s="38"/>
    </row>
    <row r="25" spans="1:39" ht="12.75" customHeight="1" x14ac:dyDescent="0.25">
      <c r="A25" s="31">
        <v>50313</v>
      </c>
      <c r="B25" s="32" t="str">
        <f>IF(A25="","",VLOOKUP(A25,'Employee Database'!A:B,2,FALSE))</f>
        <v>Waseem Raza</v>
      </c>
      <c r="C25" s="31"/>
      <c r="D25" s="31"/>
      <c r="E25" s="31"/>
      <c r="F25" s="39">
        <f>IF(COUNT(C25:E25)=0,0,SUMPRODUCT({5000,1000,500},C25:E25))</f>
        <v>0</v>
      </c>
      <c r="G25" s="31"/>
      <c r="H25" s="31"/>
      <c r="I25" s="31"/>
      <c r="J25" s="39">
        <f>IF(COUNT(G25:I25)=0,0,SUMPRODUCT({5000,1000,500},G25:I25))</f>
        <v>0</v>
      </c>
      <c r="K25" s="31"/>
      <c r="L25" s="31"/>
      <c r="M25" s="31"/>
      <c r="N25" s="39">
        <f>IF(COUNT(K25:M25)=0,0,SUMPRODUCT({5000,1000,500},K25:M25))</f>
        <v>0</v>
      </c>
      <c r="O25" s="31"/>
      <c r="P25" s="31"/>
      <c r="Q25" s="31"/>
      <c r="R25" s="39">
        <f>IF(COUNT(O25:Q25)=0,0,SUMPRODUCT({5000,1000,500},O25:Q25))</f>
        <v>0</v>
      </c>
      <c r="S25" s="31"/>
      <c r="T25" s="31">
        <v>4</v>
      </c>
      <c r="U25" s="31">
        <v>1</v>
      </c>
      <c r="V25" s="31"/>
      <c r="W25" s="31"/>
      <c r="X25" s="31">
        <v>4</v>
      </c>
      <c r="Y25" s="31">
        <v>1</v>
      </c>
      <c r="Z25" s="31">
        <v>1</v>
      </c>
      <c r="AA25" s="31"/>
      <c r="AB25" s="31"/>
      <c r="AC25" s="31"/>
      <c r="AD25" s="34">
        <f>IF(COUNT(S25:AC25)=0,0,SUMPRODUCT({5000,1000,500,100,75,50,20,10,5,2,1}, S25:AC25))</f>
        <v>4730</v>
      </c>
      <c r="AE25" s="33">
        <v>4732</v>
      </c>
      <c r="AF25" s="24">
        <f>IF(AND(COUNT(C25:E25)=0,COUNT(G25:I25)=0,COUNT(K25:M25)=0,COUNT(O25:Q25)=0,COUNT(S25:AC25)=0,AE25=""),"",(IF(COUNT(C25:E25)=0,0,SUMPRODUCT({5000,1000,500},C25:E25))+IF(COUNT(G25:I25)=0,0,SUMPRODUCT({5000,1000,500},G25:I25))+IF(COUNT(K25:M25)=0,0,SUMPRODUCT({5000,1000,500},K25:M25))+IF(COUNT(O25:Q25)=0,0,SUMPRODUCT({5000,1000,500},O25:Q25))+AD25)-N(AE25))</f>
        <v>-2</v>
      </c>
      <c r="AG25" s="35" t="str">
        <f t="shared" si="0"/>
        <v>Short</v>
      </c>
      <c r="AH25" s="38"/>
      <c r="AI25" s="36"/>
      <c r="AJ25" s="37"/>
      <c r="AK25" s="26" t="str">
        <f t="shared" si="1"/>
        <v/>
      </c>
      <c r="AL25" s="25" t="str">
        <f t="shared" si="2"/>
        <v/>
      </c>
      <c r="AM25" s="38"/>
    </row>
    <row r="26" spans="1:39" ht="12.75" customHeight="1" x14ac:dyDescent="0.25">
      <c r="A26" s="31"/>
      <c r="B26" s="32" t="str">
        <f>IF(A26="","",VLOOKUP(A26,'Employee Database'!A:B,2,FALSE))</f>
        <v/>
      </c>
      <c r="C26" s="31"/>
      <c r="D26" s="31"/>
      <c r="E26" s="31"/>
      <c r="F26" s="39">
        <f>IF(COUNT(C26:E26)=0,0,SUMPRODUCT({5000,1000,500},C26:E26))</f>
        <v>0</v>
      </c>
      <c r="G26" s="31"/>
      <c r="H26" s="31"/>
      <c r="I26" s="31"/>
      <c r="J26" s="39">
        <f>IF(COUNT(G26:I26)=0,0,SUMPRODUCT({5000,1000,500},G26:I26))</f>
        <v>0</v>
      </c>
      <c r="K26" s="31"/>
      <c r="L26" s="31"/>
      <c r="M26" s="31"/>
      <c r="N26" s="39">
        <f>IF(COUNT(K26:M26)=0,0,SUMPRODUCT({5000,1000,500},K26:M26))</f>
        <v>0</v>
      </c>
      <c r="O26" s="31"/>
      <c r="P26" s="31"/>
      <c r="Q26" s="31"/>
      <c r="R26" s="39">
        <f>IF(COUNT(O26:Q26)=0,0,SUMPRODUCT({5000,1000,500},O26:Q26))</f>
        <v>0</v>
      </c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4">
        <f>IF(COUNT(S26:AC26)=0,0,SUMPRODUCT({5000,1000,500,100,75,50,20,10,5,2,1}, S26:AC26))</f>
        <v>0</v>
      </c>
      <c r="AE26" s="33"/>
      <c r="AF26" s="24" t="str">
        <f>IF(AND(COUNT(C26:E26)=0,COUNT(G26:I26)=0,COUNT(K26:M26)=0,COUNT(O26:Q26)=0,COUNT(S26:AC26)=0,AE26=""),"",(IF(COUNT(C26:E26)=0,0,SUMPRODUCT({5000,1000,500},C26:E26))+IF(COUNT(G26:I26)=0,0,SUMPRODUCT({5000,1000,500},G26:I26))+IF(COUNT(K26:M26)=0,0,SUMPRODUCT({5000,1000,500},K26:M26))+IF(COUNT(O26:Q26)=0,0,SUMPRODUCT({5000,1000,500},O26:Q26))+AD26)-N(AE26))</f>
        <v/>
      </c>
      <c r="AG26" s="35" t="str">
        <f t="shared" si="0"/>
        <v/>
      </c>
      <c r="AH26" s="38"/>
      <c r="AI26" s="36"/>
      <c r="AJ26" s="37"/>
      <c r="AK26" s="26" t="str">
        <f t="shared" si="1"/>
        <v/>
      </c>
      <c r="AL26" s="25" t="str">
        <f t="shared" si="2"/>
        <v/>
      </c>
      <c r="AM26" s="38"/>
    </row>
    <row r="27" spans="1:39" ht="12.75" customHeight="1" x14ac:dyDescent="0.25">
      <c r="A27" s="31"/>
      <c r="B27" s="32" t="str">
        <f>IF(A27="","",VLOOKUP(A27,'Employee Database'!A:B,2,FALSE))</f>
        <v/>
      </c>
      <c r="C27" s="31"/>
      <c r="D27" s="31"/>
      <c r="E27" s="31"/>
      <c r="F27" s="39">
        <f>IF(COUNT(C27:E27)=0,0,SUMPRODUCT({5000,1000,500},C27:E27))</f>
        <v>0</v>
      </c>
      <c r="G27" s="31"/>
      <c r="H27" s="31"/>
      <c r="I27" s="31"/>
      <c r="J27" s="39">
        <f>IF(COUNT(G27:I27)=0,0,SUMPRODUCT({5000,1000,500},G27:I27))</f>
        <v>0</v>
      </c>
      <c r="K27" s="31"/>
      <c r="L27" s="31"/>
      <c r="M27" s="31"/>
      <c r="N27" s="39">
        <f>IF(COUNT(K27:M27)=0,0,SUMPRODUCT({5000,1000,500},K27:M27))</f>
        <v>0</v>
      </c>
      <c r="O27" s="31"/>
      <c r="P27" s="31"/>
      <c r="Q27" s="31"/>
      <c r="R27" s="39">
        <f>IF(COUNT(O27:Q27)=0,0,SUMPRODUCT({5000,1000,500},O27:Q27))</f>
        <v>0</v>
      </c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4">
        <f>IF(COUNT(S27:AC27)=0,0,SUMPRODUCT({5000,1000,500,100,75,50,20,10,5,2,1}, S27:AC27))</f>
        <v>0</v>
      </c>
      <c r="AE27" s="33"/>
      <c r="AF27" s="24" t="str">
        <f>IF(AND(COUNT(C27:E27)=0,COUNT(G27:I27)=0,COUNT(K27:M27)=0,COUNT(O27:Q27)=0,COUNT(S27:AC27)=0,AE27=""),"",(IF(COUNT(C27:E27)=0,0,SUMPRODUCT({5000,1000,500},C27:E27))+IF(COUNT(G27:I27)=0,0,SUMPRODUCT({5000,1000,500},G27:I27))+IF(COUNT(K27:M27)=0,0,SUMPRODUCT({5000,1000,500},K27:M27))+IF(COUNT(O27:Q27)=0,0,SUMPRODUCT({5000,1000,500},O27:Q27))+AD27)-N(AE27))</f>
        <v/>
      </c>
      <c r="AG27" s="35" t="str">
        <f t="shared" si="0"/>
        <v/>
      </c>
      <c r="AH27" s="38"/>
      <c r="AI27" s="36"/>
      <c r="AJ27" s="37"/>
      <c r="AK27" s="26" t="str">
        <f t="shared" si="1"/>
        <v/>
      </c>
      <c r="AL27" s="25" t="str">
        <f t="shared" si="2"/>
        <v/>
      </c>
      <c r="AM27" s="38"/>
    </row>
    <row r="28" spans="1:39" ht="12.75" customHeight="1" x14ac:dyDescent="0.25">
      <c r="A28" s="31"/>
      <c r="B28" s="32" t="str">
        <f>IF(A28="","",VLOOKUP(A28,'Employee Database'!A:B,2,FALSE))</f>
        <v/>
      </c>
      <c r="C28" s="31"/>
      <c r="D28" s="31"/>
      <c r="E28" s="31"/>
      <c r="F28" s="39">
        <f>IF(COUNT(C28:E28)=0,0,SUMPRODUCT({5000,1000,500},C28:E28))</f>
        <v>0</v>
      </c>
      <c r="G28" s="31"/>
      <c r="H28" s="31"/>
      <c r="I28" s="31"/>
      <c r="J28" s="39">
        <f>IF(COUNT(G28:I28)=0,0,SUMPRODUCT({5000,1000,500},G28:I28))</f>
        <v>0</v>
      </c>
      <c r="K28" s="31"/>
      <c r="L28" s="31"/>
      <c r="M28" s="31"/>
      <c r="N28" s="39">
        <f>IF(COUNT(K28:M28)=0,0,SUMPRODUCT({5000,1000,500},K28:M28))</f>
        <v>0</v>
      </c>
      <c r="O28" s="31"/>
      <c r="P28" s="31"/>
      <c r="Q28" s="31"/>
      <c r="R28" s="39">
        <f>IF(COUNT(O28:Q28)=0,0,SUMPRODUCT({5000,1000,500},O28:Q28))</f>
        <v>0</v>
      </c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4">
        <f>IF(COUNT(S28:AC28)=0,0,SUMPRODUCT({5000,1000,500,100,75,50,20,10,5,2,1}, S28:AC28))</f>
        <v>0</v>
      </c>
      <c r="AE28" s="33"/>
      <c r="AF28" s="24" t="str">
        <f>IF(AND(COUNT(C28:E28)=0,COUNT(G28:I28)=0,COUNT(K28:M28)=0,COUNT(O28:Q28)=0,COUNT(S28:AC28)=0,AE28=""),"",(IF(COUNT(C28:E28)=0,0,SUMPRODUCT({5000,1000,500},C28:E28))+IF(COUNT(G28:I28)=0,0,SUMPRODUCT({5000,1000,500},G28:I28))+IF(COUNT(K28:M28)=0,0,SUMPRODUCT({5000,1000,500},K28:M28))+IF(COUNT(O28:Q28)=0,0,SUMPRODUCT({5000,1000,500},O28:Q28))+AD28)-N(AE28))</f>
        <v/>
      </c>
      <c r="AG28" s="35" t="str">
        <f t="shared" si="0"/>
        <v/>
      </c>
      <c r="AH28" s="38"/>
      <c r="AI28" s="36"/>
      <c r="AJ28" s="37"/>
      <c r="AK28" s="26" t="str">
        <f t="shared" si="1"/>
        <v/>
      </c>
      <c r="AL28" s="25" t="str">
        <f t="shared" si="2"/>
        <v/>
      </c>
      <c r="AM28" s="38"/>
    </row>
    <row r="29" spans="1:39" ht="12.75" customHeight="1" x14ac:dyDescent="0.25">
      <c r="A29" s="31"/>
      <c r="B29" s="32" t="str">
        <f>IF(A29="","",VLOOKUP(A29,'Employee Database'!A:B,2,FALSE))</f>
        <v/>
      </c>
      <c r="C29" s="31"/>
      <c r="D29" s="31"/>
      <c r="E29" s="31"/>
      <c r="F29" s="39">
        <f>IF(COUNT(C29:E29)=0,0,SUMPRODUCT({5000,1000,500},C29:E29))</f>
        <v>0</v>
      </c>
      <c r="G29" s="31"/>
      <c r="H29" s="31"/>
      <c r="I29" s="31"/>
      <c r="J29" s="39">
        <f>IF(COUNT(G29:I29)=0,0,SUMPRODUCT({5000,1000,500},G29:I29))</f>
        <v>0</v>
      </c>
      <c r="K29" s="31"/>
      <c r="L29" s="31"/>
      <c r="M29" s="31"/>
      <c r="N29" s="39">
        <f>IF(COUNT(K29:M29)=0,0,SUMPRODUCT({5000,1000,500},K29:M29))</f>
        <v>0</v>
      </c>
      <c r="O29" s="31"/>
      <c r="P29" s="31"/>
      <c r="Q29" s="31"/>
      <c r="R29" s="39">
        <f>IF(COUNT(O29:Q29)=0,0,SUMPRODUCT({5000,1000,500},O29:Q29))</f>
        <v>0</v>
      </c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4">
        <f>IF(COUNT(S29:AC29)=0,0,SUMPRODUCT({5000,1000,500,100,75,50,20,10,5,2,1}, S29:AC29))</f>
        <v>0</v>
      </c>
      <c r="AE29" s="33"/>
      <c r="AF29" s="24" t="str">
        <f>IF(AND(COUNT(C29:E29)=0,COUNT(G29:I29)=0,COUNT(K29:M29)=0,COUNT(O29:Q29)=0,COUNT(S29:AC29)=0,AE29=""),"",(IF(COUNT(C29:E29)=0,0,SUMPRODUCT({5000,1000,500},C29:E29))+IF(COUNT(G29:I29)=0,0,SUMPRODUCT({5000,1000,500},G29:I29))+IF(COUNT(K29:M29)=0,0,SUMPRODUCT({5000,1000,500},K29:M29))+IF(COUNT(O29:Q29)=0,0,SUMPRODUCT({5000,1000,500},O29:Q29))+AD29)-N(AE29))</f>
        <v/>
      </c>
      <c r="AG29" s="35" t="str">
        <f t="shared" si="0"/>
        <v/>
      </c>
      <c r="AH29" s="38"/>
      <c r="AI29" s="36"/>
      <c r="AJ29" s="37"/>
      <c r="AK29" s="26" t="str">
        <f t="shared" si="1"/>
        <v/>
      </c>
      <c r="AL29" s="25" t="str">
        <f t="shared" si="2"/>
        <v/>
      </c>
      <c r="AM29" s="38"/>
    </row>
    <row r="30" spans="1:39" ht="12.75" customHeight="1" x14ac:dyDescent="0.25">
      <c r="A30" s="31"/>
      <c r="B30" s="32" t="str">
        <f>IF(A30="","",VLOOKUP(A30,'Employee Database'!A:B,2,FALSE))</f>
        <v/>
      </c>
      <c r="C30" s="31"/>
      <c r="D30" s="31"/>
      <c r="E30" s="31"/>
      <c r="F30" s="39">
        <f>IF(COUNT(C30:E30)=0,0,SUMPRODUCT({5000,1000,500},C30:E30))</f>
        <v>0</v>
      </c>
      <c r="G30" s="31"/>
      <c r="H30" s="31"/>
      <c r="I30" s="31"/>
      <c r="J30" s="39">
        <f>IF(COUNT(G30:I30)=0,0,SUMPRODUCT({5000,1000,500},G30:I30))</f>
        <v>0</v>
      </c>
      <c r="K30" s="31"/>
      <c r="L30" s="31"/>
      <c r="M30" s="31"/>
      <c r="N30" s="39">
        <f>IF(COUNT(K30:M30)=0,0,SUMPRODUCT({5000,1000,500},K30:M30))</f>
        <v>0</v>
      </c>
      <c r="O30" s="31"/>
      <c r="P30" s="31"/>
      <c r="Q30" s="31"/>
      <c r="R30" s="39">
        <f>IF(COUNT(O30:Q30)=0,0,SUMPRODUCT({5000,1000,500},O30:Q30))</f>
        <v>0</v>
      </c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4">
        <f>IF(COUNT(S30:AC30)=0,0,SUMPRODUCT({5000,1000,500,100,75,50,20,10,5,2,1}, S30:AC30))</f>
        <v>0</v>
      </c>
      <c r="AE30" s="33"/>
      <c r="AF30" s="24" t="str">
        <f>IF(AND(COUNT(C30:E30)=0,COUNT(G30:I30)=0,COUNT(K30:M30)=0,COUNT(O30:Q30)=0,COUNT(S30:AC30)=0,AE30=""),"",(IF(COUNT(C30:E30)=0,0,SUMPRODUCT({5000,1000,500},C30:E30))+IF(COUNT(G30:I30)=0,0,SUMPRODUCT({5000,1000,500},G30:I30))+IF(COUNT(K30:M30)=0,0,SUMPRODUCT({5000,1000,500},K30:M30))+IF(COUNT(O30:Q30)=0,0,SUMPRODUCT({5000,1000,500},O30:Q30))+AD30)-N(AE30))</f>
        <v/>
      </c>
      <c r="AG30" s="35" t="str">
        <f t="shared" si="0"/>
        <v/>
      </c>
      <c r="AH30" s="38"/>
      <c r="AI30" s="36"/>
      <c r="AJ30" s="37"/>
      <c r="AK30" s="26" t="str">
        <f t="shared" si="1"/>
        <v/>
      </c>
      <c r="AL30" s="25" t="str">
        <f t="shared" si="2"/>
        <v/>
      </c>
      <c r="AM30" s="38"/>
    </row>
    <row r="31" spans="1:39" ht="12.75" customHeight="1" x14ac:dyDescent="0.25">
      <c r="A31" s="31"/>
      <c r="B31" s="32" t="str">
        <f>IF(A31="","",VLOOKUP(A31,'Employee Database'!A:B,2,FALSE))</f>
        <v/>
      </c>
      <c r="C31" s="31"/>
      <c r="D31" s="31"/>
      <c r="E31" s="31"/>
      <c r="F31" s="39">
        <f>IF(COUNT(C31:E31)=0,0,SUMPRODUCT({5000,1000,500},C31:E31))</f>
        <v>0</v>
      </c>
      <c r="G31" s="31"/>
      <c r="H31" s="31"/>
      <c r="I31" s="31"/>
      <c r="J31" s="39">
        <f>IF(COUNT(G31:I31)=0,0,SUMPRODUCT({5000,1000,500},G31:I31))</f>
        <v>0</v>
      </c>
      <c r="K31" s="31"/>
      <c r="L31" s="31"/>
      <c r="M31" s="31"/>
      <c r="N31" s="39">
        <f>IF(COUNT(K31:M31)=0,0,SUMPRODUCT({5000,1000,500},K31:M31))</f>
        <v>0</v>
      </c>
      <c r="O31" s="31"/>
      <c r="P31" s="31"/>
      <c r="Q31" s="31"/>
      <c r="R31" s="39">
        <f>IF(COUNT(O31:Q31)=0,0,SUMPRODUCT({5000,1000,500},O31:Q31))</f>
        <v>0</v>
      </c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4">
        <f>IF(COUNT(S31:AC31)=0,0,SUMPRODUCT({5000,1000,500,100,75,50,20,10,5,2,1}, S31:AC31))</f>
        <v>0</v>
      </c>
      <c r="AE31" s="33"/>
      <c r="AF31" s="24" t="str">
        <f>IF(AND(COUNT(C31:E31)=0,COUNT(G31:I31)=0,COUNT(K31:M31)=0,COUNT(O31:Q31)=0,COUNT(S31:AC31)=0,AE31=""),"",(IF(COUNT(C31:E31)=0,0,SUMPRODUCT({5000,1000,500},C31:E31))+IF(COUNT(G31:I31)=0,0,SUMPRODUCT({5000,1000,500},G31:I31))+IF(COUNT(K31:M31)=0,0,SUMPRODUCT({5000,1000,500},K31:M31))+IF(COUNT(O31:Q31)=0,0,SUMPRODUCT({5000,1000,500},O31:Q31))+AD31)-N(AE31))</f>
        <v/>
      </c>
      <c r="AG31" s="35" t="str">
        <f t="shared" si="0"/>
        <v/>
      </c>
      <c r="AH31" s="38"/>
      <c r="AI31" s="36"/>
      <c r="AJ31" s="37"/>
      <c r="AK31" s="26" t="str">
        <f t="shared" si="1"/>
        <v/>
      </c>
      <c r="AL31" s="25" t="str">
        <f t="shared" si="2"/>
        <v/>
      </c>
      <c r="AM31" s="38"/>
    </row>
    <row r="32" spans="1:39" ht="12.75" customHeight="1" x14ac:dyDescent="0.25">
      <c r="A32" s="31"/>
      <c r="B32" s="32" t="str">
        <f>IF(A32="","",VLOOKUP(A32,'Employee Database'!A:B,2,FALSE))</f>
        <v/>
      </c>
      <c r="C32" s="31"/>
      <c r="D32" s="31"/>
      <c r="E32" s="31"/>
      <c r="F32" s="39">
        <f>IF(COUNT(C32:E32)=0,0,SUMPRODUCT({5000,1000,500},C32:E32))</f>
        <v>0</v>
      </c>
      <c r="G32" s="31"/>
      <c r="H32" s="31"/>
      <c r="I32" s="31"/>
      <c r="J32" s="39">
        <f>IF(COUNT(G32:I32)=0,0,SUMPRODUCT({5000,1000,500},G32:I32))</f>
        <v>0</v>
      </c>
      <c r="K32" s="31"/>
      <c r="L32" s="31"/>
      <c r="M32" s="31"/>
      <c r="N32" s="39">
        <f>IF(COUNT(K32:M32)=0,0,SUMPRODUCT({5000,1000,500},K32:M32))</f>
        <v>0</v>
      </c>
      <c r="O32" s="31"/>
      <c r="P32" s="31"/>
      <c r="Q32" s="31"/>
      <c r="R32" s="39">
        <f>IF(COUNT(O32:Q32)=0,0,SUMPRODUCT({5000,1000,500},O32:Q32))</f>
        <v>0</v>
      </c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4">
        <f>IF(COUNT(S32:AC32)=0,0,SUMPRODUCT({5000,1000,500,100,75,50,20,10,5,2,1}, S32:AC32))</f>
        <v>0</v>
      </c>
      <c r="AE32" s="33"/>
      <c r="AF32" s="24" t="str">
        <f>IF(AND(COUNT(C32:E32)=0,COUNT(G32:I32)=0,COUNT(K32:M32)=0,COUNT(O32:Q32)=0,COUNT(S32:AC32)=0,AE32=""),"",(IF(COUNT(C32:E32)=0,0,SUMPRODUCT({5000,1000,500},C32:E32))+IF(COUNT(G32:I32)=0,0,SUMPRODUCT({5000,1000,500},G32:I32))+IF(COUNT(K32:M32)=0,0,SUMPRODUCT({5000,1000,500},K32:M32))+IF(COUNT(O32:Q32)=0,0,SUMPRODUCT({5000,1000,500},O32:Q32))+AD32)-N(AE32))</f>
        <v/>
      </c>
      <c r="AG32" s="35" t="str">
        <f t="shared" si="0"/>
        <v/>
      </c>
      <c r="AH32" s="38"/>
      <c r="AI32" s="36"/>
      <c r="AJ32" s="37"/>
      <c r="AK32" s="26" t="str">
        <f t="shared" si="1"/>
        <v/>
      </c>
      <c r="AL32" s="25" t="str">
        <f t="shared" si="2"/>
        <v/>
      </c>
      <c r="AM32" s="38"/>
    </row>
    <row r="33" spans="1:39" ht="12.75" customHeight="1" x14ac:dyDescent="0.25">
      <c r="A33" s="31"/>
      <c r="B33" s="32" t="str">
        <f>IF(A33="","",VLOOKUP(A33,'Employee Database'!A:B,2,FALSE))</f>
        <v/>
      </c>
      <c r="C33" s="31"/>
      <c r="D33" s="31"/>
      <c r="E33" s="31"/>
      <c r="F33" s="39">
        <f>IF(COUNT(C33:E33)=0,0,SUMPRODUCT({5000,1000,500},C33:E33))</f>
        <v>0</v>
      </c>
      <c r="G33" s="31"/>
      <c r="H33" s="31"/>
      <c r="I33" s="31"/>
      <c r="J33" s="39">
        <f>IF(COUNT(G33:I33)=0,0,SUMPRODUCT({5000,1000,500},G33:I33))</f>
        <v>0</v>
      </c>
      <c r="K33" s="31"/>
      <c r="L33" s="31"/>
      <c r="M33" s="31"/>
      <c r="N33" s="39">
        <f>IF(COUNT(K33:M33)=0,0,SUMPRODUCT({5000,1000,500},K33:M33))</f>
        <v>0</v>
      </c>
      <c r="O33" s="31"/>
      <c r="P33" s="31"/>
      <c r="Q33" s="31"/>
      <c r="R33" s="39">
        <f>IF(COUNT(O33:Q33)=0,0,SUMPRODUCT({5000,1000,500},O33:Q33))</f>
        <v>0</v>
      </c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4">
        <f>IF(COUNT(S33:AC33)=0,0,SUMPRODUCT({5000,1000,500,100,75,50,20,10,5,2,1}, S33:AC33))</f>
        <v>0</v>
      </c>
      <c r="AE33" s="33"/>
      <c r="AF33" s="24" t="str">
        <f>IF(AND(COUNT(C33:E33)=0,COUNT(G33:I33)=0,COUNT(K33:M33)=0,COUNT(O33:Q33)=0,COUNT(S33:AC33)=0,AE33=""),"",(IF(COUNT(C33:E33)=0,0,SUMPRODUCT({5000,1000,500},C33:E33))+IF(COUNT(G33:I33)=0,0,SUMPRODUCT({5000,1000,500},G33:I33))+IF(COUNT(K33:M33)=0,0,SUMPRODUCT({5000,1000,500},K33:M33))+IF(COUNT(O33:Q33)=0,0,SUMPRODUCT({5000,1000,500},O33:Q33))+AD33)-N(AE33))</f>
        <v/>
      </c>
      <c r="AG33" s="35" t="str">
        <f t="shared" si="0"/>
        <v/>
      </c>
      <c r="AH33" s="38"/>
      <c r="AI33" s="36"/>
      <c r="AJ33" s="37"/>
      <c r="AK33" s="26" t="str">
        <f t="shared" si="1"/>
        <v/>
      </c>
      <c r="AL33" s="25" t="str">
        <f t="shared" si="2"/>
        <v/>
      </c>
      <c r="AM33" s="38"/>
    </row>
    <row r="34" spans="1:39" ht="12.75" customHeight="1" x14ac:dyDescent="0.25">
      <c r="A34" s="31"/>
      <c r="B34" s="32" t="str">
        <f>IF(A34="","",VLOOKUP(A34,'Employee Database'!A:B,2,FALSE))</f>
        <v/>
      </c>
      <c r="C34" s="31"/>
      <c r="D34" s="31"/>
      <c r="E34" s="31"/>
      <c r="F34" s="39">
        <f>IF(COUNT(C34:E34)=0,0,SUMPRODUCT({5000,1000,500},C34:E34))</f>
        <v>0</v>
      </c>
      <c r="G34" s="31"/>
      <c r="H34" s="31"/>
      <c r="I34" s="31"/>
      <c r="J34" s="39">
        <f>IF(COUNT(G34:I34)=0,0,SUMPRODUCT({5000,1000,500},G34:I34))</f>
        <v>0</v>
      </c>
      <c r="K34" s="31"/>
      <c r="L34" s="31"/>
      <c r="M34" s="31"/>
      <c r="N34" s="39">
        <f>IF(COUNT(K34:M34)=0,0,SUMPRODUCT({5000,1000,500},K34:M34))</f>
        <v>0</v>
      </c>
      <c r="O34" s="31"/>
      <c r="P34" s="31"/>
      <c r="Q34" s="31"/>
      <c r="R34" s="39">
        <f>IF(COUNT(O34:Q34)=0,0,SUMPRODUCT({5000,1000,500},O34:Q34))</f>
        <v>0</v>
      </c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4">
        <f>IF(COUNT(S34:AC34)=0,0,SUMPRODUCT({5000,1000,500,100,75,50,20,10,5,2,1}, S34:AC34))</f>
        <v>0</v>
      </c>
      <c r="AE34" s="33"/>
      <c r="AF34" s="24" t="str">
        <f>IF(AND(COUNT(C34:E34)=0,COUNT(G34:I34)=0,COUNT(K34:M34)=0,COUNT(O34:Q34)=0,COUNT(S34:AC34)=0,AE34=""),"",(IF(COUNT(C34:E34)=0,0,SUMPRODUCT({5000,1000,500},C34:E34))+IF(COUNT(G34:I34)=0,0,SUMPRODUCT({5000,1000,500},G34:I34))+IF(COUNT(K34:M34)=0,0,SUMPRODUCT({5000,1000,500},K34:M34))+IF(COUNT(O34:Q34)=0,0,SUMPRODUCT({5000,1000,500},O34:Q34))+AD34)-N(AE34))</f>
        <v/>
      </c>
      <c r="AG34" s="35" t="str">
        <f t="shared" si="0"/>
        <v/>
      </c>
      <c r="AH34" s="38"/>
      <c r="AI34" s="36"/>
      <c r="AJ34" s="37"/>
      <c r="AK34" s="26" t="str">
        <f t="shared" si="1"/>
        <v/>
      </c>
      <c r="AL34" s="25" t="str">
        <f t="shared" si="2"/>
        <v/>
      </c>
      <c r="AM34" s="38"/>
    </row>
    <row r="35" spans="1:39" ht="22.5" customHeight="1" x14ac:dyDescent="0.25">
      <c r="A35" s="27" t="s">
        <v>24</v>
      </c>
      <c r="B35" s="27" t="s">
        <v>24</v>
      </c>
      <c r="C35" s="28">
        <f t="shared" ref="C35:AF35" si="3">SUM(C5:C34)</f>
        <v>299</v>
      </c>
      <c r="D35" s="28">
        <f t="shared" si="3"/>
        <v>738</v>
      </c>
      <c r="E35" s="28">
        <f t="shared" si="3"/>
        <v>102</v>
      </c>
      <c r="F35" s="40">
        <f t="shared" si="3"/>
        <v>2284000</v>
      </c>
      <c r="G35" s="28">
        <f t="shared" si="3"/>
        <v>581</v>
      </c>
      <c r="H35" s="28">
        <f t="shared" si="3"/>
        <v>1177</v>
      </c>
      <c r="I35" s="28">
        <f t="shared" si="3"/>
        <v>94</v>
      </c>
      <c r="J35" s="40">
        <f t="shared" si="3"/>
        <v>4129000</v>
      </c>
      <c r="K35" s="28">
        <f t="shared" si="3"/>
        <v>0</v>
      </c>
      <c r="L35" s="28">
        <f t="shared" si="3"/>
        <v>0</v>
      </c>
      <c r="M35" s="28">
        <f t="shared" si="3"/>
        <v>0</v>
      </c>
      <c r="N35" s="40">
        <f t="shared" si="3"/>
        <v>0</v>
      </c>
      <c r="O35" s="28">
        <f t="shared" si="3"/>
        <v>0</v>
      </c>
      <c r="P35" s="28">
        <f t="shared" si="3"/>
        <v>0</v>
      </c>
      <c r="Q35" s="28">
        <f t="shared" si="3"/>
        <v>0</v>
      </c>
      <c r="R35" s="40">
        <f t="shared" si="3"/>
        <v>0</v>
      </c>
      <c r="S35" s="28">
        <f t="shared" si="3"/>
        <v>0</v>
      </c>
      <c r="T35" s="28">
        <f t="shared" si="3"/>
        <v>4</v>
      </c>
      <c r="U35" s="28">
        <f t="shared" si="3"/>
        <v>1</v>
      </c>
      <c r="V35" s="28">
        <f t="shared" si="3"/>
        <v>49</v>
      </c>
      <c r="W35" s="28">
        <f t="shared" si="3"/>
        <v>0</v>
      </c>
      <c r="X35" s="28">
        <f t="shared" si="3"/>
        <v>811</v>
      </c>
      <c r="Y35" s="28">
        <f t="shared" si="3"/>
        <v>62</v>
      </c>
      <c r="Z35" s="28">
        <f t="shared" si="3"/>
        <v>1092</v>
      </c>
      <c r="AA35" s="28">
        <f t="shared" si="3"/>
        <v>0</v>
      </c>
      <c r="AB35" s="28">
        <f t="shared" si="3"/>
        <v>0</v>
      </c>
      <c r="AC35" s="28">
        <f t="shared" si="3"/>
        <v>5</v>
      </c>
      <c r="AD35" s="40">
        <f t="shared" si="3"/>
        <v>62115</v>
      </c>
      <c r="AE35" s="41">
        <f t="shared" si="3"/>
        <v>6476332</v>
      </c>
      <c r="AF35" s="29">
        <f t="shared" si="3"/>
        <v>-1217</v>
      </c>
      <c r="AG35" s="27" t="s">
        <v>24</v>
      </c>
      <c r="AH35" s="27" t="s">
        <v>24</v>
      </c>
      <c r="AI35" s="28">
        <f>SUM(AI5:AI34)</f>
        <v>10510698.180000002</v>
      </c>
      <c r="AJ35" s="28">
        <f>SUM(AJ5:AJ34)</f>
        <v>10510697.180000002</v>
      </c>
      <c r="AK35" s="28">
        <f>SUM(AK5:AK34)</f>
        <v>0.99999999999636202</v>
      </c>
      <c r="AL35" s="28">
        <f>AJ35+AE35</f>
        <v>16987029.18</v>
      </c>
      <c r="AM35" s="28">
        <f>SUM(AM5:AM34)</f>
        <v>0</v>
      </c>
    </row>
  </sheetData>
  <sheetProtection algorithmName="SHA-512" hashValue="hFQikh6Z/9xroZ13CncNQ3U5mSxpHlMeOumJJmFHfrquYZ8D11498icuVNz222A7M6ShIS7QLqyYaUpG7Rdd+A==" saltValue="K3fy4GuxpTA4qgBFCOpV5Q==" spinCount="100000" sheet="1" objects="1" scenarios="1"/>
  <mergeCells count="9">
    <mergeCell ref="S3:AC3"/>
    <mergeCell ref="AD3:AG3"/>
    <mergeCell ref="AH3:AM3"/>
    <mergeCell ref="A1:B1"/>
    <mergeCell ref="A3:B3"/>
    <mergeCell ref="C3:F3"/>
    <mergeCell ref="G3:J3"/>
    <mergeCell ref="K3:N3"/>
    <mergeCell ref="O3:R3"/>
  </mergeCells>
  <conditionalFormatting sqref="A5">
    <cfRule type="duplicateValues" dxfId="161" priority="3"/>
    <cfRule type="duplicateValues" dxfId="160" priority="4"/>
  </conditionalFormatting>
  <conditionalFormatting sqref="A6">
    <cfRule type="duplicateValues" dxfId="159" priority="5"/>
    <cfRule type="duplicateValues" dxfId="158" priority="6"/>
  </conditionalFormatting>
  <conditionalFormatting sqref="A7:A34">
    <cfRule type="duplicateValues" dxfId="157" priority="1"/>
    <cfRule type="duplicateValues" dxfId="156" priority="2"/>
  </conditionalFormatting>
  <conditionalFormatting sqref="A35">
    <cfRule type="duplicateValues" dxfId="155" priority="7"/>
  </conditionalFormatting>
  <dataValidations count="1">
    <dataValidation type="list" allowBlank="1" showInputMessage="1" showErrorMessage="1" sqref="A1:B1" xr:uid="{00000000-0002-0000-0A00-000000000000}">
      <formula1>Locations</formula1>
    </dataValidation>
  </dataValidations>
  <pageMargins left="0.75" right="0.75" top="1" bottom="1" header="0.5" footer="0.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tabColor rgb="FFFF0000"/>
  </sheetPr>
  <dimension ref="A1:AM35"/>
  <sheetViews>
    <sheetView showGridLines="0" zoomScale="85" zoomScaleNormal="85" workbookViewId="0">
      <pane xSplit="2" topLeftCell="P1" activePane="topRight" state="frozen"/>
      <selection activeCell="A4" sqref="A4"/>
      <selection pane="topRight" activeCell="AF24" sqref="AF24"/>
    </sheetView>
  </sheetViews>
  <sheetFormatPr defaultRowHeight="15" x14ac:dyDescent="0.25"/>
  <cols>
    <col min="1" max="1" width="11.85546875" customWidth="1"/>
    <col min="2" max="2" width="20.5703125" customWidth="1"/>
    <col min="6" max="6" width="14.42578125" bestFit="1" customWidth="1"/>
    <col min="10" max="10" width="14.42578125" bestFit="1" customWidth="1"/>
    <col min="14" max="14" width="14.42578125" bestFit="1" customWidth="1"/>
    <col min="18" max="18" width="14.42578125" bestFit="1" customWidth="1"/>
    <col min="30" max="31" width="18" customWidth="1"/>
    <col min="32" max="32" width="20" customWidth="1"/>
    <col min="33" max="33" width="14" customWidth="1"/>
    <col min="35" max="35" width="18" customWidth="1"/>
    <col min="36" max="36" width="22" customWidth="1"/>
    <col min="37" max="37" width="16" customWidth="1"/>
    <col min="38" max="38" width="14" customWidth="1"/>
  </cols>
  <sheetData>
    <row r="1" spans="1:39" ht="43.5" customHeight="1" x14ac:dyDescent="0.25">
      <c r="A1" s="48" t="s">
        <v>306</v>
      </c>
      <c r="B1" s="48"/>
    </row>
    <row r="2" spans="1:39" ht="13.5" customHeight="1" x14ac:dyDescent="0.25">
      <c r="A2" s="30">
        <f>'9'!A2+1</f>
        <v>46213</v>
      </c>
    </row>
    <row r="3" spans="1:39" ht="24" customHeight="1" x14ac:dyDescent="0.25">
      <c r="A3" s="49" t="s">
        <v>0</v>
      </c>
      <c r="B3" s="49"/>
      <c r="C3" s="49" t="s">
        <v>93</v>
      </c>
      <c r="D3" s="50"/>
      <c r="E3" s="50"/>
      <c r="F3" s="50"/>
      <c r="G3" s="49" t="s">
        <v>94</v>
      </c>
      <c r="H3" s="50"/>
      <c r="I3" s="50"/>
      <c r="J3" s="50"/>
      <c r="K3" s="49" t="s">
        <v>95</v>
      </c>
      <c r="L3" s="50"/>
      <c r="M3" s="50"/>
      <c r="N3" s="50"/>
      <c r="O3" s="49" t="s">
        <v>96</v>
      </c>
      <c r="P3" s="50"/>
      <c r="Q3" s="50"/>
      <c r="R3" s="50"/>
      <c r="S3" s="45" t="s">
        <v>1</v>
      </c>
      <c r="T3" s="46"/>
      <c r="U3" s="46"/>
      <c r="V3" s="46"/>
      <c r="W3" s="46"/>
      <c r="X3" s="46"/>
      <c r="Y3" s="46"/>
      <c r="Z3" s="46"/>
      <c r="AA3" s="46"/>
      <c r="AB3" s="46"/>
      <c r="AC3" s="46"/>
      <c r="AD3" s="47" t="s">
        <v>97</v>
      </c>
      <c r="AE3" s="46"/>
      <c r="AF3" s="46"/>
      <c r="AG3" s="46"/>
      <c r="AH3" s="47" t="s">
        <v>98</v>
      </c>
      <c r="AI3" s="46"/>
      <c r="AJ3" s="46"/>
      <c r="AK3" s="46"/>
      <c r="AL3" s="46"/>
      <c r="AM3" s="46"/>
    </row>
    <row r="4" spans="1:39" ht="27.95" customHeight="1" x14ac:dyDescent="0.25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92</v>
      </c>
      <c r="G4" s="1" t="s">
        <v>5</v>
      </c>
      <c r="H4" s="1" t="s">
        <v>6</v>
      </c>
      <c r="I4" s="1" t="s">
        <v>7</v>
      </c>
      <c r="J4" s="1" t="s">
        <v>92</v>
      </c>
      <c r="K4" s="1" t="s">
        <v>5</v>
      </c>
      <c r="L4" s="1" t="s">
        <v>6</v>
      </c>
      <c r="M4" s="1" t="s">
        <v>7</v>
      </c>
      <c r="N4" s="1" t="s">
        <v>92</v>
      </c>
      <c r="O4" s="1" t="s">
        <v>5</v>
      </c>
      <c r="P4" s="1" t="s">
        <v>6</v>
      </c>
      <c r="Q4" s="1" t="s">
        <v>7</v>
      </c>
      <c r="R4" s="1" t="s">
        <v>92</v>
      </c>
      <c r="S4" s="1" t="s">
        <v>5</v>
      </c>
      <c r="T4" s="1" t="s">
        <v>6</v>
      </c>
      <c r="U4" s="1" t="s">
        <v>7</v>
      </c>
      <c r="V4" s="1" t="s">
        <v>8</v>
      </c>
      <c r="W4" s="1" t="s">
        <v>9</v>
      </c>
      <c r="X4" s="1" t="s">
        <v>10</v>
      </c>
      <c r="Y4" s="1" t="s">
        <v>11</v>
      </c>
      <c r="Z4" s="1" t="s">
        <v>12</v>
      </c>
      <c r="AA4" s="1" t="s">
        <v>13</v>
      </c>
      <c r="AB4" s="1" t="s">
        <v>14</v>
      </c>
      <c r="AC4" s="1" t="s">
        <v>15</v>
      </c>
      <c r="AD4" s="1" t="s">
        <v>16</v>
      </c>
      <c r="AE4" s="1" t="s">
        <v>17</v>
      </c>
      <c r="AF4" s="1" t="s">
        <v>18</v>
      </c>
      <c r="AG4" s="1" t="s">
        <v>19</v>
      </c>
      <c r="AH4" s="1" t="s">
        <v>20</v>
      </c>
      <c r="AI4" s="4" t="s">
        <v>99</v>
      </c>
      <c r="AJ4" s="1" t="s">
        <v>21</v>
      </c>
      <c r="AK4" s="1" t="s">
        <v>22</v>
      </c>
      <c r="AL4" s="1" t="s">
        <v>23</v>
      </c>
      <c r="AM4" s="4" t="s">
        <v>100</v>
      </c>
    </row>
    <row r="5" spans="1:39" ht="12.75" customHeight="1" x14ac:dyDescent="0.25">
      <c r="A5" s="31">
        <v>77423</v>
      </c>
      <c r="B5" s="32" t="str">
        <f>IF(A5="","",VLOOKUP(A5,'Employee Database'!A:B,2,FALSE))</f>
        <v>Shoaib Akhtar</v>
      </c>
      <c r="C5" s="31">
        <v>3</v>
      </c>
      <c r="D5" s="31">
        <v>7</v>
      </c>
      <c r="E5" s="31">
        <v>19</v>
      </c>
      <c r="F5" s="39">
        <f>IF(COUNT(C5:E5)=0,0,SUMPRODUCT({5000,1000,500},C5:E5))</f>
        <v>31500</v>
      </c>
      <c r="G5" s="31"/>
      <c r="H5" s="31"/>
      <c r="I5" s="31"/>
      <c r="J5" s="39">
        <f>IF(COUNT(G5:I5)=0,0,SUMPRODUCT({5000,1000,500},G5:I5))</f>
        <v>0</v>
      </c>
      <c r="K5" s="31"/>
      <c r="L5" s="31"/>
      <c r="M5" s="31"/>
      <c r="N5" s="39">
        <f>IF(COUNT(K5:M5)=0,0,SUMPRODUCT({5000,1000,500},K5:M5))</f>
        <v>0</v>
      </c>
      <c r="O5" s="31"/>
      <c r="P5" s="31"/>
      <c r="Q5" s="31"/>
      <c r="R5" s="39">
        <f>IF(COUNT(O5:Q5)=0,0,SUMPRODUCT({5000,1000,500},O5:Q5))</f>
        <v>0</v>
      </c>
      <c r="S5" s="31"/>
      <c r="T5" s="31"/>
      <c r="U5" s="31"/>
      <c r="V5" s="31">
        <v>17</v>
      </c>
      <c r="W5" s="31"/>
      <c r="X5" s="31">
        <v>84</v>
      </c>
      <c r="Y5" s="31"/>
      <c r="Z5" s="31">
        <v>43</v>
      </c>
      <c r="AA5" s="31"/>
      <c r="AB5" s="31"/>
      <c r="AC5" s="31"/>
      <c r="AD5" s="34">
        <f>IF(COUNT(S5:AC5)=0,0,SUMPRODUCT({5000,1000,500,100,75,50,20,10,5,2,1}, S5:AC5))</f>
        <v>6330</v>
      </c>
      <c r="AE5" s="33">
        <v>37712</v>
      </c>
      <c r="AF5" s="24">
        <f>IF(AND(COUNT(C5:E5)=0,COUNT(G5:I5)=0,COUNT(K5:M5)=0,COUNT(O5:Q5)=0,COUNT(S5:AC5)=0,AE5=""),"",(IF(COUNT(C5:E5)=0,0,SUMPRODUCT({5000,1000,500},C5:E5))+IF(COUNT(G5:I5)=0,0,SUMPRODUCT({5000,1000,500},G5:I5))+IF(COUNT(K5:M5)=0,0,SUMPRODUCT({5000,1000,500},K5:M5))+IF(COUNT(O5:Q5)=0,0,SUMPRODUCT({5000,1000,500},O5:Q5))+AD5)-N(AE5))</f>
        <v>118</v>
      </c>
      <c r="AG5" s="35" t="str">
        <f t="shared" ref="AG5:AG34" si="0">IF(AF5="","",IF(AF5&gt;0,"Excess",IF(AF5&lt;0,"Short","Balanced")))</f>
        <v>Excess</v>
      </c>
      <c r="AH5" s="38"/>
      <c r="AI5" s="36">
        <v>21609.67</v>
      </c>
      <c r="AJ5" s="37">
        <v>21609.67</v>
      </c>
      <c r="AK5" s="26">
        <f t="shared" ref="AK5:AK34" si="1">IF(AND(AI5="",AJ5=""),"",N(AI5)-N(AJ5))</f>
        <v>0</v>
      </c>
      <c r="AL5" s="25" t="str">
        <f t="shared" ref="AL5:AL34" si="2">IF(AK5="","",IF(AK5&gt;0,"POS Excess",IF(AK5&lt;0,"Bank Short","Matched")))</f>
        <v>Matched</v>
      </c>
      <c r="AM5" s="38"/>
    </row>
    <row r="6" spans="1:39" ht="12.75" customHeight="1" x14ac:dyDescent="0.25">
      <c r="A6" s="31">
        <v>58112</v>
      </c>
      <c r="B6" s="32" t="str">
        <f>IF(A6="","",VLOOKUP(A6,'Employee Database'!A:B,2,FALSE))</f>
        <v>Shama</v>
      </c>
      <c r="C6" s="31">
        <v>21</v>
      </c>
      <c r="D6" s="31">
        <v>93</v>
      </c>
      <c r="E6" s="31">
        <v>17</v>
      </c>
      <c r="F6" s="39">
        <f>IF(COUNT(C6:E6)=0,0,SUMPRODUCT({5000,1000,500},C6:E6))</f>
        <v>206500</v>
      </c>
      <c r="G6" s="31"/>
      <c r="H6" s="31"/>
      <c r="I6" s="31"/>
      <c r="J6" s="39">
        <f>IF(COUNT(G6:I6)=0,0,SUMPRODUCT({5000,1000,500},G6:I6))</f>
        <v>0</v>
      </c>
      <c r="K6" s="31"/>
      <c r="L6" s="31"/>
      <c r="M6" s="31"/>
      <c r="N6" s="39">
        <f>IF(COUNT(K6:M6)=0,0,SUMPRODUCT({5000,1000,500},K6:M6))</f>
        <v>0</v>
      </c>
      <c r="O6" s="31"/>
      <c r="P6" s="31"/>
      <c r="Q6" s="31"/>
      <c r="R6" s="39">
        <f>IF(COUNT(O6:Q6)=0,0,SUMPRODUCT({5000,1000,500},O6:Q6))</f>
        <v>0</v>
      </c>
      <c r="S6" s="31"/>
      <c r="T6" s="31"/>
      <c r="U6" s="31"/>
      <c r="V6" s="31">
        <v>75</v>
      </c>
      <c r="W6" s="31"/>
      <c r="X6" s="31">
        <v>85</v>
      </c>
      <c r="Y6" s="31"/>
      <c r="Z6" s="31">
        <v>31</v>
      </c>
      <c r="AA6" s="31"/>
      <c r="AB6" s="31"/>
      <c r="AC6" s="31"/>
      <c r="AD6" s="34">
        <f>IF(COUNT(S6:AC6)=0,0,SUMPRODUCT({5000,1000,500,100,75,50,20,10,5,2,1}, S6:AC6))</f>
        <v>12060</v>
      </c>
      <c r="AE6" s="33">
        <v>218527</v>
      </c>
      <c r="AF6" s="24">
        <f>IF(AND(COUNT(C6:E6)=0,COUNT(G6:I6)=0,COUNT(K6:M6)=0,COUNT(O6:Q6)=0,COUNT(S6:AC6)=0,AE6=""),"",(IF(COUNT(C6:E6)=0,0,SUMPRODUCT({5000,1000,500},C6:E6))+IF(COUNT(G6:I6)=0,0,SUMPRODUCT({5000,1000,500},G6:I6))+IF(COUNT(K6:M6)=0,0,SUMPRODUCT({5000,1000,500},K6:M6))+IF(COUNT(O6:Q6)=0,0,SUMPRODUCT({5000,1000,500},O6:Q6))+AD6)-N(AE6))</f>
        <v>33</v>
      </c>
      <c r="AG6" s="35" t="str">
        <f t="shared" si="0"/>
        <v>Excess</v>
      </c>
      <c r="AH6" s="38"/>
      <c r="AI6" s="36">
        <v>465250.14</v>
      </c>
      <c r="AJ6" s="37">
        <v>465250.14</v>
      </c>
      <c r="AK6" s="26">
        <f t="shared" si="1"/>
        <v>0</v>
      </c>
      <c r="AL6" s="25" t="str">
        <f t="shared" si="2"/>
        <v>Matched</v>
      </c>
      <c r="AM6" s="38"/>
    </row>
    <row r="7" spans="1:39" ht="12.75" customHeight="1" x14ac:dyDescent="0.25">
      <c r="A7" s="31">
        <v>72873</v>
      </c>
      <c r="B7" s="32" t="str">
        <f>IF(A7="","",VLOOKUP(A7,'Employee Database'!A:B,2,FALSE))</f>
        <v>M Shajee</v>
      </c>
      <c r="C7" s="31">
        <v>14</v>
      </c>
      <c r="D7" s="31">
        <v>76</v>
      </c>
      <c r="E7" s="31">
        <v>62</v>
      </c>
      <c r="F7" s="39">
        <f>IF(COUNT(C7:E7)=0,0,SUMPRODUCT({5000,1000,500},C7:E7))</f>
        <v>177000</v>
      </c>
      <c r="G7" s="31"/>
      <c r="H7" s="31"/>
      <c r="I7" s="31"/>
      <c r="J7" s="39">
        <f>IF(COUNT(G7:I7)=0,0,SUMPRODUCT({5000,1000,500},G7:I7))</f>
        <v>0</v>
      </c>
      <c r="K7" s="31"/>
      <c r="L7" s="31"/>
      <c r="M7" s="31"/>
      <c r="N7" s="39">
        <f>IF(COUNT(K7:M7)=0,0,SUMPRODUCT({5000,1000,500},K7:M7))</f>
        <v>0</v>
      </c>
      <c r="O7" s="31"/>
      <c r="P7" s="31"/>
      <c r="Q7" s="31"/>
      <c r="R7" s="39">
        <f>IF(COUNT(O7:Q7)=0,0,SUMPRODUCT({5000,1000,500},O7:Q7))</f>
        <v>0</v>
      </c>
      <c r="S7" s="31"/>
      <c r="T7" s="31"/>
      <c r="U7" s="31"/>
      <c r="V7" s="31">
        <v>71</v>
      </c>
      <c r="W7" s="31"/>
      <c r="X7" s="31">
        <v>64</v>
      </c>
      <c r="Y7" s="31">
        <v>1</v>
      </c>
      <c r="Z7" s="31">
        <v>51</v>
      </c>
      <c r="AA7" s="31"/>
      <c r="AB7" s="31"/>
      <c r="AC7" s="31"/>
      <c r="AD7" s="34">
        <f>IF(COUNT(S7:AC7)=0,0,SUMPRODUCT({5000,1000,500,100,75,50,20,10,5,2,1}, S7:AC7))</f>
        <v>10830</v>
      </c>
      <c r="AE7" s="33">
        <v>187662</v>
      </c>
      <c r="AF7" s="24">
        <f>IF(AND(COUNT(C7:E7)=0,COUNT(G7:I7)=0,COUNT(K7:M7)=0,COUNT(O7:Q7)=0,COUNT(S7:AC7)=0,AE7=""),"",(IF(COUNT(C7:E7)=0,0,SUMPRODUCT({5000,1000,500},C7:E7))+IF(COUNT(G7:I7)=0,0,SUMPRODUCT({5000,1000,500},G7:I7))+IF(COUNT(K7:M7)=0,0,SUMPRODUCT({5000,1000,500},K7:M7))+IF(COUNT(O7:Q7)=0,0,SUMPRODUCT({5000,1000,500},O7:Q7))+AD7)-N(AE7))</f>
        <v>168</v>
      </c>
      <c r="AG7" s="35" t="str">
        <f t="shared" si="0"/>
        <v>Excess</v>
      </c>
      <c r="AH7" s="38"/>
      <c r="AI7" s="36">
        <v>775228.79</v>
      </c>
      <c r="AJ7" s="37">
        <v>775228.79</v>
      </c>
      <c r="AK7" s="26">
        <f t="shared" si="1"/>
        <v>0</v>
      </c>
      <c r="AL7" s="25" t="str">
        <f t="shared" si="2"/>
        <v>Matched</v>
      </c>
      <c r="AM7" s="38"/>
    </row>
    <row r="8" spans="1:39" ht="12.75" customHeight="1" x14ac:dyDescent="0.25">
      <c r="A8" s="31">
        <v>67249</v>
      </c>
      <c r="B8" s="32" t="str">
        <f>IF(A8="","",VLOOKUP(A8,'Employee Database'!A:B,2,FALSE))</f>
        <v>Hanan Javaid</v>
      </c>
      <c r="C8" s="31">
        <v>19</v>
      </c>
      <c r="D8" s="31">
        <v>103</v>
      </c>
      <c r="E8" s="31">
        <v>6</v>
      </c>
      <c r="F8" s="39">
        <f>IF(COUNT(C8:E8)=0,0,SUMPRODUCT({5000,1000,500},C8:E8))</f>
        <v>201000</v>
      </c>
      <c r="G8" s="31"/>
      <c r="H8" s="31"/>
      <c r="I8" s="31"/>
      <c r="J8" s="39">
        <f>IF(COUNT(G8:I8)=0,0,SUMPRODUCT({5000,1000,500},G8:I8))</f>
        <v>0</v>
      </c>
      <c r="K8" s="31"/>
      <c r="L8" s="31"/>
      <c r="M8" s="31"/>
      <c r="N8" s="39">
        <f>IF(COUNT(K8:M8)=0,0,SUMPRODUCT({5000,1000,500},K8:M8))</f>
        <v>0</v>
      </c>
      <c r="O8" s="31"/>
      <c r="P8" s="31"/>
      <c r="Q8" s="31"/>
      <c r="R8" s="39">
        <f>IF(COUNT(O8:Q8)=0,0,SUMPRODUCT({5000,1000,500},O8:Q8))</f>
        <v>0</v>
      </c>
      <c r="S8" s="31"/>
      <c r="T8" s="31"/>
      <c r="U8" s="31"/>
      <c r="V8" s="31">
        <v>54</v>
      </c>
      <c r="W8" s="31"/>
      <c r="X8" s="31">
        <v>91</v>
      </c>
      <c r="Y8" s="31">
        <v>1</v>
      </c>
      <c r="Z8" s="31">
        <v>21</v>
      </c>
      <c r="AA8" s="31"/>
      <c r="AB8" s="31"/>
      <c r="AC8" s="31"/>
      <c r="AD8" s="34">
        <f>IF(COUNT(S8:AC8)=0,0,SUMPRODUCT({5000,1000,500,100,75,50,20,10,5,2,1}, S8:AC8))</f>
        <v>10180</v>
      </c>
      <c r="AE8" s="33">
        <v>211221</v>
      </c>
      <c r="AF8" s="24">
        <f>IF(AND(COUNT(C8:E8)=0,COUNT(G8:I8)=0,COUNT(K8:M8)=0,COUNT(O8:Q8)=0,COUNT(S8:AC8)=0,AE8=""),"",(IF(COUNT(C8:E8)=0,0,SUMPRODUCT({5000,1000,500},C8:E8))+IF(COUNT(G8:I8)=0,0,SUMPRODUCT({5000,1000,500},G8:I8))+IF(COUNT(K8:M8)=0,0,SUMPRODUCT({5000,1000,500},K8:M8))+IF(COUNT(O8:Q8)=0,0,SUMPRODUCT({5000,1000,500},O8:Q8))+AD8)-N(AE8))</f>
        <v>-41</v>
      </c>
      <c r="AG8" s="35" t="str">
        <f t="shared" si="0"/>
        <v>Short</v>
      </c>
      <c r="AH8" s="38"/>
      <c r="AI8" s="36">
        <v>292683.25</v>
      </c>
      <c r="AJ8" s="37">
        <v>292683.25</v>
      </c>
      <c r="AK8" s="26">
        <f t="shared" si="1"/>
        <v>0</v>
      </c>
      <c r="AL8" s="25" t="str">
        <f t="shared" si="2"/>
        <v>Matched</v>
      </c>
      <c r="AM8" s="38"/>
    </row>
    <row r="9" spans="1:39" ht="12.75" customHeight="1" x14ac:dyDescent="0.25">
      <c r="A9" s="31">
        <v>65299</v>
      </c>
      <c r="B9" s="32" t="str">
        <f>IF(A9="","",VLOOKUP(A9,'Employee Database'!A:B,2,FALSE))</f>
        <v>M Faisal</v>
      </c>
      <c r="C9" s="31">
        <v>22</v>
      </c>
      <c r="D9" s="31">
        <v>68</v>
      </c>
      <c r="E9" s="31">
        <v>26</v>
      </c>
      <c r="F9" s="39">
        <f>IF(COUNT(C9:E9)=0,0,SUMPRODUCT({5000,1000,500},C9:E9))</f>
        <v>191000</v>
      </c>
      <c r="G9" s="31"/>
      <c r="H9" s="31"/>
      <c r="I9" s="31"/>
      <c r="J9" s="39">
        <f>IF(COUNT(G9:I9)=0,0,SUMPRODUCT({5000,1000,500},G9:I9))</f>
        <v>0</v>
      </c>
      <c r="K9" s="31"/>
      <c r="L9" s="31"/>
      <c r="M9" s="31"/>
      <c r="N9" s="39">
        <f>IF(COUNT(K9:M9)=0,0,SUMPRODUCT({5000,1000,500},K9:M9))</f>
        <v>0</v>
      </c>
      <c r="O9" s="31"/>
      <c r="P9" s="31"/>
      <c r="Q9" s="31"/>
      <c r="R9" s="39">
        <f>IF(COUNT(O9:Q9)=0,0,SUMPRODUCT({5000,1000,500},O9:Q9))</f>
        <v>0</v>
      </c>
      <c r="S9" s="31"/>
      <c r="T9" s="31"/>
      <c r="U9" s="31"/>
      <c r="V9" s="31">
        <v>50</v>
      </c>
      <c r="W9" s="31"/>
      <c r="X9" s="31">
        <v>3</v>
      </c>
      <c r="Y9" s="31"/>
      <c r="Z9" s="31">
        <v>24</v>
      </c>
      <c r="AA9" s="31"/>
      <c r="AB9" s="31"/>
      <c r="AC9" s="31"/>
      <c r="AD9" s="34">
        <f>IF(COUNT(S9:AC9)=0,0,SUMPRODUCT({5000,1000,500,100,75,50,20,10,5,2,1}, S9:AC9))</f>
        <v>5390</v>
      </c>
      <c r="AE9" s="33">
        <v>196349</v>
      </c>
      <c r="AF9" s="24">
        <f>IF(AND(COUNT(C9:E9)=0,COUNT(G9:I9)=0,COUNT(K9:M9)=0,COUNT(O9:Q9)=0,COUNT(S9:AC9)=0,AE9=""),"",(IF(COUNT(C9:E9)=0,0,SUMPRODUCT({5000,1000,500},C9:E9))+IF(COUNT(G9:I9)=0,0,SUMPRODUCT({5000,1000,500},G9:I9))+IF(COUNT(K9:M9)=0,0,SUMPRODUCT({5000,1000,500},K9:M9))+IF(COUNT(O9:Q9)=0,0,SUMPRODUCT({5000,1000,500},O9:Q9))+AD9)-N(AE9))</f>
        <v>41</v>
      </c>
      <c r="AG9" s="35" t="str">
        <f t="shared" si="0"/>
        <v>Excess</v>
      </c>
      <c r="AH9" s="38"/>
      <c r="AI9" s="36">
        <v>157291.92000000001</v>
      </c>
      <c r="AJ9" s="37">
        <v>157291.92000000001</v>
      </c>
      <c r="AK9" s="26">
        <f t="shared" si="1"/>
        <v>0</v>
      </c>
      <c r="AL9" s="25" t="str">
        <f t="shared" si="2"/>
        <v>Matched</v>
      </c>
      <c r="AM9" s="38"/>
    </row>
    <row r="10" spans="1:39" ht="12.75" customHeight="1" x14ac:dyDescent="0.25">
      <c r="A10" s="31">
        <v>56189</v>
      </c>
      <c r="B10" s="32" t="str">
        <f>IF(A10="","",VLOOKUP(A10,'Employee Database'!A:B,2,FALSE))</f>
        <v>Iffat Sultan</v>
      </c>
      <c r="C10" s="31">
        <v>12</v>
      </c>
      <c r="D10" s="31">
        <v>57</v>
      </c>
      <c r="E10" s="31">
        <v>2</v>
      </c>
      <c r="F10" s="39">
        <f>IF(COUNT(C10:E10)=0,0,SUMPRODUCT({5000,1000,500},C10:E10))</f>
        <v>118000</v>
      </c>
      <c r="G10" s="31"/>
      <c r="H10" s="31"/>
      <c r="I10" s="31"/>
      <c r="J10" s="39">
        <f>IF(COUNT(G10:I10)=0,0,SUMPRODUCT({5000,1000,500},G10:I10))</f>
        <v>0</v>
      </c>
      <c r="K10" s="31"/>
      <c r="L10" s="31"/>
      <c r="M10" s="31"/>
      <c r="N10" s="39">
        <f>IF(COUNT(K10:M10)=0,0,SUMPRODUCT({5000,1000,500},K10:M10))</f>
        <v>0</v>
      </c>
      <c r="O10" s="31"/>
      <c r="P10" s="31"/>
      <c r="Q10" s="31"/>
      <c r="R10" s="39">
        <f>IF(COUNT(O10:Q10)=0,0,SUMPRODUCT({5000,1000,500},O10:Q10))</f>
        <v>0</v>
      </c>
      <c r="S10" s="31"/>
      <c r="T10" s="31"/>
      <c r="U10" s="31"/>
      <c r="V10" s="31">
        <v>4</v>
      </c>
      <c r="W10" s="31"/>
      <c r="X10" s="31">
        <v>48</v>
      </c>
      <c r="Y10" s="31">
        <v>1</v>
      </c>
      <c r="Z10" s="31">
        <v>53</v>
      </c>
      <c r="AA10" s="31"/>
      <c r="AB10" s="31"/>
      <c r="AC10" s="31"/>
      <c r="AD10" s="34">
        <f>IF(COUNT(S10:AC10)=0,0,SUMPRODUCT({5000,1000,500,100,75,50,20,10,5,2,1}, S10:AC10))</f>
        <v>3350</v>
      </c>
      <c r="AE10" s="33">
        <v>121564</v>
      </c>
      <c r="AF10" s="24">
        <f>IF(AND(COUNT(C10:E10)=0,COUNT(G10:I10)=0,COUNT(K10:M10)=0,COUNT(O10:Q10)=0,COUNT(S10:AC10)=0,AE10=""),"",(IF(COUNT(C10:E10)=0,0,SUMPRODUCT({5000,1000,500},C10:E10))+IF(COUNT(G10:I10)=0,0,SUMPRODUCT({5000,1000,500},G10:I10))+IF(COUNT(K10:M10)=0,0,SUMPRODUCT({5000,1000,500},K10:M10))+IF(COUNT(O10:Q10)=0,0,SUMPRODUCT({5000,1000,500},O10:Q10))+AD10)-N(AE10))</f>
        <v>-214</v>
      </c>
      <c r="AG10" s="35" t="str">
        <f t="shared" si="0"/>
        <v>Short</v>
      </c>
      <c r="AH10" s="38"/>
      <c r="AI10" s="36">
        <v>252901.53</v>
      </c>
      <c r="AJ10" s="37">
        <v>252901.53</v>
      </c>
      <c r="AK10" s="26">
        <f t="shared" si="1"/>
        <v>0</v>
      </c>
      <c r="AL10" s="25" t="str">
        <f t="shared" si="2"/>
        <v>Matched</v>
      </c>
      <c r="AM10" s="38"/>
    </row>
    <row r="11" spans="1:39" ht="12.75" customHeight="1" x14ac:dyDescent="0.25">
      <c r="A11" s="31">
        <v>73196</v>
      </c>
      <c r="B11" s="32" t="str">
        <f>IF(A11="","",VLOOKUP(A11,'Employee Database'!A:B,2,FALSE))</f>
        <v>Asma</v>
      </c>
      <c r="C11" s="31">
        <v>7</v>
      </c>
      <c r="D11" s="31">
        <v>25</v>
      </c>
      <c r="E11" s="31">
        <v>2</v>
      </c>
      <c r="F11" s="39">
        <f>IF(COUNT(C11:E11)=0,0,SUMPRODUCT({5000,1000,500},C11:E11))</f>
        <v>61000</v>
      </c>
      <c r="G11" s="31"/>
      <c r="H11" s="31"/>
      <c r="I11" s="31"/>
      <c r="J11" s="39">
        <f>IF(COUNT(G11:I11)=0,0,SUMPRODUCT({5000,1000,500},G11:I11))</f>
        <v>0</v>
      </c>
      <c r="K11" s="31"/>
      <c r="L11" s="31"/>
      <c r="M11" s="31"/>
      <c r="N11" s="39">
        <f>IF(COUNT(K11:M11)=0,0,SUMPRODUCT({5000,1000,500},K11:M11))</f>
        <v>0</v>
      </c>
      <c r="O11" s="31"/>
      <c r="P11" s="31"/>
      <c r="Q11" s="31"/>
      <c r="R11" s="39">
        <f>IF(COUNT(O11:Q11)=0,0,SUMPRODUCT({5000,1000,500},O11:Q11))</f>
        <v>0</v>
      </c>
      <c r="S11" s="31"/>
      <c r="T11" s="31"/>
      <c r="U11" s="31"/>
      <c r="V11" s="31">
        <v>70</v>
      </c>
      <c r="W11" s="31"/>
      <c r="X11" s="31">
        <v>86</v>
      </c>
      <c r="Y11" s="31"/>
      <c r="Z11" s="31">
        <v>56</v>
      </c>
      <c r="AA11" s="31"/>
      <c r="AB11" s="31"/>
      <c r="AC11" s="31"/>
      <c r="AD11" s="34">
        <f>IF(COUNT(S11:AC11)=0,0,SUMPRODUCT({5000,1000,500,100,75,50,20,10,5,2,1}, S11:AC11))</f>
        <v>11860</v>
      </c>
      <c r="AE11" s="33">
        <v>72858</v>
      </c>
      <c r="AF11" s="24">
        <f>IF(AND(COUNT(C11:E11)=0,COUNT(G11:I11)=0,COUNT(K11:M11)=0,COUNT(O11:Q11)=0,COUNT(S11:AC11)=0,AE11=""),"",(IF(COUNT(C11:E11)=0,0,SUMPRODUCT({5000,1000,500},C11:E11))+IF(COUNT(G11:I11)=0,0,SUMPRODUCT({5000,1000,500},G11:I11))+IF(COUNT(K11:M11)=0,0,SUMPRODUCT({5000,1000,500},K11:M11))+IF(COUNT(O11:Q11)=0,0,SUMPRODUCT({5000,1000,500},O11:Q11))+AD11)-N(AE11))</f>
        <v>2</v>
      </c>
      <c r="AG11" s="35" t="str">
        <f t="shared" si="0"/>
        <v>Excess</v>
      </c>
      <c r="AH11" s="38"/>
      <c r="AI11" s="36">
        <v>92794.71</v>
      </c>
      <c r="AJ11" s="37">
        <v>92794.71</v>
      </c>
      <c r="AK11" s="26">
        <f t="shared" si="1"/>
        <v>0</v>
      </c>
      <c r="AL11" s="25" t="str">
        <f t="shared" si="2"/>
        <v>Matched</v>
      </c>
      <c r="AM11" s="38"/>
    </row>
    <row r="12" spans="1:39" ht="12.75" customHeight="1" x14ac:dyDescent="0.25">
      <c r="A12" s="31">
        <v>59257</v>
      </c>
      <c r="B12" s="32" t="str">
        <f>IF(A12="","",VLOOKUP(A12,'Employee Database'!A:B,2,FALSE))</f>
        <v>Saddiqa Maryam</v>
      </c>
      <c r="C12" s="31">
        <v>34</v>
      </c>
      <c r="D12" s="31">
        <v>117</v>
      </c>
      <c r="E12" s="31">
        <v>31</v>
      </c>
      <c r="F12" s="39">
        <f>IF(COUNT(C12:E12)=0,0,SUMPRODUCT({5000,1000,500},C12:E12))</f>
        <v>302500</v>
      </c>
      <c r="G12" s="31"/>
      <c r="H12" s="31"/>
      <c r="I12" s="31"/>
      <c r="J12" s="39">
        <f>IF(COUNT(G12:I12)=0,0,SUMPRODUCT({5000,1000,500},G12:I12))</f>
        <v>0</v>
      </c>
      <c r="K12" s="31"/>
      <c r="L12" s="31"/>
      <c r="M12" s="31"/>
      <c r="N12" s="39">
        <f>IF(COUNT(K12:M12)=0,0,SUMPRODUCT({5000,1000,500},K12:M12))</f>
        <v>0</v>
      </c>
      <c r="O12" s="31"/>
      <c r="P12" s="31"/>
      <c r="Q12" s="31"/>
      <c r="R12" s="39">
        <f>IF(COUNT(O12:Q12)=0,0,SUMPRODUCT({5000,1000,500},O12:Q12))</f>
        <v>0</v>
      </c>
      <c r="S12" s="31"/>
      <c r="T12" s="31"/>
      <c r="U12" s="31"/>
      <c r="V12" s="31">
        <v>46</v>
      </c>
      <c r="W12" s="31"/>
      <c r="X12" s="31">
        <v>57</v>
      </c>
      <c r="Y12" s="31"/>
      <c r="Z12" s="31">
        <v>45</v>
      </c>
      <c r="AA12" s="31"/>
      <c r="AB12" s="31"/>
      <c r="AC12" s="31"/>
      <c r="AD12" s="34">
        <f>IF(COUNT(S12:AC12)=0,0,SUMPRODUCT({5000,1000,500,100,75,50,20,10,5,2,1}, S12:AC12))</f>
        <v>7900</v>
      </c>
      <c r="AE12" s="33">
        <v>310399</v>
      </c>
      <c r="AF12" s="24">
        <f>IF(AND(COUNT(C12:E12)=0,COUNT(G12:I12)=0,COUNT(K12:M12)=0,COUNT(O12:Q12)=0,COUNT(S12:AC12)=0,AE12=""),"",(IF(COUNT(C12:E12)=0,0,SUMPRODUCT({5000,1000,500},C12:E12))+IF(COUNT(G12:I12)=0,0,SUMPRODUCT({5000,1000,500},G12:I12))+IF(COUNT(K12:M12)=0,0,SUMPRODUCT({5000,1000,500},K12:M12))+IF(COUNT(O12:Q12)=0,0,SUMPRODUCT({5000,1000,500},O12:Q12))+AD12)-N(AE12))</f>
        <v>1</v>
      </c>
      <c r="AG12" s="35" t="str">
        <f t="shared" si="0"/>
        <v>Excess</v>
      </c>
      <c r="AH12" s="38"/>
      <c r="AI12" s="36">
        <v>668233.5</v>
      </c>
      <c r="AJ12" s="37">
        <v>668233.5</v>
      </c>
      <c r="AK12" s="26"/>
      <c r="AL12" s="25" t="str">
        <f t="shared" si="2"/>
        <v/>
      </c>
      <c r="AM12" s="38"/>
    </row>
    <row r="13" spans="1:39" ht="12.75" customHeight="1" x14ac:dyDescent="0.25">
      <c r="A13" s="31">
        <v>57653</v>
      </c>
      <c r="B13" s="32" t="str">
        <f>IF(A13="","",VLOOKUP(A13,'Employee Database'!A:B,2,FALSE))</f>
        <v>Amanat ali</v>
      </c>
      <c r="C13" s="31">
        <v>50</v>
      </c>
      <c r="D13" s="31">
        <v>146</v>
      </c>
      <c r="E13" s="31">
        <v>9</v>
      </c>
      <c r="F13" s="39">
        <f>IF(COUNT(C13:E13)=0,0,SUMPRODUCT({5000,1000,500},C13:E13))</f>
        <v>400500</v>
      </c>
      <c r="G13" s="31"/>
      <c r="H13" s="31"/>
      <c r="I13" s="31"/>
      <c r="J13" s="39">
        <f>IF(COUNT(G13:I13)=0,0,SUMPRODUCT({5000,1000,500},G13:I13))</f>
        <v>0</v>
      </c>
      <c r="K13" s="31"/>
      <c r="L13" s="31"/>
      <c r="M13" s="31"/>
      <c r="N13" s="39">
        <f>IF(COUNT(K13:M13)=0,0,SUMPRODUCT({5000,1000,500},K13:M13))</f>
        <v>0</v>
      </c>
      <c r="O13" s="31"/>
      <c r="P13" s="31"/>
      <c r="Q13" s="31"/>
      <c r="R13" s="39">
        <f>IF(COUNT(O13:Q13)=0,0,SUMPRODUCT({5000,1000,500},O13:Q13))</f>
        <v>0</v>
      </c>
      <c r="S13" s="31"/>
      <c r="T13" s="31"/>
      <c r="U13" s="31"/>
      <c r="V13" s="31">
        <v>38</v>
      </c>
      <c r="W13" s="31"/>
      <c r="X13" s="31">
        <v>43</v>
      </c>
      <c r="Y13" s="31"/>
      <c r="Z13" s="31">
        <v>8</v>
      </c>
      <c r="AA13" s="31"/>
      <c r="AB13" s="31"/>
      <c r="AC13" s="31">
        <v>3</v>
      </c>
      <c r="AD13" s="34">
        <f>IF(COUNT(S13:AC13)=0,0,SUMPRODUCT({5000,1000,500,100,75,50,20,10,5,2,1}, S13:AC13))</f>
        <v>6033</v>
      </c>
      <c r="AE13" s="33">
        <v>406527</v>
      </c>
      <c r="AF13" s="24">
        <f>IF(AND(COUNT(C13:E13)=0,COUNT(G13:I13)=0,COUNT(K13:M13)=0,COUNT(O13:Q13)=0,COUNT(S13:AC13)=0,AE13=""),"",(IF(COUNT(C13:E13)=0,0,SUMPRODUCT({5000,1000,500},C13:E13))+IF(COUNT(G13:I13)=0,0,SUMPRODUCT({5000,1000,500},G13:I13))+IF(COUNT(K13:M13)=0,0,SUMPRODUCT({5000,1000,500},K13:M13))+IF(COUNT(O13:Q13)=0,0,SUMPRODUCT({5000,1000,500},O13:Q13))+AD13)-N(AE13))</f>
        <v>6</v>
      </c>
      <c r="AG13" s="35" t="str">
        <f t="shared" si="0"/>
        <v>Excess</v>
      </c>
      <c r="AH13" s="38"/>
      <c r="AI13" s="36">
        <v>510431.57</v>
      </c>
      <c r="AJ13" s="37">
        <v>510431.57</v>
      </c>
      <c r="AK13" s="26">
        <f t="shared" si="1"/>
        <v>0</v>
      </c>
      <c r="AL13" s="25" t="str">
        <f t="shared" si="2"/>
        <v>Matched</v>
      </c>
      <c r="AM13" s="38"/>
    </row>
    <row r="14" spans="1:39" ht="12.75" customHeight="1" x14ac:dyDescent="0.25">
      <c r="A14" s="31">
        <v>63854</v>
      </c>
      <c r="B14" s="32" t="str">
        <f>IF(A14="","",VLOOKUP(A14,'Employee Database'!A:B,2,FALSE))</f>
        <v>Maham</v>
      </c>
      <c r="C14" s="31">
        <v>27</v>
      </c>
      <c r="D14" s="31">
        <v>160</v>
      </c>
      <c r="E14" s="31">
        <v>11</v>
      </c>
      <c r="F14" s="39">
        <f>IF(COUNT(C14:E14)=0,0,SUMPRODUCT({5000,1000,500},C14:E14))</f>
        <v>300500</v>
      </c>
      <c r="G14" s="31"/>
      <c r="H14" s="31"/>
      <c r="I14" s="31"/>
      <c r="J14" s="39">
        <f>IF(COUNT(G14:I14)=0,0,SUMPRODUCT({5000,1000,500},G14:I14))</f>
        <v>0</v>
      </c>
      <c r="K14" s="31"/>
      <c r="L14" s="31"/>
      <c r="M14" s="31"/>
      <c r="N14" s="39">
        <f>IF(COUNT(K14:M14)=0,0,SUMPRODUCT({5000,1000,500},K14:M14))</f>
        <v>0</v>
      </c>
      <c r="O14" s="31"/>
      <c r="P14" s="31"/>
      <c r="Q14" s="31"/>
      <c r="R14" s="39">
        <f>IF(COUNT(O14:Q14)=0,0,SUMPRODUCT({5000,1000,500},O14:Q14))</f>
        <v>0</v>
      </c>
      <c r="S14" s="31"/>
      <c r="T14" s="31"/>
      <c r="U14" s="31"/>
      <c r="V14" s="31">
        <v>16</v>
      </c>
      <c r="W14" s="31"/>
      <c r="X14" s="31">
        <v>30</v>
      </c>
      <c r="Y14" s="31"/>
      <c r="Z14" s="31">
        <v>13</v>
      </c>
      <c r="AA14" s="31"/>
      <c r="AB14" s="31"/>
      <c r="AC14" s="31"/>
      <c r="AD14" s="34">
        <f>IF(COUNT(S14:AC14)=0,0,SUMPRODUCT({5000,1000,500,100,75,50,20,10,5,2,1}, S14:AC14))</f>
        <v>3230</v>
      </c>
      <c r="AE14" s="33">
        <v>303702</v>
      </c>
      <c r="AF14" s="24">
        <f>IF(AND(COUNT(C14:E14)=0,COUNT(G14:I14)=0,COUNT(K14:M14)=0,COUNT(O14:Q14)=0,COUNT(S14:AC14)=0,AE14=""),"",(IF(COUNT(C14:E14)=0,0,SUMPRODUCT({5000,1000,500},C14:E14))+IF(COUNT(G14:I14)=0,0,SUMPRODUCT({5000,1000,500},G14:I14))+IF(COUNT(K14:M14)=0,0,SUMPRODUCT({5000,1000,500},K14:M14))+IF(COUNT(O14:Q14)=0,0,SUMPRODUCT({5000,1000,500},O14:Q14))+AD14)-N(AE14))</f>
        <v>28</v>
      </c>
      <c r="AG14" s="35" t="str">
        <f t="shared" si="0"/>
        <v>Excess</v>
      </c>
      <c r="AH14" s="38"/>
      <c r="AI14" s="36">
        <v>630308.38</v>
      </c>
      <c r="AJ14" s="37">
        <v>630308.38</v>
      </c>
      <c r="AK14" s="26">
        <f t="shared" si="1"/>
        <v>0</v>
      </c>
      <c r="AL14" s="25" t="str">
        <f t="shared" si="2"/>
        <v>Matched</v>
      </c>
      <c r="AM14" s="38"/>
    </row>
    <row r="15" spans="1:39" ht="12.75" customHeight="1" x14ac:dyDescent="0.25">
      <c r="A15" s="31">
        <v>67799</v>
      </c>
      <c r="B15" s="32" t="str">
        <f>IF(A15="","",VLOOKUP(A15,'Employee Database'!A:B,2,FALSE))</f>
        <v>Hassan Raza</v>
      </c>
      <c r="C15" s="31"/>
      <c r="D15" s="31"/>
      <c r="E15" s="31"/>
      <c r="F15" s="39">
        <f>IF(COUNT(C15:E15)=0,0,SUMPRODUCT({5000,1000,500},C15:E15))</f>
        <v>0</v>
      </c>
      <c r="G15" s="31">
        <v>20</v>
      </c>
      <c r="H15" s="31">
        <v>70</v>
      </c>
      <c r="I15" s="31">
        <v>67</v>
      </c>
      <c r="J15" s="39">
        <f>IF(COUNT(G15:I15)=0,0,SUMPRODUCT({5000,1000,500},G15:I15))</f>
        <v>203500</v>
      </c>
      <c r="K15" s="31"/>
      <c r="L15" s="31"/>
      <c r="M15" s="31"/>
      <c r="N15" s="39">
        <f>IF(COUNT(K15:M15)=0,0,SUMPRODUCT({5000,1000,500},K15:M15))</f>
        <v>0</v>
      </c>
      <c r="O15" s="31"/>
      <c r="P15" s="31"/>
      <c r="Q15" s="31"/>
      <c r="R15" s="39">
        <f>IF(COUNT(O15:Q15)=0,0,SUMPRODUCT({5000,1000,500},O15:Q15))</f>
        <v>0</v>
      </c>
      <c r="S15" s="31"/>
      <c r="T15" s="31"/>
      <c r="U15" s="31"/>
      <c r="V15" s="31">
        <v>25</v>
      </c>
      <c r="W15" s="31"/>
      <c r="X15" s="31">
        <v>194</v>
      </c>
      <c r="Y15" s="31">
        <v>3</v>
      </c>
      <c r="Z15" s="31">
        <v>82</v>
      </c>
      <c r="AA15" s="31"/>
      <c r="AB15" s="31"/>
      <c r="AC15" s="31"/>
      <c r="AD15" s="34">
        <f>IF(COUNT(S15:AC15)=0,0,SUMPRODUCT({5000,1000,500,100,75,50,20,10,5,2,1}, S15:AC15))</f>
        <v>13080</v>
      </c>
      <c r="AE15" s="33">
        <v>216541</v>
      </c>
      <c r="AF15" s="24">
        <f>IF(AND(COUNT(C15:E15)=0,COUNT(G15:I15)=0,COUNT(K15:M15)=0,COUNT(O15:Q15)=0,COUNT(S15:AC15)=0,AE15=""),"",(IF(COUNT(C15:E15)=0,0,SUMPRODUCT({5000,1000,500},C15:E15))+IF(COUNT(G15:I15)=0,0,SUMPRODUCT({5000,1000,500},G15:I15))+IF(COUNT(K15:M15)=0,0,SUMPRODUCT({5000,1000,500},K15:M15))+IF(COUNT(O15:Q15)=0,0,SUMPRODUCT({5000,1000,500},O15:Q15))+AD15)-N(AE15))</f>
        <v>39</v>
      </c>
      <c r="AG15" s="35" t="str">
        <f t="shared" si="0"/>
        <v>Excess</v>
      </c>
      <c r="AH15" s="38"/>
      <c r="AI15" s="36">
        <f>256048.38+6009.47</f>
        <v>262057.85</v>
      </c>
      <c r="AJ15" s="37">
        <f>256048.38+6009.47</f>
        <v>262057.85</v>
      </c>
      <c r="AK15" s="26">
        <f t="shared" si="1"/>
        <v>0</v>
      </c>
      <c r="AL15" s="25" t="str">
        <f t="shared" si="2"/>
        <v>Matched</v>
      </c>
      <c r="AM15" s="38"/>
    </row>
    <row r="16" spans="1:39" ht="12.75" customHeight="1" x14ac:dyDescent="0.25">
      <c r="A16" s="31">
        <v>61648</v>
      </c>
      <c r="B16" s="32" t="str">
        <f>IF(A16="","",VLOOKUP(A16,'Employee Database'!A:B,2,FALSE))</f>
        <v>Rizwan</v>
      </c>
      <c r="C16" s="31"/>
      <c r="D16" s="31"/>
      <c r="E16" s="31"/>
      <c r="F16" s="39">
        <f>IF(COUNT(C16:E16)=0,0,SUMPRODUCT({5000,1000,500},C16:E16))</f>
        <v>0</v>
      </c>
      <c r="G16" s="31">
        <v>36</v>
      </c>
      <c r="H16" s="31">
        <v>78</v>
      </c>
      <c r="I16" s="31">
        <v>27</v>
      </c>
      <c r="J16" s="39">
        <f>IF(COUNT(G16:I16)=0,0,SUMPRODUCT({5000,1000,500},G16:I16))</f>
        <v>271500</v>
      </c>
      <c r="K16" s="31"/>
      <c r="L16" s="31"/>
      <c r="M16" s="31"/>
      <c r="N16" s="39">
        <f>IF(COUNT(K16:M16)=0,0,SUMPRODUCT({5000,1000,500},K16:M16))</f>
        <v>0</v>
      </c>
      <c r="O16" s="31"/>
      <c r="P16" s="31"/>
      <c r="Q16" s="31"/>
      <c r="R16" s="39">
        <f>IF(COUNT(O16:Q16)=0,0,SUMPRODUCT({5000,1000,500},O16:Q16))</f>
        <v>0</v>
      </c>
      <c r="S16" s="31"/>
      <c r="T16" s="31"/>
      <c r="U16" s="31"/>
      <c r="V16" s="31">
        <v>102</v>
      </c>
      <c r="W16" s="31"/>
      <c r="X16" s="31">
        <v>34</v>
      </c>
      <c r="Y16" s="31">
        <v>1</v>
      </c>
      <c r="Z16" s="31">
        <v>62</v>
      </c>
      <c r="AA16" s="31"/>
      <c r="AB16" s="31"/>
      <c r="AC16" s="31"/>
      <c r="AD16" s="34">
        <f>IF(COUNT(S16:AC16)=0,0,SUMPRODUCT({5000,1000,500,100,75,50,20,10,5,2,1}, S16:AC16))</f>
        <v>12540</v>
      </c>
      <c r="AE16" s="33">
        <v>284029</v>
      </c>
      <c r="AF16" s="24">
        <f>IF(AND(COUNT(C16:E16)=0,COUNT(G16:I16)=0,COUNT(K16:M16)=0,COUNT(O16:Q16)=0,COUNT(S16:AC16)=0,AE16=""),"",(IF(COUNT(C16:E16)=0,0,SUMPRODUCT({5000,1000,500},C16:E16))+IF(COUNT(G16:I16)=0,0,SUMPRODUCT({5000,1000,500},G16:I16))+IF(COUNT(K16:M16)=0,0,SUMPRODUCT({5000,1000,500},K16:M16))+IF(COUNT(O16:Q16)=0,0,SUMPRODUCT({5000,1000,500},O16:Q16))+AD16)-N(AE16))</f>
        <v>11</v>
      </c>
      <c r="AG16" s="35" t="str">
        <f t="shared" si="0"/>
        <v>Excess</v>
      </c>
      <c r="AH16" s="38"/>
      <c r="AI16" s="36">
        <v>623662.93999999994</v>
      </c>
      <c r="AJ16" s="37">
        <f>592515.48+31147.46</f>
        <v>623662.93999999994</v>
      </c>
      <c r="AK16" s="26">
        <f t="shared" si="1"/>
        <v>0</v>
      </c>
      <c r="AL16" s="25" t="str">
        <f t="shared" si="2"/>
        <v>Matched</v>
      </c>
      <c r="AM16" s="38"/>
    </row>
    <row r="17" spans="1:39" ht="12.75" customHeight="1" x14ac:dyDescent="0.25">
      <c r="A17" s="31">
        <v>67250</v>
      </c>
      <c r="B17" s="32" t="str">
        <f>IF(A17="","",VLOOKUP(A17,'Employee Database'!A:B,2,FALSE))</f>
        <v>M Fiaz</v>
      </c>
      <c r="C17" s="31"/>
      <c r="D17" s="31"/>
      <c r="E17" s="31"/>
      <c r="F17" s="39">
        <f>IF(COUNT(C17:E17)=0,0,SUMPRODUCT({5000,1000,500},C17:E17))</f>
        <v>0</v>
      </c>
      <c r="G17" s="31">
        <v>15</v>
      </c>
      <c r="H17" s="31">
        <v>134</v>
      </c>
      <c r="I17" s="31">
        <v>11</v>
      </c>
      <c r="J17" s="39">
        <f>IF(COUNT(G17:I17)=0,0,SUMPRODUCT({5000,1000,500},G17:I17))</f>
        <v>214500</v>
      </c>
      <c r="K17" s="31"/>
      <c r="L17" s="31"/>
      <c r="M17" s="31"/>
      <c r="N17" s="39">
        <f>IF(COUNT(K17:M17)=0,0,SUMPRODUCT({5000,1000,500},K17:M17))</f>
        <v>0</v>
      </c>
      <c r="O17" s="31"/>
      <c r="P17" s="31"/>
      <c r="Q17" s="31"/>
      <c r="R17" s="39">
        <f>IF(COUNT(O17:Q17)=0,0,SUMPRODUCT({5000,1000,500},O17:Q17))</f>
        <v>0</v>
      </c>
      <c r="S17" s="31"/>
      <c r="T17" s="31"/>
      <c r="U17" s="31"/>
      <c r="V17" s="31"/>
      <c r="W17" s="31"/>
      <c r="X17" s="31">
        <v>34</v>
      </c>
      <c r="Y17" s="31">
        <v>1</v>
      </c>
      <c r="Z17" s="31">
        <v>60</v>
      </c>
      <c r="AA17" s="31"/>
      <c r="AB17" s="31"/>
      <c r="AC17" s="31"/>
      <c r="AD17" s="34">
        <f>IF(COUNT(S17:AC17)=0,0,SUMPRODUCT({5000,1000,500,100,75,50,20,10,5,2,1}, S17:AC17))</f>
        <v>2320</v>
      </c>
      <c r="AE17" s="33">
        <v>216796</v>
      </c>
      <c r="AF17" s="24">
        <f>IF(AND(COUNT(C17:E17)=0,COUNT(G17:I17)=0,COUNT(K17:M17)=0,COUNT(O17:Q17)=0,COUNT(S17:AC17)=0,AE17=""),"",(IF(COUNT(C17:E17)=0,0,SUMPRODUCT({5000,1000,500},C17:E17))+IF(COUNT(G17:I17)=0,0,SUMPRODUCT({5000,1000,500},G17:I17))+IF(COUNT(K17:M17)=0,0,SUMPRODUCT({5000,1000,500},K17:M17))+IF(COUNT(O17:Q17)=0,0,SUMPRODUCT({5000,1000,500},O17:Q17))+AD17)-N(AE17))</f>
        <v>24</v>
      </c>
      <c r="AG17" s="35" t="str">
        <f t="shared" si="0"/>
        <v>Excess</v>
      </c>
      <c r="AH17" s="38"/>
      <c r="AI17" s="36">
        <v>352430.12</v>
      </c>
      <c r="AJ17" s="37">
        <v>352430.12</v>
      </c>
      <c r="AK17" s="26">
        <f t="shared" si="1"/>
        <v>0</v>
      </c>
      <c r="AL17" s="25" t="str">
        <f t="shared" si="2"/>
        <v>Matched</v>
      </c>
      <c r="AM17" s="38"/>
    </row>
    <row r="18" spans="1:39" ht="12.75" customHeight="1" x14ac:dyDescent="0.25">
      <c r="A18" s="31">
        <v>77424</v>
      </c>
      <c r="B18" s="32" t="str">
        <f>IF(A18="","",VLOOKUP(A18,'Employee Database'!A:B,2,FALSE))</f>
        <v>M Husnain</v>
      </c>
      <c r="C18" s="31"/>
      <c r="D18" s="31"/>
      <c r="E18" s="31"/>
      <c r="F18" s="39">
        <f>IF(COUNT(C18:E18)=0,0,SUMPRODUCT({5000,1000,500},C18:E18))</f>
        <v>0</v>
      </c>
      <c r="G18" s="31">
        <v>13</v>
      </c>
      <c r="H18" s="31">
        <v>45</v>
      </c>
      <c r="I18" s="31">
        <v>0</v>
      </c>
      <c r="J18" s="39">
        <f>IF(COUNT(G18:I18)=0,0,SUMPRODUCT({5000,1000,500},G18:I18))</f>
        <v>110000</v>
      </c>
      <c r="K18" s="31"/>
      <c r="L18" s="31"/>
      <c r="M18" s="31"/>
      <c r="N18" s="39">
        <f>IF(COUNT(K18:M18)=0,0,SUMPRODUCT({5000,1000,500},K18:M18))</f>
        <v>0</v>
      </c>
      <c r="O18" s="31"/>
      <c r="P18" s="31"/>
      <c r="Q18" s="31"/>
      <c r="R18" s="39">
        <f>IF(COUNT(O18:Q18)=0,0,SUMPRODUCT({5000,1000,500},O18:Q18))</f>
        <v>0</v>
      </c>
      <c r="S18" s="31"/>
      <c r="T18" s="31"/>
      <c r="U18" s="31"/>
      <c r="V18" s="31">
        <v>3</v>
      </c>
      <c r="W18" s="31"/>
      <c r="X18" s="31">
        <v>18</v>
      </c>
      <c r="Y18" s="31"/>
      <c r="Z18" s="31">
        <v>66</v>
      </c>
      <c r="AA18" s="31"/>
      <c r="AB18" s="31"/>
      <c r="AC18" s="31"/>
      <c r="AD18" s="34">
        <f>IF(COUNT(S18:AC18)=0,0,SUMPRODUCT({5000,1000,500,100,75,50,20,10,5,2,1}, S18:AC18))</f>
        <v>1860</v>
      </c>
      <c r="AE18" s="33">
        <v>111814</v>
      </c>
      <c r="AF18" s="24">
        <f>IF(AND(COUNT(C18:E18)=0,COUNT(G18:I18)=0,COUNT(K18:M18)=0,COUNT(O18:Q18)=0,COUNT(S18:AC18)=0,AE18=""),"",(IF(COUNT(C18:E18)=0,0,SUMPRODUCT({5000,1000,500},C18:E18))+IF(COUNT(G18:I18)=0,0,SUMPRODUCT({5000,1000,500},G18:I18))+IF(COUNT(K18:M18)=0,0,SUMPRODUCT({5000,1000,500},K18:M18))+IF(COUNT(O18:Q18)=0,0,SUMPRODUCT({5000,1000,500},O18:Q18))+AD18)-N(AE18))</f>
        <v>46</v>
      </c>
      <c r="AG18" s="35" t="str">
        <f t="shared" si="0"/>
        <v>Excess</v>
      </c>
      <c r="AH18" s="38"/>
      <c r="AI18" s="36">
        <f>91927.3+185813.57</f>
        <v>277740.87</v>
      </c>
      <c r="AJ18" s="37">
        <f>91927.3+185813.57</f>
        <v>277740.87</v>
      </c>
      <c r="AK18" s="26">
        <f t="shared" si="1"/>
        <v>0</v>
      </c>
      <c r="AL18" s="25" t="str">
        <f t="shared" si="2"/>
        <v>Matched</v>
      </c>
      <c r="AM18" s="38"/>
    </row>
    <row r="19" spans="1:39" ht="12.75" customHeight="1" x14ac:dyDescent="0.25">
      <c r="A19" s="31">
        <v>69728</v>
      </c>
      <c r="B19" s="32" t="str">
        <f>IF(A19="","",VLOOKUP(A19,'Employee Database'!A:B,2,FALSE))</f>
        <v>Hafiz Hafeez Ur Rehman</v>
      </c>
      <c r="C19" s="31"/>
      <c r="D19" s="31"/>
      <c r="E19" s="31"/>
      <c r="F19" s="39">
        <f>IF(COUNT(C19:E19)=0,0,SUMPRODUCT({5000,1000,500},C19:E19))</f>
        <v>0</v>
      </c>
      <c r="G19" s="31">
        <v>36</v>
      </c>
      <c r="H19" s="31">
        <v>26</v>
      </c>
      <c r="I19" s="31">
        <v>26</v>
      </c>
      <c r="J19" s="39">
        <f>IF(COUNT(G19:I19)=0,0,SUMPRODUCT({5000,1000,500},G19:I19))</f>
        <v>219000</v>
      </c>
      <c r="K19" s="31"/>
      <c r="L19" s="31"/>
      <c r="M19" s="31"/>
      <c r="N19" s="39">
        <f>IF(COUNT(K19:M19)=0,0,SUMPRODUCT({5000,1000,500},K19:M19))</f>
        <v>0</v>
      </c>
      <c r="O19" s="31"/>
      <c r="P19" s="31"/>
      <c r="Q19" s="31"/>
      <c r="R19" s="39">
        <f>IF(COUNT(O19:Q19)=0,0,SUMPRODUCT({5000,1000,500},O19:Q19))</f>
        <v>0</v>
      </c>
      <c r="S19" s="31"/>
      <c r="T19" s="31"/>
      <c r="U19" s="31"/>
      <c r="V19" s="31">
        <v>57</v>
      </c>
      <c r="W19" s="31"/>
      <c r="X19" s="31">
        <v>131</v>
      </c>
      <c r="Y19" s="31"/>
      <c r="Z19" s="31">
        <v>49</v>
      </c>
      <c r="AA19" s="31"/>
      <c r="AB19" s="31"/>
      <c r="AC19" s="31"/>
      <c r="AD19" s="34">
        <f>IF(COUNT(S19:AC19)=0,0,SUMPRODUCT({5000,1000,500,100,75,50,20,10,5,2,1}, S19:AC19))</f>
        <v>12740</v>
      </c>
      <c r="AE19" s="33">
        <v>231714</v>
      </c>
      <c r="AF19" s="24">
        <f>IF(AND(COUNT(C19:E19)=0,COUNT(G19:I19)=0,COUNT(K19:M19)=0,COUNT(O19:Q19)=0,COUNT(S19:AC19)=0,AE19=""),"",(IF(COUNT(C19:E19)=0,0,SUMPRODUCT({5000,1000,500},C19:E19))+IF(COUNT(G19:I19)=0,0,SUMPRODUCT({5000,1000,500},G19:I19))+IF(COUNT(K19:M19)=0,0,SUMPRODUCT({5000,1000,500},K19:M19))+IF(COUNT(O19:Q19)=0,0,SUMPRODUCT({5000,1000,500},O19:Q19))+AD19)-N(AE19))</f>
        <v>26</v>
      </c>
      <c r="AG19" s="35" t="str">
        <f t="shared" si="0"/>
        <v>Excess</v>
      </c>
      <c r="AH19" s="38"/>
      <c r="AI19" s="36">
        <v>668294.6</v>
      </c>
      <c r="AJ19" s="37">
        <f>625489.53+42805.07</f>
        <v>668294.6</v>
      </c>
      <c r="AK19" s="26">
        <f t="shared" si="1"/>
        <v>0</v>
      </c>
      <c r="AL19" s="25" t="str">
        <f t="shared" si="2"/>
        <v>Matched</v>
      </c>
      <c r="AM19" s="38"/>
    </row>
    <row r="20" spans="1:39" ht="12.75" customHeight="1" x14ac:dyDescent="0.25">
      <c r="A20" s="31">
        <v>71205</v>
      </c>
      <c r="B20" s="32" t="str">
        <f>IF(A20="","",VLOOKUP(A20,'Employee Database'!A:B,2,FALSE))</f>
        <v>M Yaqoob</v>
      </c>
      <c r="C20" s="31"/>
      <c r="D20" s="31"/>
      <c r="E20" s="31"/>
      <c r="F20" s="39">
        <f>IF(COUNT(C20:E20)=0,0,SUMPRODUCT({5000,1000,500},C20:E20))</f>
        <v>0</v>
      </c>
      <c r="G20" s="31">
        <v>17</v>
      </c>
      <c r="H20" s="31">
        <v>91</v>
      </c>
      <c r="I20" s="31">
        <v>24</v>
      </c>
      <c r="J20" s="39">
        <f>IF(COUNT(G20:I20)=0,0,SUMPRODUCT({5000,1000,500},G20:I20))</f>
        <v>188000</v>
      </c>
      <c r="K20" s="31"/>
      <c r="L20" s="31"/>
      <c r="M20" s="31"/>
      <c r="N20" s="39">
        <f>IF(COUNT(K20:M20)=0,0,SUMPRODUCT({5000,1000,500},K20:M20))</f>
        <v>0</v>
      </c>
      <c r="O20" s="31"/>
      <c r="P20" s="31"/>
      <c r="Q20" s="31"/>
      <c r="R20" s="39">
        <f>IF(COUNT(O20:Q20)=0,0,SUMPRODUCT({5000,1000,500},O20:Q20))</f>
        <v>0</v>
      </c>
      <c r="S20" s="31"/>
      <c r="T20" s="31"/>
      <c r="U20" s="31"/>
      <c r="V20" s="31">
        <v>9</v>
      </c>
      <c r="W20" s="31"/>
      <c r="X20" s="31">
        <v>26</v>
      </c>
      <c r="Y20" s="31"/>
      <c r="Z20" s="31">
        <v>41</v>
      </c>
      <c r="AA20" s="31"/>
      <c r="AB20" s="31"/>
      <c r="AC20" s="31"/>
      <c r="AD20" s="34">
        <f>IF(COUNT(S20:AC20)=0,0,SUMPRODUCT({5000,1000,500,100,75,50,20,10,5,2,1}, S20:AC20))</f>
        <v>2610</v>
      </c>
      <c r="AE20" s="33">
        <v>190556</v>
      </c>
      <c r="AF20" s="24">
        <f>IF(AND(COUNT(C20:E20)=0,COUNT(G20:I20)=0,COUNT(K20:M20)=0,COUNT(O20:Q20)=0,COUNT(S20:AC20)=0,AE20=""),"",(IF(COUNT(C20:E20)=0,0,SUMPRODUCT({5000,1000,500},C20:E20))+IF(COUNT(G20:I20)=0,0,SUMPRODUCT({5000,1000,500},G20:I20))+IF(COUNT(K20:M20)=0,0,SUMPRODUCT({5000,1000,500},K20:M20))+IF(COUNT(O20:Q20)=0,0,SUMPRODUCT({5000,1000,500},O20:Q20))+AD20)-N(AE20))</f>
        <v>54</v>
      </c>
      <c r="AG20" s="35" t="str">
        <f t="shared" si="0"/>
        <v>Excess</v>
      </c>
      <c r="AH20" s="38"/>
      <c r="AI20" s="36">
        <v>434891.57</v>
      </c>
      <c r="AJ20" s="37">
        <v>434891.57</v>
      </c>
      <c r="AK20" s="26">
        <f t="shared" si="1"/>
        <v>0</v>
      </c>
      <c r="AL20" s="25" t="str">
        <f t="shared" si="2"/>
        <v>Matched</v>
      </c>
      <c r="AM20" s="38"/>
    </row>
    <row r="21" spans="1:39" ht="12.75" customHeight="1" x14ac:dyDescent="0.25">
      <c r="A21" s="31">
        <v>71788</v>
      </c>
      <c r="B21" s="32" t="str">
        <f>IF(A21="","",VLOOKUP(A21,'Employee Database'!A:B,2,FALSE))</f>
        <v>Saaim</v>
      </c>
      <c r="C21" s="31"/>
      <c r="D21" s="31"/>
      <c r="E21" s="31"/>
      <c r="F21" s="39">
        <f>IF(COUNT(C21:E21)=0,0,SUMPRODUCT({5000,1000,500},C21:E21))</f>
        <v>0</v>
      </c>
      <c r="G21" s="31">
        <v>32</v>
      </c>
      <c r="H21" s="31">
        <v>79</v>
      </c>
      <c r="I21" s="31">
        <v>41</v>
      </c>
      <c r="J21" s="39">
        <f>IF(COUNT(G21:I21)=0,0,SUMPRODUCT({5000,1000,500},G21:I21))</f>
        <v>259500</v>
      </c>
      <c r="K21" s="31"/>
      <c r="L21" s="31"/>
      <c r="M21" s="31"/>
      <c r="N21" s="39">
        <f>IF(COUNT(K21:M21)=0,0,SUMPRODUCT({5000,1000,500},K21:M21))</f>
        <v>0</v>
      </c>
      <c r="O21" s="31"/>
      <c r="P21" s="31"/>
      <c r="Q21" s="31"/>
      <c r="R21" s="39">
        <f>IF(COUNT(O21:Q21)=0,0,SUMPRODUCT({5000,1000,500},O21:Q21))</f>
        <v>0</v>
      </c>
      <c r="S21" s="31"/>
      <c r="T21" s="31"/>
      <c r="U21" s="31"/>
      <c r="V21" s="31">
        <v>66</v>
      </c>
      <c r="W21" s="31"/>
      <c r="X21" s="31">
        <v>42</v>
      </c>
      <c r="Y21" s="31"/>
      <c r="Z21" s="31">
        <v>39</v>
      </c>
      <c r="AA21" s="31"/>
      <c r="AB21" s="31"/>
      <c r="AC21" s="31"/>
      <c r="AD21" s="34">
        <f>IF(COUNT(S21:AC21)=0,0,SUMPRODUCT({5000,1000,500,100,75,50,20,10,5,2,1}, S21:AC21))</f>
        <v>9090</v>
      </c>
      <c r="AE21" s="33">
        <v>268578</v>
      </c>
      <c r="AF21" s="24">
        <f>IF(AND(COUNT(C21:E21)=0,COUNT(G21:I21)=0,COUNT(K21:M21)=0,COUNT(O21:Q21)=0,COUNT(S21:AC21)=0,AE21=""),"",(IF(COUNT(C21:E21)=0,0,SUMPRODUCT({5000,1000,500},C21:E21))+IF(COUNT(G21:I21)=0,0,SUMPRODUCT({5000,1000,500},G21:I21))+IF(COUNT(K21:M21)=0,0,SUMPRODUCT({5000,1000,500},K21:M21))+IF(COUNT(O21:Q21)=0,0,SUMPRODUCT({5000,1000,500},O21:Q21))+AD21)-N(AE21))</f>
        <v>12</v>
      </c>
      <c r="AG21" s="35" t="str">
        <f t="shared" si="0"/>
        <v>Excess</v>
      </c>
      <c r="AH21" s="38"/>
      <c r="AI21" s="36">
        <v>719384.21</v>
      </c>
      <c r="AJ21" s="37">
        <v>719384.21</v>
      </c>
      <c r="AK21" s="26">
        <f t="shared" si="1"/>
        <v>0</v>
      </c>
      <c r="AL21" s="25" t="str">
        <f t="shared" si="2"/>
        <v>Matched</v>
      </c>
      <c r="AM21" s="38"/>
    </row>
    <row r="22" spans="1:39" ht="12.75" customHeight="1" x14ac:dyDescent="0.25">
      <c r="A22" s="31">
        <v>69732</v>
      </c>
      <c r="B22" s="32" t="str">
        <f>IF(A22="","",VLOOKUP(A22,'Employee Database'!A:B,2,FALSE))</f>
        <v>Abdul Hafeez</v>
      </c>
      <c r="C22" s="31"/>
      <c r="D22" s="31"/>
      <c r="E22" s="31"/>
      <c r="F22" s="39">
        <f>IF(COUNT(C22:E22)=0,0,SUMPRODUCT({5000,1000,500},C22:E22))</f>
        <v>0</v>
      </c>
      <c r="G22" s="31">
        <v>18</v>
      </c>
      <c r="H22" s="31">
        <v>46</v>
      </c>
      <c r="I22" s="31">
        <v>119</v>
      </c>
      <c r="J22" s="39">
        <f>IF(COUNT(G22:I22)=0,0,SUMPRODUCT({5000,1000,500},G22:I22))</f>
        <v>195500</v>
      </c>
      <c r="K22" s="31"/>
      <c r="L22" s="31"/>
      <c r="M22" s="31"/>
      <c r="N22" s="39">
        <f>IF(COUNT(K22:M22)=0,0,SUMPRODUCT({5000,1000,500},K22:M22))</f>
        <v>0</v>
      </c>
      <c r="O22" s="31"/>
      <c r="P22" s="31"/>
      <c r="Q22" s="31"/>
      <c r="R22" s="39">
        <f>IF(COUNT(O22:Q22)=0,0,SUMPRODUCT({5000,1000,500},O22:Q22))</f>
        <v>0</v>
      </c>
      <c r="S22" s="31"/>
      <c r="T22" s="31"/>
      <c r="U22" s="31"/>
      <c r="V22" s="31">
        <v>86</v>
      </c>
      <c r="W22" s="31"/>
      <c r="X22" s="31">
        <v>103</v>
      </c>
      <c r="Y22" s="31">
        <v>1</v>
      </c>
      <c r="Z22" s="31">
        <v>21</v>
      </c>
      <c r="AA22" s="31"/>
      <c r="AB22" s="31"/>
      <c r="AC22" s="31"/>
      <c r="AD22" s="34">
        <f>IF(COUNT(S22:AC22)=0,0,SUMPRODUCT({5000,1000,500,100,75,50,20,10,5,2,1}, S22:AC22))</f>
        <v>13980</v>
      </c>
      <c r="AE22" s="33">
        <v>209457</v>
      </c>
      <c r="AF22" s="24">
        <f>IF(AND(COUNT(C22:E22)=0,COUNT(G22:I22)=0,COUNT(K22:M22)=0,COUNT(O22:Q22)=0,COUNT(S22:AC22)=0,AE22=""),"",(IF(COUNT(C22:E22)=0,0,SUMPRODUCT({5000,1000,500},C22:E22))+IF(COUNT(G22:I22)=0,0,SUMPRODUCT({5000,1000,500},G22:I22))+IF(COUNT(K22:M22)=0,0,SUMPRODUCT({5000,1000,500},K22:M22))+IF(COUNT(O22:Q22)=0,0,SUMPRODUCT({5000,1000,500},O22:Q22))+AD22)-N(AE22))</f>
        <v>23</v>
      </c>
      <c r="AG22" s="35" t="str">
        <f t="shared" si="0"/>
        <v>Excess</v>
      </c>
      <c r="AH22" s="38"/>
      <c r="AI22" s="36">
        <v>305899.68</v>
      </c>
      <c r="AJ22" s="37">
        <v>305899.68</v>
      </c>
      <c r="AK22" s="26">
        <f t="shared" si="1"/>
        <v>0</v>
      </c>
      <c r="AL22" s="25" t="str">
        <f t="shared" si="2"/>
        <v>Matched</v>
      </c>
      <c r="AM22" s="38"/>
    </row>
    <row r="23" spans="1:39" ht="12.75" customHeight="1" x14ac:dyDescent="0.25">
      <c r="A23" s="31">
        <v>68475</v>
      </c>
      <c r="B23" s="32" t="str">
        <f>IF(A23="","",VLOOKUP(A23,'Employee Database'!A:B,2,FALSE))</f>
        <v>M Azeem</v>
      </c>
      <c r="C23" s="31"/>
      <c r="D23" s="31"/>
      <c r="E23" s="31"/>
      <c r="F23" s="39">
        <f>IF(COUNT(C23:E23)=0,0,SUMPRODUCT({5000,1000,500},C23:E23))</f>
        <v>0</v>
      </c>
      <c r="G23" s="31">
        <v>26</v>
      </c>
      <c r="H23" s="31">
        <v>57</v>
      </c>
      <c r="I23" s="31">
        <v>6</v>
      </c>
      <c r="J23" s="39">
        <f>IF(COUNT(G23:I23)=0,0,SUMPRODUCT({5000,1000,500},G23:I23))</f>
        <v>190000</v>
      </c>
      <c r="K23" s="31"/>
      <c r="L23" s="31"/>
      <c r="M23" s="31"/>
      <c r="N23" s="39">
        <f>IF(COUNT(K23:M23)=0,0,SUMPRODUCT({5000,1000,500},K23:M23))</f>
        <v>0</v>
      </c>
      <c r="O23" s="31"/>
      <c r="P23" s="31"/>
      <c r="Q23" s="31"/>
      <c r="R23" s="39">
        <f>IF(COUNT(O23:Q23)=0,0,SUMPRODUCT({5000,1000,500},O23:Q23))</f>
        <v>0</v>
      </c>
      <c r="S23" s="31"/>
      <c r="T23" s="31"/>
      <c r="U23" s="31"/>
      <c r="V23" s="31">
        <v>92</v>
      </c>
      <c r="W23" s="31"/>
      <c r="X23" s="31">
        <v>39</v>
      </c>
      <c r="Y23" s="31"/>
      <c r="Z23" s="31">
        <v>46</v>
      </c>
      <c r="AA23" s="31"/>
      <c r="AB23" s="31"/>
      <c r="AC23" s="31"/>
      <c r="AD23" s="34">
        <f>IF(COUNT(S23:AC23)=0,0,SUMPRODUCT({5000,1000,500,100,75,50,20,10,5,2,1}, S23:AC23))</f>
        <v>11610</v>
      </c>
      <c r="AE23" s="33">
        <v>201603</v>
      </c>
      <c r="AF23" s="24">
        <f>IF(AND(COUNT(C23:E23)=0,COUNT(G23:I23)=0,COUNT(K23:M23)=0,COUNT(O23:Q23)=0,COUNT(S23:AC23)=0,AE23=""),"",(IF(COUNT(C23:E23)=0,0,SUMPRODUCT({5000,1000,500},C23:E23))+IF(COUNT(G23:I23)=0,0,SUMPRODUCT({5000,1000,500},G23:I23))+IF(COUNT(K23:M23)=0,0,SUMPRODUCT({5000,1000,500},K23:M23))+IF(COUNT(O23:Q23)=0,0,SUMPRODUCT({5000,1000,500},O23:Q23))+AD23)-N(AE23))</f>
        <v>7</v>
      </c>
      <c r="AG23" s="35" t="str">
        <f t="shared" si="0"/>
        <v>Excess</v>
      </c>
      <c r="AH23" s="38"/>
      <c r="AI23" s="36">
        <f>289180.51+228769.36</f>
        <v>517949.87</v>
      </c>
      <c r="AJ23" s="37">
        <f>42014.47+186754.89+289180.51</f>
        <v>517949.87</v>
      </c>
      <c r="AK23" s="26">
        <f t="shared" si="1"/>
        <v>0</v>
      </c>
      <c r="AL23" s="25" t="str">
        <f t="shared" si="2"/>
        <v>Matched</v>
      </c>
      <c r="AM23" s="38"/>
    </row>
    <row r="24" spans="1:39" ht="12.75" customHeight="1" x14ac:dyDescent="0.25">
      <c r="A24" s="31">
        <v>73679</v>
      </c>
      <c r="B24" s="32" t="str">
        <f>IF(A24="","",VLOOKUP(A24,'Employee Database'!A:B,2,FALSE))</f>
        <v>Imran Waqar</v>
      </c>
      <c r="C24" s="31"/>
      <c r="D24" s="31"/>
      <c r="E24" s="31"/>
      <c r="F24" s="39">
        <f>IF(COUNT(C24:E24)=0,0,SUMPRODUCT({5000,1000,500},C24:E24))</f>
        <v>0</v>
      </c>
      <c r="G24" s="31">
        <v>39</v>
      </c>
      <c r="H24" s="31">
        <v>74</v>
      </c>
      <c r="I24" s="31">
        <v>1</v>
      </c>
      <c r="J24" s="39">
        <f>IF(COUNT(G24:I24)=0,0,SUMPRODUCT({5000,1000,500},G24:I24))</f>
        <v>269500</v>
      </c>
      <c r="K24" s="31"/>
      <c r="L24" s="31"/>
      <c r="M24" s="31"/>
      <c r="N24" s="39">
        <f>IF(COUNT(K24:M24)=0,0,SUMPRODUCT({5000,1000,500},K24:M24))</f>
        <v>0</v>
      </c>
      <c r="O24" s="31"/>
      <c r="P24" s="31"/>
      <c r="Q24" s="31"/>
      <c r="R24" s="39">
        <f>IF(COUNT(O24:Q24)=0,0,SUMPRODUCT({5000,1000,500},O24:Q24))</f>
        <v>0</v>
      </c>
      <c r="S24" s="31"/>
      <c r="T24" s="31"/>
      <c r="U24" s="31"/>
      <c r="V24" s="31">
        <v>3</v>
      </c>
      <c r="W24" s="31"/>
      <c r="X24" s="31">
        <v>222</v>
      </c>
      <c r="Y24" s="31"/>
      <c r="Z24" s="31">
        <v>235</v>
      </c>
      <c r="AA24" s="31"/>
      <c r="AB24" s="31"/>
      <c r="AC24" s="31"/>
      <c r="AD24" s="34">
        <f>IF(COUNT(S24:AC24)=0,0,SUMPRODUCT({5000,1000,500,100,75,50,20,10,5,2,1}, S24:AC24))</f>
        <v>13750</v>
      </c>
      <c r="AE24" s="33">
        <v>283288</v>
      </c>
      <c r="AF24" s="24">
        <f>IF(AND(COUNT(C24:E24)=0,COUNT(G24:I24)=0,COUNT(K24:M24)=0,COUNT(O24:Q24)=0,COUNT(S24:AC24)=0,AE24=""),"",(IF(COUNT(C24:E24)=0,0,SUMPRODUCT({5000,1000,500},C24:E24))+IF(COUNT(G24:I24)=0,0,SUMPRODUCT({5000,1000,500},G24:I24))+IF(COUNT(K24:M24)=0,0,SUMPRODUCT({5000,1000,500},K24:M24))+IF(COUNT(O24:Q24)=0,0,SUMPRODUCT({5000,1000,500},O24:Q24))+AD24)-N(AE24))</f>
        <v>-38</v>
      </c>
      <c r="AG24" s="35" t="str">
        <f t="shared" si="0"/>
        <v>Short</v>
      </c>
      <c r="AH24" s="38"/>
      <c r="AI24" s="36">
        <v>765215.47</v>
      </c>
      <c r="AJ24" s="37">
        <v>765215.47</v>
      </c>
      <c r="AK24" s="26">
        <f t="shared" si="1"/>
        <v>0</v>
      </c>
      <c r="AL24" s="25" t="str">
        <f t="shared" si="2"/>
        <v>Matched</v>
      </c>
      <c r="AM24" s="38"/>
    </row>
    <row r="25" spans="1:39" ht="12.75" customHeight="1" x14ac:dyDescent="0.25">
      <c r="A25" s="31">
        <v>50134</v>
      </c>
      <c r="B25" s="32" t="str">
        <f>IF(A25="","",VLOOKUP(A25,'Employee Database'!A:B,2,FALSE))</f>
        <v>Asif Abbas</v>
      </c>
      <c r="C25" s="31"/>
      <c r="D25" s="31"/>
      <c r="E25" s="31"/>
      <c r="F25" s="39">
        <f>IF(COUNT(C25:E25)=0,0,SUMPRODUCT({5000,1000,500},C25:E25))</f>
        <v>0</v>
      </c>
      <c r="G25" s="31">
        <v>27</v>
      </c>
      <c r="H25" s="31">
        <v>84</v>
      </c>
      <c r="I25" s="31">
        <v>0</v>
      </c>
      <c r="J25" s="39">
        <f>IF(COUNT(G25:I25)=0,0,SUMPRODUCT({5000,1000,500},G25:I25))</f>
        <v>219000</v>
      </c>
      <c r="K25" s="31"/>
      <c r="L25" s="31"/>
      <c r="M25" s="31"/>
      <c r="N25" s="39">
        <f>IF(COUNT(K25:M25)=0,0,SUMPRODUCT({5000,1000,500},K25:M25))</f>
        <v>0</v>
      </c>
      <c r="O25" s="31"/>
      <c r="P25" s="31"/>
      <c r="Q25" s="31"/>
      <c r="R25" s="39">
        <f>IF(COUNT(O25:Q25)=0,0,SUMPRODUCT({5000,1000,500},O25:Q25))</f>
        <v>0</v>
      </c>
      <c r="S25" s="31"/>
      <c r="T25" s="31"/>
      <c r="U25" s="31"/>
      <c r="V25" s="31">
        <v>1</v>
      </c>
      <c r="W25" s="31"/>
      <c r="X25" s="31">
        <v>44</v>
      </c>
      <c r="Y25" s="31">
        <v>1</v>
      </c>
      <c r="Z25" s="31">
        <v>64</v>
      </c>
      <c r="AA25" s="31"/>
      <c r="AB25" s="31"/>
      <c r="AC25" s="31"/>
      <c r="AD25" s="34">
        <f>IF(COUNT(S25:AC25)=0,0,SUMPRODUCT({5000,1000,500,100,75,50,20,10,5,2,1}, S25:AC25))</f>
        <v>2960</v>
      </c>
      <c r="AE25" s="33">
        <v>221990</v>
      </c>
      <c r="AF25" s="24">
        <f>IF(AND(COUNT(C25:E25)=0,COUNT(G25:I25)=0,COUNT(K25:M25)=0,COUNT(O25:Q25)=0,COUNT(S25:AC25)=0,AE25=""),"",(IF(COUNT(C25:E25)=0,0,SUMPRODUCT({5000,1000,500},C25:E25))+IF(COUNT(G25:I25)=0,0,SUMPRODUCT({5000,1000,500},G25:I25))+IF(COUNT(K25:M25)=0,0,SUMPRODUCT({5000,1000,500},K25:M25))+IF(COUNT(O25:Q25)=0,0,SUMPRODUCT({5000,1000,500},O25:Q25))+AD25)-N(AE25))</f>
        <v>-30</v>
      </c>
      <c r="AG25" s="35" t="str">
        <f t="shared" si="0"/>
        <v>Short</v>
      </c>
      <c r="AH25" s="38"/>
      <c r="AI25" s="36">
        <f>110828.3+98998.61</f>
        <v>209826.91</v>
      </c>
      <c r="AJ25" s="37">
        <f>98998.61+110828.3</f>
        <v>209826.91</v>
      </c>
      <c r="AK25" s="26">
        <f t="shared" si="1"/>
        <v>0</v>
      </c>
      <c r="AL25" s="25" t="str">
        <f t="shared" si="2"/>
        <v>Matched</v>
      </c>
      <c r="AM25" s="38"/>
    </row>
    <row r="26" spans="1:39" ht="12.75" customHeight="1" x14ac:dyDescent="0.25">
      <c r="A26" s="31">
        <v>79593</v>
      </c>
      <c r="B26" s="32" t="str">
        <f>IF(A26="","",VLOOKUP(A26,'Employee Database'!A:B,2,FALSE))</f>
        <v>Amir</v>
      </c>
      <c r="C26" s="31"/>
      <c r="D26" s="31"/>
      <c r="E26" s="31"/>
      <c r="F26" s="39">
        <f>IF(COUNT(C26:E26)=0,0,SUMPRODUCT({5000,1000,500},C26:E26))</f>
        <v>0</v>
      </c>
      <c r="G26" s="31">
        <v>21</v>
      </c>
      <c r="H26" s="31">
        <v>53</v>
      </c>
      <c r="I26" s="31">
        <v>12</v>
      </c>
      <c r="J26" s="39">
        <f>IF(COUNT(G26:I26)=0,0,SUMPRODUCT({5000,1000,500},G26:I26))</f>
        <v>164000</v>
      </c>
      <c r="K26" s="31"/>
      <c r="L26" s="31"/>
      <c r="M26" s="31"/>
      <c r="N26" s="39">
        <f>IF(COUNT(K26:M26)=0,0,SUMPRODUCT({5000,1000,500},K26:M26))</f>
        <v>0</v>
      </c>
      <c r="O26" s="31"/>
      <c r="P26" s="31"/>
      <c r="Q26" s="31"/>
      <c r="R26" s="39">
        <f>IF(COUNT(O26:Q26)=0,0,SUMPRODUCT({5000,1000,500},O26:Q26))</f>
        <v>0</v>
      </c>
      <c r="S26" s="31"/>
      <c r="T26" s="31"/>
      <c r="U26" s="31"/>
      <c r="V26" s="31">
        <v>65</v>
      </c>
      <c r="W26" s="31"/>
      <c r="X26" s="31">
        <v>90</v>
      </c>
      <c r="Y26" s="31"/>
      <c r="Z26" s="31">
        <v>67</v>
      </c>
      <c r="AA26" s="31"/>
      <c r="AB26" s="31"/>
      <c r="AC26" s="31"/>
      <c r="AD26" s="34">
        <f>IF(COUNT(S26:AC26)=0,0,SUMPRODUCT({5000,1000,500,100,75,50,20,10,5,2,1}, S26:AC26))</f>
        <v>11670</v>
      </c>
      <c r="AE26" s="33">
        <v>175674</v>
      </c>
      <c r="AF26" s="24">
        <f>IF(AND(COUNT(C26:E26)=0,COUNT(G26:I26)=0,COUNT(K26:M26)=0,COUNT(O26:Q26)=0,COUNT(S26:AC26)=0,AE26=""),"",(IF(COUNT(C26:E26)=0,0,SUMPRODUCT({5000,1000,500},C26:E26))+IF(COUNT(G26:I26)=0,0,SUMPRODUCT({5000,1000,500},G26:I26))+IF(COUNT(K26:M26)=0,0,SUMPRODUCT({5000,1000,500},K26:M26))+IF(COUNT(O26:Q26)=0,0,SUMPRODUCT({5000,1000,500},O26:Q26))+AD26)-N(AE26))</f>
        <v>-4</v>
      </c>
      <c r="AG26" s="35" t="str">
        <f t="shared" si="0"/>
        <v>Short</v>
      </c>
      <c r="AH26" s="38"/>
      <c r="AI26" s="36">
        <f>58655.9+526170.76</f>
        <v>584826.66</v>
      </c>
      <c r="AJ26" s="37">
        <f>526170.76+58655.9</f>
        <v>584826.66</v>
      </c>
      <c r="AK26" s="26">
        <f t="shared" si="1"/>
        <v>0</v>
      </c>
      <c r="AL26" s="25" t="str">
        <f t="shared" si="2"/>
        <v>Matched</v>
      </c>
      <c r="AM26" s="38"/>
    </row>
    <row r="27" spans="1:39" ht="12.75" customHeight="1" x14ac:dyDescent="0.25">
      <c r="A27" s="31">
        <v>68107</v>
      </c>
      <c r="B27" s="32" t="str">
        <f>IF(A27="","",VLOOKUP(A27,'Employee Database'!A:B,2,FALSE))</f>
        <v>M Harris</v>
      </c>
      <c r="C27" s="31"/>
      <c r="D27" s="31"/>
      <c r="E27" s="31"/>
      <c r="F27" s="39">
        <f>IF(COUNT(C27:E27)=0,0,SUMPRODUCT({5000,1000,500},C27:E27))</f>
        <v>0</v>
      </c>
      <c r="G27" s="31">
        <v>2</v>
      </c>
      <c r="H27" s="31">
        <v>9</v>
      </c>
      <c r="I27" s="31">
        <v>7</v>
      </c>
      <c r="J27" s="39">
        <f>IF(COUNT(G27:I27)=0,0,SUMPRODUCT({5000,1000,500},G27:I27))</f>
        <v>22500</v>
      </c>
      <c r="K27" s="31"/>
      <c r="L27" s="31"/>
      <c r="M27" s="31"/>
      <c r="N27" s="39">
        <f>IF(COUNT(K27:M27)=0,0,SUMPRODUCT({5000,1000,500},K27:M27))</f>
        <v>0</v>
      </c>
      <c r="O27" s="31"/>
      <c r="P27" s="31"/>
      <c r="Q27" s="31"/>
      <c r="R27" s="39">
        <f>IF(COUNT(O27:Q27)=0,0,SUMPRODUCT({5000,1000,500},O27:Q27))</f>
        <v>0</v>
      </c>
      <c r="S27" s="31"/>
      <c r="T27" s="31"/>
      <c r="U27" s="31"/>
      <c r="V27" s="31">
        <v>105</v>
      </c>
      <c r="W27" s="31"/>
      <c r="X27" s="31">
        <v>100</v>
      </c>
      <c r="Y27" s="31"/>
      <c r="Z27" s="31">
        <v>100</v>
      </c>
      <c r="AA27" s="31"/>
      <c r="AB27" s="31"/>
      <c r="AC27" s="31"/>
      <c r="AD27" s="34">
        <f>IF(COUNT(S27:AC27)=0,0,SUMPRODUCT({5000,1000,500,100,75,50,20,10,5,2,1}, S27:AC27))</f>
        <v>16500</v>
      </c>
      <c r="AE27" s="33">
        <v>38978</v>
      </c>
      <c r="AF27" s="24">
        <f>IF(AND(COUNT(C27:E27)=0,COUNT(G27:I27)=0,COUNT(K27:M27)=0,COUNT(O27:Q27)=0,COUNT(S27:AC27)=0,AE27=""),"",(IF(COUNT(C27:E27)=0,0,SUMPRODUCT({5000,1000,500},C27:E27))+IF(COUNT(G27:I27)=0,0,SUMPRODUCT({5000,1000,500},G27:I27))+IF(COUNT(K27:M27)=0,0,SUMPRODUCT({5000,1000,500},K27:M27))+IF(COUNT(O27:Q27)=0,0,SUMPRODUCT({5000,1000,500},O27:Q27))+AD27)-N(AE27))</f>
        <v>22</v>
      </c>
      <c r="AG27" s="35" t="str">
        <f t="shared" si="0"/>
        <v>Excess</v>
      </c>
      <c r="AH27" s="38"/>
      <c r="AI27" s="36">
        <v>123352.8</v>
      </c>
      <c r="AJ27" s="37">
        <v>123352.8</v>
      </c>
      <c r="AK27" s="26">
        <f t="shared" si="1"/>
        <v>0</v>
      </c>
      <c r="AL27" s="25" t="str">
        <f t="shared" si="2"/>
        <v>Matched</v>
      </c>
      <c r="AM27" s="38"/>
    </row>
    <row r="28" spans="1:39" ht="12.75" customHeight="1" x14ac:dyDescent="0.25">
      <c r="A28" s="31">
        <v>50524</v>
      </c>
      <c r="B28" s="32" t="str">
        <f>IF(A28="","",VLOOKUP(A28,'Employee Database'!A:B,2,FALSE))</f>
        <v>Allah Rakha</v>
      </c>
      <c r="C28" s="31"/>
      <c r="D28" s="31"/>
      <c r="E28" s="31"/>
      <c r="F28" s="39">
        <f>IF(COUNT(C28:E28)=0,0,SUMPRODUCT({5000,1000,500},C28:E28))</f>
        <v>0</v>
      </c>
      <c r="G28" s="31">
        <v>1</v>
      </c>
      <c r="H28" s="31">
        <v>22</v>
      </c>
      <c r="I28" s="31">
        <v>18</v>
      </c>
      <c r="J28" s="39">
        <f>IF(COUNT(G28:I28)=0,0,SUMPRODUCT({5000,1000,500},G28:I28))</f>
        <v>36000</v>
      </c>
      <c r="K28" s="31"/>
      <c r="L28" s="31"/>
      <c r="M28" s="31"/>
      <c r="N28" s="39">
        <f>IF(COUNT(K28:M28)=0,0,SUMPRODUCT({5000,1000,500},K28:M28))</f>
        <v>0</v>
      </c>
      <c r="O28" s="31"/>
      <c r="P28" s="31"/>
      <c r="Q28" s="31"/>
      <c r="R28" s="39">
        <f>IF(COUNT(O28:Q28)=0,0,SUMPRODUCT({5000,1000,500},O28:Q28))</f>
        <v>0</v>
      </c>
      <c r="S28" s="31"/>
      <c r="T28" s="31"/>
      <c r="U28" s="31"/>
      <c r="V28" s="31">
        <v>73</v>
      </c>
      <c r="W28" s="31"/>
      <c r="X28" s="31">
        <v>101</v>
      </c>
      <c r="Y28" s="31">
        <v>1</v>
      </c>
      <c r="Z28" s="31">
        <v>30</v>
      </c>
      <c r="AA28" s="31"/>
      <c r="AB28" s="31"/>
      <c r="AC28" s="31"/>
      <c r="AD28" s="34">
        <f>IF(COUNT(S28:AC28)=0,0,SUMPRODUCT({5000,1000,500,100,75,50,20,10,5,2,1}, S28:AC28))</f>
        <v>12670</v>
      </c>
      <c r="AE28" s="33">
        <v>48719</v>
      </c>
      <c r="AF28" s="24">
        <f>IF(AND(COUNT(C28:E28)=0,COUNT(G28:I28)=0,COUNT(K28:M28)=0,COUNT(O28:Q28)=0,COUNT(S28:AC28)=0,AE28=""),"",(IF(COUNT(C28:E28)=0,0,SUMPRODUCT({5000,1000,500},C28:E28))+IF(COUNT(G28:I28)=0,0,SUMPRODUCT({5000,1000,500},G28:I28))+IF(COUNT(K28:M28)=0,0,SUMPRODUCT({5000,1000,500},K28:M28))+IF(COUNT(O28:Q28)=0,0,SUMPRODUCT({5000,1000,500},O28:Q28))+AD28)-N(AE28))</f>
        <v>-49</v>
      </c>
      <c r="AG28" s="35" t="str">
        <f t="shared" si="0"/>
        <v>Short</v>
      </c>
      <c r="AH28" s="38"/>
      <c r="AI28" s="36">
        <f>9984.06+12266.6</f>
        <v>22250.66</v>
      </c>
      <c r="AJ28" s="37">
        <f>9984.06+12266.6</f>
        <v>22250.66</v>
      </c>
      <c r="AK28" s="26">
        <f t="shared" si="1"/>
        <v>0</v>
      </c>
      <c r="AL28" s="25" t="str">
        <f t="shared" si="2"/>
        <v>Matched</v>
      </c>
      <c r="AM28" s="38"/>
    </row>
    <row r="29" spans="1:39" ht="12.75" customHeight="1" x14ac:dyDescent="0.25">
      <c r="A29" s="31">
        <v>75768</v>
      </c>
      <c r="B29" s="32" t="str">
        <f>IF(A29="","",VLOOKUP(A29,'Employee Database'!A:B,2,FALSE))</f>
        <v>Zuhaib</v>
      </c>
      <c r="C29" s="31"/>
      <c r="D29" s="31"/>
      <c r="E29" s="31"/>
      <c r="F29" s="39">
        <f>IF(COUNT(C29:E29)=0,0,SUMPRODUCT({5000,1000,500},C29:E29))</f>
        <v>0</v>
      </c>
      <c r="G29" s="31">
        <v>9</v>
      </c>
      <c r="H29" s="31">
        <v>38</v>
      </c>
      <c r="I29" s="31">
        <v>4</v>
      </c>
      <c r="J29" s="39">
        <f>IF(COUNT(G29:I29)=0,0,SUMPRODUCT({5000,1000,500},G29:I29))</f>
        <v>85000</v>
      </c>
      <c r="K29" s="31"/>
      <c r="L29" s="31"/>
      <c r="M29" s="31"/>
      <c r="N29" s="39">
        <f>IF(COUNT(K29:M29)=0,0,SUMPRODUCT({5000,1000,500},K29:M29))</f>
        <v>0</v>
      </c>
      <c r="O29" s="31"/>
      <c r="P29" s="31"/>
      <c r="Q29" s="31"/>
      <c r="R29" s="39">
        <f>IF(COUNT(O29:Q29)=0,0,SUMPRODUCT({5000,1000,500},O29:Q29))</f>
        <v>0</v>
      </c>
      <c r="S29" s="31"/>
      <c r="T29" s="31"/>
      <c r="U29" s="31"/>
      <c r="V29" s="31">
        <v>38</v>
      </c>
      <c r="W29" s="31"/>
      <c r="X29" s="31">
        <v>96</v>
      </c>
      <c r="Y29" s="31"/>
      <c r="Z29" s="31">
        <v>48</v>
      </c>
      <c r="AA29" s="31"/>
      <c r="AB29" s="31"/>
      <c r="AC29" s="31"/>
      <c r="AD29" s="34">
        <f>IF(COUNT(S29:AC29)=0,0,SUMPRODUCT({5000,1000,500,100,75,50,20,10,5,2,1}, S29:AC29))</f>
        <v>9080</v>
      </c>
      <c r="AE29" s="33">
        <v>94050</v>
      </c>
      <c r="AF29" s="24">
        <f>IF(AND(COUNT(C29:E29)=0,COUNT(G29:I29)=0,COUNT(K29:M29)=0,COUNT(O29:Q29)=0,COUNT(S29:AC29)=0,AE29=""),"",(IF(COUNT(C29:E29)=0,0,SUMPRODUCT({5000,1000,500},C29:E29))+IF(COUNT(G29:I29)=0,0,SUMPRODUCT({5000,1000,500},G29:I29))+IF(COUNT(K29:M29)=0,0,SUMPRODUCT({5000,1000,500},K29:M29))+IF(COUNT(O29:Q29)=0,0,SUMPRODUCT({5000,1000,500},O29:Q29))+AD29)-N(AE29))</f>
        <v>30</v>
      </c>
      <c r="AG29" s="35" t="str">
        <f t="shared" si="0"/>
        <v>Excess</v>
      </c>
      <c r="AH29" s="38"/>
      <c r="AI29" s="36">
        <v>234631.87</v>
      </c>
      <c r="AJ29" s="37">
        <f>32666.51+201965.36</f>
        <v>234631.87</v>
      </c>
      <c r="AK29" s="26">
        <f t="shared" si="1"/>
        <v>0</v>
      </c>
      <c r="AL29" s="25" t="str">
        <f t="shared" si="2"/>
        <v>Matched</v>
      </c>
      <c r="AM29" s="38"/>
    </row>
    <row r="30" spans="1:39" ht="12.75" customHeight="1" x14ac:dyDescent="0.25">
      <c r="A30" s="31">
        <v>53893</v>
      </c>
      <c r="B30" s="32" t="str">
        <f>IF(A30="","",VLOOKUP(A30,'Employee Database'!A:B,2,FALSE))</f>
        <v>M Binyameen</v>
      </c>
      <c r="C30" s="31"/>
      <c r="D30" s="31"/>
      <c r="E30" s="31"/>
      <c r="F30" s="39">
        <f>IF(COUNT(C30:E30)=0,0,SUMPRODUCT({5000,1000,500},C30:E30))</f>
        <v>0</v>
      </c>
      <c r="G30" s="31">
        <v>32</v>
      </c>
      <c r="H30" s="31">
        <v>95</v>
      </c>
      <c r="I30" s="31">
        <v>14</v>
      </c>
      <c r="J30" s="39">
        <f>IF(COUNT(G30:I30)=0,0,SUMPRODUCT({5000,1000,500},G30:I30))</f>
        <v>262000</v>
      </c>
      <c r="K30" s="31"/>
      <c r="L30" s="31"/>
      <c r="M30" s="31"/>
      <c r="N30" s="39">
        <f>IF(COUNT(K30:M30)=0,0,SUMPRODUCT({5000,1000,500},K30:M30))</f>
        <v>0</v>
      </c>
      <c r="O30" s="31"/>
      <c r="P30" s="31"/>
      <c r="Q30" s="31"/>
      <c r="R30" s="39">
        <f>IF(COUNT(O30:Q30)=0,0,SUMPRODUCT({5000,1000,500},O30:Q30))</f>
        <v>0</v>
      </c>
      <c r="S30" s="31"/>
      <c r="T30" s="31"/>
      <c r="U30" s="31"/>
      <c r="V30" s="31">
        <v>1</v>
      </c>
      <c r="W30" s="31"/>
      <c r="X30" s="31">
        <v>6</v>
      </c>
      <c r="Y30" s="31"/>
      <c r="Z30" s="31">
        <v>34</v>
      </c>
      <c r="AA30" s="31"/>
      <c r="AB30" s="31"/>
      <c r="AC30" s="31"/>
      <c r="AD30" s="34">
        <f>IF(COUNT(S30:AC30)=0,0,SUMPRODUCT({5000,1000,500,100,75,50,20,10,5,2,1}, S30:AC30))</f>
        <v>740</v>
      </c>
      <c r="AE30" s="33">
        <v>262766</v>
      </c>
      <c r="AF30" s="24">
        <f>IF(AND(COUNT(C30:E30)=0,COUNT(G30:I30)=0,COUNT(K30:M30)=0,COUNT(O30:Q30)=0,COUNT(S30:AC30)=0,AE30=""),"",(IF(COUNT(C30:E30)=0,0,SUMPRODUCT({5000,1000,500},C30:E30))+IF(COUNT(G30:I30)=0,0,SUMPRODUCT({5000,1000,500},G30:I30))+IF(COUNT(K30:M30)=0,0,SUMPRODUCT({5000,1000,500},K30:M30))+IF(COUNT(O30:Q30)=0,0,SUMPRODUCT({5000,1000,500},O30:Q30))+AD30)-N(AE30))</f>
        <v>-26</v>
      </c>
      <c r="AG30" s="35" t="str">
        <f t="shared" si="0"/>
        <v>Short</v>
      </c>
      <c r="AH30" s="38"/>
      <c r="AI30" s="36">
        <v>696843.21</v>
      </c>
      <c r="AJ30" s="37">
        <v>696843.21</v>
      </c>
      <c r="AK30" s="26">
        <f t="shared" si="1"/>
        <v>0</v>
      </c>
      <c r="AL30" s="25" t="str">
        <f t="shared" si="2"/>
        <v>Matched</v>
      </c>
      <c r="AM30" s="38"/>
    </row>
    <row r="31" spans="1:39" ht="12.75" customHeight="1" x14ac:dyDescent="0.25">
      <c r="A31" s="31">
        <v>50313</v>
      </c>
      <c r="B31" s="32" t="str">
        <f>IF(A31="","",VLOOKUP(A31,'Employee Database'!A:B,2,FALSE))</f>
        <v>Waseem Raza</v>
      </c>
      <c r="C31" s="31"/>
      <c r="D31" s="31"/>
      <c r="E31" s="31"/>
      <c r="F31" s="39">
        <f>IF(COUNT(C31:E31)=0,0,SUMPRODUCT({5000,1000,500},C31:E31))</f>
        <v>0</v>
      </c>
      <c r="G31" s="31"/>
      <c r="H31" s="31">
        <v>1</v>
      </c>
      <c r="I31" s="31">
        <v>1</v>
      </c>
      <c r="J31" s="39">
        <f>IF(COUNT(G31:I31)=0,0,SUMPRODUCT({5000,1000,500},G31:I31))</f>
        <v>1500</v>
      </c>
      <c r="K31" s="31"/>
      <c r="L31" s="31"/>
      <c r="M31" s="31"/>
      <c r="N31" s="39">
        <f>IF(COUNT(K31:M31)=0,0,SUMPRODUCT({5000,1000,500},K31:M31))</f>
        <v>0</v>
      </c>
      <c r="O31" s="31"/>
      <c r="P31" s="31"/>
      <c r="Q31" s="31"/>
      <c r="R31" s="39">
        <f>IF(COUNT(O31:Q31)=0,0,SUMPRODUCT({5000,1000,500},O31:Q31))</f>
        <v>0</v>
      </c>
      <c r="S31" s="31"/>
      <c r="T31" s="31"/>
      <c r="U31" s="31"/>
      <c r="V31" s="31">
        <v>4</v>
      </c>
      <c r="W31" s="31"/>
      <c r="X31" s="31"/>
      <c r="Y31" s="31"/>
      <c r="Z31" s="31">
        <v>1</v>
      </c>
      <c r="AA31" s="31"/>
      <c r="AB31" s="31"/>
      <c r="AC31" s="31"/>
      <c r="AD31" s="34">
        <f>IF(COUNT(S31:AC31)=0,0,SUMPRODUCT({5000,1000,500,100,75,50,20,10,5,2,1}, S31:AC31))</f>
        <v>410</v>
      </c>
      <c r="AE31" s="33">
        <v>1914</v>
      </c>
      <c r="AF31" s="24">
        <f>IF(AND(COUNT(C31:E31)=0,COUNT(G31:I31)=0,COUNT(K31:M31)=0,COUNT(O31:Q31)=0,COUNT(S31:AC31)=0,AE31=""),"",(IF(COUNT(C31:E31)=0,0,SUMPRODUCT({5000,1000,500},C31:E31))+IF(COUNT(G31:I31)=0,0,SUMPRODUCT({5000,1000,500},G31:I31))+IF(COUNT(K31:M31)=0,0,SUMPRODUCT({5000,1000,500},K31:M31))+IF(COUNT(O31:Q31)=0,0,SUMPRODUCT({5000,1000,500},O31:Q31))+AD31)-N(AE31))</f>
        <v>-4</v>
      </c>
      <c r="AG31" s="35" t="str">
        <f t="shared" si="0"/>
        <v>Short</v>
      </c>
      <c r="AH31" s="38"/>
      <c r="AI31" s="36"/>
      <c r="AJ31" s="37"/>
      <c r="AK31" s="26" t="str">
        <f t="shared" si="1"/>
        <v/>
      </c>
      <c r="AL31" s="25" t="str">
        <f t="shared" si="2"/>
        <v/>
      </c>
      <c r="AM31" s="38"/>
    </row>
    <row r="32" spans="1:39" ht="12.75" customHeight="1" x14ac:dyDescent="0.25">
      <c r="A32" s="31"/>
      <c r="B32" s="32" t="str">
        <f>IF(A32="","",VLOOKUP(A32,'Employee Database'!A:B,2,FALSE))</f>
        <v/>
      </c>
      <c r="C32" s="31"/>
      <c r="D32" s="31"/>
      <c r="E32" s="31"/>
      <c r="F32" s="39">
        <f>IF(COUNT(C32:E32)=0,0,SUMPRODUCT({5000,1000,500},C32:E32))</f>
        <v>0</v>
      </c>
      <c r="G32" s="31"/>
      <c r="H32" s="31"/>
      <c r="I32" s="31"/>
      <c r="J32" s="39">
        <f>IF(COUNT(G32:I32)=0,0,SUMPRODUCT({5000,1000,500},G32:I32))</f>
        <v>0</v>
      </c>
      <c r="K32" s="31"/>
      <c r="L32" s="31"/>
      <c r="M32" s="31"/>
      <c r="N32" s="39">
        <f>IF(COUNT(K32:M32)=0,0,SUMPRODUCT({5000,1000,500},K32:M32))</f>
        <v>0</v>
      </c>
      <c r="O32" s="31"/>
      <c r="P32" s="31"/>
      <c r="Q32" s="31"/>
      <c r="R32" s="39">
        <f>IF(COUNT(O32:Q32)=0,0,SUMPRODUCT({5000,1000,500},O32:Q32))</f>
        <v>0</v>
      </c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4">
        <f>IF(COUNT(S32:AC32)=0,0,SUMPRODUCT({5000,1000,500,100,75,50,20,10,5,2,1}, S32:AC32))</f>
        <v>0</v>
      </c>
      <c r="AE32" s="33"/>
      <c r="AF32" s="24" t="str">
        <f>IF(AND(COUNT(C32:E32)=0,COUNT(G32:I32)=0,COUNT(K32:M32)=0,COUNT(O32:Q32)=0,COUNT(S32:AC32)=0,AE32=""),"",(IF(COUNT(C32:E32)=0,0,SUMPRODUCT({5000,1000,500},C32:E32))+IF(COUNT(G32:I32)=0,0,SUMPRODUCT({5000,1000,500},G32:I32))+IF(COUNT(K32:M32)=0,0,SUMPRODUCT({5000,1000,500},K32:M32))+IF(COUNT(O32:Q32)=0,0,SUMPRODUCT({5000,1000,500},O32:Q32))+AD32)-N(AE32))</f>
        <v/>
      </c>
      <c r="AG32" s="35" t="str">
        <f t="shared" si="0"/>
        <v/>
      </c>
      <c r="AH32" s="38"/>
      <c r="AI32" s="36"/>
      <c r="AJ32" s="37"/>
      <c r="AK32" s="26" t="str">
        <f t="shared" si="1"/>
        <v/>
      </c>
      <c r="AL32" s="25" t="str">
        <f t="shared" si="2"/>
        <v/>
      </c>
      <c r="AM32" s="38"/>
    </row>
    <row r="33" spans="1:39" ht="12.75" customHeight="1" x14ac:dyDescent="0.25">
      <c r="A33" s="31"/>
      <c r="B33" s="32" t="str">
        <f>IF(A33="","",VLOOKUP(A33,'Employee Database'!A:B,2,FALSE))</f>
        <v/>
      </c>
      <c r="C33" s="31"/>
      <c r="D33" s="31"/>
      <c r="E33" s="31"/>
      <c r="F33" s="39">
        <f>IF(COUNT(C33:E33)=0,0,SUMPRODUCT({5000,1000,500},C33:E33))</f>
        <v>0</v>
      </c>
      <c r="G33" s="31"/>
      <c r="H33" s="31"/>
      <c r="I33" s="31"/>
      <c r="J33" s="39">
        <f>IF(COUNT(G33:I33)=0,0,SUMPRODUCT({5000,1000,500},G33:I33))</f>
        <v>0</v>
      </c>
      <c r="K33" s="31"/>
      <c r="L33" s="31"/>
      <c r="M33" s="31"/>
      <c r="N33" s="39">
        <f>IF(COUNT(K33:M33)=0,0,SUMPRODUCT({5000,1000,500},K33:M33))</f>
        <v>0</v>
      </c>
      <c r="O33" s="31"/>
      <c r="P33" s="31"/>
      <c r="Q33" s="31"/>
      <c r="R33" s="39">
        <f>IF(COUNT(O33:Q33)=0,0,SUMPRODUCT({5000,1000,500},O33:Q33))</f>
        <v>0</v>
      </c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4">
        <f>IF(COUNT(S33:AC33)=0,0,SUMPRODUCT({5000,1000,500,100,75,50,20,10,5,2,1}, S33:AC33))</f>
        <v>0</v>
      </c>
      <c r="AE33" s="33"/>
      <c r="AF33" s="24" t="str">
        <f>IF(AND(COUNT(C33:E33)=0,COUNT(G33:I33)=0,COUNT(K33:M33)=0,COUNT(O33:Q33)=0,COUNT(S33:AC33)=0,AE33=""),"",(IF(COUNT(C33:E33)=0,0,SUMPRODUCT({5000,1000,500},C33:E33))+IF(COUNT(G33:I33)=0,0,SUMPRODUCT({5000,1000,500},G33:I33))+IF(COUNT(K33:M33)=0,0,SUMPRODUCT({5000,1000,500},K33:M33))+IF(COUNT(O33:Q33)=0,0,SUMPRODUCT({5000,1000,500},O33:Q33))+AD33)-N(AE33))</f>
        <v/>
      </c>
      <c r="AG33" s="35" t="str">
        <f t="shared" si="0"/>
        <v/>
      </c>
      <c r="AH33" s="38"/>
      <c r="AI33" s="36"/>
      <c r="AJ33" s="37"/>
      <c r="AK33" s="26" t="str">
        <f t="shared" si="1"/>
        <v/>
      </c>
      <c r="AL33" s="25" t="str">
        <f t="shared" si="2"/>
        <v/>
      </c>
      <c r="AM33" s="38"/>
    </row>
    <row r="34" spans="1:39" ht="12.75" customHeight="1" x14ac:dyDescent="0.25">
      <c r="A34" s="31"/>
      <c r="B34" s="32" t="str">
        <f>IF(A34="","",VLOOKUP(A34,'Employee Database'!A:B,2,FALSE))</f>
        <v/>
      </c>
      <c r="C34" s="31"/>
      <c r="D34" s="31"/>
      <c r="E34" s="31"/>
      <c r="F34" s="39">
        <f>IF(COUNT(C34:E34)=0,0,SUMPRODUCT({5000,1000,500},C34:E34))</f>
        <v>0</v>
      </c>
      <c r="G34" s="31"/>
      <c r="H34" s="31"/>
      <c r="I34" s="31"/>
      <c r="J34" s="39">
        <f>IF(COUNT(G34:I34)=0,0,SUMPRODUCT({5000,1000,500},G34:I34))</f>
        <v>0</v>
      </c>
      <c r="K34" s="31"/>
      <c r="L34" s="31"/>
      <c r="M34" s="31"/>
      <c r="N34" s="39">
        <f>IF(COUNT(K34:M34)=0,0,SUMPRODUCT({5000,1000,500},K34:M34))</f>
        <v>0</v>
      </c>
      <c r="O34" s="31"/>
      <c r="P34" s="31"/>
      <c r="Q34" s="31"/>
      <c r="R34" s="39">
        <f>IF(COUNT(O34:Q34)=0,0,SUMPRODUCT({5000,1000,500},O34:Q34))</f>
        <v>0</v>
      </c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4">
        <f>IF(COUNT(S34:AC34)=0,0,SUMPRODUCT({5000,1000,500,100,75,50,20,10,5,2,1}, S34:AC34))</f>
        <v>0</v>
      </c>
      <c r="AE34" s="33"/>
      <c r="AF34" s="24" t="str">
        <f>IF(AND(COUNT(C34:E34)=0,COUNT(G34:I34)=0,COUNT(K34:M34)=0,COUNT(O34:Q34)=0,COUNT(S34:AC34)=0,AE34=""),"",(IF(COUNT(C34:E34)=0,0,SUMPRODUCT({5000,1000,500},C34:E34))+IF(COUNT(G34:I34)=0,0,SUMPRODUCT({5000,1000,500},G34:I34))+IF(COUNT(K34:M34)=0,0,SUMPRODUCT({5000,1000,500},K34:M34))+IF(COUNT(O34:Q34)=0,0,SUMPRODUCT({5000,1000,500},O34:Q34))+AD34)-N(AE34))</f>
        <v/>
      </c>
      <c r="AG34" s="35" t="str">
        <f t="shared" si="0"/>
        <v/>
      </c>
      <c r="AH34" s="38"/>
      <c r="AI34" s="36"/>
      <c r="AJ34" s="37"/>
      <c r="AK34" s="26" t="str">
        <f t="shared" si="1"/>
        <v/>
      </c>
      <c r="AL34" s="25" t="str">
        <f t="shared" si="2"/>
        <v/>
      </c>
      <c r="AM34" s="38"/>
    </row>
    <row r="35" spans="1:39" ht="22.5" customHeight="1" x14ac:dyDescent="0.25">
      <c r="A35" s="27" t="s">
        <v>24</v>
      </c>
      <c r="B35" s="27" t="s">
        <v>24</v>
      </c>
      <c r="C35" s="28">
        <f t="shared" ref="C35:AF35" si="3">SUM(C5:C34)</f>
        <v>209</v>
      </c>
      <c r="D35" s="28">
        <f t="shared" si="3"/>
        <v>852</v>
      </c>
      <c r="E35" s="28">
        <f t="shared" si="3"/>
        <v>185</v>
      </c>
      <c r="F35" s="40">
        <f t="shared" si="3"/>
        <v>1989500</v>
      </c>
      <c r="G35" s="28">
        <f t="shared" si="3"/>
        <v>344</v>
      </c>
      <c r="H35" s="28">
        <f t="shared" si="3"/>
        <v>1002</v>
      </c>
      <c r="I35" s="28">
        <f t="shared" si="3"/>
        <v>378</v>
      </c>
      <c r="J35" s="40">
        <f t="shared" si="3"/>
        <v>2911000</v>
      </c>
      <c r="K35" s="28">
        <f t="shared" si="3"/>
        <v>0</v>
      </c>
      <c r="L35" s="28">
        <f t="shared" si="3"/>
        <v>0</v>
      </c>
      <c r="M35" s="28">
        <f t="shared" si="3"/>
        <v>0</v>
      </c>
      <c r="N35" s="40">
        <f t="shared" si="3"/>
        <v>0</v>
      </c>
      <c r="O35" s="28">
        <f t="shared" si="3"/>
        <v>0</v>
      </c>
      <c r="P35" s="28">
        <f t="shared" si="3"/>
        <v>0</v>
      </c>
      <c r="Q35" s="28">
        <f t="shared" si="3"/>
        <v>0</v>
      </c>
      <c r="R35" s="40">
        <f t="shared" si="3"/>
        <v>0</v>
      </c>
      <c r="S35" s="28">
        <f t="shared" si="3"/>
        <v>0</v>
      </c>
      <c r="T35" s="28">
        <f t="shared" si="3"/>
        <v>0</v>
      </c>
      <c r="U35" s="28">
        <f t="shared" si="3"/>
        <v>0</v>
      </c>
      <c r="V35" s="28">
        <f t="shared" si="3"/>
        <v>1171</v>
      </c>
      <c r="W35" s="28">
        <f t="shared" si="3"/>
        <v>0</v>
      </c>
      <c r="X35" s="28">
        <f t="shared" si="3"/>
        <v>1871</v>
      </c>
      <c r="Y35" s="28">
        <f t="shared" si="3"/>
        <v>11</v>
      </c>
      <c r="Z35" s="28">
        <f t="shared" si="3"/>
        <v>1390</v>
      </c>
      <c r="AA35" s="28">
        <f t="shared" si="3"/>
        <v>0</v>
      </c>
      <c r="AB35" s="28">
        <f t="shared" si="3"/>
        <v>0</v>
      </c>
      <c r="AC35" s="28">
        <f t="shared" si="3"/>
        <v>3</v>
      </c>
      <c r="AD35" s="40">
        <f t="shared" si="3"/>
        <v>224773</v>
      </c>
      <c r="AE35" s="41">
        <f t="shared" si="3"/>
        <v>5124988</v>
      </c>
      <c r="AF35" s="29">
        <f t="shared" si="3"/>
        <v>285</v>
      </c>
      <c r="AG35" s="27" t="s">
        <v>24</v>
      </c>
      <c r="AH35" s="27" t="s">
        <v>24</v>
      </c>
      <c r="AI35" s="28">
        <f>SUM(AI5:AI34)</f>
        <v>10665992.75</v>
      </c>
      <c r="AJ35" s="28">
        <f>SUM(AJ5:AJ34)</f>
        <v>10665992.75</v>
      </c>
      <c r="AK35" s="28">
        <f>SUM(AK5:AK34)</f>
        <v>0</v>
      </c>
      <c r="AL35" s="28">
        <f>AJ35+AE35</f>
        <v>15790980.75</v>
      </c>
      <c r="AM35" s="28">
        <f>SUM(AM5:AM34)</f>
        <v>0</v>
      </c>
    </row>
  </sheetData>
  <sheetProtection algorithmName="SHA-512" hashValue="krYDWiX7B9aGq69mMkQlkSlUYv1kt6GU6R7P+GXF1fjo3Dxi+JHBpsFfT/hKGXPqyihBEpjrGdeMeossQND3lA==" saltValue="ia1Qw5uZNkI5B5FHJQZTSA==" spinCount="100000" sheet="1" objects="1" scenarios="1"/>
  <mergeCells count="9">
    <mergeCell ref="S3:AC3"/>
    <mergeCell ref="AD3:AG3"/>
    <mergeCell ref="AH3:AM3"/>
    <mergeCell ref="A1:B1"/>
    <mergeCell ref="A3:B3"/>
    <mergeCell ref="C3:F3"/>
    <mergeCell ref="G3:J3"/>
    <mergeCell ref="K3:N3"/>
    <mergeCell ref="O3:R3"/>
  </mergeCells>
  <conditionalFormatting sqref="A5">
    <cfRule type="duplicateValues" dxfId="154" priority="3"/>
    <cfRule type="duplicateValues" dxfId="153" priority="4"/>
  </conditionalFormatting>
  <conditionalFormatting sqref="A6">
    <cfRule type="duplicateValues" dxfId="152" priority="5"/>
    <cfRule type="duplicateValues" dxfId="151" priority="6"/>
  </conditionalFormatting>
  <conditionalFormatting sqref="A7:A34">
    <cfRule type="duplicateValues" dxfId="150" priority="1"/>
    <cfRule type="duplicateValues" dxfId="149" priority="2"/>
  </conditionalFormatting>
  <conditionalFormatting sqref="A35">
    <cfRule type="duplicateValues" dxfId="148" priority="7"/>
  </conditionalFormatting>
  <dataValidations disablePrompts="1" count="1">
    <dataValidation type="list" allowBlank="1" showInputMessage="1" showErrorMessage="1" sqref="A1:B1" xr:uid="{00000000-0002-0000-0B00-000000000000}">
      <formula1>Locations</formula1>
    </dataValidation>
  </dataValidations>
  <pageMargins left="0.75" right="0.75" top="1" bottom="1" header="0.5" footer="0.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tabColor rgb="FFFF0000"/>
  </sheetPr>
  <dimension ref="A1:AM35"/>
  <sheetViews>
    <sheetView showGridLines="0" zoomScale="85" zoomScaleNormal="85" workbookViewId="0">
      <pane xSplit="2" topLeftCell="AA1" activePane="topRight" state="frozen"/>
      <selection activeCell="A4" sqref="A4"/>
      <selection pane="topRight" activeCell="AJ28" sqref="AJ28"/>
    </sheetView>
  </sheetViews>
  <sheetFormatPr defaultRowHeight="15" x14ac:dyDescent="0.25"/>
  <cols>
    <col min="1" max="1" width="11.85546875" customWidth="1"/>
    <col min="2" max="2" width="20.5703125" customWidth="1"/>
    <col min="6" max="6" width="14.42578125" bestFit="1" customWidth="1"/>
    <col min="10" max="10" width="14.42578125" bestFit="1" customWidth="1"/>
    <col min="14" max="14" width="14.42578125" bestFit="1" customWidth="1"/>
    <col min="18" max="18" width="14.42578125" bestFit="1" customWidth="1"/>
    <col min="30" max="31" width="18" customWidth="1"/>
    <col min="32" max="32" width="20" customWidth="1"/>
    <col min="33" max="33" width="14" customWidth="1"/>
    <col min="35" max="35" width="18" customWidth="1"/>
    <col min="36" max="36" width="22" customWidth="1"/>
    <col min="37" max="37" width="16" customWidth="1"/>
    <col min="38" max="38" width="14" customWidth="1"/>
  </cols>
  <sheetData>
    <row r="1" spans="1:39" ht="43.5" customHeight="1" x14ac:dyDescent="0.25">
      <c r="A1" s="48" t="s">
        <v>306</v>
      </c>
      <c r="B1" s="48"/>
    </row>
    <row r="2" spans="1:39" ht="13.5" customHeight="1" x14ac:dyDescent="0.25">
      <c r="A2" s="30">
        <f>'10'!A2+1</f>
        <v>46214</v>
      </c>
    </row>
    <row r="3" spans="1:39" ht="24" customHeight="1" x14ac:dyDescent="0.25">
      <c r="A3" s="49" t="s">
        <v>0</v>
      </c>
      <c r="B3" s="49"/>
      <c r="C3" s="49" t="s">
        <v>93</v>
      </c>
      <c r="D3" s="50"/>
      <c r="E3" s="50"/>
      <c r="F3" s="50"/>
      <c r="G3" s="49" t="s">
        <v>94</v>
      </c>
      <c r="H3" s="50"/>
      <c r="I3" s="50"/>
      <c r="J3" s="50"/>
      <c r="K3" s="49" t="s">
        <v>95</v>
      </c>
      <c r="L3" s="50"/>
      <c r="M3" s="50"/>
      <c r="N3" s="50"/>
      <c r="O3" s="49" t="s">
        <v>96</v>
      </c>
      <c r="P3" s="50"/>
      <c r="Q3" s="50"/>
      <c r="R3" s="50"/>
      <c r="S3" s="45" t="s">
        <v>1</v>
      </c>
      <c r="T3" s="46"/>
      <c r="U3" s="46"/>
      <c r="V3" s="46"/>
      <c r="W3" s="46"/>
      <c r="X3" s="46"/>
      <c r="Y3" s="46"/>
      <c r="Z3" s="46"/>
      <c r="AA3" s="46"/>
      <c r="AB3" s="46"/>
      <c r="AC3" s="46"/>
      <c r="AD3" s="47" t="s">
        <v>97</v>
      </c>
      <c r="AE3" s="46"/>
      <c r="AF3" s="46"/>
      <c r="AG3" s="46"/>
      <c r="AH3" s="47" t="s">
        <v>98</v>
      </c>
      <c r="AI3" s="46"/>
      <c r="AJ3" s="46"/>
      <c r="AK3" s="46"/>
      <c r="AL3" s="46"/>
      <c r="AM3" s="46"/>
    </row>
    <row r="4" spans="1:39" ht="27.95" customHeight="1" x14ac:dyDescent="0.25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92</v>
      </c>
      <c r="G4" s="1" t="s">
        <v>5</v>
      </c>
      <c r="H4" s="1" t="s">
        <v>6</v>
      </c>
      <c r="I4" s="1" t="s">
        <v>7</v>
      </c>
      <c r="J4" s="1" t="s">
        <v>92</v>
      </c>
      <c r="K4" s="1" t="s">
        <v>5</v>
      </c>
      <c r="L4" s="1" t="s">
        <v>6</v>
      </c>
      <c r="M4" s="1" t="s">
        <v>7</v>
      </c>
      <c r="N4" s="1" t="s">
        <v>92</v>
      </c>
      <c r="O4" s="1" t="s">
        <v>5</v>
      </c>
      <c r="P4" s="1" t="s">
        <v>6</v>
      </c>
      <c r="Q4" s="1" t="s">
        <v>7</v>
      </c>
      <c r="R4" s="1" t="s">
        <v>92</v>
      </c>
      <c r="S4" s="1" t="s">
        <v>5</v>
      </c>
      <c r="T4" s="1" t="s">
        <v>6</v>
      </c>
      <c r="U4" s="1" t="s">
        <v>7</v>
      </c>
      <c r="V4" s="1" t="s">
        <v>8</v>
      </c>
      <c r="W4" s="1" t="s">
        <v>9</v>
      </c>
      <c r="X4" s="1" t="s">
        <v>10</v>
      </c>
      <c r="Y4" s="1" t="s">
        <v>11</v>
      </c>
      <c r="Z4" s="1" t="s">
        <v>12</v>
      </c>
      <c r="AA4" s="1" t="s">
        <v>13</v>
      </c>
      <c r="AB4" s="1" t="s">
        <v>14</v>
      </c>
      <c r="AC4" s="1" t="s">
        <v>15</v>
      </c>
      <c r="AD4" s="1" t="s">
        <v>16</v>
      </c>
      <c r="AE4" s="1" t="s">
        <v>17</v>
      </c>
      <c r="AF4" s="1" t="s">
        <v>18</v>
      </c>
      <c r="AG4" s="1" t="s">
        <v>19</v>
      </c>
      <c r="AH4" s="1" t="s">
        <v>20</v>
      </c>
      <c r="AI4" s="4" t="s">
        <v>99</v>
      </c>
      <c r="AJ4" s="1" t="s">
        <v>21</v>
      </c>
      <c r="AK4" s="1" t="s">
        <v>22</v>
      </c>
      <c r="AL4" s="1" t="s">
        <v>23</v>
      </c>
      <c r="AM4" s="4" t="s">
        <v>100</v>
      </c>
    </row>
    <row r="5" spans="1:39" ht="12.75" customHeight="1" x14ac:dyDescent="0.25">
      <c r="A5" s="31">
        <v>72873</v>
      </c>
      <c r="B5" s="32" t="str">
        <f>IF(A5="","",VLOOKUP(A5,'Employee Database'!A:B,2,FALSE))</f>
        <v>M Shajee</v>
      </c>
      <c r="C5" s="31">
        <v>2</v>
      </c>
      <c r="D5" s="31">
        <v>12</v>
      </c>
      <c r="E5" s="31">
        <v>4</v>
      </c>
      <c r="F5" s="39">
        <f>IF(COUNT(C5:E5)=0,0,SUMPRODUCT({5000,1000,500},C5:E5))</f>
        <v>24000</v>
      </c>
      <c r="G5" s="31"/>
      <c r="H5" s="31"/>
      <c r="I5" s="31"/>
      <c r="J5" s="39">
        <f>IF(COUNT(G5:I5)=0,0,SUMPRODUCT({5000,1000,500},G5:I5))</f>
        <v>0</v>
      </c>
      <c r="K5" s="31"/>
      <c r="L5" s="31"/>
      <c r="M5" s="31"/>
      <c r="N5" s="39">
        <f>IF(COUNT(K5:M5)=0,0,SUMPRODUCT({5000,1000,500},K5:M5))</f>
        <v>0</v>
      </c>
      <c r="O5" s="31"/>
      <c r="P5" s="31"/>
      <c r="Q5" s="31"/>
      <c r="R5" s="39">
        <f>IF(COUNT(O5:Q5)=0,0,SUMPRODUCT({5000,1000,500},O5:Q5))</f>
        <v>0</v>
      </c>
      <c r="S5" s="31"/>
      <c r="T5" s="31"/>
      <c r="U5" s="31"/>
      <c r="V5" s="31">
        <v>17</v>
      </c>
      <c r="W5" s="31"/>
      <c r="X5" s="31"/>
      <c r="Y5" s="31"/>
      <c r="Z5" s="31">
        <v>50</v>
      </c>
      <c r="AA5" s="31"/>
      <c r="AB5" s="31">
        <v>1</v>
      </c>
      <c r="AC5" s="31"/>
      <c r="AD5" s="34">
        <f>IF(COUNT(S5:AC5)=0,0,SUMPRODUCT({5000,1000,500,100,75,50,20,10,5,2,1}, S5:AC5))</f>
        <v>2202</v>
      </c>
      <c r="AE5" s="33">
        <v>26178</v>
      </c>
      <c r="AF5" s="24">
        <f>IF(AND(COUNT(C5:E5)=0,COUNT(G5:I5)=0,COUNT(K5:M5)=0,COUNT(O5:Q5)=0,COUNT(S5:AC5)=0,AE5=""),"",(IF(COUNT(C5:E5)=0,0,SUMPRODUCT({5000,1000,500},C5:E5))+IF(COUNT(G5:I5)=0,0,SUMPRODUCT({5000,1000,500},G5:I5))+IF(COUNT(K5:M5)=0,0,SUMPRODUCT({5000,1000,500},K5:M5))+IF(COUNT(O5:Q5)=0,0,SUMPRODUCT({5000,1000,500},O5:Q5))+AD5)-N(AE5))</f>
        <v>24</v>
      </c>
      <c r="AG5" s="35" t="str">
        <f t="shared" ref="AG5:AG34" si="0">IF(AF5="","",IF(AF5&gt;0,"Excess",IF(AF5&lt;0,"Short","Balanced")))</f>
        <v>Excess</v>
      </c>
      <c r="AH5" s="38"/>
      <c r="AI5" s="36">
        <v>31126.5</v>
      </c>
      <c r="AJ5" s="37">
        <v>31126.5</v>
      </c>
      <c r="AK5" s="26">
        <f t="shared" ref="AK5:AK34" si="1">IF(AND(AI5="",AJ5=""),"",N(AI5)-N(AJ5))</f>
        <v>0</v>
      </c>
      <c r="AL5" s="25" t="str">
        <f t="shared" ref="AL5:AL34" si="2">IF(AK5="","",IF(AK5&gt;0,"POS Excess",IF(AK5&lt;0,"Bank Short","Matched")))</f>
        <v>Matched</v>
      </c>
      <c r="AM5" s="38"/>
    </row>
    <row r="6" spans="1:39" ht="12.75" customHeight="1" x14ac:dyDescent="0.25">
      <c r="A6" s="31">
        <v>56189</v>
      </c>
      <c r="B6" s="32" t="str">
        <f>IF(A6="","",VLOOKUP(A6,'Employee Database'!A:B,2,FALSE))</f>
        <v>Iffat Sultan</v>
      </c>
      <c r="C6" s="31"/>
      <c r="D6" s="31"/>
      <c r="E6" s="31"/>
      <c r="F6" s="39">
        <f>IF(COUNT(C6:E6)=0,0,SUMPRODUCT({5000,1000,500},C6:E6))</f>
        <v>0</v>
      </c>
      <c r="G6" s="31"/>
      <c r="H6" s="31"/>
      <c r="I6" s="31"/>
      <c r="J6" s="39">
        <f>IF(COUNT(G6:I6)=0,0,SUMPRODUCT({5000,1000,500},G6:I6))</f>
        <v>0</v>
      </c>
      <c r="K6" s="31"/>
      <c r="L6" s="31"/>
      <c r="M6" s="31"/>
      <c r="N6" s="39">
        <f>IF(COUNT(K6:M6)=0,0,SUMPRODUCT({5000,1000,500},K6:M6))</f>
        <v>0</v>
      </c>
      <c r="O6" s="31"/>
      <c r="P6" s="31"/>
      <c r="Q6" s="31"/>
      <c r="R6" s="39">
        <f>IF(COUNT(O6:Q6)=0,0,SUMPRODUCT({5000,1000,500},O6:Q6))</f>
        <v>0</v>
      </c>
      <c r="S6" s="31"/>
      <c r="T6" s="31"/>
      <c r="U6" s="31"/>
      <c r="V6" s="31"/>
      <c r="W6" s="31"/>
      <c r="X6" s="31">
        <v>51</v>
      </c>
      <c r="Y6" s="31"/>
      <c r="Z6" s="31">
        <v>102</v>
      </c>
      <c r="AA6" s="31"/>
      <c r="AB6" s="31"/>
      <c r="AC6" s="31"/>
      <c r="AD6" s="34">
        <f>IF(COUNT(S6:AC6)=0,0,SUMPRODUCT({5000,1000,500,100,75,50,20,10,5,2,1}, S6:AC6))</f>
        <v>3570</v>
      </c>
      <c r="AE6" s="33">
        <v>3567</v>
      </c>
      <c r="AF6" s="24">
        <f>IF(AND(COUNT(C6:E6)=0,COUNT(G6:I6)=0,COUNT(K6:M6)=0,COUNT(O6:Q6)=0,COUNT(S6:AC6)=0,AE6=""),"",(IF(COUNT(C6:E6)=0,0,SUMPRODUCT({5000,1000,500},C6:E6))+IF(COUNT(G6:I6)=0,0,SUMPRODUCT({5000,1000,500},G6:I6))+IF(COUNT(K6:M6)=0,0,SUMPRODUCT({5000,1000,500},K6:M6))+IF(COUNT(O6:Q6)=0,0,SUMPRODUCT({5000,1000,500},O6:Q6))+AD6)-N(AE6))</f>
        <v>3</v>
      </c>
      <c r="AG6" s="35" t="str">
        <f t="shared" si="0"/>
        <v>Excess</v>
      </c>
      <c r="AH6" s="38"/>
      <c r="AI6" s="36"/>
      <c r="AJ6" s="37"/>
      <c r="AK6" s="26" t="str">
        <f t="shared" si="1"/>
        <v/>
      </c>
      <c r="AL6" s="25" t="str">
        <f t="shared" si="2"/>
        <v/>
      </c>
      <c r="AM6" s="38"/>
    </row>
    <row r="7" spans="1:39" ht="12.75" customHeight="1" x14ac:dyDescent="0.25">
      <c r="A7" s="31">
        <v>58112</v>
      </c>
      <c r="B7" s="32" t="str">
        <f>IF(A7="","",VLOOKUP(A7,'Employee Database'!A:B,2,FALSE))</f>
        <v>Shama</v>
      </c>
      <c r="C7" s="31">
        <v>2</v>
      </c>
      <c r="D7" s="31">
        <v>3</v>
      </c>
      <c r="E7" s="31"/>
      <c r="F7" s="39">
        <f>IF(COUNT(C7:E7)=0,0,SUMPRODUCT({5000,1000,500},C7:E7))</f>
        <v>13000</v>
      </c>
      <c r="G7" s="31"/>
      <c r="H7" s="31"/>
      <c r="I7" s="31"/>
      <c r="J7" s="39">
        <f>IF(COUNT(G7:I7)=0,0,SUMPRODUCT({5000,1000,500},G7:I7))</f>
        <v>0</v>
      </c>
      <c r="K7" s="31"/>
      <c r="L7" s="31"/>
      <c r="M7" s="31"/>
      <c r="N7" s="39">
        <f>IF(COUNT(K7:M7)=0,0,SUMPRODUCT({5000,1000,500},K7:M7))</f>
        <v>0</v>
      </c>
      <c r="O7" s="31"/>
      <c r="P7" s="31"/>
      <c r="Q7" s="31"/>
      <c r="R7" s="39">
        <f>IF(COUNT(O7:Q7)=0,0,SUMPRODUCT({5000,1000,500},O7:Q7))</f>
        <v>0</v>
      </c>
      <c r="S7" s="31"/>
      <c r="T7" s="31"/>
      <c r="U7" s="31"/>
      <c r="V7" s="31">
        <v>43</v>
      </c>
      <c r="W7" s="31"/>
      <c r="X7" s="31"/>
      <c r="Y7" s="31">
        <v>1</v>
      </c>
      <c r="Z7" s="31">
        <v>45</v>
      </c>
      <c r="AA7" s="31"/>
      <c r="AB7" s="31"/>
      <c r="AC7" s="31"/>
      <c r="AD7" s="34">
        <f>IF(COUNT(S7:AC7)=0,0,SUMPRODUCT({5000,1000,500,100,75,50,20,10,5,2,1}, S7:AC7))</f>
        <v>4770</v>
      </c>
      <c r="AE7" s="33">
        <v>17744.37</v>
      </c>
      <c r="AF7" s="24">
        <f>IF(AND(COUNT(C7:E7)=0,COUNT(G7:I7)=0,COUNT(K7:M7)=0,COUNT(O7:Q7)=0,COUNT(S7:AC7)=0,AE7=""),"",(IF(COUNT(C7:E7)=0,0,SUMPRODUCT({5000,1000,500},C7:E7))+IF(COUNT(G7:I7)=0,0,SUMPRODUCT({5000,1000,500},G7:I7))+IF(COUNT(K7:M7)=0,0,SUMPRODUCT({5000,1000,500},K7:M7))+IF(COUNT(O7:Q7)=0,0,SUMPRODUCT({5000,1000,500},O7:Q7))+AD7)-N(AE7))</f>
        <v>25.630000000001019</v>
      </c>
      <c r="AG7" s="35" t="str">
        <f t="shared" si="0"/>
        <v>Excess</v>
      </c>
      <c r="AH7" s="38"/>
      <c r="AI7" s="36">
        <v>43638.8</v>
      </c>
      <c r="AJ7" s="37">
        <v>43638.8</v>
      </c>
      <c r="AK7" s="26">
        <f t="shared" si="1"/>
        <v>0</v>
      </c>
      <c r="AL7" s="25" t="str">
        <f t="shared" si="2"/>
        <v>Matched</v>
      </c>
      <c r="AM7" s="38"/>
    </row>
    <row r="8" spans="1:39" ht="12.75" customHeight="1" x14ac:dyDescent="0.25">
      <c r="A8" s="31">
        <v>67249</v>
      </c>
      <c r="B8" s="32" t="str">
        <f>IF(A8="","",VLOOKUP(A8,'Employee Database'!A:B,2,FALSE))</f>
        <v>Hanan Javaid</v>
      </c>
      <c r="C8" s="31">
        <v>3</v>
      </c>
      <c r="D8" s="31">
        <v>3</v>
      </c>
      <c r="E8" s="31">
        <v>1</v>
      </c>
      <c r="F8" s="39">
        <f>IF(COUNT(C8:E8)=0,0,SUMPRODUCT({5000,1000,500},C8:E8))</f>
        <v>18500</v>
      </c>
      <c r="G8" s="31"/>
      <c r="H8" s="31"/>
      <c r="I8" s="31"/>
      <c r="J8" s="39">
        <f>IF(COUNT(G8:I8)=0,0,SUMPRODUCT({5000,1000,500},G8:I8))</f>
        <v>0</v>
      </c>
      <c r="K8" s="31"/>
      <c r="L8" s="31"/>
      <c r="M8" s="31"/>
      <c r="N8" s="39">
        <f>IF(COUNT(K8:M8)=0,0,SUMPRODUCT({5000,1000,500},K8:M8))</f>
        <v>0</v>
      </c>
      <c r="O8" s="31"/>
      <c r="P8" s="31"/>
      <c r="Q8" s="31"/>
      <c r="R8" s="39">
        <f>IF(COUNT(O8:Q8)=0,0,SUMPRODUCT({5000,1000,500},O8:Q8))</f>
        <v>0</v>
      </c>
      <c r="S8" s="31"/>
      <c r="T8" s="31"/>
      <c r="U8" s="31"/>
      <c r="V8" s="31">
        <v>46</v>
      </c>
      <c r="W8" s="31"/>
      <c r="X8" s="31">
        <v>1</v>
      </c>
      <c r="Y8" s="31"/>
      <c r="Z8" s="31">
        <v>39</v>
      </c>
      <c r="AA8" s="31"/>
      <c r="AB8" s="31"/>
      <c r="AC8" s="31"/>
      <c r="AD8" s="34">
        <f>IF(COUNT(S8:AC8)=0,0,SUMPRODUCT({5000,1000,500,100,75,50,20,10,5,2,1}, S8:AC8))</f>
        <v>5040</v>
      </c>
      <c r="AE8" s="33">
        <v>23467</v>
      </c>
      <c r="AF8" s="24">
        <f>IF(AND(COUNT(C8:E8)=0,COUNT(G8:I8)=0,COUNT(K8:M8)=0,COUNT(O8:Q8)=0,COUNT(S8:AC8)=0,AE8=""),"",(IF(COUNT(C8:E8)=0,0,SUMPRODUCT({5000,1000,500},C8:E8))+IF(COUNT(G8:I8)=0,0,SUMPRODUCT({5000,1000,500},G8:I8))+IF(COUNT(K8:M8)=0,0,SUMPRODUCT({5000,1000,500},K8:M8))+IF(COUNT(O8:Q8)=0,0,SUMPRODUCT({5000,1000,500},O8:Q8))+AD8)-N(AE8))</f>
        <v>73</v>
      </c>
      <c r="AG8" s="35" t="str">
        <f t="shared" si="0"/>
        <v>Excess</v>
      </c>
      <c r="AH8" s="38"/>
      <c r="AI8" s="36">
        <v>20346.66</v>
      </c>
      <c r="AJ8" s="37">
        <v>20346.66</v>
      </c>
      <c r="AK8" s="26">
        <f t="shared" si="1"/>
        <v>0</v>
      </c>
      <c r="AL8" s="25" t="str">
        <f t="shared" si="2"/>
        <v>Matched</v>
      </c>
      <c r="AM8" s="38"/>
    </row>
    <row r="9" spans="1:39" ht="12.75" customHeight="1" x14ac:dyDescent="0.25">
      <c r="A9" s="31">
        <v>77423</v>
      </c>
      <c r="B9" s="32" t="str">
        <f>IF(A9="","",VLOOKUP(A9,'Employee Database'!A:B,2,FALSE))</f>
        <v>Shoaib Akhtar</v>
      </c>
      <c r="C9" s="31">
        <v>5</v>
      </c>
      <c r="D9" s="31">
        <v>2</v>
      </c>
      <c r="E9" s="31">
        <v>2</v>
      </c>
      <c r="F9" s="39">
        <f>IF(COUNT(C9:E9)=0,0,SUMPRODUCT({5000,1000,500},C9:E9))</f>
        <v>28000</v>
      </c>
      <c r="G9" s="31"/>
      <c r="H9" s="31"/>
      <c r="I9" s="31"/>
      <c r="J9" s="39">
        <f>IF(COUNT(G9:I9)=0,0,SUMPRODUCT({5000,1000,500},G9:I9))</f>
        <v>0</v>
      </c>
      <c r="K9" s="31"/>
      <c r="L9" s="31"/>
      <c r="M9" s="31"/>
      <c r="N9" s="39">
        <f>IF(COUNT(K9:M9)=0,0,SUMPRODUCT({5000,1000,500},K9:M9))</f>
        <v>0</v>
      </c>
      <c r="O9" s="31"/>
      <c r="P9" s="31"/>
      <c r="Q9" s="31"/>
      <c r="R9" s="39">
        <f>IF(COUNT(O9:Q9)=0,0,SUMPRODUCT({5000,1000,500},O9:Q9))</f>
        <v>0</v>
      </c>
      <c r="S9" s="31"/>
      <c r="T9" s="31"/>
      <c r="U9" s="31"/>
      <c r="V9" s="31">
        <v>2</v>
      </c>
      <c r="W9" s="31"/>
      <c r="X9" s="31">
        <v>85</v>
      </c>
      <c r="Y9" s="31"/>
      <c r="Z9" s="31">
        <v>99</v>
      </c>
      <c r="AA9" s="31"/>
      <c r="AB9" s="31"/>
      <c r="AC9" s="31"/>
      <c r="AD9" s="34">
        <f>IF(COUNT(S9:AC9)=0,0,SUMPRODUCT({5000,1000,500,100,75,50,20,10,5,2,1}, S9:AC9))</f>
        <v>5440</v>
      </c>
      <c r="AE9" s="33">
        <v>33576</v>
      </c>
      <c r="AF9" s="24">
        <f>IF(AND(COUNT(C9:E9)=0,COUNT(G9:I9)=0,COUNT(K9:M9)=0,COUNT(O9:Q9)=0,COUNT(S9:AC9)=0,AE9=""),"",(IF(COUNT(C9:E9)=0,0,SUMPRODUCT({5000,1000,500},C9:E9))+IF(COUNT(G9:I9)=0,0,SUMPRODUCT({5000,1000,500},G9:I9))+IF(COUNT(K9:M9)=0,0,SUMPRODUCT({5000,1000,500},K9:M9))+IF(COUNT(O9:Q9)=0,0,SUMPRODUCT({5000,1000,500},O9:Q9))+AD9)-N(AE9))</f>
        <v>-136</v>
      </c>
      <c r="AG9" s="35" t="str">
        <f t="shared" si="0"/>
        <v>Short</v>
      </c>
      <c r="AH9" s="38"/>
      <c r="AI9" s="36">
        <v>94001.63</v>
      </c>
      <c r="AJ9" s="37">
        <v>94001.63</v>
      </c>
      <c r="AK9" s="26">
        <f t="shared" si="1"/>
        <v>0</v>
      </c>
      <c r="AL9" s="25" t="str">
        <f t="shared" si="2"/>
        <v>Matched</v>
      </c>
      <c r="AM9" s="38"/>
    </row>
    <row r="10" spans="1:39" ht="12.75" customHeight="1" x14ac:dyDescent="0.25">
      <c r="A10" s="31">
        <v>78242</v>
      </c>
      <c r="B10" s="32" t="str">
        <f>IF(A10="","",VLOOKUP(A10,'Employee Database'!A:B,2,FALSE))</f>
        <v>Hamad Mughal</v>
      </c>
      <c r="C10" s="31">
        <v>5</v>
      </c>
      <c r="D10" s="31">
        <v>29</v>
      </c>
      <c r="E10" s="31">
        <v>12</v>
      </c>
      <c r="F10" s="39">
        <f>IF(COUNT(C10:E10)=0,0,SUMPRODUCT({5000,1000,500},C10:E10))</f>
        <v>60000</v>
      </c>
      <c r="G10" s="31">
        <v>6</v>
      </c>
      <c r="H10" s="31">
        <v>19</v>
      </c>
      <c r="I10" s="31">
        <v>2</v>
      </c>
      <c r="J10" s="39">
        <f>IF(COUNT(G10:I10)=0,0,SUMPRODUCT({5000,1000,500},G10:I10))</f>
        <v>50000</v>
      </c>
      <c r="K10" s="31"/>
      <c r="L10" s="31"/>
      <c r="M10" s="31"/>
      <c r="N10" s="39">
        <f>IF(COUNT(K10:M10)=0,0,SUMPRODUCT({5000,1000,500},K10:M10))</f>
        <v>0</v>
      </c>
      <c r="O10" s="31"/>
      <c r="P10" s="31"/>
      <c r="Q10" s="31"/>
      <c r="R10" s="39">
        <f>IF(COUNT(O10:Q10)=0,0,SUMPRODUCT({5000,1000,500},O10:Q10))</f>
        <v>0</v>
      </c>
      <c r="S10" s="31"/>
      <c r="T10" s="31"/>
      <c r="U10" s="31"/>
      <c r="V10" s="31">
        <v>78</v>
      </c>
      <c r="W10" s="31"/>
      <c r="X10" s="31">
        <v>11</v>
      </c>
      <c r="Y10" s="31">
        <v>3</v>
      </c>
      <c r="Z10" s="31">
        <v>90</v>
      </c>
      <c r="AA10" s="31"/>
      <c r="AB10" s="31"/>
      <c r="AC10" s="31"/>
      <c r="AD10" s="34">
        <f>IF(COUNT(S10:AC10)=0,0,SUMPRODUCT({5000,1000,500,100,75,50,20,10,5,2,1}, S10:AC10))</f>
        <v>9310</v>
      </c>
      <c r="AE10" s="33">
        <v>119326</v>
      </c>
      <c r="AF10" s="24">
        <f>IF(AND(COUNT(C10:E10)=0,COUNT(G10:I10)=0,COUNT(K10:M10)=0,COUNT(O10:Q10)=0,COUNT(S10:AC10)=0,AE10=""),"",(IF(COUNT(C10:E10)=0,0,SUMPRODUCT({5000,1000,500},C10:E10))+IF(COUNT(G10:I10)=0,0,SUMPRODUCT({5000,1000,500},G10:I10))+IF(COUNT(K10:M10)=0,0,SUMPRODUCT({5000,1000,500},K10:M10))+IF(COUNT(O10:Q10)=0,0,SUMPRODUCT({5000,1000,500},O10:Q10))+AD10)-N(AE10))</f>
        <v>-16</v>
      </c>
      <c r="AG10" s="35" t="str">
        <f t="shared" si="0"/>
        <v>Short</v>
      </c>
      <c r="AH10" s="38"/>
      <c r="AI10" s="36">
        <v>525065.46</v>
      </c>
      <c r="AJ10" s="37">
        <v>525065.46</v>
      </c>
      <c r="AK10" s="26">
        <f t="shared" si="1"/>
        <v>0</v>
      </c>
      <c r="AL10" s="25" t="str">
        <f t="shared" si="2"/>
        <v>Matched</v>
      </c>
      <c r="AM10" s="38"/>
    </row>
    <row r="11" spans="1:39" ht="12.75" customHeight="1" x14ac:dyDescent="0.25">
      <c r="A11" s="31">
        <v>79593</v>
      </c>
      <c r="B11" s="32" t="str">
        <f>IF(A11="","",VLOOKUP(A11,'Employee Database'!A:B,2,FALSE))</f>
        <v>Amir</v>
      </c>
      <c r="C11" s="31">
        <v>28</v>
      </c>
      <c r="D11" s="31">
        <v>87</v>
      </c>
      <c r="E11" s="31">
        <v>6</v>
      </c>
      <c r="F11" s="39">
        <f>IF(COUNT(C11:E11)=0,0,SUMPRODUCT({5000,1000,500},C11:E11))</f>
        <v>230000</v>
      </c>
      <c r="G11" s="31">
        <v>4</v>
      </c>
      <c r="H11" s="31">
        <v>11</v>
      </c>
      <c r="I11" s="31">
        <v>10</v>
      </c>
      <c r="J11" s="39">
        <f>IF(COUNT(G11:I11)=0,0,SUMPRODUCT({5000,1000,500},G11:I11))</f>
        <v>36000</v>
      </c>
      <c r="K11" s="31"/>
      <c r="L11" s="31"/>
      <c r="M11" s="31"/>
      <c r="N11" s="39">
        <f>IF(COUNT(K11:M11)=0,0,SUMPRODUCT({5000,1000,500},K11:M11))</f>
        <v>0</v>
      </c>
      <c r="O11" s="31"/>
      <c r="P11" s="31"/>
      <c r="Q11" s="31"/>
      <c r="R11" s="39">
        <f>IF(COUNT(O11:Q11)=0,0,SUMPRODUCT({5000,1000,500},O11:Q11))</f>
        <v>0</v>
      </c>
      <c r="S11" s="31"/>
      <c r="T11" s="31"/>
      <c r="U11" s="31"/>
      <c r="V11" s="31">
        <v>60</v>
      </c>
      <c r="W11" s="31"/>
      <c r="X11" s="31">
        <v>5</v>
      </c>
      <c r="Y11" s="31"/>
      <c r="Z11" s="31">
        <v>18</v>
      </c>
      <c r="AA11" s="31"/>
      <c r="AB11" s="31"/>
      <c r="AC11" s="31"/>
      <c r="AD11" s="34">
        <f>IF(COUNT(S11:AC11)=0,0,SUMPRODUCT({5000,1000,500,100,75,50,20,10,5,2,1}, S11:AC11))</f>
        <v>6430</v>
      </c>
      <c r="AE11" s="33">
        <v>272421</v>
      </c>
      <c r="AF11" s="24">
        <f>IF(AND(COUNT(C11:E11)=0,COUNT(G11:I11)=0,COUNT(K11:M11)=0,COUNT(O11:Q11)=0,COUNT(S11:AC11)=0,AE11=""),"",(IF(COUNT(C11:E11)=0,0,SUMPRODUCT({5000,1000,500},C11:E11))+IF(COUNT(G11:I11)=0,0,SUMPRODUCT({5000,1000,500},G11:I11))+IF(COUNT(K11:M11)=0,0,SUMPRODUCT({5000,1000,500},K11:M11))+IF(COUNT(O11:Q11)=0,0,SUMPRODUCT({5000,1000,500},O11:Q11))+AD11)-N(AE11))</f>
        <v>9</v>
      </c>
      <c r="AG11" s="35" t="str">
        <f t="shared" si="0"/>
        <v>Excess</v>
      </c>
      <c r="AH11" s="38"/>
      <c r="AI11" s="36">
        <v>379401.93</v>
      </c>
      <c r="AJ11" s="37">
        <v>379401.93</v>
      </c>
      <c r="AK11" s="26">
        <f t="shared" si="1"/>
        <v>0</v>
      </c>
      <c r="AL11" s="25" t="str">
        <f t="shared" si="2"/>
        <v>Matched</v>
      </c>
      <c r="AM11" s="38"/>
    </row>
    <row r="12" spans="1:39" ht="12.75" customHeight="1" x14ac:dyDescent="0.25">
      <c r="A12" s="31">
        <v>69728</v>
      </c>
      <c r="B12" s="32" t="str">
        <f>IF(A12="","",VLOOKUP(A12,'Employee Database'!A:B,2,FALSE))</f>
        <v>Hafiz Hafeez Ur Rehman</v>
      </c>
      <c r="C12" s="31">
        <v>9</v>
      </c>
      <c r="D12" s="31">
        <v>30</v>
      </c>
      <c r="E12" s="31"/>
      <c r="F12" s="39">
        <f>IF(COUNT(C12:E12)=0,0,SUMPRODUCT({5000,1000,500},C12:E12))</f>
        <v>75000</v>
      </c>
      <c r="G12" s="31">
        <v>6</v>
      </c>
      <c r="H12" s="31">
        <v>6</v>
      </c>
      <c r="I12" s="31">
        <v>4</v>
      </c>
      <c r="J12" s="39">
        <f>IF(COUNT(G12:I12)=0,0,SUMPRODUCT({5000,1000,500},G12:I12))</f>
        <v>38000</v>
      </c>
      <c r="K12" s="31"/>
      <c r="L12" s="31"/>
      <c r="M12" s="31"/>
      <c r="N12" s="39">
        <f>IF(COUNT(K12:M12)=0,0,SUMPRODUCT({5000,1000,500},K12:M12))</f>
        <v>0</v>
      </c>
      <c r="O12" s="31"/>
      <c r="P12" s="31"/>
      <c r="Q12" s="31"/>
      <c r="R12" s="39">
        <f>IF(COUNT(O12:Q12)=0,0,SUMPRODUCT({5000,1000,500},O12:Q12))</f>
        <v>0</v>
      </c>
      <c r="S12" s="31"/>
      <c r="T12" s="31"/>
      <c r="U12" s="31"/>
      <c r="V12" s="31">
        <v>12</v>
      </c>
      <c r="W12" s="31"/>
      <c r="X12" s="31">
        <v>57</v>
      </c>
      <c r="Y12" s="31"/>
      <c r="Z12" s="31">
        <v>66</v>
      </c>
      <c r="AA12" s="31"/>
      <c r="AB12" s="31"/>
      <c r="AC12" s="31"/>
      <c r="AD12" s="34">
        <f>IF(COUNT(S12:AC12)=0,0,SUMPRODUCT({5000,1000,500,100,75,50,20,10,5,2,1}, S12:AC12))</f>
        <v>4710</v>
      </c>
      <c r="AE12" s="33">
        <v>117724</v>
      </c>
      <c r="AF12" s="24">
        <f>IF(AND(COUNT(C12:E12)=0,COUNT(G12:I12)=0,COUNT(K12:M12)=0,COUNT(O12:Q12)=0,COUNT(S12:AC12)=0,AE12=""),"",(IF(COUNT(C12:E12)=0,0,SUMPRODUCT({5000,1000,500},C12:E12))+IF(COUNT(G12:I12)=0,0,SUMPRODUCT({5000,1000,500},G12:I12))+IF(COUNT(K12:M12)=0,0,SUMPRODUCT({5000,1000,500},K12:M12))+IF(COUNT(O12:Q12)=0,0,SUMPRODUCT({5000,1000,500},O12:Q12))+AD12)-N(AE12))</f>
        <v>-14</v>
      </c>
      <c r="AG12" s="35" t="str">
        <f t="shared" si="0"/>
        <v>Short</v>
      </c>
      <c r="AH12" s="38"/>
      <c r="AI12" s="36">
        <v>340798.07</v>
      </c>
      <c r="AJ12" s="37">
        <v>340798.07</v>
      </c>
      <c r="AK12" s="26">
        <f t="shared" si="1"/>
        <v>0</v>
      </c>
      <c r="AL12" s="25" t="str">
        <f t="shared" si="2"/>
        <v>Matched</v>
      </c>
      <c r="AM12" s="38"/>
    </row>
    <row r="13" spans="1:39" ht="12.75" customHeight="1" x14ac:dyDescent="0.25">
      <c r="A13" s="31">
        <v>68475</v>
      </c>
      <c r="B13" s="32" t="str">
        <f>IF(A13="","",VLOOKUP(A13,'Employee Database'!A:B,2,FALSE))</f>
        <v>M Azeem</v>
      </c>
      <c r="C13" s="31">
        <v>3</v>
      </c>
      <c r="D13" s="31">
        <v>58</v>
      </c>
      <c r="E13" s="31">
        <v>5</v>
      </c>
      <c r="F13" s="39">
        <f>IF(COUNT(C13:E13)=0,0,SUMPRODUCT({5000,1000,500},C13:E13))</f>
        <v>75500</v>
      </c>
      <c r="G13" s="31">
        <v>4</v>
      </c>
      <c r="H13" s="31">
        <v>3</v>
      </c>
      <c r="I13" s="31">
        <v>2</v>
      </c>
      <c r="J13" s="39">
        <f>IF(COUNT(G13:I13)=0,0,SUMPRODUCT({5000,1000,500},G13:I13))</f>
        <v>24000</v>
      </c>
      <c r="K13" s="31"/>
      <c r="L13" s="31"/>
      <c r="M13" s="31"/>
      <c r="N13" s="39">
        <f>IF(COUNT(K13:M13)=0,0,SUMPRODUCT({5000,1000,500},K13:M13))</f>
        <v>0</v>
      </c>
      <c r="O13" s="31"/>
      <c r="P13" s="31"/>
      <c r="Q13" s="31"/>
      <c r="R13" s="39">
        <f>IF(COUNT(O13:Q13)=0,0,SUMPRODUCT({5000,1000,500},O13:Q13))</f>
        <v>0</v>
      </c>
      <c r="S13" s="31"/>
      <c r="T13" s="31"/>
      <c r="U13" s="31"/>
      <c r="V13" s="31"/>
      <c r="W13" s="31"/>
      <c r="X13" s="31">
        <v>40</v>
      </c>
      <c r="Y13" s="31"/>
      <c r="Z13" s="31">
        <v>67</v>
      </c>
      <c r="AA13" s="31"/>
      <c r="AB13" s="31"/>
      <c r="AC13" s="31"/>
      <c r="AD13" s="34">
        <f>IF(COUNT(S13:AC13)=0,0,SUMPRODUCT({5000,1000,500,100,75,50,20,10,5,2,1}, S13:AC13))</f>
        <v>2670</v>
      </c>
      <c r="AE13" s="33">
        <v>102117</v>
      </c>
      <c r="AF13" s="24">
        <f>IF(AND(COUNT(C13:E13)=0,COUNT(G13:I13)=0,COUNT(K13:M13)=0,COUNT(O13:Q13)=0,COUNT(S13:AC13)=0,AE13=""),"",(IF(COUNT(C13:E13)=0,0,SUMPRODUCT({5000,1000,500},C13:E13))+IF(COUNT(G13:I13)=0,0,SUMPRODUCT({5000,1000,500},G13:I13))+IF(COUNT(K13:M13)=0,0,SUMPRODUCT({5000,1000,500},K13:M13))+IF(COUNT(O13:Q13)=0,0,SUMPRODUCT({5000,1000,500},O13:Q13))+AD13)-N(AE13))</f>
        <v>53</v>
      </c>
      <c r="AG13" s="35" t="str">
        <f t="shared" si="0"/>
        <v>Excess</v>
      </c>
      <c r="AH13" s="38"/>
      <c r="AI13" s="36">
        <v>295808.11</v>
      </c>
      <c r="AJ13" s="37">
        <v>295808.11</v>
      </c>
      <c r="AK13" s="26">
        <f t="shared" si="1"/>
        <v>0</v>
      </c>
      <c r="AL13" s="25" t="str">
        <f t="shared" si="2"/>
        <v>Matched</v>
      </c>
      <c r="AM13" s="38"/>
    </row>
    <row r="14" spans="1:39" ht="12.75" customHeight="1" x14ac:dyDescent="0.25">
      <c r="A14" s="31">
        <v>69732</v>
      </c>
      <c r="B14" s="32" t="str">
        <f>IF(A14="","",VLOOKUP(A14,'Employee Database'!A:B,2,FALSE))</f>
        <v>Abdul Hafeez</v>
      </c>
      <c r="C14" s="31">
        <f>20+4</f>
        <v>24</v>
      </c>
      <c r="D14" s="31">
        <f>10+40</f>
        <v>50</v>
      </c>
      <c r="E14" s="31">
        <v>10</v>
      </c>
      <c r="F14" s="39">
        <f>IF(COUNT(C14:E14)=0,0,SUMPRODUCT({5000,1000,500},C14:E14))</f>
        <v>175000</v>
      </c>
      <c r="G14" s="31"/>
      <c r="H14" s="31"/>
      <c r="I14" s="31"/>
      <c r="J14" s="39">
        <f>IF(COUNT(G14:I14)=0,0,SUMPRODUCT({5000,1000,500},G14:I14))</f>
        <v>0</v>
      </c>
      <c r="K14" s="31"/>
      <c r="L14" s="31"/>
      <c r="M14" s="31"/>
      <c r="N14" s="39">
        <f>IF(COUNT(K14:M14)=0,0,SUMPRODUCT({5000,1000,500},K14:M14))</f>
        <v>0</v>
      </c>
      <c r="O14" s="31"/>
      <c r="P14" s="31"/>
      <c r="Q14" s="31"/>
      <c r="R14" s="39">
        <f>IF(COUNT(O14:Q14)=0,0,SUMPRODUCT({5000,1000,500},O14:Q14))</f>
        <v>0</v>
      </c>
      <c r="S14" s="31"/>
      <c r="T14" s="31"/>
      <c r="U14" s="31"/>
      <c r="V14" s="31">
        <v>40</v>
      </c>
      <c r="W14" s="31"/>
      <c r="X14" s="31">
        <v>91</v>
      </c>
      <c r="Y14" s="31"/>
      <c r="Z14" s="31">
        <v>94</v>
      </c>
      <c r="AA14" s="31"/>
      <c r="AB14" s="31"/>
      <c r="AC14" s="31"/>
      <c r="AD14" s="34">
        <f>IF(COUNT(S14:AC14)=0,0,SUMPRODUCT({5000,1000,500,100,75,50,20,10,5,2,1}, S14:AC14))</f>
        <v>9490</v>
      </c>
      <c r="AE14" s="33">
        <v>184461</v>
      </c>
      <c r="AF14" s="24">
        <f>IF(AND(COUNT(C14:E14)=0,COUNT(G14:I14)=0,COUNT(K14:M14)=0,COUNT(O14:Q14)=0,COUNT(S14:AC14)=0,AE14=""),"",(IF(COUNT(C14:E14)=0,0,SUMPRODUCT({5000,1000,500},C14:E14))+IF(COUNT(G14:I14)=0,0,SUMPRODUCT({5000,1000,500},G14:I14))+IF(COUNT(K14:M14)=0,0,SUMPRODUCT({5000,1000,500},K14:M14))+IF(COUNT(O14:Q14)=0,0,SUMPRODUCT({5000,1000,500},O14:Q14))+AD14)-N(AE14))</f>
        <v>29</v>
      </c>
      <c r="AG14" s="35" t="str">
        <f t="shared" si="0"/>
        <v>Excess</v>
      </c>
      <c r="AH14" s="38"/>
      <c r="AI14" s="36">
        <v>398467.74</v>
      </c>
      <c r="AJ14" s="37">
        <v>398467.74</v>
      </c>
      <c r="AK14" s="26">
        <f t="shared" si="1"/>
        <v>0</v>
      </c>
      <c r="AL14" s="25" t="str">
        <f t="shared" si="2"/>
        <v>Matched</v>
      </c>
      <c r="AM14" s="38"/>
    </row>
    <row r="15" spans="1:39" ht="12.75" customHeight="1" x14ac:dyDescent="0.25">
      <c r="A15" s="31">
        <v>67250</v>
      </c>
      <c r="B15" s="32" t="str">
        <f>IF(A15="","",VLOOKUP(A15,'Employee Database'!A:B,2,FALSE))</f>
        <v>M Fiaz</v>
      </c>
      <c r="C15" s="31">
        <v>16</v>
      </c>
      <c r="D15" s="31">
        <v>65</v>
      </c>
      <c r="E15" s="31"/>
      <c r="F15" s="39">
        <f>IF(COUNT(C15:E15)=0,0,SUMPRODUCT({5000,1000,500},C15:E15))</f>
        <v>145000</v>
      </c>
      <c r="G15" s="31">
        <v>2</v>
      </c>
      <c r="H15" s="31">
        <v>25</v>
      </c>
      <c r="I15" s="31">
        <v>5</v>
      </c>
      <c r="J15" s="39">
        <f>IF(COUNT(G15:I15)=0,0,SUMPRODUCT({5000,1000,500},G15:I15))</f>
        <v>37500</v>
      </c>
      <c r="K15" s="31"/>
      <c r="L15" s="31"/>
      <c r="M15" s="31"/>
      <c r="N15" s="39">
        <f>IF(COUNT(K15:M15)=0,0,SUMPRODUCT({5000,1000,500},K15:M15))</f>
        <v>0</v>
      </c>
      <c r="O15" s="31"/>
      <c r="P15" s="31"/>
      <c r="Q15" s="31"/>
      <c r="R15" s="39">
        <f>IF(COUNT(O15:Q15)=0,0,SUMPRODUCT({5000,1000,500},O15:Q15))</f>
        <v>0</v>
      </c>
      <c r="S15" s="31"/>
      <c r="T15" s="31"/>
      <c r="U15" s="31"/>
      <c r="V15" s="31">
        <v>61</v>
      </c>
      <c r="W15" s="31"/>
      <c r="X15" s="31">
        <v>2</v>
      </c>
      <c r="Y15" s="31"/>
      <c r="Z15" s="31">
        <v>42</v>
      </c>
      <c r="AA15" s="31"/>
      <c r="AB15" s="31"/>
      <c r="AC15" s="31"/>
      <c r="AD15" s="34">
        <f>IF(COUNT(S15:AC15)=0,0,SUMPRODUCT({5000,1000,500,100,75,50,20,10,5,2,1}, S15:AC15))</f>
        <v>6620</v>
      </c>
      <c r="AE15" s="33">
        <v>189101</v>
      </c>
      <c r="AF15" s="24">
        <f>IF(AND(COUNT(C15:E15)=0,COUNT(G15:I15)=0,COUNT(K15:M15)=0,COUNT(O15:Q15)=0,COUNT(S15:AC15)=0,AE15=""),"",(IF(COUNT(C15:E15)=0,0,SUMPRODUCT({5000,1000,500},C15:E15))+IF(COUNT(G15:I15)=0,0,SUMPRODUCT({5000,1000,500},G15:I15))+IF(COUNT(K15:M15)=0,0,SUMPRODUCT({5000,1000,500},K15:M15))+IF(COUNT(O15:Q15)=0,0,SUMPRODUCT({5000,1000,500},O15:Q15))+AD15)-N(AE15))</f>
        <v>19</v>
      </c>
      <c r="AG15" s="35" t="str">
        <f t="shared" si="0"/>
        <v>Excess</v>
      </c>
      <c r="AH15" s="38"/>
      <c r="AI15" s="36">
        <v>396505.12</v>
      </c>
      <c r="AJ15" s="37">
        <v>396505.12</v>
      </c>
      <c r="AK15" s="26">
        <f t="shared" si="1"/>
        <v>0</v>
      </c>
      <c r="AL15" s="25" t="str">
        <f t="shared" si="2"/>
        <v>Matched</v>
      </c>
      <c r="AM15" s="38"/>
    </row>
    <row r="16" spans="1:39" ht="12.75" customHeight="1" x14ac:dyDescent="0.25">
      <c r="A16" s="31">
        <v>77424</v>
      </c>
      <c r="B16" s="32" t="str">
        <f>IF(A16="","",VLOOKUP(A16,'Employee Database'!A:B,2,FALSE))</f>
        <v>M Husnain</v>
      </c>
      <c r="C16" s="31">
        <v>16</v>
      </c>
      <c r="D16" s="31">
        <v>22</v>
      </c>
      <c r="E16" s="31">
        <v>6</v>
      </c>
      <c r="F16" s="39">
        <f>IF(COUNT(C16:E16)=0,0,SUMPRODUCT({5000,1000,500},C16:E16))</f>
        <v>105000</v>
      </c>
      <c r="G16" s="31">
        <v>1</v>
      </c>
      <c r="H16" s="31">
        <v>5</v>
      </c>
      <c r="I16" s="31">
        <v>6</v>
      </c>
      <c r="J16" s="39">
        <f>IF(COUNT(G16:I16)=0,0,SUMPRODUCT({5000,1000,500},G16:I16))</f>
        <v>13000</v>
      </c>
      <c r="K16" s="31"/>
      <c r="L16" s="31"/>
      <c r="M16" s="31"/>
      <c r="N16" s="39">
        <f>IF(COUNT(K16:M16)=0,0,SUMPRODUCT({5000,1000,500},K16:M16))</f>
        <v>0</v>
      </c>
      <c r="O16" s="31"/>
      <c r="P16" s="31"/>
      <c r="Q16" s="31"/>
      <c r="R16" s="39">
        <f>IF(COUNT(O16:Q16)=0,0,SUMPRODUCT({5000,1000,500},O16:Q16))</f>
        <v>0</v>
      </c>
      <c r="S16" s="31"/>
      <c r="T16" s="31"/>
      <c r="U16" s="31"/>
      <c r="V16" s="31">
        <v>56</v>
      </c>
      <c r="W16" s="31"/>
      <c r="X16" s="31">
        <v>0</v>
      </c>
      <c r="Y16" s="31"/>
      <c r="Z16" s="31">
        <v>72</v>
      </c>
      <c r="AA16" s="31"/>
      <c r="AB16" s="31"/>
      <c r="AC16" s="31"/>
      <c r="AD16" s="34">
        <f>IF(COUNT(S16:AC16)=0,0,SUMPRODUCT({5000,1000,500,100,75,50,20,10,5,2,1}, S16:AC16))</f>
        <v>6320</v>
      </c>
      <c r="AE16" s="33">
        <v>124291</v>
      </c>
      <c r="AF16" s="24">
        <f>IF(AND(COUNT(C16:E16)=0,COUNT(G16:I16)=0,COUNT(K16:M16)=0,COUNT(O16:Q16)=0,COUNT(S16:AC16)=0,AE16=""),"",(IF(COUNT(C16:E16)=0,0,SUMPRODUCT({5000,1000,500},C16:E16))+IF(COUNT(G16:I16)=0,0,SUMPRODUCT({5000,1000,500},G16:I16))+IF(COUNT(K16:M16)=0,0,SUMPRODUCT({5000,1000,500},K16:M16))+IF(COUNT(O16:Q16)=0,0,SUMPRODUCT({5000,1000,500},O16:Q16))+AD16)-N(AE16))</f>
        <v>29</v>
      </c>
      <c r="AG16" s="35" t="str">
        <f t="shared" si="0"/>
        <v>Excess</v>
      </c>
      <c r="AH16" s="38"/>
      <c r="AI16" s="36">
        <v>616861.78</v>
      </c>
      <c r="AJ16" s="37">
        <v>616861.78</v>
      </c>
      <c r="AK16" s="26">
        <f t="shared" si="1"/>
        <v>0</v>
      </c>
      <c r="AL16" s="25" t="str">
        <f t="shared" si="2"/>
        <v>Matched</v>
      </c>
      <c r="AM16" s="38"/>
    </row>
    <row r="17" spans="1:39" ht="12.75" customHeight="1" x14ac:dyDescent="0.25">
      <c r="A17" s="31">
        <v>67799</v>
      </c>
      <c r="B17" s="32" t="str">
        <f>IF(A17="","",VLOOKUP(A17,'Employee Database'!A:B,2,FALSE))</f>
        <v>Hassan Raza</v>
      </c>
      <c r="C17" s="31">
        <v>15</v>
      </c>
      <c r="D17" s="31">
        <v>25</v>
      </c>
      <c r="E17" s="31"/>
      <c r="F17" s="39">
        <f>IF(COUNT(C17:E17)=0,0,SUMPRODUCT({5000,1000,500},C17:E17))</f>
        <v>100000</v>
      </c>
      <c r="G17" s="31"/>
      <c r="H17" s="31">
        <v>10</v>
      </c>
      <c r="I17" s="31">
        <v>21</v>
      </c>
      <c r="J17" s="39">
        <f>IF(COUNT(G17:I17)=0,0,SUMPRODUCT({5000,1000,500},G17:I17))</f>
        <v>20500</v>
      </c>
      <c r="K17" s="31"/>
      <c r="L17" s="31"/>
      <c r="M17" s="31"/>
      <c r="N17" s="39">
        <f>IF(COUNT(K17:M17)=0,0,SUMPRODUCT({5000,1000,500},K17:M17))</f>
        <v>0</v>
      </c>
      <c r="O17" s="31"/>
      <c r="P17" s="31"/>
      <c r="Q17" s="31"/>
      <c r="R17" s="39">
        <f>IF(COUNT(O17:Q17)=0,0,SUMPRODUCT({5000,1000,500},O17:Q17))</f>
        <v>0</v>
      </c>
      <c r="S17" s="31"/>
      <c r="T17" s="31"/>
      <c r="U17" s="31"/>
      <c r="V17" s="31">
        <v>2</v>
      </c>
      <c r="W17" s="31"/>
      <c r="X17" s="31">
        <v>64</v>
      </c>
      <c r="Y17" s="31">
        <v>1</v>
      </c>
      <c r="Z17" s="31">
        <v>71</v>
      </c>
      <c r="AA17" s="31"/>
      <c r="AB17" s="31"/>
      <c r="AC17" s="31"/>
      <c r="AD17" s="34">
        <f>IF(COUNT(S17:AC17)=0,0,SUMPRODUCT({5000,1000,500,100,75,50,20,10,5,2,1}, S17:AC17))</f>
        <v>4130</v>
      </c>
      <c r="AE17" s="33">
        <v>124655</v>
      </c>
      <c r="AF17" s="24">
        <f>IF(AND(COUNT(C17:E17)=0,COUNT(G17:I17)=0,COUNT(K17:M17)=0,COUNT(O17:Q17)=0,COUNT(S17:AC17)=0,AE17=""),"",(IF(COUNT(C17:E17)=0,0,SUMPRODUCT({5000,1000,500},C17:E17))+IF(COUNT(G17:I17)=0,0,SUMPRODUCT({5000,1000,500},G17:I17))+IF(COUNT(K17:M17)=0,0,SUMPRODUCT({5000,1000,500},K17:M17))+IF(COUNT(O17:Q17)=0,0,SUMPRODUCT({5000,1000,500},O17:Q17))+AD17)-N(AE17))</f>
        <v>-25</v>
      </c>
      <c r="AG17" s="35" t="str">
        <f t="shared" si="0"/>
        <v>Short</v>
      </c>
      <c r="AH17" s="38"/>
      <c r="AI17" s="36">
        <v>627437.06999999995</v>
      </c>
      <c r="AJ17" s="37">
        <v>627437.06999999995</v>
      </c>
      <c r="AK17" s="26">
        <f t="shared" si="1"/>
        <v>0</v>
      </c>
      <c r="AL17" s="25" t="str">
        <f t="shared" si="2"/>
        <v>Matched</v>
      </c>
      <c r="AM17" s="38"/>
    </row>
    <row r="18" spans="1:39" ht="12.75" customHeight="1" x14ac:dyDescent="0.25">
      <c r="A18" s="31">
        <v>73679</v>
      </c>
      <c r="B18" s="32" t="str">
        <f>IF(A18="","",VLOOKUP(A18,'Employee Database'!A:B,2,FALSE))</f>
        <v>Imran Waqar</v>
      </c>
      <c r="C18" s="31">
        <v>14</v>
      </c>
      <c r="D18" s="31">
        <v>57</v>
      </c>
      <c r="E18" s="31">
        <v>6</v>
      </c>
      <c r="F18" s="39">
        <f>IF(COUNT(C18:E18)=0,0,SUMPRODUCT({5000,1000,500},C18:E18))</f>
        <v>130000</v>
      </c>
      <c r="G18" s="31"/>
      <c r="H18" s="31"/>
      <c r="I18" s="31">
        <v>5</v>
      </c>
      <c r="J18" s="39">
        <f>IF(COUNT(G18:I18)=0,0,SUMPRODUCT({5000,1000,500},G18:I18))</f>
        <v>2500</v>
      </c>
      <c r="K18" s="31"/>
      <c r="L18" s="31"/>
      <c r="M18" s="31"/>
      <c r="N18" s="39">
        <f>IF(COUNT(K18:M18)=0,0,SUMPRODUCT({5000,1000,500},K18:M18))</f>
        <v>0</v>
      </c>
      <c r="O18" s="31"/>
      <c r="P18" s="31"/>
      <c r="Q18" s="31"/>
      <c r="R18" s="39">
        <f>IF(COUNT(O18:Q18)=0,0,SUMPRODUCT({5000,1000,500},O18:Q18))</f>
        <v>0</v>
      </c>
      <c r="S18" s="31"/>
      <c r="T18" s="31"/>
      <c r="U18" s="31"/>
      <c r="V18" s="31">
        <v>4</v>
      </c>
      <c r="W18" s="31"/>
      <c r="X18" s="31">
        <v>61</v>
      </c>
      <c r="Y18" s="31"/>
      <c r="Z18" s="31">
        <v>62</v>
      </c>
      <c r="AA18" s="31"/>
      <c r="AB18" s="31"/>
      <c r="AC18" s="31"/>
      <c r="AD18" s="34">
        <f>IF(COUNT(S18:AC18)=0,0,SUMPRODUCT({5000,1000,500,100,75,50,20,10,5,2,1}, S18:AC18))</f>
        <v>4070</v>
      </c>
      <c r="AE18" s="33">
        <v>136551</v>
      </c>
      <c r="AF18" s="24">
        <f>IF(AND(COUNT(C18:E18)=0,COUNT(G18:I18)=0,COUNT(K18:M18)=0,COUNT(O18:Q18)=0,COUNT(S18:AC18)=0,AE18=""),"",(IF(COUNT(C18:E18)=0,0,SUMPRODUCT({5000,1000,500},C18:E18))+IF(COUNT(G18:I18)=0,0,SUMPRODUCT({5000,1000,500},G18:I18))+IF(COUNT(K18:M18)=0,0,SUMPRODUCT({5000,1000,500},K18:M18))+IF(COUNT(O18:Q18)=0,0,SUMPRODUCT({5000,1000,500},O18:Q18))+AD18)-N(AE18))</f>
        <v>19</v>
      </c>
      <c r="AG18" s="35" t="str">
        <f t="shared" si="0"/>
        <v>Excess</v>
      </c>
      <c r="AH18" s="38"/>
      <c r="AI18" s="36">
        <v>318729.27</v>
      </c>
      <c r="AJ18" s="37">
        <v>318729.27</v>
      </c>
      <c r="AK18" s="26">
        <f t="shared" si="1"/>
        <v>0</v>
      </c>
      <c r="AL18" s="25" t="str">
        <f t="shared" si="2"/>
        <v>Matched</v>
      </c>
      <c r="AM18" s="38"/>
    </row>
    <row r="19" spans="1:39" ht="12.75" customHeight="1" x14ac:dyDescent="0.25">
      <c r="A19" s="31">
        <v>75768</v>
      </c>
      <c r="B19" s="32" t="str">
        <f>IF(A19="","",VLOOKUP(A19,'Employee Database'!A:B,2,FALSE))</f>
        <v>Zuhaib</v>
      </c>
      <c r="C19" s="31">
        <v>13</v>
      </c>
      <c r="D19" s="31">
        <v>48</v>
      </c>
      <c r="E19" s="31">
        <v>4</v>
      </c>
      <c r="F19" s="39">
        <f>IF(COUNT(C19:E19)=0,0,SUMPRODUCT({5000,1000,500},C19:E19))</f>
        <v>115000</v>
      </c>
      <c r="G19" s="31">
        <v>11</v>
      </c>
      <c r="H19" s="31">
        <v>12</v>
      </c>
      <c r="I19" s="31">
        <v>4</v>
      </c>
      <c r="J19" s="39">
        <f>IF(COUNT(G19:I19)=0,0,SUMPRODUCT({5000,1000,500},G19:I19))</f>
        <v>69000</v>
      </c>
      <c r="K19" s="31"/>
      <c r="L19" s="31"/>
      <c r="M19" s="31"/>
      <c r="N19" s="39">
        <f>IF(COUNT(K19:M19)=0,0,SUMPRODUCT({5000,1000,500},K19:M19))</f>
        <v>0</v>
      </c>
      <c r="O19" s="31"/>
      <c r="P19" s="31"/>
      <c r="Q19" s="31"/>
      <c r="R19" s="39">
        <f>IF(COUNT(O19:Q19)=0,0,SUMPRODUCT({5000,1000,500},O19:Q19))</f>
        <v>0</v>
      </c>
      <c r="S19" s="31"/>
      <c r="T19" s="31"/>
      <c r="U19" s="31"/>
      <c r="V19" s="31">
        <v>70</v>
      </c>
      <c r="W19" s="31"/>
      <c r="X19" s="31">
        <v>1</v>
      </c>
      <c r="Y19" s="31"/>
      <c r="Z19" s="31">
        <v>37</v>
      </c>
      <c r="AA19" s="31"/>
      <c r="AB19" s="31"/>
      <c r="AC19" s="31"/>
      <c r="AD19" s="34">
        <f>IF(COUNT(S19:AC19)=0,0,SUMPRODUCT({5000,1000,500,100,75,50,20,10,5,2,1}, S19:AC19))</f>
        <v>7420</v>
      </c>
      <c r="AE19" s="33">
        <v>191386</v>
      </c>
      <c r="AF19" s="24">
        <f>IF(AND(COUNT(C19:E19)=0,COUNT(G19:I19)=0,COUNT(K19:M19)=0,COUNT(O19:Q19)=0,COUNT(S19:AC19)=0,AE19=""),"",(IF(COUNT(C19:E19)=0,0,SUMPRODUCT({5000,1000,500},C19:E19))+IF(COUNT(G19:I19)=0,0,SUMPRODUCT({5000,1000,500},G19:I19))+IF(COUNT(K19:M19)=0,0,SUMPRODUCT({5000,1000,500},K19:M19))+IF(COUNT(O19:Q19)=0,0,SUMPRODUCT({5000,1000,500},O19:Q19))+AD19)-N(AE19))</f>
        <v>34</v>
      </c>
      <c r="AG19" s="35" t="str">
        <f t="shared" si="0"/>
        <v>Excess</v>
      </c>
      <c r="AH19" s="38"/>
      <c r="AI19" s="36">
        <v>386036.92</v>
      </c>
      <c r="AJ19" s="37">
        <v>386036.92</v>
      </c>
      <c r="AK19" s="26">
        <f t="shared" si="1"/>
        <v>0</v>
      </c>
      <c r="AL19" s="25" t="str">
        <f t="shared" si="2"/>
        <v>Matched</v>
      </c>
      <c r="AM19" s="38"/>
    </row>
    <row r="20" spans="1:39" ht="12.75" customHeight="1" x14ac:dyDescent="0.25">
      <c r="A20" s="31">
        <v>53893</v>
      </c>
      <c r="B20" s="32" t="str">
        <f>IF(A20="","",VLOOKUP(A20,'Employee Database'!A:B,2,FALSE))</f>
        <v>M Binyameen</v>
      </c>
      <c r="C20" s="31">
        <v>9</v>
      </c>
      <c r="D20" s="31">
        <v>51</v>
      </c>
      <c r="E20" s="31">
        <v>8</v>
      </c>
      <c r="F20" s="39">
        <f>IF(COUNT(C20:E20)=0,0,SUMPRODUCT({5000,1000,500},C20:E20))</f>
        <v>100000</v>
      </c>
      <c r="G20" s="31">
        <v>6</v>
      </c>
      <c r="H20" s="31">
        <v>11</v>
      </c>
      <c r="I20" s="31">
        <v>30</v>
      </c>
      <c r="J20" s="39">
        <f>IF(COUNT(G20:I20)=0,0,SUMPRODUCT({5000,1000,500},G20:I20))</f>
        <v>56000</v>
      </c>
      <c r="K20" s="31"/>
      <c r="L20" s="31"/>
      <c r="M20" s="31"/>
      <c r="N20" s="39">
        <f>IF(COUNT(K20:M20)=0,0,SUMPRODUCT({5000,1000,500},K20:M20))</f>
        <v>0</v>
      </c>
      <c r="O20" s="31"/>
      <c r="P20" s="31"/>
      <c r="Q20" s="31"/>
      <c r="R20" s="39">
        <f>IF(COUNT(O20:Q20)=0,0,SUMPRODUCT({5000,1000,500},O20:Q20))</f>
        <v>0</v>
      </c>
      <c r="S20" s="31"/>
      <c r="T20" s="31"/>
      <c r="U20" s="31"/>
      <c r="V20" s="31">
        <v>81</v>
      </c>
      <c r="W20" s="31"/>
      <c r="X20" s="31">
        <v>406</v>
      </c>
      <c r="Y20" s="31"/>
      <c r="Z20" s="31">
        <v>148</v>
      </c>
      <c r="AA20" s="31"/>
      <c r="AB20" s="31"/>
      <c r="AC20" s="31"/>
      <c r="AD20" s="34">
        <f>IF(COUNT(S20:AC20)=0,0,SUMPRODUCT({5000,1000,500,100,75,50,20,10,5,2,1}, S20:AC20))</f>
        <v>29880</v>
      </c>
      <c r="AE20" s="33">
        <v>185911</v>
      </c>
      <c r="AF20" s="24">
        <f>IF(AND(COUNT(C20:E20)=0,COUNT(G20:I20)=0,COUNT(K20:M20)=0,COUNT(O20:Q20)=0,COUNT(S20:AC20)=0,AE20=""),"",(IF(COUNT(C20:E20)=0,0,SUMPRODUCT({5000,1000,500},C20:E20))+IF(COUNT(G20:I20)=0,0,SUMPRODUCT({5000,1000,500},G20:I20))+IF(COUNT(K20:M20)=0,0,SUMPRODUCT({5000,1000,500},K20:M20))+IF(COUNT(O20:Q20)=0,0,SUMPRODUCT({5000,1000,500},O20:Q20))+AD20)-N(AE20))</f>
        <v>-31</v>
      </c>
      <c r="AG20" s="35" t="str">
        <f t="shared" si="0"/>
        <v>Short</v>
      </c>
      <c r="AH20" s="38"/>
      <c r="AI20" s="36">
        <v>291575.21000000002</v>
      </c>
      <c r="AJ20" s="37">
        <v>291575.21000000002</v>
      </c>
      <c r="AK20" s="26">
        <f t="shared" si="1"/>
        <v>0</v>
      </c>
      <c r="AL20" s="25" t="str">
        <f t="shared" si="2"/>
        <v>Matched</v>
      </c>
      <c r="AM20" s="38"/>
    </row>
    <row r="21" spans="1:39" ht="12.75" customHeight="1" x14ac:dyDescent="0.25">
      <c r="A21" s="31">
        <v>50394</v>
      </c>
      <c r="B21" s="32" t="str">
        <f>IF(A21="","",VLOOKUP(A21,'Employee Database'!A:B,2,FALSE))</f>
        <v>Qasir Ali</v>
      </c>
      <c r="C21" s="31">
        <v>3</v>
      </c>
      <c r="D21" s="31">
        <v>27</v>
      </c>
      <c r="E21" s="31"/>
      <c r="F21" s="39">
        <f>IF(COUNT(C21:E21)=0,0,SUMPRODUCT({5000,1000,500},C21:E21))</f>
        <v>42000</v>
      </c>
      <c r="G21" s="31"/>
      <c r="H21" s="31"/>
      <c r="I21" s="31"/>
      <c r="J21" s="39">
        <f>IF(COUNT(G21:I21)=0,0,SUMPRODUCT({5000,1000,500},G21:I21))</f>
        <v>0</v>
      </c>
      <c r="K21" s="31"/>
      <c r="L21" s="31"/>
      <c r="M21" s="31"/>
      <c r="N21" s="39">
        <f>IF(COUNT(K21:M21)=0,0,SUMPRODUCT({5000,1000,500},K21:M21))</f>
        <v>0</v>
      </c>
      <c r="O21" s="31"/>
      <c r="P21" s="31"/>
      <c r="Q21" s="31"/>
      <c r="R21" s="39">
        <f>IF(COUNT(O21:Q21)=0,0,SUMPRODUCT({5000,1000,500},O21:Q21))</f>
        <v>0</v>
      </c>
      <c r="S21" s="31"/>
      <c r="T21" s="31"/>
      <c r="U21" s="31"/>
      <c r="V21" s="31"/>
      <c r="W21" s="31"/>
      <c r="X21" s="31">
        <v>56</v>
      </c>
      <c r="Y21" s="31"/>
      <c r="Z21" s="31">
        <v>87</v>
      </c>
      <c r="AA21" s="31"/>
      <c r="AB21" s="31"/>
      <c r="AC21" s="31"/>
      <c r="AD21" s="34">
        <f>IF(COUNT(S21:AC21)=0,0,SUMPRODUCT({5000,1000,500,100,75,50,20,10,5,2,1}, S21:AC21))</f>
        <v>3670</v>
      </c>
      <c r="AE21" s="33">
        <v>45628.67</v>
      </c>
      <c r="AF21" s="24">
        <f>IF(AND(COUNT(C21:E21)=0,COUNT(G21:I21)=0,COUNT(K21:M21)=0,COUNT(O21:Q21)=0,COUNT(S21:AC21)=0,AE21=""),"",(IF(COUNT(C21:E21)=0,0,SUMPRODUCT({5000,1000,500},C21:E21))+IF(COUNT(G21:I21)=0,0,SUMPRODUCT({5000,1000,500},G21:I21))+IF(COUNT(K21:M21)=0,0,SUMPRODUCT({5000,1000,500},K21:M21))+IF(COUNT(O21:Q21)=0,0,SUMPRODUCT({5000,1000,500},O21:Q21))+AD21)-N(AE21))</f>
        <v>41.330000000001746</v>
      </c>
      <c r="AG21" s="35" t="str">
        <f t="shared" si="0"/>
        <v>Excess</v>
      </c>
      <c r="AH21" s="38"/>
      <c r="AI21" s="36">
        <v>104659.96</v>
      </c>
      <c r="AJ21" s="37">
        <f>10059.4+6218+88382.56</f>
        <v>104659.95999999999</v>
      </c>
      <c r="AK21" s="26">
        <f t="shared" si="1"/>
        <v>1.4551915228366852E-11</v>
      </c>
      <c r="AL21" s="25" t="str">
        <f t="shared" si="2"/>
        <v>POS Excess</v>
      </c>
      <c r="AM21" s="38"/>
    </row>
    <row r="22" spans="1:39" ht="12.75" customHeight="1" x14ac:dyDescent="0.25">
      <c r="A22" s="31">
        <v>61648</v>
      </c>
      <c r="B22" s="32" t="str">
        <f>IF(A22="","",VLOOKUP(A22,'Employee Database'!A:B,2,FALSE))</f>
        <v>Rizwan</v>
      </c>
      <c r="C22" s="31">
        <v>11</v>
      </c>
      <c r="D22" s="31">
        <v>32</v>
      </c>
      <c r="E22" s="31">
        <v>4</v>
      </c>
      <c r="F22" s="39">
        <f>IF(COUNT(C22:E22)=0,0,SUMPRODUCT({5000,1000,500},C22:E22))</f>
        <v>89000</v>
      </c>
      <c r="G22" s="31"/>
      <c r="H22" s="31"/>
      <c r="I22" s="31"/>
      <c r="J22" s="39">
        <f>IF(COUNT(G22:I22)=0,0,SUMPRODUCT({5000,1000,500},G22:I22))</f>
        <v>0</v>
      </c>
      <c r="K22" s="31"/>
      <c r="L22" s="31"/>
      <c r="M22" s="31"/>
      <c r="N22" s="39">
        <f>IF(COUNT(K22:M22)=0,0,SUMPRODUCT({5000,1000,500},K22:M22))</f>
        <v>0</v>
      </c>
      <c r="O22" s="31"/>
      <c r="P22" s="31"/>
      <c r="Q22" s="31"/>
      <c r="R22" s="39">
        <f>IF(COUNT(O22:Q22)=0,0,SUMPRODUCT({5000,1000,500},O22:Q22))</f>
        <v>0</v>
      </c>
      <c r="S22" s="31"/>
      <c r="T22" s="31"/>
      <c r="U22" s="31"/>
      <c r="V22" s="31">
        <v>69</v>
      </c>
      <c r="W22" s="31"/>
      <c r="X22" s="31"/>
      <c r="Y22" s="31"/>
      <c r="Z22" s="31">
        <v>22</v>
      </c>
      <c r="AA22" s="31"/>
      <c r="AB22" s="31"/>
      <c r="AC22" s="31"/>
      <c r="AD22" s="34">
        <f>IF(COUNT(S22:AC22)=0,0,SUMPRODUCT({5000,1000,500,100,75,50,20,10,5,2,1}, S22:AC22))</f>
        <v>7120</v>
      </c>
      <c r="AE22" s="33">
        <v>96075</v>
      </c>
      <c r="AF22" s="24">
        <f>IF(AND(COUNT(C22:E22)=0,COUNT(G22:I22)=0,COUNT(K22:M22)=0,COUNT(O22:Q22)=0,COUNT(S22:AC22)=0,AE22=""),"",(IF(COUNT(C22:E22)=0,0,SUMPRODUCT({5000,1000,500},C22:E22))+IF(COUNT(G22:I22)=0,0,SUMPRODUCT({5000,1000,500},G22:I22))+IF(COUNT(K22:M22)=0,0,SUMPRODUCT({5000,1000,500},K22:M22))+IF(COUNT(O22:Q22)=0,0,SUMPRODUCT({5000,1000,500},O22:Q22))+AD22)-N(AE22))</f>
        <v>45</v>
      </c>
      <c r="AG22" s="35" t="str">
        <f t="shared" si="0"/>
        <v>Excess</v>
      </c>
      <c r="AH22" s="38"/>
      <c r="AI22" s="36">
        <v>163877.17000000001</v>
      </c>
      <c r="AJ22" s="37">
        <v>163877.17000000001</v>
      </c>
      <c r="AK22" s="26">
        <f t="shared" si="1"/>
        <v>0</v>
      </c>
      <c r="AL22" s="25" t="str">
        <f t="shared" si="2"/>
        <v>Matched</v>
      </c>
      <c r="AM22" s="38"/>
    </row>
    <row r="23" spans="1:39" ht="12.75" customHeight="1" x14ac:dyDescent="0.25">
      <c r="A23" s="31">
        <v>50134</v>
      </c>
      <c r="B23" s="32" t="str">
        <f>IF(A23="","",VLOOKUP(A23,'Employee Database'!A:B,2,FALSE))</f>
        <v>Asif Abbas</v>
      </c>
      <c r="C23" s="31">
        <v>28</v>
      </c>
      <c r="D23" s="31">
        <v>48</v>
      </c>
      <c r="E23" s="31">
        <v>11</v>
      </c>
      <c r="F23" s="39">
        <f>IF(COUNT(C23:E23)=0,0,SUMPRODUCT({5000,1000,500},C23:E23))</f>
        <v>193500</v>
      </c>
      <c r="G23" s="31"/>
      <c r="H23" s="31"/>
      <c r="I23" s="31"/>
      <c r="J23" s="39">
        <f>IF(COUNT(G23:I23)=0,0,SUMPRODUCT({5000,1000,500},G23:I23))</f>
        <v>0</v>
      </c>
      <c r="K23" s="31"/>
      <c r="L23" s="31"/>
      <c r="M23" s="31"/>
      <c r="N23" s="39">
        <f>IF(COUNT(K23:M23)=0,0,SUMPRODUCT({5000,1000,500},K23:M23))</f>
        <v>0</v>
      </c>
      <c r="O23" s="31"/>
      <c r="P23" s="31"/>
      <c r="Q23" s="31"/>
      <c r="R23" s="39">
        <f>IF(COUNT(O23:Q23)=0,0,SUMPRODUCT({5000,1000,500},O23:Q23))</f>
        <v>0</v>
      </c>
      <c r="S23" s="31"/>
      <c r="T23" s="31"/>
      <c r="U23" s="31"/>
      <c r="V23" s="31">
        <v>14</v>
      </c>
      <c r="W23" s="31"/>
      <c r="X23" s="31">
        <v>124</v>
      </c>
      <c r="Y23" s="31"/>
      <c r="Z23" s="31">
        <v>80</v>
      </c>
      <c r="AA23" s="31"/>
      <c r="AB23" s="31"/>
      <c r="AC23" s="31"/>
      <c r="AD23" s="34">
        <f>IF(COUNT(S23:AC23)=0,0,SUMPRODUCT({5000,1000,500,100,75,50,20,10,5,2,1}, S23:AC23))</f>
        <v>8400</v>
      </c>
      <c r="AE23" s="33">
        <v>201885</v>
      </c>
      <c r="AF23" s="24">
        <f>IF(AND(COUNT(C23:E23)=0,COUNT(G23:I23)=0,COUNT(K23:M23)=0,COUNT(O23:Q23)=0,COUNT(S23:AC23)=0,AE23=""),"",(IF(COUNT(C23:E23)=0,0,SUMPRODUCT({5000,1000,500},C23:E23))+IF(COUNT(G23:I23)=0,0,SUMPRODUCT({5000,1000,500},G23:I23))+IF(COUNT(K23:M23)=0,0,SUMPRODUCT({5000,1000,500},K23:M23))+IF(COUNT(O23:Q23)=0,0,SUMPRODUCT({5000,1000,500},O23:Q23))+AD23)-N(AE23))</f>
        <v>15</v>
      </c>
      <c r="AG23" s="35" t="str">
        <f t="shared" si="0"/>
        <v>Excess</v>
      </c>
      <c r="AH23" s="38"/>
      <c r="AI23" s="36">
        <v>379427.55</v>
      </c>
      <c r="AJ23" s="37">
        <v>379427.55</v>
      </c>
      <c r="AK23" s="26">
        <f t="shared" si="1"/>
        <v>0</v>
      </c>
      <c r="AL23" s="25" t="str">
        <f t="shared" si="2"/>
        <v>Matched</v>
      </c>
      <c r="AM23" s="38"/>
    </row>
    <row r="24" spans="1:39" ht="12.75" customHeight="1" x14ac:dyDescent="0.25">
      <c r="A24" s="31">
        <v>55417</v>
      </c>
      <c r="B24" s="32" t="str">
        <f>IF(A24="","",VLOOKUP(A24,'Employee Database'!A:B,2,FALSE))</f>
        <v>M Imran</v>
      </c>
      <c r="C24" s="31"/>
      <c r="D24" s="31"/>
      <c r="E24" s="31"/>
      <c r="F24" s="39">
        <f>IF(COUNT(C24:E24)=0,0,SUMPRODUCT({5000,1000,500},C24:E24))</f>
        <v>0</v>
      </c>
      <c r="G24" s="31">
        <v>6</v>
      </c>
      <c r="H24" s="31">
        <v>13</v>
      </c>
      <c r="I24" s="31">
        <v>3</v>
      </c>
      <c r="J24" s="39">
        <f>IF(COUNT(G24:I24)=0,0,SUMPRODUCT({5000,1000,500},G24:I24))</f>
        <v>44500</v>
      </c>
      <c r="K24" s="31"/>
      <c r="L24" s="31"/>
      <c r="M24" s="31"/>
      <c r="N24" s="39">
        <f>IF(COUNT(K24:M24)=0,0,SUMPRODUCT({5000,1000,500},K24:M24))</f>
        <v>0</v>
      </c>
      <c r="O24" s="31"/>
      <c r="P24" s="31"/>
      <c r="Q24" s="31"/>
      <c r="R24" s="39">
        <f>IF(COUNT(O24:Q24)=0,0,SUMPRODUCT({5000,1000,500},O24:Q24))</f>
        <v>0</v>
      </c>
      <c r="S24" s="31"/>
      <c r="T24" s="31"/>
      <c r="U24" s="31"/>
      <c r="V24" s="31">
        <v>34</v>
      </c>
      <c r="W24" s="31"/>
      <c r="X24" s="31">
        <v>2</v>
      </c>
      <c r="Y24" s="31"/>
      <c r="Z24" s="31">
        <v>24</v>
      </c>
      <c r="AA24" s="31"/>
      <c r="AB24" s="31"/>
      <c r="AC24" s="31"/>
      <c r="AD24" s="34">
        <f>IF(COUNT(S24:AC24)=0,0,SUMPRODUCT({5000,1000,500,100,75,50,20,10,5,2,1}, S24:AC24))</f>
        <v>3740</v>
      </c>
      <c r="AE24" s="33">
        <v>48137</v>
      </c>
      <c r="AF24" s="24">
        <f>IF(AND(COUNT(C24:E24)=0,COUNT(G24:I24)=0,COUNT(K24:M24)=0,COUNT(O24:Q24)=0,COUNT(S24:AC24)=0,AE24=""),"",(IF(COUNT(C24:E24)=0,0,SUMPRODUCT({5000,1000,500},C24:E24))+IF(COUNT(G24:I24)=0,0,SUMPRODUCT({5000,1000,500},G24:I24))+IF(COUNT(K24:M24)=0,0,SUMPRODUCT({5000,1000,500},K24:M24))+IF(COUNT(O24:Q24)=0,0,SUMPRODUCT({5000,1000,500},O24:Q24))+AD24)-N(AE24))</f>
        <v>103</v>
      </c>
      <c r="AG24" s="35" t="str">
        <f t="shared" si="0"/>
        <v>Excess</v>
      </c>
      <c r="AH24" s="38"/>
      <c r="AI24" s="36">
        <v>39076.300000000003</v>
      </c>
      <c r="AJ24" s="37">
        <v>39076.300000000003</v>
      </c>
      <c r="AK24" s="26">
        <f t="shared" si="1"/>
        <v>0</v>
      </c>
      <c r="AL24" s="25" t="str">
        <f t="shared" si="2"/>
        <v>Matched</v>
      </c>
      <c r="AM24" s="38"/>
    </row>
    <row r="25" spans="1:39" ht="12.75" customHeight="1" x14ac:dyDescent="0.25">
      <c r="A25" s="31">
        <v>71788</v>
      </c>
      <c r="B25" s="32" t="str">
        <f>IF(A25="","",VLOOKUP(A25,'Employee Database'!A:B,2,FALSE))</f>
        <v>Saaim</v>
      </c>
      <c r="C25" s="31"/>
      <c r="D25" s="31"/>
      <c r="E25" s="31"/>
      <c r="F25" s="39">
        <f>IF(COUNT(C25:E25)=0,0,SUMPRODUCT({5000,1000,500},C25:E25))</f>
        <v>0</v>
      </c>
      <c r="G25" s="31">
        <v>19</v>
      </c>
      <c r="H25" s="31">
        <v>68</v>
      </c>
      <c r="I25" s="31">
        <v>3</v>
      </c>
      <c r="J25" s="39">
        <f>IF(COUNT(G25:I25)=0,0,SUMPRODUCT({5000,1000,500},G25:I25))</f>
        <v>164500</v>
      </c>
      <c r="K25" s="31"/>
      <c r="L25" s="31"/>
      <c r="M25" s="31"/>
      <c r="N25" s="39">
        <f>IF(COUNT(K25:M25)=0,0,SUMPRODUCT({5000,1000,500},K25:M25))</f>
        <v>0</v>
      </c>
      <c r="O25" s="31"/>
      <c r="P25" s="31"/>
      <c r="Q25" s="31"/>
      <c r="R25" s="39">
        <f>IF(COUNT(O25:Q25)=0,0,SUMPRODUCT({5000,1000,500},O25:Q25))</f>
        <v>0</v>
      </c>
      <c r="S25" s="31"/>
      <c r="T25" s="31"/>
      <c r="U25" s="31"/>
      <c r="V25" s="31">
        <v>5</v>
      </c>
      <c r="W25" s="31"/>
      <c r="X25" s="31"/>
      <c r="Y25" s="31"/>
      <c r="Z25" s="31">
        <v>66</v>
      </c>
      <c r="AA25" s="31"/>
      <c r="AB25" s="31"/>
      <c r="AC25" s="31"/>
      <c r="AD25" s="34">
        <f>IF(COUNT(S25:AC25)=0,0,SUMPRODUCT({5000,1000,500,100,75,50,20,10,5,2,1}, S25:AC25))</f>
        <v>1160</v>
      </c>
      <c r="AE25" s="33">
        <v>165540</v>
      </c>
      <c r="AF25" s="24">
        <f>IF(AND(COUNT(C25:E25)=0,COUNT(G25:I25)=0,COUNT(K25:M25)=0,COUNT(O25:Q25)=0,COUNT(S25:AC25)=0,AE25=""),"",(IF(COUNT(C25:E25)=0,0,SUMPRODUCT({5000,1000,500},C25:E25))+IF(COUNT(G25:I25)=0,0,SUMPRODUCT({5000,1000,500},G25:I25))+IF(COUNT(K25:M25)=0,0,SUMPRODUCT({5000,1000,500},K25:M25))+IF(COUNT(O25:Q25)=0,0,SUMPRODUCT({5000,1000,500},O25:Q25))+AD25)-N(AE25))</f>
        <v>120</v>
      </c>
      <c r="AG25" s="35" t="str">
        <f t="shared" si="0"/>
        <v>Excess</v>
      </c>
      <c r="AH25" s="38"/>
      <c r="AI25" s="36">
        <v>503849.19</v>
      </c>
      <c r="AJ25" s="37">
        <v>503849.19</v>
      </c>
      <c r="AK25" s="26">
        <f t="shared" si="1"/>
        <v>0</v>
      </c>
      <c r="AL25" s="25" t="str">
        <f t="shared" si="2"/>
        <v>Matched</v>
      </c>
      <c r="AM25" s="38"/>
    </row>
    <row r="26" spans="1:39" ht="12.75" customHeight="1" x14ac:dyDescent="0.25">
      <c r="A26" s="31">
        <v>50313</v>
      </c>
      <c r="B26" s="32" t="str">
        <f>IF(A26="","",VLOOKUP(A26,'Employee Database'!A:B,2,FALSE))</f>
        <v>Waseem Raza</v>
      </c>
      <c r="C26" s="31"/>
      <c r="D26" s="31"/>
      <c r="E26" s="31"/>
      <c r="F26" s="39">
        <f>IF(COUNT(C26:E26)=0,0,SUMPRODUCT({5000,1000,500},C26:E26))</f>
        <v>0</v>
      </c>
      <c r="G26" s="31"/>
      <c r="H26" s="31">
        <v>1</v>
      </c>
      <c r="I26" s="31"/>
      <c r="J26" s="39">
        <f>IF(COUNT(G26:I26)=0,0,SUMPRODUCT({5000,1000,500},G26:I26))</f>
        <v>1000</v>
      </c>
      <c r="K26" s="31"/>
      <c r="L26" s="31"/>
      <c r="M26" s="31"/>
      <c r="N26" s="39">
        <f>IF(COUNT(K26:M26)=0,0,SUMPRODUCT({5000,1000,500},K26:M26))</f>
        <v>0</v>
      </c>
      <c r="O26" s="31"/>
      <c r="P26" s="31"/>
      <c r="Q26" s="31"/>
      <c r="R26" s="39">
        <f>IF(COUNT(O26:Q26)=0,0,SUMPRODUCT({5000,1000,500},O26:Q26))</f>
        <v>0</v>
      </c>
      <c r="S26" s="31"/>
      <c r="T26" s="31"/>
      <c r="U26" s="31"/>
      <c r="V26" s="31"/>
      <c r="W26" s="31"/>
      <c r="X26" s="31">
        <v>2</v>
      </c>
      <c r="Y26" s="31"/>
      <c r="Z26" s="31"/>
      <c r="AA26" s="31"/>
      <c r="AB26" s="31"/>
      <c r="AC26" s="31"/>
      <c r="AD26" s="34">
        <f>IF(COUNT(S26:AC26)=0,0,SUMPRODUCT({5000,1000,500,100,75,50,20,10,5,2,1}, S26:AC26))</f>
        <v>100</v>
      </c>
      <c r="AE26" s="33">
        <v>1097</v>
      </c>
      <c r="AF26" s="24">
        <f>IF(AND(COUNT(C26:E26)=0,COUNT(G26:I26)=0,COUNT(K26:M26)=0,COUNT(O26:Q26)=0,COUNT(S26:AC26)=0,AE26=""),"",(IF(COUNT(C26:E26)=0,0,SUMPRODUCT({5000,1000,500},C26:E26))+IF(COUNT(G26:I26)=0,0,SUMPRODUCT({5000,1000,500},G26:I26))+IF(COUNT(K26:M26)=0,0,SUMPRODUCT({5000,1000,500},K26:M26))+IF(COUNT(O26:Q26)=0,0,SUMPRODUCT({5000,1000,500},O26:Q26))+AD26)-N(AE26))</f>
        <v>3</v>
      </c>
      <c r="AG26" s="35" t="str">
        <f t="shared" si="0"/>
        <v>Excess</v>
      </c>
      <c r="AH26" s="38"/>
      <c r="AI26" s="36"/>
      <c r="AJ26" s="37"/>
      <c r="AK26" s="26" t="str">
        <f t="shared" si="1"/>
        <v/>
      </c>
      <c r="AL26" s="25" t="str">
        <f t="shared" si="2"/>
        <v/>
      </c>
      <c r="AM26" s="38"/>
    </row>
    <row r="27" spans="1:39" ht="12.75" customHeight="1" x14ac:dyDescent="0.25">
      <c r="A27" s="31">
        <v>63599</v>
      </c>
      <c r="B27" s="32" t="str">
        <f>IF(A27="","",VLOOKUP(A27,'Employee Database'!A:B,2,FALSE))</f>
        <v>Hafsa</v>
      </c>
      <c r="C27" s="31"/>
      <c r="D27" s="31"/>
      <c r="E27" s="31"/>
      <c r="F27" s="39">
        <f>IF(COUNT(C27:E27)=0,0,SUMPRODUCT({5000,1000,500},C27:E27))</f>
        <v>0</v>
      </c>
      <c r="G27" s="31"/>
      <c r="H27" s="31"/>
      <c r="I27" s="31"/>
      <c r="J27" s="39">
        <f>IF(COUNT(G27:I27)=0,0,SUMPRODUCT({5000,1000,500},G27:I27))</f>
        <v>0</v>
      </c>
      <c r="K27" s="31"/>
      <c r="L27" s="31"/>
      <c r="M27" s="31"/>
      <c r="N27" s="39">
        <f>IF(COUNT(K27:M27)=0,0,SUMPRODUCT({5000,1000,500},K27:M27))</f>
        <v>0</v>
      </c>
      <c r="O27" s="31"/>
      <c r="P27" s="31"/>
      <c r="Q27" s="31"/>
      <c r="R27" s="39">
        <f>IF(COUNT(O27:Q27)=0,0,SUMPRODUCT({5000,1000,500},O27:Q27))</f>
        <v>0</v>
      </c>
      <c r="S27" s="31"/>
      <c r="T27" s="31"/>
      <c r="U27" s="31"/>
      <c r="V27" s="31"/>
      <c r="W27" s="31"/>
      <c r="X27" s="31">
        <v>62</v>
      </c>
      <c r="Y27" s="31"/>
      <c r="Z27" s="31">
        <v>102</v>
      </c>
      <c r="AA27" s="31"/>
      <c r="AB27" s="31"/>
      <c r="AC27" s="31"/>
      <c r="AD27" s="34">
        <f>IF(COUNT(S27:AC27)=0,0,SUMPRODUCT({5000,1000,500,100,75,50,20,10,5,2,1}, S27:AC27))</f>
        <v>4120</v>
      </c>
      <c r="AE27" s="33">
        <v>4101</v>
      </c>
      <c r="AF27" s="24">
        <f>IF(AND(COUNT(C27:E27)=0,COUNT(G27:I27)=0,COUNT(K27:M27)=0,COUNT(O27:Q27)=0,COUNT(S27:AC27)=0,AE27=""),"",(IF(COUNT(C27:E27)=0,0,SUMPRODUCT({5000,1000,500},C27:E27))+IF(COUNT(G27:I27)=0,0,SUMPRODUCT({5000,1000,500},G27:I27))+IF(COUNT(K27:M27)=0,0,SUMPRODUCT({5000,1000,500},K27:M27))+IF(COUNT(O27:Q27)=0,0,SUMPRODUCT({5000,1000,500},O27:Q27))+AD27)-N(AE27))</f>
        <v>19</v>
      </c>
      <c r="AG27" s="35" t="str">
        <f t="shared" si="0"/>
        <v>Excess</v>
      </c>
      <c r="AH27" s="38"/>
      <c r="AI27" s="36">
        <f>2475.25+238</f>
        <v>2713.25</v>
      </c>
      <c r="AJ27" s="37">
        <f>238+2475.25</f>
        <v>2713.25</v>
      </c>
      <c r="AK27" s="26">
        <f t="shared" si="1"/>
        <v>0</v>
      </c>
      <c r="AL27" s="25" t="str">
        <f t="shared" si="2"/>
        <v>Matched</v>
      </c>
      <c r="AM27" s="38"/>
    </row>
    <row r="28" spans="1:39" ht="12.75" customHeight="1" x14ac:dyDescent="0.25">
      <c r="A28" s="31"/>
      <c r="B28" s="32" t="str">
        <f>IF(A28="","",VLOOKUP(A28,'Employee Database'!A:B,2,FALSE))</f>
        <v/>
      </c>
      <c r="C28" s="31"/>
      <c r="D28" s="31"/>
      <c r="E28" s="31"/>
      <c r="F28" s="39">
        <f>IF(COUNT(C28:E28)=0,0,SUMPRODUCT({5000,1000,500},C28:E28))</f>
        <v>0</v>
      </c>
      <c r="G28" s="31"/>
      <c r="H28" s="31"/>
      <c r="I28" s="31"/>
      <c r="J28" s="39">
        <f>IF(COUNT(G28:I28)=0,0,SUMPRODUCT({5000,1000,500},G28:I28))</f>
        <v>0</v>
      </c>
      <c r="K28" s="31"/>
      <c r="L28" s="31"/>
      <c r="M28" s="31"/>
      <c r="N28" s="39">
        <f>IF(COUNT(K28:M28)=0,0,SUMPRODUCT({5000,1000,500},K28:M28))</f>
        <v>0</v>
      </c>
      <c r="O28" s="31"/>
      <c r="P28" s="31"/>
      <c r="Q28" s="31"/>
      <c r="R28" s="39">
        <f>IF(COUNT(O28:Q28)=0,0,SUMPRODUCT({5000,1000,500},O28:Q28))</f>
        <v>0</v>
      </c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4">
        <f>IF(COUNT(S28:AC28)=0,0,SUMPRODUCT({5000,1000,500,100,75,50,20,10,5,2,1}, S28:AC28))</f>
        <v>0</v>
      </c>
      <c r="AE28" s="33"/>
      <c r="AF28" s="24" t="str">
        <f>IF(AND(COUNT(C28:E28)=0,COUNT(G28:I28)=0,COUNT(K28:M28)=0,COUNT(O28:Q28)=0,COUNT(S28:AC28)=0,AE28=""),"",(IF(COUNT(C28:E28)=0,0,SUMPRODUCT({5000,1000,500},C28:E28))+IF(COUNT(G28:I28)=0,0,SUMPRODUCT({5000,1000,500},G28:I28))+IF(COUNT(K28:M28)=0,0,SUMPRODUCT({5000,1000,500},K28:M28))+IF(COUNT(O28:Q28)=0,0,SUMPRODUCT({5000,1000,500},O28:Q28))+AD28)-N(AE28))</f>
        <v/>
      </c>
      <c r="AG28" s="35" t="str">
        <f t="shared" si="0"/>
        <v/>
      </c>
      <c r="AH28" s="38"/>
      <c r="AI28" s="36"/>
      <c r="AJ28" s="37"/>
      <c r="AK28" s="26" t="str">
        <f t="shared" si="1"/>
        <v/>
      </c>
      <c r="AL28" s="25" t="str">
        <f t="shared" si="2"/>
        <v/>
      </c>
      <c r="AM28" s="38"/>
    </row>
    <row r="29" spans="1:39" ht="12.75" customHeight="1" x14ac:dyDescent="0.25">
      <c r="A29" s="31"/>
      <c r="B29" s="32" t="str">
        <f>IF(A29="","",VLOOKUP(A29,'Employee Database'!A:B,2,FALSE))</f>
        <v/>
      </c>
      <c r="C29" s="31"/>
      <c r="D29" s="31"/>
      <c r="E29" s="31"/>
      <c r="F29" s="39">
        <f>IF(COUNT(C29:E29)=0,0,SUMPRODUCT({5000,1000,500},C29:E29))</f>
        <v>0</v>
      </c>
      <c r="G29" s="31"/>
      <c r="H29" s="31"/>
      <c r="I29" s="31"/>
      <c r="J29" s="39">
        <f>IF(COUNT(G29:I29)=0,0,SUMPRODUCT({5000,1000,500},G29:I29))</f>
        <v>0</v>
      </c>
      <c r="K29" s="31"/>
      <c r="L29" s="31"/>
      <c r="M29" s="31"/>
      <c r="N29" s="39">
        <f>IF(COUNT(K29:M29)=0,0,SUMPRODUCT({5000,1000,500},K29:M29))</f>
        <v>0</v>
      </c>
      <c r="O29" s="31"/>
      <c r="P29" s="31"/>
      <c r="Q29" s="31"/>
      <c r="R29" s="39">
        <f>IF(COUNT(O29:Q29)=0,0,SUMPRODUCT({5000,1000,500},O29:Q29))</f>
        <v>0</v>
      </c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4">
        <f>IF(COUNT(S29:AC29)=0,0,SUMPRODUCT({5000,1000,500,100,75,50,20,10,5,2,1}, S29:AC29))</f>
        <v>0</v>
      </c>
      <c r="AE29" s="33"/>
      <c r="AF29" s="24" t="str">
        <f>IF(AND(COUNT(C29:E29)=0,COUNT(G29:I29)=0,COUNT(K29:M29)=0,COUNT(O29:Q29)=0,COUNT(S29:AC29)=0,AE29=""),"",(IF(COUNT(C29:E29)=0,0,SUMPRODUCT({5000,1000,500},C29:E29))+IF(COUNT(G29:I29)=0,0,SUMPRODUCT({5000,1000,500},G29:I29))+IF(COUNT(K29:M29)=0,0,SUMPRODUCT({5000,1000,500},K29:M29))+IF(COUNT(O29:Q29)=0,0,SUMPRODUCT({5000,1000,500},O29:Q29))+AD29)-N(AE29))</f>
        <v/>
      </c>
      <c r="AG29" s="35" t="str">
        <f t="shared" si="0"/>
        <v/>
      </c>
      <c r="AH29" s="38"/>
      <c r="AI29" s="36"/>
      <c r="AJ29" s="37"/>
      <c r="AK29" s="26" t="str">
        <f t="shared" si="1"/>
        <v/>
      </c>
      <c r="AL29" s="25" t="str">
        <f t="shared" si="2"/>
        <v/>
      </c>
      <c r="AM29" s="38"/>
    </row>
    <row r="30" spans="1:39" ht="12.75" customHeight="1" x14ac:dyDescent="0.25">
      <c r="A30" s="31"/>
      <c r="B30" s="32" t="str">
        <f>IF(A30="","",VLOOKUP(A30,'Employee Database'!A:B,2,FALSE))</f>
        <v/>
      </c>
      <c r="C30" s="31"/>
      <c r="D30" s="31"/>
      <c r="E30" s="31"/>
      <c r="F30" s="39">
        <f>IF(COUNT(C30:E30)=0,0,SUMPRODUCT({5000,1000,500},C30:E30))</f>
        <v>0</v>
      </c>
      <c r="G30" s="31"/>
      <c r="H30" s="31"/>
      <c r="I30" s="31"/>
      <c r="J30" s="39">
        <f>IF(COUNT(G30:I30)=0,0,SUMPRODUCT({5000,1000,500},G30:I30))</f>
        <v>0</v>
      </c>
      <c r="K30" s="31"/>
      <c r="L30" s="31"/>
      <c r="M30" s="31"/>
      <c r="N30" s="39">
        <f>IF(COUNT(K30:M30)=0,0,SUMPRODUCT({5000,1000,500},K30:M30))</f>
        <v>0</v>
      </c>
      <c r="O30" s="31"/>
      <c r="P30" s="31"/>
      <c r="Q30" s="31"/>
      <c r="R30" s="39">
        <f>IF(COUNT(O30:Q30)=0,0,SUMPRODUCT({5000,1000,500},O30:Q30))</f>
        <v>0</v>
      </c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4">
        <f>IF(COUNT(S30:AC30)=0,0,SUMPRODUCT({5000,1000,500,100,75,50,20,10,5,2,1}, S30:AC30))</f>
        <v>0</v>
      </c>
      <c r="AE30" s="33"/>
      <c r="AF30" s="24" t="str">
        <f>IF(AND(COUNT(C30:E30)=0,COUNT(G30:I30)=0,COUNT(K30:M30)=0,COUNT(O30:Q30)=0,COUNT(S30:AC30)=0,AE30=""),"",(IF(COUNT(C30:E30)=0,0,SUMPRODUCT({5000,1000,500},C30:E30))+IF(COUNT(G30:I30)=0,0,SUMPRODUCT({5000,1000,500},G30:I30))+IF(COUNT(K30:M30)=0,0,SUMPRODUCT({5000,1000,500},K30:M30))+IF(COUNT(O30:Q30)=0,0,SUMPRODUCT({5000,1000,500},O30:Q30))+AD30)-N(AE30))</f>
        <v/>
      </c>
      <c r="AG30" s="35" t="str">
        <f t="shared" si="0"/>
        <v/>
      </c>
      <c r="AH30" s="38"/>
      <c r="AI30" s="36"/>
      <c r="AJ30" s="37"/>
      <c r="AK30" s="26" t="str">
        <f t="shared" si="1"/>
        <v/>
      </c>
      <c r="AL30" s="25" t="str">
        <f t="shared" si="2"/>
        <v/>
      </c>
      <c r="AM30" s="38"/>
    </row>
    <row r="31" spans="1:39" ht="12.75" customHeight="1" x14ac:dyDescent="0.25">
      <c r="A31" s="31"/>
      <c r="B31" s="32" t="str">
        <f>IF(A31="","",VLOOKUP(A31,'Employee Database'!A:B,2,FALSE))</f>
        <v/>
      </c>
      <c r="C31" s="31"/>
      <c r="D31" s="31"/>
      <c r="E31" s="31"/>
      <c r="F31" s="39">
        <f>IF(COUNT(C31:E31)=0,0,SUMPRODUCT({5000,1000,500},C31:E31))</f>
        <v>0</v>
      </c>
      <c r="G31" s="31"/>
      <c r="H31" s="31"/>
      <c r="I31" s="31"/>
      <c r="J31" s="39">
        <f>IF(COUNT(G31:I31)=0,0,SUMPRODUCT({5000,1000,500},G31:I31))</f>
        <v>0</v>
      </c>
      <c r="K31" s="31"/>
      <c r="L31" s="31"/>
      <c r="M31" s="31"/>
      <c r="N31" s="39">
        <f>IF(COUNT(K31:M31)=0,0,SUMPRODUCT({5000,1000,500},K31:M31))</f>
        <v>0</v>
      </c>
      <c r="O31" s="31"/>
      <c r="P31" s="31"/>
      <c r="Q31" s="31"/>
      <c r="R31" s="39">
        <f>IF(COUNT(O31:Q31)=0,0,SUMPRODUCT({5000,1000,500},O31:Q31))</f>
        <v>0</v>
      </c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4">
        <f>IF(COUNT(S31:AC31)=0,0,SUMPRODUCT({5000,1000,500,100,75,50,20,10,5,2,1}, S31:AC31))</f>
        <v>0</v>
      </c>
      <c r="AE31" s="33"/>
      <c r="AF31" s="24" t="str">
        <f>IF(AND(COUNT(C31:E31)=0,COUNT(G31:I31)=0,COUNT(K31:M31)=0,COUNT(O31:Q31)=0,COUNT(S31:AC31)=0,AE31=""),"",(IF(COUNT(C31:E31)=0,0,SUMPRODUCT({5000,1000,500},C31:E31))+IF(COUNT(G31:I31)=0,0,SUMPRODUCT({5000,1000,500},G31:I31))+IF(COUNT(K31:M31)=0,0,SUMPRODUCT({5000,1000,500},K31:M31))+IF(COUNT(O31:Q31)=0,0,SUMPRODUCT({5000,1000,500},O31:Q31))+AD31)-N(AE31))</f>
        <v/>
      </c>
      <c r="AG31" s="35" t="str">
        <f t="shared" si="0"/>
        <v/>
      </c>
      <c r="AH31" s="38"/>
      <c r="AI31" s="36"/>
      <c r="AJ31" s="37"/>
      <c r="AK31" s="26" t="str">
        <f t="shared" si="1"/>
        <v/>
      </c>
      <c r="AL31" s="25" t="str">
        <f t="shared" si="2"/>
        <v/>
      </c>
      <c r="AM31" s="38"/>
    </row>
    <row r="32" spans="1:39" ht="12.75" customHeight="1" x14ac:dyDescent="0.25">
      <c r="A32" s="31"/>
      <c r="B32" s="32" t="str">
        <f>IF(A32="","",VLOOKUP(A32,'Employee Database'!A:B,2,FALSE))</f>
        <v/>
      </c>
      <c r="C32" s="31"/>
      <c r="D32" s="31"/>
      <c r="E32" s="31"/>
      <c r="F32" s="39">
        <f>IF(COUNT(C32:E32)=0,0,SUMPRODUCT({5000,1000,500},C32:E32))</f>
        <v>0</v>
      </c>
      <c r="G32" s="31"/>
      <c r="H32" s="31"/>
      <c r="I32" s="31"/>
      <c r="J32" s="39">
        <f>IF(COUNT(G32:I32)=0,0,SUMPRODUCT({5000,1000,500},G32:I32))</f>
        <v>0</v>
      </c>
      <c r="K32" s="31"/>
      <c r="L32" s="31"/>
      <c r="M32" s="31"/>
      <c r="N32" s="39">
        <f>IF(COUNT(K32:M32)=0,0,SUMPRODUCT({5000,1000,500},K32:M32))</f>
        <v>0</v>
      </c>
      <c r="O32" s="31"/>
      <c r="P32" s="31"/>
      <c r="Q32" s="31"/>
      <c r="R32" s="39">
        <f>IF(COUNT(O32:Q32)=0,0,SUMPRODUCT({5000,1000,500},O32:Q32))</f>
        <v>0</v>
      </c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4">
        <f>IF(COUNT(S32:AC32)=0,0,SUMPRODUCT({5000,1000,500,100,75,50,20,10,5,2,1}, S32:AC32))</f>
        <v>0</v>
      </c>
      <c r="AE32" s="33"/>
      <c r="AF32" s="24" t="str">
        <f>IF(AND(COUNT(C32:E32)=0,COUNT(G32:I32)=0,COUNT(K32:M32)=0,COUNT(O32:Q32)=0,COUNT(S32:AC32)=0,AE32=""),"",(IF(COUNT(C32:E32)=0,0,SUMPRODUCT({5000,1000,500},C32:E32))+IF(COUNT(G32:I32)=0,0,SUMPRODUCT({5000,1000,500},G32:I32))+IF(COUNT(K32:M32)=0,0,SUMPRODUCT({5000,1000,500},K32:M32))+IF(COUNT(O32:Q32)=0,0,SUMPRODUCT({5000,1000,500},O32:Q32))+AD32)-N(AE32))</f>
        <v/>
      </c>
      <c r="AG32" s="35" t="str">
        <f t="shared" si="0"/>
        <v/>
      </c>
      <c r="AH32" s="38"/>
      <c r="AI32" s="36"/>
      <c r="AJ32" s="37"/>
      <c r="AK32" s="26" t="str">
        <f t="shared" si="1"/>
        <v/>
      </c>
      <c r="AL32" s="25" t="str">
        <f t="shared" si="2"/>
        <v/>
      </c>
      <c r="AM32" s="38"/>
    </row>
    <row r="33" spans="1:39" ht="12.75" customHeight="1" x14ac:dyDescent="0.25">
      <c r="A33" s="31"/>
      <c r="B33" s="32" t="str">
        <f>IF(A33="","",VLOOKUP(A33,'Employee Database'!A:B,2,FALSE))</f>
        <v/>
      </c>
      <c r="C33" s="31"/>
      <c r="D33" s="31"/>
      <c r="E33" s="31"/>
      <c r="F33" s="39">
        <f>IF(COUNT(C33:E33)=0,0,SUMPRODUCT({5000,1000,500},C33:E33))</f>
        <v>0</v>
      </c>
      <c r="G33" s="31"/>
      <c r="H33" s="31"/>
      <c r="I33" s="31"/>
      <c r="J33" s="39">
        <f>IF(COUNT(G33:I33)=0,0,SUMPRODUCT({5000,1000,500},G33:I33))</f>
        <v>0</v>
      </c>
      <c r="K33" s="31"/>
      <c r="L33" s="31"/>
      <c r="M33" s="31"/>
      <c r="N33" s="39">
        <f>IF(COUNT(K33:M33)=0,0,SUMPRODUCT({5000,1000,500},K33:M33))</f>
        <v>0</v>
      </c>
      <c r="O33" s="31"/>
      <c r="P33" s="31"/>
      <c r="Q33" s="31"/>
      <c r="R33" s="39">
        <f>IF(COUNT(O33:Q33)=0,0,SUMPRODUCT({5000,1000,500},O33:Q33))</f>
        <v>0</v>
      </c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4">
        <f>IF(COUNT(S33:AC33)=0,0,SUMPRODUCT({5000,1000,500,100,75,50,20,10,5,2,1}, S33:AC33))</f>
        <v>0</v>
      </c>
      <c r="AE33" s="33"/>
      <c r="AF33" s="24" t="str">
        <f>IF(AND(COUNT(C33:E33)=0,COUNT(G33:I33)=0,COUNT(K33:M33)=0,COUNT(O33:Q33)=0,COUNT(S33:AC33)=0,AE33=""),"",(IF(COUNT(C33:E33)=0,0,SUMPRODUCT({5000,1000,500},C33:E33))+IF(COUNT(G33:I33)=0,0,SUMPRODUCT({5000,1000,500},G33:I33))+IF(COUNT(K33:M33)=0,0,SUMPRODUCT({5000,1000,500},K33:M33))+IF(COUNT(O33:Q33)=0,0,SUMPRODUCT({5000,1000,500},O33:Q33))+AD33)-N(AE33))</f>
        <v/>
      </c>
      <c r="AG33" s="35" t="str">
        <f t="shared" si="0"/>
        <v/>
      </c>
      <c r="AH33" s="38"/>
      <c r="AI33" s="36"/>
      <c r="AJ33" s="37"/>
      <c r="AK33" s="26" t="str">
        <f t="shared" si="1"/>
        <v/>
      </c>
      <c r="AL33" s="25" t="str">
        <f t="shared" si="2"/>
        <v/>
      </c>
      <c r="AM33" s="38"/>
    </row>
    <row r="34" spans="1:39" ht="12.75" customHeight="1" x14ac:dyDescent="0.25">
      <c r="A34" s="31"/>
      <c r="B34" s="32" t="str">
        <f>IF(A34="","",VLOOKUP(A34,'Employee Database'!A:B,2,FALSE))</f>
        <v/>
      </c>
      <c r="C34" s="31"/>
      <c r="D34" s="31"/>
      <c r="E34" s="31"/>
      <c r="F34" s="39">
        <f>IF(COUNT(C34:E34)=0,0,SUMPRODUCT({5000,1000,500},C34:E34))</f>
        <v>0</v>
      </c>
      <c r="G34" s="31"/>
      <c r="H34" s="31"/>
      <c r="I34" s="31"/>
      <c r="J34" s="39">
        <f>IF(COUNT(G34:I34)=0,0,SUMPRODUCT({5000,1000,500},G34:I34))</f>
        <v>0</v>
      </c>
      <c r="K34" s="31"/>
      <c r="L34" s="31"/>
      <c r="M34" s="31"/>
      <c r="N34" s="39">
        <f>IF(COUNT(K34:M34)=0,0,SUMPRODUCT({5000,1000,500},K34:M34))</f>
        <v>0</v>
      </c>
      <c r="O34" s="31"/>
      <c r="P34" s="31"/>
      <c r="Q34" s="31"/>
      <c r="R34" s="39">
        <f>IF(COUNT(O34:Q34)=0,0,SUMPRODUCT({5000,1000,500},O34:Q34))</f>
        <v>0</v>
      </c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4">
        <f>IF(COUNT(S34:AC34)=0,0,SUMPRODUCT({5000,1000,500,100,75,50,20,10,5,2,1}, S34:AC34))</f>
        <v>0</v>
      </c>
      <c r="AE34" s="33"/>
      <c r="AF34" s="24" t="str">
        <f>IF(AND(COUNT(C34:E34)=0,COUNT(G34:I34)=0,COUNT(K34:M34)=0,COUNT(O34:Q34)=0,COUNT(S34:AC34)=0,AE34=""),"",(IF(COUNT(C34:E34)=0,0,SUMPRODUCT({5000,1000,500},C34:E34))+IF(COUNT(G34:I34)=0,0,SUMPRODUCT({5000,1000,500},G34:I34))+IF(COUNT(K34:M34)=0,0,SUMPRODUCT({5000,1000,500},K34:M34))+IF(COUNT(O34:Q34)=0,0,SUMPRODUCT({5000,1000,500},O34:Q34))+AD34)-N(AE34))</f>
        <v/>
      </c>
      <c r="AG34" s="35" t="str">
        <f t="shared" si="0"/>
        <v/>
      </c>
      <c r="AH34" s="38"/>
      <c r="AI34" s="36"/>
      <c r="AJ34" s="37"/>
      <c r="AK34" s="26" t="str">
        <f t="shared" si="1"/>
        <v/>
      </c>
      <c r="AL34" s="25" t="str">
        <f t="shared" si="2"/>
        <v/>
      </c>
      <c r="AM34" s="38"/>
    </row>
    <row r="35" spans="1:39" ht="22.5" customHeight="1" x14ac:dyDescent="0.25">
      <c r="A35" s="27" t="s">
        <v>24</v>
      </c>
      <c r="B35" s="27" t="s">
        <v>24</v>
      </c>
      <c r="C35" s="28">
        <f t="shared" ref="C35:AF35" si="3">SUM(C5:C34)</f>
        <v>206</v>
      </c>
      <c r="D35" s="28">
        <f t="shared" si="3"/>
        <v>649</v>
      </c>
      <c r="E35" s="28">
        <f t="shared" si="3"/>
        <v>79</v>
      </c>
      <c r="F35" s="40">
        <f t="shared" si="3"/>
        <v>1718500</v>
      </c>
      <c r="G35" s="28">
        <f t="shared" si="3"/>
        <v>65</v>
      </c>
      <c r="H35" s="28">
        <f t="shared" si="3"/>
        <v>184</v>
      </c>
      <c r="I35" s="28">
        <f t="shared" si="3"/>
        <v>95</v>
      </c>
      <c r="J35" s="40">
        <f t="shared" si="3"/>
        <v>556500</v>
      </c>
      <c r="K35" s="28">
        <f t="shared" si="3"/>
        <v>0</v>
      </c>
      <c r="L35" s="28">
        <f t="shared" si="3"/>
        <v>0</v>
      </c>
      <c r="M35" s="28">
        <f t="shared" si="3"/>
        <v>0</v>
      </c>
      <c r="N35" s="40">
        <f t="shared" si="3"/>
        <v>0</v>
      </c>
      <c r="O35" s="28">
        <f t="shared" si="3"/>
        <v>0</v>
      </c>
      <c r="P35" s="28">
        <f t="shared" si="3"/>
        <v>0</v>
      </c>
      <c r="Q35" s="28">
        <f t="shared" si="3"/>
        <v>0</v>
      </c>
      <c r="R35" s="40">
        <f t="shared" si="3"/>
        <v>0</v>
      </c>
      <c r="S35" s="28">
        <f t="shared" si="3"/>
        <v>0</v>
      </c>
      <c r="T35" s="28">
        <f t="shared" si="3"/>
        <v>0</v>
      </c>
      <c r="U35" s="28">
        <f t="shared" si="3"/>
        <v>0</v>
      </c>
      <c r="V35" s="28">
        <f t="shared" si="3"/>
        <v>694</v>
      </c>
      <c r="W35" s="28">
        <f t="shared" si="3"/>
        <v>0</v>
      </c>
      <c r="X35" s="28">
        <f t="shared" si="3"/>
        <v>1121</v>
      </c>
      <c r="Y35" s="28">
        <f t="shared" si="3"/>
        <v>5</v>
      </c>
      <c r="Z35" s="28">
        <f t="shared" si="3"/>
        <v>1483</v>
      </c>
      <c r="AA35" s="28">
        <f t="shared" si="3"/>
        <v>0</v>
      </c>
      <c r="AB35" s="28">
        <f t="shared" si="3"/>
        <v>1</v>
      </c>
      <c r="AC35" s="28">
        <f t="shared" si="3"/>
        <v>0</v>
      </c>
      <c r="AD35" s="40">
        <f t="shared" si="3"/>
        <v>140382</v>
      </c>
      <c r="AE35" s="41">
        <f t="shared" si="3"/>
        <v>2414940.04</v>
      </c>
      <c r="AF35" s="29">
        <f t="shared" si="3"/>
        <v>441.96000000000276</v>
      </c>
      <c r="AG35" s="27" t="s">
        <v>24</v>
      </c>
      <c r="AH35" s="27" t="s">
        <v>24</v>
      </c>
      <c r="AI35" s="28">
        <f>SUM(AI5:AI34)</f>
        <v>5959403.6900000004</v>
      </c>
      <c r="AJ35" s="28">
        <f>SUM(AJ5:AJ34)</f>
        <v>5959403.6900000004</v>
      </c>
      <c r="AK35" s="28">
        <f>SUM(AK5:AK34)</f>
        <v>1.4551915228366852E-11</v>
      </c>
      <c r="AL35" s="28">
        <f>AJ35+AE35</f>
        <v>8374343.7300000004</v>
      </c>
      <c r="AM35" s="28">
        <f>SUM(AM5:AM34)</f>
        <v>0</v>
      </c>
    </row>
  </sheetData>
  <sheetProtection algorithmName="SHA-512" hashValue="aZkodqfSnhoZRyvODjzlVAd4aoYqvhCBm9POX4BhPN7h9fSjdf+dFBvvT8Aexsv3ui2R3lD2k93jODwe3WlkXw==" saltValue="8ukURUbBwRB0qZsoGI7Sjw==" spinCount="100000" sheet="1" objects="1" scenarios="1"/>
  <mergeCells count="9">
    <mergeCell ref="S3:AC3"/>
    <mergeCell ref="AD3:AG3"/>
    <mergeCell ref="AH3:AM3"/>
    <mergeCell ref="A1:B1"/>
    <mergeCell ref="A3:B3"/>
    <mergeCell ref="C3:F3"/>
    <mergeCell ref="G3:J3"/>
    <mergeCell ref="K3:N3"/>
    <mergeCell ref="O3:R3"/>
  </mergeCells>
  <conditionalFormatting sqref="A5">
    <cfRule type="duplicateValues" dxfId="147" priority="3"/>
    <cfRule type="duplicateValues" dxfId="146" priority="4"/>
  </conditionalFormatting>
  <conditionalFormatting sqref="A6">
    <cfRule type="duplicateValues" dxfId="145" priority="5"/>
    <cfRule type="duplicateValues" dxfId="144" priority="6"/>
  </conditionalFormatting>
  <conditionalFormatting sqref="A7:A34">
    <cfRule type="duplicateValues" dxfId="143" priority="1"/>
    <cfRule type="duplicateValues" dxfId="142" priority="2"/>
  </conditionalFormatting>
  <conditionalFormatting sqref="A35">
    <cfRule type="duplicateValues" dxfId="141" priority="7"/>
  </conditionalFormatting>
  <dataValidations count="1">
    <dataValidation type="list" allowBlank="1" showInputMessage="1" showErrorMessage="1" sqref="A1:B1" xr:uid="{00000000-0002-0000-0C00-000000000000}">
      <formula1>Locations</formula1>
    </dataValidation>
  </dataValidations>
  <pageMargins left="0.75" right="0.75" top="1" bottom="1" header="0.5" footer="0.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tabColor rgb="FFFF0000"/>
  </sheetPr>
  <dimension ref="A1:AM36"/>
  <sheetViews>
    <sheetView showGridLines="0" topLeftCell="A8" zoomScale="85" zoomScaleNormal="85" workbookViewId="0">
      <pane xSplit="2" topLeftCell="P1" activePane="topRight" state="frozen"/>
      <selection activeCell="A4" sqref="A4"/>
      <selection pane="topRight" activeCell="AE5" sqref="AE5:AE35"/>
    </sheetView>
  </sheetViews>
  <sheetFormatPr defaultRowHeight="15" x14ac:dyDescent="0.25"/>
  <cols>
    <col min="1" max="1" width="11.85546875" customWidth="1"/>
    <col min="2" max="2" width="20.5703125" customWidth="1"/>
    <col min="6" max="6" width="14.42578125" bestFit="1" customWidth="1"/>
    <col min="10" max="10" width="14.42578125" bestFit="1" customWidth="1"/>
    <col min="14" max="14" width="14.42578125" bestFit="1" customWidth="1"/>
    <col min="18" max="18" width="14.42578125" bestFit="1" customWidth="1"/>
    <col min="30" max="31" width="18" customWidth="1"/>
    <col min="32" max="32" width="20" customWidth="1"/>
    <col min="33" max="33" width="14" customWidth="1"/>
    <col min="35" max="35" width="18" customWidth="1"/>
    <col min="36" max="36" width="22" customWidth="1"/>
    <col min="37" max="37" width="16" customWidth="1"/>
    <col min="38" max="38" width="14" customWidth="1"/>
  </cols>
  <sheetData>
    <row r="1" spans="1:39" ht="43.5" customHeight="1" x14ac:dyDescent="0.25">
      <c r="A1" s="48" t="s">
        <v>306</v>
      </c>
      <c r="B1" s="48"/>
    </row>
    <row r="2" spans="1:39" ht="13.5" customHeight="1" x14ac:dyDescent="0.25">
      <c r="A2" s="30">
        <f>'11'!A2+1</f>
        <v>46215</v>
      </c>
    </row>
    <row r="3" spans="1:39" ht="24" customHeight="1" x14ac:dyDescent="0.25">
      <c r="A3" s="49" t="s">
        <v>0</v>
      </c>
      <c r="B3" s="49"/>
      <c r="C3" s="49" t="s">
        <v>93</v>
      </c>
      <c r="D3" s="50"/>
      <c r="E3" s="50"/>
      <c r="F3" s="50"/>
      <c r="G3" s="49" t="s">
        <v>94</v>
      </c>
      <c r="H3" s="50"/>
      <c r="I3" s="50"/>
      <c r="J3" s="50"/>
      <c r="K3" s="49" t="s">
        <v>95</v>
      </c>
      <c r="L3" s="50"/>
      <c r="M3" s="50"/>
      <c r="N3" s="50"/>
      <c r="O3" s="49" t="s">
        <v>96</v>
      </c>
      <c r="P3" s="50"/>
      <c r="Q3" s="50"/>
      <c r="R3" s="50"/>
      <c r="S3" s="45" t="s">
        <v>1</v>
      </c>
      <c r="T3" s="46"/>
      <c r="U3" s="46"/>
      <c r="V3" s="46"/>
      <c r="W3" s="46"/>
      <c r="X3" s="46"/>
      <c r="Y3" s="46"/>
      <c r="Z3" s="46"/>
      <c r="AA3" s="46"/>
      <c r="AB3" s="46"/>
      <c r="AC3" s="46"/>
      <c r="AD3" s="47" t="s">
        <v>97</v>
      </c>
      <c r="AE3" s="46"/>
      <c r="AF3" s="46"/>
      <c r="AG3" s="46"/>
      <c r="AH3" s="47" t="s">
        <v>98</v>
      </c>
      <c r="AI3" s="46"/>
      <c r="AJ3" s="46"/>
      <c r="AK3" s="46"/>
      <c r="AL3" s="46"/>
      <c r="AM3" s="46"/>
    </row>
    <row r="4" spans="1:39" ht="27.95" customHeight="1" x14ac:dyDescent="0.25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92</v>
      </c>
      <c r="G4" s="1" t="s">
        <v>5</v>
      </c>
      <c r="H4" s="1" t="s">
        <v>6</v>
      </c>
      <c r="I4" s="1" t="s">
        <v>7</v>
      </c>
      <c r="J4" s="1" t="s">
        <v>92</v>
      </c>
      <c r="K4" s="1" t="s">
        <v>5</v>
      </c>
      <c r="L4" s="1" t="s">
        <v>6</v>
      </c>
      <c r="M4" s="1" t="s">
        <v>7</v>
      </c>
      <c r="N4" s="1" t="s">
        <v>92</v>
      </c>
      <c r="O4" s="1" t="s">
        <v>5</v>
      </c>
      <c r="P4" s="1" t="s">
        <v>6</v>
      </c>
      <c r="Q4" s="1" t="s">
        <v>7</v>
      </c>
      <c r="R4" s="1" t="s">
        <v>92</v>
      </c>
      <c r="S4" s="1" t="s">
        <v>5</v>
      </c>
      <c r="T4" s="1" t="s">
        <v>6</v>
      </c>
      <c r="U4" s="1" t="s">
        <v>7</v>
      </c>
      <c r="V4" s="1" t="s">
        <v>8</v>
      </c>
      <c r="W4" s="1" t="s">
        <v>9</v>
      </c>
      <c r="X4" s="1" t="s">
        <v>10</v>
      </c>
      <c r="Y4" s="1" t="s">
        <v>11</v>
      </c>
      <c r="Z4" s="1" t="s">
        <v>12</v>
      </c>
      <c r="AA4" s="1" t="s">
        <v>13</v>
      </c>
      <c r="AB4" s="1" t="s">
        <v>14</v>
      </c>
      <c r="AC4" s="1" t="s">
        <v>15</v>
      </c>
      <c r="AD4" s="1" t="s">
        <v>16</v>
      </c>
      <c r="AE4" s="1" t="s">
        <v>17</v>
      </c>
      <c r="AF4" s="1" t="s">
        <v>18</v>
      </c>
      <c r="AG4" s="1" t="s">
        <v>19</v>
      </c>
      <c r="AH4" s="1" t="s">
        <v>20</v>
      </c>
      <c r="AI4" s="4" t="s">
        <v>99</v>
      </c>
      <c r="AJ4" s="1" t="s">
        <v>21</v>
      </c>
      <c r="AK4" s="1" t="s">
        <v>22</v>
      </c>
      <c r="AL4" s="1" t="s">
        <v>23</v>
      </c>
      <c r="AM4" s="4" t="s">
        <v>100</v>
      </c>
    </row>
    <row r="5" spans="1:39" ht="12.75" customHeight="1" x14ac:dyDescent="0.25">
      <c r="A5" s="31">
        <v>65299</v>
      </c>
      <c r="B5" s="32" t="str">
        <f>IF(A5="","",VLOOKUP(A5,'Employee Database'!A:B,2,FALSE))</f>
        <v>M Faisal</v>
      </c>
      <c r="C5" s="31">
        <v>40</v>
      </c>
      <c r="D5" s="31">
        <v>83</v>
      </c>
      <c r="E5" s="31">
        <v>1</v>
      </c>
      <c r="F5" s="39">
        <f>IF(COUNT(C5:E5)=0,0,SUMPRODUCT({5000,1000,500},C5:E5))</f>
        <v>283500</v>
      </c>
      <c r="G5" s="31"/>
      <c r="H5" s="31"/>
      <c r="I5" s="31"/>
      <c r="J5" s="39">
        <f>IF(COUNT(G5:I5)=0,0,SUMPRODUCT({5000,1000,500},G5:I5))</f>
        <v>0</v>
      </c>
      <c r="K5" s="31"/>
      <c r="L5" s="31"/>
      <c r="M5" s="31"/>
      <c r="N5" s="39">
        <f>IF(COUNT(K5:M5)=0,0,SUMPRODUCT({5000,1000,500},K5:M5))</f>
        <v>0</v>
      </c>
      <c r="O5" s="31"/>
      <c r="P5" s="31"/>
      <c r="Q5" s="31"/>
      <c r="R5" s="39">
        <f>IF(COUNT(O5:Q5)=0,0,SUMPRODUCT({5000,1000,500},O5:Q5))</f>
        <v>0</v>
      </c>
      <c r="S5" s="31"/>
      <c r="T5" s="31"/>
      <c r="U5" s="31"/>
      <c r="V5" s="31">
        <v>2</v>
      </c>
      <c r="W5" s="31"/>
      <c r="X5" s="31">
        <v>67</v>
      </c>
      <c r="Y5" s="31"/>
      <c r="Z5" s="31">
        <v>14</v>
      </c>
      <c r="AA5" s="31"/>
      <c r="AB5" s="31"/>
      <c r="AC5" s="31"/>
      <c r="AD5" s="34">
        <f>IF(COUNT(S5:AC5)=0,0,SUMPRODUCT({5000,1000,500,100,75,50,20,10,5,2,1}, S5:AC5))</f>
        <v>3690</v>
      </c>
      <c r="AE5" s="33">
        <v>287199</v>
      </c>
      <c r="AF5" s="24">
        <f>IF(AND(COUNT(C5:E5)=0,COUNT(G5:I5)=0,COUNT(K5:M5)=0,COUNT(O5:Q5)=0,COUNT(S5:AC5)=0,AE5=""),"",(IF(COUNT(C5:E5)=0,0,SUMPRODUCT({5000,1000,500},C5:E5))+IF(COUNT(G5:I5)=0,0,SUMPRODUCT({5000,1000,500},G5:I5))+IF(COUNT(K5:M5)=0,0,SUMPRODUCT({5000,1000,500},K5:M5))+IF(COUNT(O5:Q5)=0,0,SUMPRODUCT({5000,1000,500},O5:Q5))+AD5)-N(AE5))</f>
        <v>-9</v>
      </c>
      <c r="AG5" s="35" t="str">
        <f t="shared" ref="AG5:AG35" si="0">IF(AF5="","",IF(AF5&gt;0,"Excess",IF(AF5&lt;0,"Short","Balanced")))</f>
        <v>Short</v>
      </c>
      <c r="AH5" s="38"/>
      <c r="AI5" s="36">
        <f>24785+365683</f>
        <v>390468</v>
      </c>
      <c r="AJ5" s="37">
        <f>365683+24785</f>
        <v>390468</v>
      </c>
      <c r="AK5" s="26">
        <f t="shared" ref="AK5:AK35" si="1">IF(AND(AI5="",AJ5=""),"",N(AI5)-N(AJ5))</f>
        <v>0</v>
      </c>
      <c r="AL5" s="25" t="str">
        <f t="shared" ref="AL5:AL35" si="2">IF(AK5="","",IF(AK5&gt;0,"POS Excess",IF(AK5&lt;0,"Bank Short","Matched")))</f>
        <v>Matched</v>
      </c>
      <c r="AM5" s="38"/>
    </row>
    <row r="6" spans="1:39" ht="12.75" customHeight="1" x14ac:dyDescent="0.25">
      <c r="A6" s="31">
        <v>58112</v>
      </c>
      <c r="B6" s="32" t="str">
        <f>IF(A6="","",VLOOKUP(A6,'Employee Database'!A:B,2,FALSE))</f>
        <v>Shama</v>
      </c>
      <c r="C6" s="31">
        <v>81</v>
      </c>
      <c r="D6" s="31">
        <v>156</v>
      </c>
      <c r="E6" s="31">
        <v>9</v>
      </c>
      <c r="F6" s="39">
        <f>IF(COUNT(C6:E6)=0,0,SUMPRODUCT({5000,1000,500},C6:E6))</f>
        <v>565500</v>
      </c>
      <c r="G6" s="31"/>
      <c r="H6" s="31"/>
      <c r="I6" s="31"/>
      <c r="J6" s="39">
        <f>IF(COUNT(G6:I6)=0,0,SUMPRODUCT({5000,1000,500},G6:I6))</f>
        <v>0</v>
      </c>
      <c r="K6" s="31"/>
      <c r="L6" s="31"/>
      <c r="M6" s="31"/>
      <c r="N6" s="39">
        <f>IF(COUNT(K6:M6)=0,0,SUMPRODUCT({5000,1000,500},K6:M6))</f>
        <v>0</v>
      </c>
      <c r="O6" s="31"/>
      <c r="P6" s="31"/>
      <c r="Q6" s="31"/>
      <c r="R6" s="39">
        <f>IF(COUNT(O6:Q6)=0,0,SUMPRODUCT({5000,1000,500},O6:Q6))</f>
        <v>0</v>
      </c>
      <c r="S6" s="31"/>
      <c r="T6" s="31"/>
      <c r="U6" s="31"/>
      <c r="V6" s="31">
        <v>24</v>
      </c>
      <c r="W6" s="31"/>
      <c r="X6" s="31">
        <v>57</v>
      </c>
      <c r="Y6" s="31">
        <v>1</v>
      </c>
      <c r="Z6" s="31">
        <v>22</v>
      </c>
      <c r="AA6" s="31"/>
      <c r="AB6" s="31"/>
      <c r="AC6" s="31"/>
      <c r="AD6" s="34">
        <f>IF(COUNT(S6:AC6)=0,0,SUMPRODUCT({5000,1000,500,100,75,50,20,10,5,2,1}, S6:AC6))</f>
        <v>5490</v>
      </c>
      <c r="AE6" s="33">
        <v>571058</v>
      </c>
      <c r="AF6" s="24">
        <f>IF(AND(COUNT(C6:E6)=0,COUNT(G6:I6)=0,COUNT(K6:M6)=0,COUNT(O6:Q6)=0,COUNT(S6:AC6)=0,AE6=""),"",(IF(COUNT(C6:E6)=0,0,SUMPRODUCT({5000,1000,500},C6:E6))+IF(COUNT(G6:I6)=0,0,SUMPRODUCT({5000,1000,500},G6:I6))+IF(COUNT(K6:M6)=0,0,SUMPRODUCT({5000,1000,500},K6:M6))+IF(COUNT(O6:Q6)=0,0,SUMPRODUCT({5000,1000,500},O6:Q6))+AD6)-N(AE6))</f>
        <v>-68</v>
      </c>
      <c r="AG6" s="35" t="str">
        <f t="shared" si="0"/>
        <v>Short</v>
      </c>
      <c r="AH6" s="38"/>
      <c r="AI6" s="36">
        <v>914658</v>
      </c>
      <c r="AJ6" s="37">
        <f>528215+386442+1</f>
        <v>914658</v>
      </c>
      <c r="AK6" s="26">
        <f t="shared" si="1"/>
        <v>0</v>
      </c>
      <c r="AL6" s="25" t="str">
        <f t="shared" si="2"/>
        <v>Matched</v>
      </c>
      <c r="AM6" s="38"/>
    </row>
    <row r="7" spans="1:39" ht="12.75" customHeight="1" x14ac:dyDescent="0.25">
      <c r="A7" s="31">
        <v>56189</v>
      </c>
      <c r="B7" s="32" t="str">
        <f>IF(A7="","",VLOOKUP(A7,'Employee Database'!A:B,2,FALSE))</f>
        <v>Iffat Sultan</v>
      </c>
      <c r="C7" s="31">
        <v>16</v>
      </c>
      <c r="D7" s="31">
        <v>146</v>
      </c>
      <c r="E7" s="31">
        <v>68</v>
      </c>
      <c r="F7" s="39">
        <f>IF(COUNT(C7:E7)=0,0,SUMPRODUCT({5000,1000,500},C7:E7))</f>
        <v>260000</v>
      </c>
      <c r="G7" s="31"/>
      <c r="H7" s="31"/>
      <c r="I7" s="31"/>
      <c r="J7" s="39">
        <f>IF(COUNT(G7:I7)=0,0,SUMPRODUCT({5000,1000,500},G7:I7))</f>
        <v>0</v>
      </c>
      <c r="K7" s="31"/>
      <c r="L7" s="31"/>
      <c r="M7" s="31"/>
      <c r="N7" s="39">
        <f>IF(COUNT(K7:M7)=0,0,SUMPRODUCT({5000,1000,500},K7:M7))</f>
        <v>0</v>
      </c>
      <c r="O7" s="31"/>
      <c r="P7" s="31"/>
      <c r="Q7" s="31"/>
      <c r="R7" s="39">
        <f>IF(COUNT(O7:Q7)=0,0,SUMPRODUCT({5000,1000,500},O7:Q7))</f>
        <v>0</v>
      </c>
      <c r="S7" s="31"/>
      <c r="T7" s="31"/>
      <c r="U7" s="31"/>
      <c r="V7" s="31">
        <v>2</v>
      </c>
      <c r="W7" s="31"/>
      <c r="X7" s="31">
        <v>31</v>
      </c>
      <c r="Y7" s="31"/>
      <c r="Z7" s="31">
        <v>5</v>
      </c>
      <c r="AA7" s="31"/>
      <c r="AB7" s="31"/>
      <c r="AC7" s="31"/>
      <c r="AD7" s="34">
        <f>IF(COUNT(S7:AC7)=0,0,SUMPRODUCT({5000,1000,500,100,75,50,20,10,5,2,1}, S7:AC7))</f>
        <v>1800</v>
      </c>
      <c r="AE7" s="33">
        <v>261827</v>
      </c>
      <c r="AF7" s="24">
        <f>IF(AND(COUNT(C7:E7)=0,COUNT(G7:I7)=0,COUNT(K7:M7)=0,COUNT(O7:Q7)=0,COUNT(S7:AC7)=0,AE7=""),"",(IF(COUNT(C7:E7)=0,0,SUMPRODUCT({5000,1000,500},C7:E7))+IF(COUNT(G7:I7)=0,0,SUMPRODUCT({5000,1000,500},G7:I7))+IF(COUNT(K7:M7)=0,0,SUMPRODUCT({5000,1000,500},K7:M7))+IF(COUNT(O7:Q7)=0,0,SUMPRODUCT({5000,1000,500},O7:Q7))+AD7)-N(AE7))</f>
        <v>-27</v>
      </c>
      <c r="AG7" s="35" t="str">
        <f t="shared" si="0"/>
        <v>Short</v>
      </c>
      <c r="AH7" s="38"/>
      <c r="AI7" s="36">
        <f>5425+386678+141033</f>
        <v>533136</v>
      </c>
      <c r="AJ7" s="37">
        <f>386678+5425+141033</f>
        <v>533136</v>
      </c>
      <c r="AK7" s="26">
        <f t="shared" si="1"/>
        <v>0</v>
      </c>
      <c r="AL7" s="25" t="str">
        <f t="shared" si="2"/>
        <v>Matched</v>
      </c>
      <c r="AM7" s="38"/>
    </row>
    <row r="8" spans="1:39" ht="12.75" customHeight="1" x14ac:dyDescent="0.25">
      <c r="A8" s="31">
        <v>68107</v>
      </c>
      <c r="B8" s="32" t="str">
        <f>IF(A8="","",VLOOKUP(A8,'Employee Database'!A:B,2,FALSE))</f>
        <v>M Harris</v>
      </c>
      <c r="C8" s="31">
        <f>35+7</f>
        <v>42</v>
      </c>
      <c r="D8" s="31">
        <f>3+161</f>
        <v>164</v>
      </c>
      <c r="E8" s="31">
        <f>31+10</f>
        <v>41</v>
      </c>
      <c r="F8" s="39">
        <f>IF(COUNT(C8:E8)=0,0,SUMPRODUCT({5000,1000,500},C8:E8))</f>
        <v>394500</v>
      </c>
      <c r="G8" s="31"/>
      <c r="H8" s="31"/>
      <c r="I8" s="31"/>
      <c r="J8" s="39">
        <f>IF(COUNT(G8:I8)=0,0,SUMPRODUCT({5000,1000,500},G8:I8))</f>
        <v>0</v>
      </c>
      <c r="K8" s="31"/>
      <c r="L8" s="31"/>
      <c r="M8" s="31"/>
      <c r="N8" s="39">
        <f>IF(COUNT(K8:M8)=0,0,SUMPRODUCT({5000,1000,500},K8:M8))</f>
        <v>0</v>
      </c>
      <c r="O8" s="31"/>
      <c r="P8" s="31"/>
      <c r="Q8" s="31"/>
      <c r="R8" s="39">
        <f>IF(COUNT(O8:Q8)=0,0,SUMPRODUCT({5000,1000,500},O8:Q8))</f>
        <v>0</v>
      </c>
      <c r="S8" s="31"/>
      <c r="T8" s="31"/>
      <c r="U8" s="31"/>
      <c r="V8" s="31">
        <v>6</v>
      </c>
      <c r="W8" s="31"/>
      <c r="X8" s="31">
        <v>71</v>
      </c>
      <c r="Y8" s="31">
        <v>1</v>
      </c>
      <c r="Z8" s="31">
        <v>17</v>
      </c>
      <c r="AA8" s="31"/>
      <c r="AB8" s="31"/>
      <c r="AC8" s="31"/>
      <c r="AD8" s="34">
        <f>IF(COUNT(S8:AC8)=0,0,SUMPRODUCT({5000,1000,500,100,75,50,20,10,5,2,1}, S8:AC8))</f>
        <v>4340</v>
      </c>
      <c r="AE8" s="33">
        <v>398804</v>
      </c>
      <c r="AF8" s="24">
        <f>IF(AND(COUNT(C8:E8)=0,COUNT(G8:I8)=0,COUNT(K8:M8)=0,COUNT(O8:Q8)=0,COUNT(S8:AC8)=0,AE8=""),"",(IF(COUNT(C8:E8)=0,0,SUMPRODUCT({5000,1000,500},C8:E8))+IF(COUNT(G8:I8)=0,0,SUMPRODUCT({5000,1000,500},G8:I8))+IF(COUNT(K8:M8)=0,0,SUMPRODUCT({5000,1000,500},K8:M8))+IF(COUNT(O8:Q8)=0,0,SUMPRODUCT({5000,1000,500},O8:Q8))+AD8)-N(AE8))</f>
        <v>36</v>
      </c>
      <c r="AG8" s="35" t="str">
        <f t="shared" si="0"/>
        <v>Excess</v>
      </c>
      <c r="AH8" s="38"/>
      <c r="AI8" s="36">
        <f>191349+277354</f>
        <v>468703</v>
      </c>
      <c r="AJ8" s="37">
        <f>277354+191349</f>
        <v>468703</v>
      </c>
      <c r="AK8" s="26">
        <f t="shared" si="1"/>
        <v>0</v>
      </c>
      <c r="AL8" s="25" t="str">
        <f t="shared" si="2"/>
        <v>Matched</v>
      </c>
      <c r="AM8" s="38"/>
    </row>
    <row r="9" spans="1:39" ht="12.75" customHeight="1" x14ac:dyDescent="0.25">
      <c r="A9" s="31">
        <v>67249</v>
      </c>
      <c r="B9" s="32" t="str">
        <f>IF(A9="","",VLOOKUP(A9,'Employee Database'!A:B,2,FALSE))</f>
        <v>Hanan Javaid</v>
      </c>
      <c r="C9" s="31">
        <v>11</v>
      </c>
      <c r="D9" s="31">
        <v>157</v>
      </c>
      <c r="E9" s="31">
        <v>6</v>
      </c>
      <c r="F9" s="39">
        <f>IF(COUNT(C9:E9)=0,0,SUMPRODUCT({5000,1000,500},C9:E9))</f>
        <v>215000</v>
      </c>
      <c r="G9" s="31"/>
      <c r="H9" s="31"/>
      <c r="I9" s="31"/>
      <c r="J9" s="39">
        <f>IF(COUNT(G9:I9)=0,0,SUMPRODUCT({5000,1000,500},G9:I9))</f>
        <v>0</v>
      </c>
      <c r="K9" s="31"/>
      <c r="L9" s="31"/>
      <c r="M9" s="31"/>
      <c r="N9" s="39">
        <f>IF(COUNT(K9:M9)=0,0,SUMPRODUCT({5000,1000,500},K9:M9))</f>
        <v>0</v>
      </c>
      <c r="O9" s="31"/>
      <c r="P9" s="31"/>
      <c r="Q9" s="31"/>
      <c r="R9" s="39">
        <f>IF(COUNT(O9:Q9)=0,0,SUMPRODUCT({5000,1000,500},O9:Q9))</f>
        <v>0</v>
      </c>
      <c r="S9" s="31"/>
      <c r="T9" s="31"/>
      <c r="U9" s="31"/>
      <c r="V9" s="31">
        <v>3</v>
      </c>
      <c r="W9" s="31"/>
      <c r="X9" s="31">
        <v>15</v>
      </c>
      <c r="Y9" s="31"/>
      <c r="Z9" s="31">
        <v>26</v>
      </c>
      <c r="AA9" s="31"/>
      <c r="AB9" s="31"/>
      <c r="AC9" s="31"/>
      <c r="AD9" s="34">
        <f>IF(COUNT(S9:AC9)=0,0,SUMPRODUCT({5000,1000,500,100,75,50,20,10,5,2,1}, S9:AC9))</f>
        <v>1310</v>
      </c>
      <c r="AE9" s="33">
        <v>216321</v>
      </c>
      <c r="AF9" s="24">
        <f>IF(AND(COUNT(C9:E9)=0,COUNT(G9:I9)=0,COUNT(K9:M9)=0,COUNT(O9:Q9)=0,COUNT(S9:AC9)=0,AE9=""),"",(IF(COUNT(C9:E9)=0,0,SUMPRODUCT({5000,1000,500},C9:E9))+IF(COUNT(G9:I9)=0,0,SUMPRODUCT({5000,1000,500},G9:I9))+IF(COUNT(K9:M9)=0,0,SUMPRODUCT({5000,1000,500},K9:M9))+IF(COUNT(O9:Q9)=0,0,SUMPRODUCT({5000,1000,500},O9:Q9))+AD9)-N(AE9))</f>
        <v>-11</v>
      </c>
      <c r="AG9" s="35" t="str">
        <f t="shared" si="0"/>
        <v>Short</v>
      </c>
      <c r="AH9" s="38"/>
      <c r="AI9" s="36">
        <f>285127+35282</f>
        <v>320409</v>
      </c>
      <c r="AJ9" s="37">
        <f>285127+35282</f>
        <v>320409</v>
      </c>
      <c r="AK9" s="26">
        <f t="shared" si="1"/>
        <v>0</v>
      </c>
      <c r="AL9" s="25" t="str">
        <f t="shared" si="2"/>
        <v>Matched</v>
      </c>
      <c r="AM9" s="38"/>
    </row>
    <row r="10" spans="1:39" ht="12.75" customHeight="1" x14ac:dyDescent="0.25">
      <c r="A10" s="31">
        <v>72873</v>
      </c>
      <c r="B10" s="32" t="str">
        <f>IF(A10="","",VLOOKUP(A10,'Employee Database'!A:B,2,FALSE))</f>
        <v>M Shajee</v>
      </c>
      <c r="C10" s="31">
        <v>46</v>
      </c>
      <c r="D10" s="31">
        <v>167</v>
      </c>
      <c r="E10" s="31">
        <v>78</v>
      </c>
      <c r="F10" s="39">
        <f>IF(COUNT(C10:E10)=0,0,SUMPRODUCT({5000,1000,500},C10:E10))</f>
        <v>436000</v>
      </c>
      <c r="G10" s="31"/>
      <c r="H10" s="31"/>
      <c r="I10" s="31"/>
      <c r="J10" s="39">
        <f>IF(COUNT(G10:I10)=0,0,SUMPRODUCT({5000,1000,500},G10:I10))</f>
        <v>0</v>
      </c>
      <c r="K10" s="31"/>
      <c r="L10" s="31"/>
      <c r="M10" s="31"/>
      <c r="N10" s="39">
        <f>IF(COUNT(K10:M10)=0,0,SUMPRODUCT({5000,1000,500},K10:M10))</f>
        <v>0</v>
      </c>
      <c r="O10" s="31"/>
      <c r="P10" s="31"/>
      <c r="Q10" s="31"/>
      <c r="R10" s="39">
        <f>IF(COUNT(O10:Q10)=0,0,SUMPRODUCT({5000,1000,500},O10:Q10))</f>
        <v>0</v>
      </c>
      <c r="S10" s="31"/>
      <c r="T10" s="31"/>
      <c r="U10" s="31"/>
      <c r="V10" s="31"/>
      <c r="W10" s="31"/>
      <c r="X10" s="31">
        <v>23</v>
      </c>
      <c r="Y10" s="31"/>
      <c r="Z10" s="31">
        <v>20</v>
      </c>
      <c r="AA10" s="31"/>
      <c r="AB10" s="31"/>
      <c r="AC10" s="31"/>
      <c r="AD10" s="34">
        <f>IF(COUNT(S10:AC10)=0,0,SUMPRODUCT({5000,1000,500,100,75,50,20,10,5,2,1}, S10:AC10))</f>
        <v>1350</v>
      </c>
      <c r="AE10" s="33">
        <v>437296</v>
      </c>
      <c r="AF10" s="24">
        <f>IF(AND(COUNT(C10:E10)=0,COUNT(G10:I10)=0,COUNT(K10:M10)=0,COUNT(O10:Q10)=0,COUNT(S10:AC10)=0,AE10=""),"",(IF(COUNT(C10:E10)=0,0,SUMPRODUCT({5000,1000,500},C10:E10))+IF(COUNT(G10:I10)=0,0,SUMPRODUCT({5000,1000,500},G10:I10))+IF(COUNT(K10:M10)=0,0,SUMPRODUCT({5000,1000,500},K10:M10))+IF(COUNT(O10:Q10)=0,0,SUMPRODUCT({5000,1000,500},O10:Q10))+AD10)-N(AE10))</f>
        <v>54</v>
      </c>
      <c r="AG10" s="35" t="str">
        <f t="shared" si="0"/>
        <v>Excess</v>
      </c>
      <c r="AH10" s="38"/>
      <c r="AI10" s="36">
        <v>674304</v>
      </c>
      <c r="AJ10" s="37">
        <f>403644+270659+1</f>
        <v>674304</v>
      </c>
      <c r="AK10" s="26">
        <f t="shared" si="1"/>
        <v>0</v>
      </c>
      <c r="AL10" s="25" t="str">
        <f t="shared" si="2"/>
        <v>Matched</v>
      </c>
      <c r="AM10" s="38"/>
    </row>
    <row r="11" spans="1:39" ht="12.75" customHeight="1" x14ac:dyDescent="0.25">
      <c r="A11" s="31">
        <v>77423</v>
      </c>
      <c r="B11" s="32" t="str">
        <f>IF(A11="","",VLOOKUP(A11,'Employee Database'!A:B,2,FALSE))</f>
        <v>Shoaib Akhtar</v>
      </c>
      <c r="C11" s="31">
        <v>8</v>
      </c>
      <c r="D11" s="31">
        <v>36</v>
      </c>
      <c r="E11" s="31">
        <v>5</v>
      </c>
      <c r="F11" s="39">
        <f>IF(COUNT(C11:E11)=0,0,SUMPRODUCT({5000,1000,500},C11:E11))</f>
        <v>78500</v>
      </c>
      <c r="G11" s="31"/>
      <c r="H11" s="31"/>
      <c r="I11" s="31"/>
      <c r="J11" s="39">
        <f>IF(COUNT(G11:I11)=0,0,SUMPRODUCT({5000,1000,500},G11:I11))</f>
        <v>0</v>
      </c>
      <c r="K11" s="31"/>
      <c r="L11" s="31"/>
      <c r="M11" s="31"/>
      <c r="N11" s="39">
        <f>IF(COUNT(K11:M11)=0,0,SUMPRODUCT({5000,1000,500},K11:M11))</f>
        <v>0</v>
      </c>
      <c r="O11" s="31"/>
      <c r="P11" s="31"/>
      <c r="Q11" s="31"/>
      <c r="R11" s="39">
        <f>IF(COUNT(O11:Q11)=0,0,SUMPRODUCT({5000,1000,500},O11:Q11))</f>
        <v>0</v>
      </c>
      <c r="S11" s="31"/>
      <c r="T11" s="31"/>
      <c r="U11" s="31"/>
      <c r="V11" s="31">
        <v>1</v>
      </c>
      <c r="W11" s="31"/>
      <c r="X11" s="31">
        <v>10</v>
      </c>
      <c r="Y11" s="31"/>
      <c r="Z11" s="31">
        <v>36</v>
      </c>
      <c r="AA11" s="31"/>
      <c r="AB11" s="31"/>
      <c r="AC11" s="31"/>
      <c r="AD11" s="34">
        <f>IF(COUNT(S11:AC11)=0,0,SUMPRODUCT({5000,1000,500,100,75,50,20,10,5,2,1}, S11:AC11))</f>
        <v>960</v>
      </c>
      <c r="AE11" s="33">
        <v>79395</v>
      </c>
      <c r="AF11" s="24">
        <f>IF(AND(COUNT(C11:E11)=0,COUNT(G11:I11)=0,COUNT(K11:M11)=0,COUNT(O11:Q11)=0,COUNT(S11:AC11)=0,AE11=""),"",(IF(COUNT(C11:E11)=0,0,SUMPRODUCT({5000,1000,500},C11:E11))+IF(COUNT(G11:I11)=0,0,SUMPRODUCT({5000,1000,500},G11:I11))+IF(COUNT(K11:M11)=0,0,SUMPRODUCT({5000,1000,500},K11:M11))+IF(COUNT(O11:Q11)=0,0,SUMPRODUCT({5000,1000,500},O11:Q11))+AD11)-N(AE11))</f>
        <v>65</v>
      </c>
      <c r="AG11" s="35" t="str">
        <f t="shared" si="0"/>
        <v>Excess</v>
      </c>
      <c r="AH11" s="38"/>
      <c r="AI11" s="36">
        <v>41704</v>
      </c>
      <c r="AJ11" s="37">
        <f>21347+20357</f>
        <v>41704</v>
      </c>
      <c r="AK11" s="26">
        <f t="shared" si="1"/>
        <v>0</v>
      </c>
      <c r="AL11" s="25" t="str">
        <f t="shared" si="2"/>
        <v>Matched</v>
      </c>
      <c r="AM11" s="38"/>
    </row>
    <row r="12" spans="1:39" ht="12.75" customHeight="1" x14ac:dyDescent="0.25">
      <c r="A12" s="31">
        <v>57653</v>
      </c>
      <c r="B12" s="32" t="str">
        <f>IF(A12="","",VLOOKUP(A12,'Employee Database'!A:B,2,FALSE))</f>
        <v>Amanat ali</v>
      </c>
      <c r="C12" s="31">
        <v>51</v>
      </c>
      <c r="D12" s="31">
        <v>113</v>
      </c>
      <c r="E12" s="31">
        <v>20</v>
      </c>
      <c r="F12" s="39">
        <f>IF(COUNT(C12:E12)=0,0,SUMPRODUCT({5000,1000,500},C12:E12))</f>
        <v>378000</v>
      </c>
      <c r="G12" s="31"/>
      <c r="H12" s="31"/>
      <c r="I12" s="31"/>
      <c r="J12" s="39">
        <f>IF(COUNT(G12:I12)=0,0,SUMPRODUCT({5000,1000,500},G12:I12))</f>
        <v>0</v>
      </c>
      <c r="K12" s="31"/>
      <c r="L12" s="31"/>
      <c r="M12" s="31"/>
      <c r="N12" s="39">
        <f>IF(COUNT(K12:M12)=0,0,SUMPRODUCT({5000,1000,500},K12:M12))</f>
        <v>0</v>
      </c>
      <c r="O12" s="31"/>
      <c r="P12" s="31"/>
      <c r="Q12" s="31"/>
      <c r="R12" s="39">
        <f>IF(COUNT(O12:Q12)=0,0,SUMPRODUCT({5000,1000,500},O12:Q12))</f>
        <v>0</v>
      </c>
      <c r="S12" s="31"/>
      <c r="T12" s="31"/>
      <c r="U12" s="31"/>
      <c r="V12" s="31">
        <v>5</v>
      </c>
      <c r="W12" s="31"/>
      <c r="X12" s="31">
        <v>10</v>
      </c>
      <c r="Y12" s="31">
        <v>2</v>
      </c>
      <c r="Z12" s="31">
        <v>63</v>
      </c>
      <c r="AA12" s="31"/>
      <c r="AB12" s="31"/>
      <c r="AC12" s="31"/>
      <c r="AD12" s="34">
        <f>IF(COUNT(S12:AC12)=0,0,SUMPRODUCT({5000,1000,500,100,75,50,20,10,5,2,1}, S12:AC12))</f>
        <v>1670</v>
      </c>
      <c r="AE12" s="33">
        <v>379664</v>
      </c>
      <c r="AF12" s="24">
        <f>IF(AND(COUNT(C12:E12)=0,COUNT(G12:I12)=0,COUNT(K12:M12)=0,COUNT(O12:Q12)=0,COUNT(S12:AC12)=0,AE12=""),"",(IF(COUNT(C12:E12)=0,0,SUMPRODUCT({5000,1000,500},C12:E12))+IF(COUNT(G12:I12)=0,0,SUMPRODUCT({5000,1000,500},G12:I12))+IF(COUNT(K12:M12)=0,0,SUMPRODUCT({5000,1000,500},K12:M12))+IF(COUNT(O12:Q12)=0,0,SUMPRODUCT({5000,1000,500},O12:Q12))+AD12)-N(AE12))</f>
        <v>6</v>
      </c>
      <c r="AG12" s="35" t="str">
        <f t="shared" si="0"/>
        <v>Excess</v>
      </c>
      <c r="AH12" s="38"/>
      <c r="AI12" s="36">
        <v>364447</v>
      </c>
      <c r="AJ12" s="37">
        <f>174291+190156</f>
        <v>364447</v>
      </c>
      <c r="AK12" s="26">
        <f t="shared" si="1"/>
        <v>0</v>
      </c>
      <c r="AL12" s="25" t="str">
        <f t="shared" si="2"/>
        <v>Matched</v>
      </c>
      <c r="AM12" s="38"/>
    </row>
    <row r="13" spans="1:39" ht="12.75" customHeight="1" x14ac:dyDescent="0.25">
      <c r="A13" s="31">
        <v>73196</v>
      </c>
      <c r="B13" s="32" t="str">
        <f>IF(A13="","",VLOOKUP(A13,'Employee Database'!A:B,2,FALSE))</f>
        <v>Asma</v>
      </c>
      <c r="C13" s="31">
        <v>40</v>
      </c>
      <c r="D13" s="31">
        <v>144</v>
      </c>
      <c r="E13" s="31">
        <v>15</v>
      </c>
      <c r="F13" s="39">
        <f>IF(COUNT(C13:E13)=0,0,SUMPRODUCT({5000,1000,500},C13:E13))</f>
        <v>351500</v>
      </c>
      <c r="G13" s="31"/>
      <c r="H13" s="31"/>
      <c r="I13" s="31"/>
      <c r="J13" s="39">
        <f>IF(COUNT(G13:I13)=0,0,SUMPRODUCT({5000,1000,500},G13:I13))</f>
        <v>0</v>
      </c>
      <c r="K13" s="31"/>
      <c r="L13" s="31"/>
      <c r="M13" s="31"/>
      <c r="N13" s="39">
        <f>IF(COUNT(K13:M13)=0,0,SUMPRODUCT({5000,1000,500},K13:M13))</f>
        <v>0</v>
      </c>
      <c r="O13" s="31"/>
      <c r="P13" s="31"/>
      <c r="Q13" s="31"/>
      <c r="R13" s="39">
        <f>IF(COUNT(O13:Q13)=0,0,SUMPRODUCT({5000,1000,500},O13:Q13))</f>
        <v>0</v>
      </c>
      <c r="S13" s="31"/>
      <c r="T13" s="31"/>
      <c r="U13" s="31"/>
      <c r="V13" s="31">
        <v>17</v>
      </c>
      <c r="W13" s="31"/>
      <c r="X13" s="31">
        <v>13</v>
      </c>
      <c r="Y13" s="31"/>
      <c r="Z13" s="31">
        <v>30</v>
      </c>
      <c r="AA13" s="31"/>
      <c r="AB13" s="31"/>
      <c r="AC13" s="31"/>
      <c r="AD13" s="34">
        <f>IF(COUNT(S13:AC13)=0,0,SUMPRODUCT({5000,1000,500,100,75,50,20,10,5,2,1}, S13:AC13))</f>
        <v>2650</v>
      </c>
      <c r="AE13" s="33">
        <v>354246</v>
      </c>
      <c r="AF13" s="24">
        <f>IF(AND(COUNT(C13:E13)=0,COUNT(G13:I13)=0,COUNT(K13:M13)=0,COUNT(O13:Q13)=0,COUNT(S13:AC13)=0,AE13=""),"",(IF(COUNT(C13:E13)=0,0,SUMPRODUCT({5000,1000,500},C13:E13))+IF(COUNT(G13:I13)=0,0,SUMPRODUCT({5000,1000,500},G13:I13))+IF(COUNT(K13:M13)=0,0,SUMPRODUCT({5000,1000,500},K13:M13))+IF(COUNT(O13:Q13)=0,0,SUMPRODUCT({5000,1000,500},O13:Q13))+AD13)-N(AE13))</f>
        <v>-96</v>
      </c>
      <c r="AG13" s="35" t="str">
        <f t="shared" si="0"/>
        <v>Short</v>
      </c>
      <c r="AH13" s="38"/>
      <c r="AI13" s="36">
        <v>1086060</v>
      </c>
      <c r="AJ13" s="37">
        <f>524077+561983</f>
        <v>1086060</v>
      </c>
      <c r="AK13" s="26">
        <f t="shared" si="1"/>
        <v>0</v>
      </c>
      <c r="AL13" s="25" t="str">
        <f t="shared" si="2"/>
        <v>Matched</v>
      </c>
      <c r="AM13" s="38"/>
    </row>
    <row r="14" spans="1:39" ht="12.75" customHeight="1" x14ac:dyDescent="0.25">
      <c r="A14" s="31">
        <v>59257</v>
      </c>
      <c r="B14" s="32" t="str">
        <f>IF(A14="","",VLOOKUP(A14,'Employee Database'!A:B,2,FALSE))</f>
        <v>Saddiqa Maryam</v>
      </c>
      <c r="C14" s="31">
        <v>7</v>
      </c>
      <c r="D14" s="31">
        <v>38</v>
      </c>
      <c r="E14" s="31">
        <v>8</v>
      </c>
      <c r="F14" s="39">
        <f>IF(COUNT(C14:E14)=0,0,SUMPRODUCT({5000,1000,500},C14:E14))</f>
        <v>77000</v>
      </c>
      <c r="G14" s="31"/>
      <c r="H14" s="31"/>
      <c r="I14" s="31"/>
      <c r="J14" s="39">
        <f>IF(COUNT(G14:I14)=0,0,SUMPRODUCT({5000,1000,500},G14:I14))</f>
        <v>0</v>
      </c>
      <c r="K14" s="31"/>
      <c r="L14" s="31"/>
      <c r="M14" s="31"/>
      <c r="N14" s="39">
        <f>IF(COUNT(K14:M14)=0,0,SUMPRODUCT({5000,1000,500},K14:M14))</f>
        <v>0</v>
      </c>
      <c r="O14" s="31"/>
      <c r="P14" s="31"/>
      <c r="Q14" s="31"/>
      <c r="R14" s="39">
        <f>IF(COUNT(O14:Q14)=0,0,SUMPRODUCT({5000,1000,500},O14:Q14))</f>
        <v>0</v>
      </c>
      <c r="S14" s="31"/>
      <c r="T14" s="31"/>
      <c r="U14" s="31"/>
      <c r="V14" s="31">
        <v>21</v>
      </c>
      <c r="W14" s="31"/>
      <c r="X14" s="31">
        <v>47</v>
      </c>
      <c r="Y14" s="31"/>
      <c r="Z14" s="31">
        <v>49</v>
      </c>
      <c r="AA14" s="31"/>
      <c r="AB14" s="31"/>
      <c r="AC14" s="31"/>
      <c r="AD14" s="34">
        <f>IF(COUNT(S14:AC14)=0,0,SUMPRODUCT({5000,1000,500,100,75,50,20,10,5,2,1}, S14:AC14))</f>
        <v>4940</v>
      </c>
      <c r="AE14" s="33">
        <v>82050</v>
      </c>
      <c r="AF14" s="24">
        <f>IF(AND(COUNT(C14:E14)=0,COUNT(G14:I14)=0,COUNT(K14:M14)=0,COUNT(O14:Q14)=0,COUNT(S14:AC14)=0,AE14=""),"",(IF(COUNT(C14:E14)=0,0,SUMPRODUCT({5000,1000,500},C14:E14))+IF(COUNT(G14:I14)=0,0,SUMPRODUCT({5000,1000,500},G14:I14))+IF(COUNT(K14:M14)=0,0,SUMPRODUCT({5000,1000,500},K14:M14))+IF(COUNT(O14:Q14)=0,0,SUMPRODUCT({5000,1000,500},O14:Q14))+AD14)-N(AE14))</f>
        <v>-110</v>
      </c>
      <c r="AG14" s="35" t="str">
        <f t="shared" si="0"/>
        <v>Short</v>
      </c>
      <c r="AH14" s="38"/>
      <c r="AI14" s="36">
        <f>94980+15788</f>
        <v>110768</v>
      </c>
      <c r="AJ14" s="37">
        <f>79772+15788+15208</f>
        <v>110768</v>
      </c>
      <c r="AK14" s="26">
        <f t="shared" si="1"/>
        <v>0</v>
      </c>
      <c r="AL14" s="25" t="str">
        <f t="shared" si="2"/>
        <v>Matched</v>
      </c>
      <c r="AM14" s="38"/>
    </row>
    <row r="15" spans="1:39" ht="12.75" customHeight="1" x14ac:dyDescent="0.25">
      <c r="A15" s="31">
        <v>63854</v>
      </c>
      <c r="B15" s="32" t="str">
        <f>IF(A15="","",VLOOKUP(A15,'Employee Database'!A:B,2,FALSE))</f>
        <v>Maham</v>
      </c>
      <c r="C15" s="31">
        <v>58</v>
      </c>
      <c r="D15" s="31">
        <v>110</v>
      </c>
      <c r="E15" s="31">
        <v>47</v>
      </c>
      <c r="F15" s="39">
        <f>IF(COUNT(C15:E15)=0,0,SUMPRODUCT({5000,1000,500},C15:E15))</f>
        <v>423500</v>
      </c>
      <c r="G15" s="31"/>
      <c r="H15" s="31"/>
      <c r="I15" s="31"/>
      <c r="J15" s="39">
        <f>IF(COUNT(G15:I15)=0,0,SUMPRODUCT({5000,1000,500},G15:I15))</f>
        <v>0</v>
      </c>
      <c r="K15" s="31"/>
      <c r="L15" s="31"/>
      <c r="M15" s="31"/>
      <c r="N15" s="39">
        <f>IF(COUNT(K15:M15)=0,0,SUMPRODUCT({5000,1000,500},K15:M15))</f>
        <v>0</v>
      </c>
      <c r="O15" s="31"/>
      <c r="P15" s="31"/>
      <c r="Q15" s="31"/>
      <c r="R15" s="39">
        <f>IF(COUNT(O15:Q15)=0,0,SUMPRODUCT({5000,1000,500},O15:Q15))</f>
        <v>0</v>
      </c>
      <c r="S15" s="31"/>
      <c r="T15" s="31"/>
      <c r="U15" s="31"/>
      <c r="V15" s="31">
        <v>4</v>
      </c>
      <c r="W15" s="31"/>
      <c r="X15" s="31">
        <v>4</v>
      </c>
      <c r="Y15" s="31"/>
      <c r="Z15" s="31">
        <v>23</v>
      </c>
      <c r="AA15" s="31"/>
      <c r="AB15" s="31"/>
      <c r="AC15" s="31"/>
      <c r="AD15" s="34">
        <f>IF(COUNT(S15:AC15)=0,0,SUMPRODUCT({5000,1000,500,100,75,50,20,10,5,2,1}, S15:AC15))</f>
        <v>830</v>
      </c>
      <c r="AE15" s="33">
        <v>424383</v>
      </c>
      <c r="AF15" s="24">
        <f>IF(AND(COUNT(C15:E15)=0,COUNT(G15:I15)=0,COUNT(K15:M15)=0,COUNT(O15:Q15)=0,COUNT(S15:AC15)=0,AE15=""),"",(IF(COUNT(C15:E15)=0,0,SUMPRODUCT({5000,1000,500},C15:E15))+IF(COUNT(G15:I15)=0,0,SUMPRODUCT({5000,1000,500},G15:I15))+IF(COUNT(K15:M15)=0,0,SUMPRODUCT({5000,1000,500},K15:M15))+IF(COUNT(O15:Q15)=0,0,SUMPRODUCT({5000,1000,500},O15:Q15))+AD15)-N(AE15))</f>
        <v>-53</v>
      </c>
      <c r="AG15" s="35" t="str">
        <f t="shared" si="0"/>
        <v>Short</v>
      </c>
      <c r="AH15" s="38"/>
      <c r="AI15" s="36">
        <f>671332+45727</f>
        <v>717059</v>
      </c>
      <c r="AJ15" s="37">
        <f>388965+282367+45727</f>
        <v>717059</v>
      </c>
      <c r="AK15" s="26">
        <f t="shared" si="1"/>
        <v>0</v>
      </c>
      <c r="AL15" s="25" t="str">
        <f t="shared" si="2"/>
        <v>Matched</v>
      </c>
      <c r="AM15" s="38"/>
    </row>
    <row r="16" spans="1:39" ht="12.75" customHeight="1" x14ac:dyDescent="0.25">
      <c r="A16" s="31">
        <v>71205</v>
      </c>
      <c r="B16" s="32" t="str">
        <f>IF(A16="","",VLOOKUP(A16,'Employee Database'!A:B,2,FALSE))</f>
        <v>M Yaqoob</v>
      </c>
      <c r="C16" s="31">
        <v>14</v>
      </c>
      <c r="D16" s="31">
        <v>71</v>
      </c>
      <c r="E16" s="31">
        <v>12</v>
      </c>
      <c r="F16" s="39">
        <f>IF(COUNT(C16:E16)=0,0,SUMPRODUCT({5000,1000,500},C16:E16))</f>
        <v>147000</v>
      </c>
      <c r="G16" s="31"/>
      <c r="H16" s="31"/>
      <c r="I16" s="31"/>
      <c r="J16" s="39">
        <f>IF(COUNT(G16:I16)=0,0,SUMPRODUCT({5000,1000,500},G16:I16))</f>
        <v>0</v>
      </c>
      <c r="K16" s="31"/>
      <c r="L16" s="31"/>
      <c r="M16" s="31"/>
      <c r="N16" s="39">
        <f>IF(COUNT(K16:M16)=0,0,SUMPRODUCT({5000,1000,500},K16:M16))</f>
        <v>0</v>
      </c>
      <c r="O16" s="31"/>
      <c r="P16" s="31"/>
      <c r="Q16" s="31"/>
      <c r="R16" s="39">
        <f>IF(COUNT(O16:Q16)=0,0,SUMPRODUCT({5000,1000,500},O16:Q16))</f>
        <v>0</v>
      </c>
      <c r="S16" s="31"/>
      <c r="T16" s="31"/>
      <c r="U16" s="31"/>
      <c r="V16" s="31">
        <v>22</v>
      </c>
      <c r="W16" s="31"/>
      <c r="X16" s="31">
        <v>75</v>
      </c>
      <c r="Y16" s="31"/>
      <c r="Z16" s="31">
        <v>95</v>
      </c>
      <c r="AA16" s="31"/>
      <c r="AB16" s="31"/>
      <c r="AC16" s="31"/>
      <c r="AD16" s="34">
        <f>IF(COUNT(S16:AC16)=0,0,SUMPRODUCT({5000,1000,500,100,75,50,20,10,5,2,1}, S16:AC16))</f>
        <v>6900</v>
      </c>
      <c r="AE16" s="33">
        <v>153875</v>
      </c>
      <c r="AF16" s="24">
        <f>IF(AND(COUNT(C16:E16)=0,COUNT(G16:I16)=0,COUNT(K16:M16)=0,COUNT(O16:Q16)=0,COUNT(S16:AC16)=0,AE16=""),"",(IF(COUNT(C16:E16)=0,0,SUMPRODUCT({5000,1000,500},C16:E16))+IF(COUNT(G16:I16)=0,0,SUMPRODUCT({5000,1000,500},G16:I16))+IF(COUNT(K16:M16)=0,0,SUMPRODUCT({5000,1000,500},K16:M16))+IF(COUNT(O16:Q16)=0,0,SUMPRODUCT({5000,1000,500},O16:Q16))+AD16)-N(AE16))</f>
        <v>25</v>
      </c>
      <c r="AG16" s="35" t="str">
        <f t="shared" si="0"/>
        <v>Excess</v>
      </c>
      <c r="AH16" s="38"/>
      <c r="AI16" s="36">
        <f>193315+70790+268359</f>
        <v>532464</v>
      </c>
      <c r="AJ16" s="37">
        <f>70790+193315+268359</f>
        <v>532464</v>
      </c>
      <c r="AK16" s="26">
        <f t="shared" si="1"/>
        <v>0</v>
      </c>
      <c r="AL16" s="25" t="str">
        <f t="shared" si="2"/>
        <v>Matched</v>
      </c>
      <c r="AM16" s="38"/>
    </row>
    <row r="17" spans="1:39" ht="12.75" customHeight="1" x14ac:dyDescent="0.25">
      <c r="A17" s="31">
        <v>69732</v>
      </c>
      <c r="B17" s="32" t="str">
        <f>IF(A17="","",VLOOKUP(A17,'Employee Database'!A:B,2,FALSE))</f>
        <v>Abdul Hafeez</v>
      </c>
      <c r="C17" s="31"/>
      <c r="D17" s="31"/>
      <c r="E17" s="31"/>
      <c r="F17" s="39">
        <f>IF(COUNT(C17:E17)=0,0,SUMPRODUCT({5000,1000,500},C17:E17))</f>
        <v>0</v>
      </c>
      <c r="G17" s="31">
        <v>31</v>
      </c>
      <c r="H17" s="31">
        <v>156</v>
      </c>
      <c r="I17" s="31">
        <v>145</v>
      </c>
      <c r="J17" s="39">
        <f>IF(COUNT(G17:I17)=0,0,SUMPRODUCT({5000,1000,500},G17:I17))</f>
        <v>383500</v>
      </c>
      <c r="K17" s="31"/>
      <c r="L17" s="31"/>
      <c r="M17" s="31"/>
      <c r="N17" s="39">
        <f>IF(COUNT(K17:M17)=0,0,SUMPRODUCT({5000,1000,500},K17:M17))</f>
        <v>0</v>
      </c>
      <c r="O17" s="31"/>
      <c r="P17" s="31"/>
      <c r="Q17" s="31"/>
      <c r="R17" s="39">
        <f>IF(COUNT(O17:Q17)=0,0,SUMPRODUCT({5000,1000,500},O17:Q17))</f>
        <v>0</v>
      </c>
      <c r="S17" s="31"/>
      <c r="T17" s="31"/>
      <c r="U17" s="31"/>
      <c r="V17" s="31">
        <v>74</v>
      </c>
      <c r="W17" s="31"/>
      <c r="X17" s="31">
        <v>1</v>
      </c>
      <c r="Y17" s="31"/>
      <c r="Z17" s="31">
        <v>58</v>
      </c>
      <c r="AA17" s="31"/>
      <c r="AB17" s="31"/>
      <c r="AC17" s="31"/>
      <c r="AD17" s="34">
        <f>IF(COUNT(S17:AC17)=0,0,SUMPRODUCT({5000,1000,500,100,75,50,20,10,5,2,1}, S17:AC17))</f>
        <v>8030</v>
      </c>
      <c r="AE17" s="33">
        <v>391541</v>
      </c>
      <c r="AF17" s="24">
        <f>IF(AND(COUNT(C17:E17)=0,COUNT(G17:I17)=0,COUNT(K17:M17)=0,COUNT(O17:Q17)=0,COUNT(S17:AC17)=0,AE17=""),"",(IF(COUNT(C17:E17)=0,0,SUMPRODUCT({5000,1000,500},C17:E17))+IF(COUNT(G17:I17)=0,0,SUMPRODUCT({5000,1000,500},G17:I17))+IF(COUNT(K17:M17)=0,0,SUMPRODUCT({5000,1000,500},K17:M17))+IF(COUNT(O17:Q17)=0,0,SUMPRODUCT({5000,1000,500},O17:Q17))+AD17)-N(AE17))</f>
        <v>-11</v>
      </c>
      <c r="AG17" s="35" t="str">
        <f t="shared" si="0"/>
        <v>Short</v>
      </c>
      <c r="AH17" s="38"/>
      <c r="AI17" s="36">
        <v>667724</v>
      </c>
      <c r="AJ17" s="37">
        <f>78257+589466+1</f>
        <v>667724</v>
      </c>
      <c r="AK17" s="26">
        <f t="shared" si="1"/>
        <v>0</v>
      </c>
      <c r="AL17" s="25" t="str">
        <f t="shared" si="2"/>
        <v>Matched</v>
      </c>
      <c r="AM17" s="38"/>
    </row>
    <row r="18" spans="1:39" ht="12.75" customHeight="1" x14ac:dyDescent="0.25">
      <c r="A18" s="31">
        <v>63374</v>
      </c>
      <c r="B18" s="32" t="str">
        <f>IF(A18="","",VLOOKUP(A18,'Employee Database'!A:B,2,FALSE))</f>
        <v>Aftab Ali</v>
      </c>
      <c r="C18" s="31"/>
      <c r="D18" s="31"/>
      <c r="E18" s="31"/>
      <c r="F18" s="39">
        <f>IF(COUNT(C18:E18)=0,0,SUMPRODUCT({5000,1000,500},C18:E18))</f>
        <v>0</v>
      </c>
      <c r="G18" s="31">
        <v>28</v>
      </c>
      <c r="H18" s="31">
        <v>197</v>
      </c>
      <c r="I18" s="31">
        <v>26</v>
      </c>
      <c r="J18" s="39">
        <f>IF(COUNT(G18:I18)=0,0,SUMPRODUCT({5000,1000,500},G18:I18))</f>
        <v>350000</v>
      </c>
      <c r="K18" s="31"/>
      <c r="L18" s="31"/>
      <c r="M18" s="31"/>
      <c r="N18" s="39">
        <f>IF(COUNT(K18:M18)=0,0,SUMPRODUCT({5000,1000,500},K18:M18))</f>
        <v>0</v>
      </c>
      <c r="O18" s="31"/>
      <c r="P18" s="31"/>
      <c r="Q18" s="31"/>
      <c r="R18" s="39">
        <f>IF(COUNT(O18:Q18)=0,0,SUMPRODUCT({5000,1000,500},O18:Q18))</f>
        <v>0</v>
      </c>
      <c r="S18" s="31"/>
      <c r="T18" s="31"/>
      <c r="U18" s="31"/>
      <c r="V18" s="31">
        <v>37</v>
      </c>
      <c r="W18" s="31"/>
      <c r="X18" s="31">
        <v>9</v>
      </c>
      <c r="Y18" s="31"/>
      <c r="Z18" s="31">
        <v>68</v>
      </c>
      <c r="AA18" s="31"/>
      <c r="AB18" s="31"/>
      <c r="AC18" s="31"/>
      <c r="AD18" s="34">
        <f>IF(COUNT(S18:AC18)=0,0,SUMPRODUCT({5000,1000,500,100,75,50,20,10,5,2,1}, S18:AC18))</f>
        <v>4830</v>
      </c>
      <c r="AE18" s="33">
        <v>354823</v>
      </c>
      <c r="AF18" s="24">
        <f>IF(AND(COUNT(C18:E18)=0,COUNT(G18:I18)=0,COUNT(K18:M18)=0,COUNT(O18:Q18)=0,COUNT(S18:AC18)=0,AE18=""),"",(IF(COUNT(C18:E18)=0,0,SUMPRODUCT({5000,1000,500},C18:E18))+IF(COUNT(G18:I18)=0,0,SUMPRODUCT({5000,1000,500},G18:I18))+IF(COUNT(K18:M18)=0,0,SUMPRODUCT({5000,1000,500},K18:M18))+IF(COUNT(O18:Q18)=0,0,SUMPRODUCT({5000,1000,500},O18:Q18))+AD18)-N(AE18))</f>
        <v>7</v>
      </c>
      <c r="AG18" s="35" t="str">
        <f t="shared" si="0"/>
        <v>Excess</v>
      </c>
      <c r="AH18" s="38"/>
      <c r="AI18" s="36">
        <v>427038</v>
      </c>
      <c r="AJ18" s="37">
        <f>36496+390541+1</f>
        <v>427038</v>
      </c>
      <c r="AK18" s="26">
        <f t="shared" si="1"/>
        <v>0</v>
      </c>
      <c r="AL18" s="25" t="str">
        <f t="shared" si="2"/>
        <v>Matched</v>
      </c>
      <c r="AM18" s="38"/>
    </row>
    <row r="19" spans="1:39" ht="12.75" customHeight="1" x14ac:dyDescent="0.25">
      <c r="A19" s="31">
        <v>50524</v>
      </c>
      <c r="B19" s="32" t="str">
        <f>IF(A19="","",VLOOKUP(A19,'Employee Database'!A:B,2,FALSE))</f>
        <v>Allah Rakha</v>
      </c>
      <c r="C19" s="31"/>
      <c r="D19" s="31"/>
      <c r="E19" s="31"/>
      <c r="F19" s="39">
        <f>IF(COUNT(C19:E19)=0,0,SUMPRODUCT({5000,1000,500},C19:E19))</f>
        <v>0</v>
      </c>
      <c r="G19" s="31">
        <v>48</v>
      </c>
      <c r="H19" s="31">
        <v>142</v>
      </c>
      <c r="I19" s="31">
        <v>6</v>
      </c>
      <c r="J19" s="39">
        <f>IF(COUNT(G19:I19)=0,0,SUMPRODUCT({5000,1000,500},G19:I19))</f>
        <v>385000</v>
      </c>
      <c r="K19" s="31"/>
      <c r="L19" s="31"/>
      <c r="M19" s="31"/>
      <c r="N19" s="39">
        <f>IF(COUNT(K19:M19)=0,0,SUMPRODUCT({5000,1000,500},K19:M19))</f>
        <v>0</v>
      </c>
      <c r="O19" s="31"/>
      <c r="P19" s="31"/>
      <c r="Q19" s="31"/>
      <c r="R19" s="39">
        <f>IF(COUNT(O19:Q19)=0,0,SUMPRODUCT({5000,1000,500},O19:Q19))</f>
        <v>0</v>
      </c>
      <c r="S19" s="31"/>
      <c r="T19" s="31"/>
      <c r="U19" s="31"/>
      <c r="V19" s="31">
        <v>43</v>
      </c>
      <c r="W19" s="31"/>
      <c r="X19" s="31"/>
      <c r="Y19" s="31"/>
      <c r="Z19" s="31">
        <v>4</v>
      </c>
      <c r="AA19" s="31"/>
      <c r="AB19" s="31"/>
      <c r="AC19" s="31"/>
      <c r="AD19" s="34">
        <f>IF(COUNT(S19:AC19)=0,0,SUMPRODUCT({5000,1000,500,100,75,50,20,10,5,2,1}, S19:AC19))</f>
        <v>4340</v>
      </c>
      <c r="AE19" s="33">
        <v>389325</v>
      </c>
      <c r="AF19" s="24">
        <f>IF(AND(COUNT(C19:E19)=0,COUNT(G19:I19)=0,COUNT(K19:M19)=0,COUNT(O19:Q19)=0,COUNT(S19:AC19)=0,AE19=""),"",(IF(COUNT(C19:E19)=0,0,SUMPRODUCT({5000,1000,500},C19:E19))+IF(COUNT(G19:I19)=0,0,SUMPRODUCT({5000,1000,500},G19:I19))+IF(COUNT(K19:M19)=0,0,SUMPRODUCT({5000,1000,500},K19:M19))+IF(COUNT(O19:Q19)=0,0,SUMPRODUCT({5000,1000,500},O19:Q19))+AD19)-N(AE19))</f>
        <v>15</v>
      </c>
      <c r="AG19" s="35" t="str">
        <f t="shared" si="0"/>
        <v>Excess</v>
      </c>
      <c r="AH19" s="38"/>
      <c r="AI19" s="36">
        <f>144866+590775</f>
        <v>735641</v>
      </c>
      <c r="AJ19" s="37">
        <f>144866+221635+369140</f>
        <v>735641</v>
      </c>
      <c r="AK19" s="26">
        <f t="shared" si="1"/>
        <v>0</v>
      </c>
      <c r="AL19" s="25" t="str">
        <f t="shared" si="2"/>
        <v>Matched</v>
      </c>
      <c r="AM19" s="38"/>
    </row>
    <row r="20" spans="1:39" ht="12.75" customHeight="1" x14ac:dyDescent="0.25">
      <c r="A20" s="31">
        <v>50134</v>
      </c>
      <c r="B20" s="32" t="str">
        <f>IF(A20="","",VLOOKUP(A20,'Employee Database'!A:B,2,FALSE))</f>
        <v>Asif Abbas</v>
      </c>
      <c r="C20" s="31"/>
      <c r="D20" s="31"/>
      <c r="E20" s="31"/>
      <c r="F20" s="39">
        <f>IF(COUNT(C20:E20)=0,0,SUMPRODUCT({5000,1000,500},C20:E20))</f>
        <v>0</v>
      </c>
      <c r="G20" s="31">
        <v>24</v>
      </c>
      <c r="H20" s="31">
        <v>125</v>
      </c>
      <c r="I20" s="31">
        <v>49</v>
      </c>
      <c r="J20" s="39">
        <f>IF(COUNT(G20:I20)=0,0,SUMPRODUCT({5000,1000,500},G20:I20))</f>
        <v>269500</v>
      </c>
      <c r="K20" s="31"/>
      <c r="L20" s="31"/>
      <c r="M20" s="31"/>
      <c r="N20" s="39">
        <f>IF(COUNT(K20:M20)=0,0,SUMPRODUCT({5000,1000,500},K20:M20))</f>
        <v>0</v>
      </c>
      <c r="O20" s="31"/>
      <c r="P20" s="31"/>
      <c r="Q20" s="31"/>
      <c r="R20" s="39">
        <f>IF(COUNT(O20:Q20)=0,0,SUMPRODUCT({5000,1000,500},O20:Q20))</f>
        <v>0</v>
      </c>
      <c r="S20" s="31"/>
      <c r="T20" s="31"/>
      <c r="U20" s="31"/>
      <c r="V20" s="31">
        <v>4</v>
      </c>
      <c r="W20" s="31"/>
      <c r="X20" s="31">
        <v>89</v>
      </c>
      <c r="Y20" s="31"/>
      <c r="Z20" s="31">
        <v>35</v>
      </c>
      <c r="AA20" s="31"/>
      <c r="AB20" s="31"/>
      <c r="AC20" s="31"/>
      <c r="AD20" s="34">
        <f>IF(COUNT(S20:AC20)=0,0,SUMPRODUCT({5000,1000,500,100,75,50,20,10,5,2,1}, S20:AC20))</f>
        <v>5200</v>
      </c>
      <c r="AE20" s="33">
        <v>274712</v>
      </c>
      <c r="AF20" s="24">
        <f>IF(AND(COUNT(C20:E20)=0,COUNT(G20:I20)=0,COUNT(K20:M20)=0,COUNT(O20:Q20)=0,COUNT(S20:AC20)=0,AE20=""),"",(IF(COUNT(C20:E20)=0,0,SUMPRODUCT({5000,1000,500},C20:E20))+IF(COUNT(G20:I20)=0,0,SUMPRODUCT({5000,1000,500},G20:I20))+IF(COUNT(K20:M20)=0,0,SUMPRODUCT({5000,1000,500},K20:M20))+IF(COUNT(O20:Q20)=0,0,SUMPRODUCT({5000,1000,500},O20:Q20))+AD20)-N(AE20))</f>
        <v>-12</v>
      </c>
      <c r="AG20" s="35" t="str">
        <f t="shared" si="0"/>
        <v>Short</v>
      </c>
      <c r="AH20" s="38"/>
      <c r="AI20" s="36">
        <f>85648+887422</f>
        <v>973070</v>
      </c>
      <c r="AJ20" s="37">
        <f>85648+349143+538279</f>
        <v>973070</v>
      </c>
      <c r="AK20" s="26">
        <f t="shared" si="1"/>
        <v>0</v>
      </c>
      <c r="AL20" s="25" t="str">
        <f t="shared" si="2"/>
        <v>Matched</v>
      </c>
      <c r="AM20" s="38"/>
    </row>
    <row r="21" spans="1:39" ht="12.75" customHeight="1" x14ac:dyDescent="0.25">
      <c r="A21" s="31">
        <v>78242</v>
      </c>
      <c r="B21" s="32" t="str">
        <f>IF(A21="","",VLOOKUP(A21,'Employee Database'!A:B,2,FALSE))</f>
        <v>Hamad Mughal</v>
      </c>
      <c r="C21" s="31"/>
      <c r="D21" s="31"/>
      <c r="E21" s="31"/>
      <c r="F21" s="39">
        <f>IF(COUNT(C21:E21)=0,0,SUMPRODUCT({5000,1000,500},C21:E21))</f>
        <v>0</v>
      </c>
      <c r="G21" s="31">
        <v>17</v>
      </c>
      <c r="H21" s="31">
        <v>85</v>
      </c>
      <c r="I21" s="31">
        <v>12</v>
      </c>
      <c r="J21" s="39">
        <f>IF(COUNT(G21:I21)=0,0,SUMPRODUCT({5000,1000,500},G21:I21))</f>
        <v>176000</v>
      </c>
      <c r="K21" s="31"/>
      <c r="L21" s="31"/>
      <c r="M21" s="31"/>
      <c r="N21" s="39">
        <f>IF(COUNT(K21:M21)=0,0,SUMPRODUCT({5000,1000,500},K21:M21))</f>
        <v>0</v>
      </c>
      <c r="O21" s="31"/>
      <c r="P21" s="31"/>
      <c r="Q21" s="31"/>
      <c r="R21" s="39">
        <f>IF(COUNT(O21:Q21)=0,0,SUMPRODUCT({5000,1000,500},O21:Q21))</f>
        <v>0</v>
      </c>
      <c r="S21" s="31"/>
      <c r="T21" s="31"/>
      <c r="U21" s="31"/>
      <c r="V21" s="31">
        <v>26</v>
      </c>
      <c r="W21" s="31"/>
      <c r="X21" s="31">
        <v>66</v>
      </c>
      <c r="Y21" s="31"/>
      <c r="Z21" s="31">
        <v>47</v>
      </c>
      <c r="AA21" s="31"/>
      <c r="AB21" s="31"/>
      <c r="AC21" s="31"/>
      <c r="AD21" s="34">
        <f>IF(COUNT(S21:AC21)=0,0,SUMPRODUCT({5000,1000,500,100,75,50,20,10,5,2,1}, S21:AC21))</f>
        <v>6370</v>
      </c>
      <c r="AE21" s="33">
        <v>182341</v>
      </c>
      <c r="AF21" s="24">
        <f>IF(AND(COUNT(C21:E21)=0,COUNT(G21:I21)=0,COUNT(K21:M21)=0,COUNT(O21:Q21)=0,COUNT(S21:AC21)=0,AE21=""),"",(IF(COUNT(C21:E21)=0,0,SUMPRODUCT({5000,1000,500},C21:E21))+IF(COUNT(G21:I21)=0,0,SUMPRODUCT({5000,1000,500},G21:I21))+IF(COUNT(K21:M21)=0,0,SUMPRODUCT({5000,1000,500},K21:M21))+IF(COUNT(O21:Q21)=0,0,SUMPRODUCT({5000,1000,500},O21:Q21))+AD21)-N(AE21))</f>
        <v>29</v>
      </c>
      <c r="AG21" s="35" t="str">
        <f t="shared" si="0"/>
        <v>Excess</v>
      </c>
      <c r="AH21" s="38"/>
      <c r="AI21" s="36">
        <f>70158+232389+102290+166340</f>
        <v>571177</v>
      </c>
      <c r="AJ21" s="37">
        <f>102290+166340+232389+70158</f>
        <v>571177</v>
      </c>
      <c r="AK21" s="26">
        <f t="shared" si="1"/>
        <v>0</v>
      </c>
      <c r="AL21" s="25" t="str">
        <f t="shared" si="2"/>
        <v>Matched</v>
      </c>
      <c r="AM21" s="38"/>
    </row>
    <row r="22" spans="1:39" ht="12.75" customHeight="1" x14ac:dyDescent="0.25">
      <c r="A22" s="31">
        <v>61648</v>
      </c>
      <c r="B22" s="32" t="str">
        <f>IF(A22="","",VLOOKUP(A22,'Employee Database'!A:B,2,FALSE))</f>
        <v>Rizwan</v>
      </c>
      <c r="C22" s="31"/>
      <c r="D22" s="31"/>
      <c r="E22" s="31"/>
      <c r="F22" s="39">
        <f>IF(COUNT(C22:E22)=0,0,SUMPRODUCT({5000,1000,500},C22:E22))</f>
        <v>0</v>
      </c>
      <c r="G22" s="31">
        <v>18</v>
      </c>
      <c r="H22" s="31">
        <v>87</v>
      </c>
      <c r="I22" s="31">
        <v>21</v>
      </c>
      <c r="J22" s="39">
        <f>IF(COUNT(G22:I22)=0,0,SUMPRODUCT({5000,1000,500},G22:I22))</f>
        <v>187500</v>
      </c>
      <c r="K22" s="31"/>
      <c r="L22" s="31"/>
      <c r="M22" s="31"/>
      <c r="N22" s="39">
        <f>IF(COUNT(K22:M22)=0,0,SUMPRODUCT({5000,1000,500},K22:M22))</f>
        <v>0</v>
      </c>
      <c r="O22" s="31"/>
      <c r="P22" s="31"/>
      <c r="Q22" s="31"/>
      <c r="R22" s="39">
        <f>IF(COUNT(O22:Q22)=0,0,SUMPRODUCT({5000,1000,500},O22:Q22))</f>
        <v>0</v>
      </c>
      <c r="S22" s="31"/>
      <c r="T22" s="31"/>
      <c r="U22" s="31"/>
      <c r="V22" s="31">
        <v>4</v>
      </c>
      <c r="W22" s="31"/>
      <c r="X22" s="31">
        <v>50</v>
      </c>
      <c r="Y22" s="31">
        <v>1</v>
      </c>
      <c r="Z22" s="31">
        <v>24</v>
      </c>
      <c r="AA22" s="31"/>
      <c r="AB22" s="31"/>
      <c r="AC22" s="31"/>
      <c r="AD22" s="34">
        <f>IF(COUNT(S22:AC22)=0,0,SUMPRODUCT({5000,1000,500,100,75,50,20,10,5,2,1}, S22:AC22))</f>
        <v>3160</v>
      </c>
      <c r="AE22" s="33">
        <v>190598</v>
      </c>
      <c r="AF22" s="24">
        <f>IF(AND(COUNT(C22:E22)=0,COUNT(G22:I22)=0,COUNT(K22:M22)=0,COUNT(O22:Q22)=0,COUNT(S22:AC22)=0,AE22=""),"",(IF(COUNT(C22:E22)=0,0,SUMPRODUCT({5000,1000,500},C22:E22))+IF(COUNT(G22:I22)=0,0,SUMPRODUCT({5000,1000,500},G22:I22))+IF(COUNT(K22:M22)=0,0,SUMPRODUCT({5000,1000,500},K22:M22))+IF(COUNT(O22:Q22)=0,0,SUMPRODUCT({5000,1000,500},O22:Q22))+AD22)-N(AE22))</f>
        <v>62</v>
      </c>
      <c r="AG22" s="35" t="str">
        <f t="shared" si="0"/>
        <v>Excess</v>
      </c>
      <c r="AH22" s="38"/>
      <c r="AI22" s="36">
        <f>38905+390004</f>
        <v>428909</v>
      </c>
      <c r="AJ22" s="37">
        <f>390004+38905</f>
        <v>428909</v>
      </c>
      <c r="AK22" s="26">
        <f t="shared" si="1"/>
        <v>0</v>
      </c>
      <c r="AL22" s="25" t="str">
        <f t="shared" si="2"/>
        <v>Matched</v>
      </c>
      <c r="AM22" s="38"/>
    </row>
    <row r="23" spans="1:39" ht="12.75" customHeight="1" x14ac:dyDescent="0.25">
      <c r="A23" s="31">
        <v>75768</v>
      </c>
      <c r="B23" s="32" t="str">
        <f>IF(A23="","",VLOOKUP(A23,'Employee Database'!A:B,2,FALSE))</f>
        <v>Zuhaib</v>
      </c>
      <c r="C23" s="31"/>
      <c r="D23" s="31"/>
      <c r="E23" s="31"/>
      <c r="F23" s="39">
        <f>IF(COUNT(C23:E23)=0,0,SUMPRODUCT({5000,1000,500},C23:E23))</f>
        <v>0</v>
      </c>
      <c r="G23" s="31">
        <v>26</v>
      </c>
      <c r="H23" s="31">
        <v>52</v>
      </c>
      <c r="I23" s="31">
        <v>3</v>
      </c>
      <c r="J23" s="39">
        <f>IF(COUNT(G23:I23)=0,0,SUMPRODUCT({5000,1000,500},G23:I23))</f>
        <v>183500</v>
      </c>
      <c r="K23" s="31"/>
      <c r="L23" s="31"/>
      <c r="M23" s="31"/>
      <c r="N23" s="39">
        <f>IF(COUNT(K23:M23)=0,0,SUMPRODUCT({5000,1000,500},K23:M23))</f>
        <v>0</v>
      </c>
      <c r="O23" s="31"/>
      <c r="P23" s="31"/>
      <c r="Q23" s="31"/>
      <c r="R23" s="39">
        <f>IF(COUNT(O23:Q23)=0,0,SUMPRODUCT({5000,1000,500},O23:Q23))</f>
        <v>0</v>
      </c>
      <c r="S23" s="31"/>
      <c r="T23" s="31"/>
      <c r="U23" s="31"/>
      <c r="V23" s="31">
        <v>23</v>
      </c>
      <c r="W23" s="31"/>
      <c r="X23" s="31">
        <v>47</v>
      </c>
      <c r="Y23" s="31"/>
      <c r="Z23" s="31">
        <v>42</v>
      </c>
      <c r="AA23" s="31"/>
      <c r="AB23" s="31"/>
      <c r="AC23" s="31"/>
      <c r="AD23" s="34">
        <f>IF(COUNT(S23:AC23)=0,0,SUMPRODUCT({5000,1000,500,100,75,50,20,10,5,2,1}, S23:AC23))</f>
        <v>5070</v>
      </c>
      <c r="AE23" s="33">
        <v>188555</v>
      </c>
      <c r="AF23" s="24">
        <f>IF(AND(COUNT(C23:E23)=0,COUNT(G23:I23)=0,COUNT(K23:M23)=0,COUNT(O23:Q23)=0,COUNT(S23:AC23)=0,AE23=""),"",(IF(COUNT(C23:E23)=0,0,SUMPRODUCT({5000,1000,500},C23:E23))+IF(COUNT(G23:I23)=0,0,SUMPRODUCT({5000,1000,500},G23:I23))+IF(COUNT(K23:M23)=0,0,SUMPRODUCT({5000,1000,500},K23:M23))+IF(COUNT(O23:Q23)=0,0,SUMPRODUCT({5000,1000,500},O23:Q23))+AD23)-N(AE23))</f>
        <v>15</v>
      </c>
      <c r="AG23" s="35" t="str">
        <f t="shared" si="0"/>
        <v>Excess</v>
      </c>
      <c r="AH23" s="38"/>
      <c r="AI23" s="36">
        <f>835322</f>
        <v>835322</v>
      </c>
      <c r="AJ23" s="37">
        <f>631945+203376+1</f>
        <v>835322</v>
      </c>
      <c r="AK23" s="26">
        <f t="shared" si="1"/>
        <v>0</v>
      </c>
      <c r="AL23" s="25" t="str">
        <f t="shared" si="2"/>
        <v>Matched</v>
      </c>
      <c r="AM23" s="38"/>
    </row>
    <row r="24" spans="1:39" ht="12.75" customHeight="1" x14ac:dyDescent="0.25">
      <c r="A24" s="31">
        <v>67250</v>
      </c>
      <c r="B24" s="32" t="str">
        <f>IF(A24="","",VLOOKUP(A24,'Employee Database'!A:B,2,FALSE))</f>
        <v>M Fiaz</v>
      </c>
      <c r="C24" s="31"/>
      <c r="D24" s="31"/>
      <c r="E24" s="31"/>
      <c r="F24" s="39">
        <f>IF(COUNT(C24:E24)=0,0,SUMPRODUCT({5000,1000,500},C24:E24))</f>
        <v>0</v>
      </c>
      <c r="G24" s="31">
        <v>10</v>
      </c>
      <c r="H24" s="31">
        <v>99</v>
      </c>
      <c r="I24" s="31">
        <v>12</v>
      </c>
      <c r="J24" s="39">
        <f>IF(COUNT(G24:I24)=0,0,SUMPRODUCT({5000,1000,500},G24:I24))</f>
        <v>155000</v>
      </c>
      <c r="K24" s="31"/>
      <c r="L24" s="31"/>
      <c r="M24" s="31"/>
      <c r="N24" s="39">
        <f>IF(COUNT(K24:M24)=0,0,SUMPRODUCT({5000,1000,500},K24:M24))</f>
        <v>0</v>
      </c>
      <c r="O24" s="31"/>
      <c r="P24" s="31"/>
      <c r="Q24" s="31"/>
      <c r="R24" s="39">
        <f>IF(COUNT(O24:Q24)=0,0,SUMPRODUCT({5000,1000,500},O24:Q24))</f>
        <v>0</v>
      </c>
      <c r="S24" s="31"/>
      <c r="T24" s="31"/>
      <c r="U24" s="31"/>
      <c r="V24" s="31">
        <v>26</v>
      </c>
      <c r="W24" s="31"/>
      <c r="X24" s="31">
        <v>94</v>
      </c>
      <c r="Y24" s="31"/>
      <c r="Z24" s="31">
        <v>62</v>
      </c>
      <c r="AA24" s="31"/>
      <c r="AB24" s="31"/>
      <c r="AC24" s="31"/>
      <c r="AD24" s="34">
        <f>IF(COUNT(S24:AC24)=0,0,SUMPRODUCT({5000,1000,500,100,75,50,20,10,5,2,1}, S24:AC24))</f>
        <v>7920</v>
      </c>
      <c r="AE24" s="33">
        <v>162923</v>
      </c>
      <c r="AF24" s="24">
        <f>IF(AND(COUNT(C24:E24)=0,COUNT(G24:I24)=0,COUNT(K24:M24)=0,COUNT(O24:Q24)=0,COUNT(S24:AC24)=0,AE24=""),"",(IF(COUNT(C24:E24)=0,0,SUMPRODUCT({5000,1000,500},C24:E24))+IF(COUNT(G24:I24)=0,0,SUMPRODUCT({5000,1000,500},G24:I24))+IF(COUNT(K24:M24)=0,0,SUMPRODUCT({5000,1000,500},K24:M24))+IF(COUNT(O24:Q24)=0,0,SUMPRODUCT({5000,1000,500},O24:Q24))+AD24)-N(AE24))</f>
        <v>-3</v>
      </c>
      <c r="AG24" s="35" t="str">
        <f t="shared" si="0"/>
        <v>Short</v>
      </c>
      <c r="AH24" s="38"/>
      <c r="AI24" s="36">
        <f>836818+10861</f>
        <v>847679</v>
      </c>
      <c r="AJ24" s="37">
        <f>50752+796927</f>
        <v>847679</v>
      </c>
      <c r="AK24" s="26">
        <f t="shared" si="1"/>
        <v>0</v>
      </c>
      <c r="AL24" s="25" t="str">
        <f t="shared" si="2"/>
        <v>Matched</v>
      </c>
      <c r="AM24" s="38"/>
    </row>
    <row r="25" spans="1:39" ht="12.75" customHeight="1" x14ac:dyDescent="0.25">
      <c r="A25" s="31">
        <v>68475</v>
      </c>
      <c r="B25" s="32" t="str">
        <f>IF(A25="","",VLOOKUP(A25,'Employee Database'!A:B,2,FALSE))</f>
        <v>M Azeem</v>
      </c>
      <c r="C25" s="31"/>
      <c r="D25" s="31"/>
      <c r="E25" s="31"/>
      <c r="F25" s="39">
        <f>IF(COUNT(C25:E25)=0,0,SUMPRODUCT({5000,1000,500},C25:E25))</f>
        <v>0</v>
      </c>
      <c r="G25" s="31">
        <v>19</v>
      </c>
      <c r="H25" s="31">
        <v>36</v>
      </c>
      <c r="I25" s="31">
        <v>8</v>
      </c>
      <c r="J25" s="39">
        <f>IF(COUNT(G25:I25)=0,0,SUMPRODUCT({5000,1000,500},G25:I25))</f>
        <v>135000</v>
      </c>
      <c r="K25" s="31"/>
      <c r="L25" s="31"/>
      <c r="M25" s="31"/>
      <c r="N25" s="39">
        <f>IF(COUNT(K25:M25)=0,0,SUMPRODUCT({5000,1000,500},K25:M25))</f>
        <v>0</v>
      </c>
      <c r="O25" s="31"/>
      <c r="P25" s="31"/>
      <c r="Q25" s="31"/>
      <c r="R25" s="39">
        <f>IF(COUNT(O25:Q25)=0,0,SUMPRODUCT({5000,1000,500},O25:Q25))</f>
        <v>0</v>
      </c>
      <c r="S25" s="31"/>
      <c r="T25" s="31"/>
      <c r="U25" s="31"/>
      <c r="V25" s="31">
        <v>69</v>
      </c>
      <c r="W25" s="31"/>
      <c r="X25" s="31">
        <v>6</v>
      </c>
      <c r="Y25" s="31">
        <v>2</v>
      </c>
      <c r="Z25" s="31">
        <v>64</v>
      </c>
      <c r="AA25" s="31"/>
      <c r="AB25" s="31"/>
      <c r="AC25" s="31"/>
      <c r="AD25" s="34">
        <f>IF(COUNT(S25:AC25)=0,0,SUMPRODUCT({5000,1000,500,100,75,50,20,10,5,2,1}, S25:AC25))</f>
        <v>7880</v>
      </c>
      <c r="AE25" s="33">
        <v>143045</v>
      </c>
      <c r="AF25" s="24">
        <f>IF(AND(COUNT(C25:E25)=0,COUNT(G25:I25)=0,COUNT(K25:M25)=0,COUNT(O25:Q25)=0,COUNT(S25:AC25)=0,AE25=""),"",(IF(COUNT(C25:E25)=0,0,SUMPRODUCT({5000,1000,500},C25:E25))+IF(COUNT(G25:I25)=0,0,SUMPRODUCT({5000,1000,500},G25:I25))+IF(COUNT(K25:M25)=0,0,SUMPRODUCT({5000,1000,500},K25:M25))+IF(COUNT(O25:Q25)=0,0,SUMPRODUCT({5000,1000,500},O25:Q25))+AD25)-N(AE25))</f>
        <v>-165</v>
      </c>
      <c r="AG25" s="35" t="str">
        <f t="shared" si="0"/>
        <v>Short</v>
      </c>
      <c r="AH25" s="38"/>
      <c r="AI25" s="36">
        <v>719858</v>
      </c>
      <c r="AJ25" s="37">
        <f>285246+434612</f>
        <v>719858</v>
      </c>
      <c r="AK25" s="26">
        <f t="shared" si="1"/>
        <v>0</v>
      </c>
      <c r="AL25" s="25" t="str">
        <f t="shared" si="2"/>
        <v>Matched</v>
      </c>
      <c r="AM25" s="38"/>
    </row>
    <row r="26" spans="1:39" ht="12.75" customHeight="1" x14ac:dyDescent="0.25">
      <c r="A26" s="31">
        <v>53893</v>
      </c>
      <c r="B26" s="32" t="str">
        <f>IF(A26="","",VLOOKUP(A26,'Employee Database'!A:B,2,FALSE))</f>
        <v>M Binyameen</v>
      </c>
      <c r="C26" s="31"/>
      <c r="D26" s="31"/>
      <c r="E26" s="31"/>
      <c r="F26" s="39">
        <f>IF(COUNT(C26:E26)=0,0,SUMPRODUCT({5000,1000,500},C26:E26))</f>
        <v>0</v>
      </c>
      <c r="G26" s="31">
        <v>44</v>
      </c>
      <c r="H26" s="31">
        <v>129</v>
      </c>
      <c r="I26" s="31">
        <v>22</v>
      </c>
      <c r="J26" s="39">
        <f>IF(COUNT(G26:I26)=0,0,SUMPRODUCT({5000,1000,500},G26:I26))</f>
        <v>360000</v>
      </c>
      <c r="K26" s="31"/>
      <c r="L26" s="31"/>
      <c r="M26" s="31"/>
      <c r="N26" s="39">
        <f>IF(COUNT(K26:M26)=0,0,SUMPRODUCT({5000,1000,500},K26:M26))</f>
        <v>0</v>
      </c>
      <c r="O26" s="31"/>
      <c r="P26" s="31"/>
      <c r="Q26" s="31"/>
      <c r="R26" s="39">
        <f>IF(COUNT(O26:Q26)=0,0,SUMPRODUCT({5000,1000,500},O26:Q26))</f>
        <v>0</v>
      </c>
      <c r="S26" s="31"/>
      <c r="T26" s="31"/>
      <c r="U26" s="31"/>
      <c r="V26" s="31">
        <v>24</v>
      </c>
      <c r="W26" s="31"/>
      <c r="X26" s="31"/>
      <c r="Y26" s="31">
        <v>2</v>
      </c>
      <c r="Z26" s="31">
        <v>10</v>
      </c>
      <c r="AA26" s="31"/>
      <c r="AB26" s="31"/>
      <c r="AC26" s="31"/>
      <c r="AD26" s="34">
        <f>IF(COUNT(S26:AC26)=0,0,SUMPRODUCT({5000,1000,500,100,75,50,20,10,5,2,1}, S26:AC26))</f>
        <v>2540</v>
      </c>
      <c r="AE26" s="33">
        <v>362489</v>
      </c>
      <c r="AF26" s="24">
        <f>IF(AND(COUNT(C26:E26)=0,COUNT(G26:I26)=0,COUNT(K26:M26)=0,COUNT(O26:Q26)=0,COUNT(S26:AC26)=0,AE26=""),"",(IF(COUNT(C26:E26)=0,0,SUMPRODUCT({5000,1000,500},C26:E26))+IF(COUNT(G26:I26)=0,0,SUMPRODUCT({5000,1000,500},G26:I26))+IF(COUNT(K26:M26)=0,0,SUMPRODUCT({5000,1000,500},K26:M26))+IF(COUNT(O26:Q26)=0,0,SUMPRODUCT({5000,1000,500},O26:Q26))+AD26)-N(AE26))</f>
        <v>51</v>
      </c>
      <c r="AG26" s="35" t="str">
        <f t="shared" si="0"/>
        <v>Excess</v>
      </c>
      <c r="AH26" s="38"/>
      <c r="AI26" s="36">
        <v>740460</v>
      </c>
      <c r="AJ26" s="37">
        <f>119794+620666</f>
        <v>740460</v>
      </c>
      <c r="AK26" s="26">
        <f t="shared" si="1"/>
        <v>0</v>
      </c>
      <c r="AL26" s="25" t="str">
        <f t="shared" si="2"/>
        <v>Matched</v>
      </c>
      <c r="AM26" s="38"/>
    </row>
    <row r="27" spans="1:39" ht="12.75" customHeight="1" x14ac:dyDescent="0.25">
      <c r="A27" s="31">
        <v>63599</v>
      </c>
      <c r="B27" s="32" t="str">
        <f>IF(A27="","",VLOOKUP(A27,'Employee Database'!A:B,2,FALSE))</f>
        <v>Hafsa</v>
      </c>
      <c r="C27" s="31"/>
      <c r="D27" s="31"/>
      <c r="E27" s="31"/>
      <c r="F27" s="39">
        <f>IF(COUNT(C27:E27)=0,0,SUMPRODUCT({5000,1000,500},C27:E27))</f>
        <v>0</v>
      </c>
      <c r="G27" s="31">
        <v>4</v>
      </c>
      <c r="H27" s="31">
        <v>35</v>
      </c>
      <c r="I27" s="31">
        <v>3</v>
      </c>
      <c r="J27" s="39">
        <f>IF(COUNT(G27:I27)=0,0,SUMPRODUCT({5000,1000,500},G27:I27))</f>
        <v>56500</v>
      </c>
      <c r="K27" s="31"/>
      <c r="L27" s="31"/>
      <c r="M27" s="31"/>
      <c r="N27" s="39">
        <f>IF(COUNT(K27:M27)=0,0,SUMPRODUCT({5000,1000,500},K27:M27))</f>
        <v>0</v>
      </c>
      <c r="O27" s="31"/>
      <c r="P27" s="31"/>
      <c r="Q27" s="31"/>
      <c r="R27" s="39">
        <f>IF(COUNT(O27:Q27)=0,0,SUMPRODUCT({5000,1000,500},O27:Q27))</f>
        <v>0</v>
      </c>
      <c r="S27" s="31"/>
      <c r="T27" s="31"/>
      <c r="U27" s="31"/>
      <c r="V27" s="31">
        <v>62</v>
      </c>
      <c r="W27" s="31"/>
      <c r="X27" s="31"/>
      <c r="Y27" s="31"/>
      <c r="Z27" s="31">
        <v>50</v>
      </c>
      <c r="AA27" s="31"/>
      <c r="AB27" s="31"/>
      <c r="AC27" s="31"/>
      <c r="AD27" s="34">
        <f>IF(COUNT(S27:AC27)=0,0,SUMPRODUCT({5000,1000,500,100,75,50,20,10,5,2,1}, S27:AC27))</f>
        <v>6700</v>
      </c>
      <c r="AE27" s="33">
        <v>63143</v>
      </c>
      <c r="AF27" s="24">
        <f>IF(AND(COUNT(C27:E27)=0,COUNT(G27:I27)=0,COUNT(K27:M27)=0,COUNT(O27:Q27)=0,COUNT(S27:AC27)=0,AE27=""),"",(IF(COUNT(C27:E27)=0,0,SUMPRODUCT({5000,1000,500},C27:E27))+IF(COUNT(G27:I27)=0,0,SUMPRODUCT({5000,1000,500},G27:I27))+IF(COUNT(K27:M27)=0,0,SUMPRODUCT({5000,1000,500},K27:M27))+IF(COUNT(O27:Q27)=0,0,SUMPRODUCT({5000,1000,500},O27:Q27))+AD27)-N(AE27))</f>
        <v>57</v>
      </c>
      <c r="AG27" s="35" t="str">
        <f t="shared" si="0"/>
        <v>Excess</v>
      </c>
      <c r="AH27" s="38"/>
      <c r="AI27" s="36">
        <v>61299</v>
      </c>
      <c r="AJ27" s="37">
        <f>57687+3612</f>
        <v>61299</v>
      </c>
      <c r="AK27" s="26">
        <f t="shared" si="1"/>
        <v>0</v>
      </c>
      <c r="AL27" s="25" t="str">
        <f t="shared" si="2"/>
        <v>Matched</v>
      </c>
      <c r="AM27" s="38"/>
    </row>
    <row r="28" spans="1:39" ht="12.75" customHeight="1" x14ac:dyDescent="0.25">
      <c r="A28" s="31">
        <v>67799</v>
      </c>
      <c r="B28" s="32" t="str">
        <f>IF(A28="","",VLOOKUP(A28,'Employee Database'!A:B,2,FALSE))</f>
        <v>Hassan Raza</v>
      </c>
      <c r="C28" s="31"/>
      <c r="D28" s="31"/>
      <c r="E28" s="31"/>
      <c r="F28" s="39">
        <f>IF(COUNT(C28:E28)=0,0,SUMPRODUCT({5000,1000,500},C28:E28))</f>
        <v>0</v>
      </c>
      <c r="G28" s="31">
        <v>4</v>
      </c>
      <c r="H28" s="31">
        <v>27</v>
      </c>
      <c r="I28" s="31"/>
      <c r="J28" s="39">
        <f>IF(COUNT(G28:I28)=0,0,SUMPRODUCT({5000,1000,500},G28:I28))</f>
        <v>47000</v>
      </c>
      <c r="K28" s="31"/>
      <c r="L28" s="31"/>
      <c r="M28" s="31"/>
      <c r="N28" s="39">
        <f>IF(COUNT(K28:M28)=0,0,SUMPRODUCT({5000,1000,500},K28:M28))</f>
        <v>0</v>
      </c>
      <c r="O28" s="31"/>
      <c r="P28" s="31"/>
      <c r="Q28" s="31"/>
      <c r="R28" s="39">
        <f>IF(COUNT(O28:Q28)=0,0,SUMPRODUCT({5000,1000,500},O28:Q28))</f>
        <v>0</v>
      </c>
      <c r="S28" s="31"/>
      <c r="T28" s="31"/>
      <c r="U28" s="31"/>
      <c r="V28" s="31">
        <v>51</v>
      </c>
      <c r="W28" s="31"/>
      <c r="X28" s="31"/>
      <c r="Y28" s="31"/>
      <c r="Z28" s="31">
        <v>16</v>
      </c>
      <c r="AA28" s="31"/>
      <c r="AB28" s="31"/>
      <c r="AC28" s="31"/>
      <c r="AD28" s="34">
        <f>IF(COUNT(S28:AC28)=0,0,SUMPRODUCT({5000,1000,500,100,75,50,20,10,5,2,1}, S28:AC28))</f>
        <v>5260</v>
      </c>
      <c r="AE28" s="33">
        <v>52324</v>
      </c>
      <c r="AF28" s="24">
        <f>IF(AND(COUNT(C28:E28)=0,COUNT(G28:I28)=0,COUNT(K28:M28)=0,COUNT(O28:Q28)=0,COUNT(S28:AC28)=0,AE28=""),"",(IF(COUNT(C28:E28)=0,0,SUMPRODUCT({5000,1000,500},C28:E28))+IF(COUNT(G28:I28)=0,0,SUMPRODUCT({5000,1000,500},G28:I28))+IF(COUNT(K28:M28)=0,0,SUMPRODUCT({5000,1000,500},K28:M28))+IF(COUNT(O28:Q28)=0,0,SUMPRODUCT({5000,1000,500},O28:Q28))+AD28)-N(AE28))</f>
        <v>-64</v>
      </c>
      <c r="AG28" s="35" t="str">
        <f t="shared" si="0"/>
        <v>Short</v>
      </c>
      <c r="AH28" s="38"/>
      <c r="AI28" s="36">
        <v>71728</v>
      </c>
      <c r="AJ28" s="37">
        <v>71728</v>
      </c>
      <c r="AK28" s="26">
        <f t="shared" si="1"/>
        <v>0</v>
      </c>
      <c r="AL28" s="25" t="str">
        <f t="shared" si="2"/>
        <v>Matched</v>
      </c>
      <c r="AM28" s="38"/>
    </row>
    <row r="29" spans="1:39" ht="12.75" customHeight="1" x14ac:dyDescent="0.25">
      <c r="A29" s="31">
        <v>69728</v>
      </c>
      <c r="B29" s="32" t="str">
        <f>IF(A29="","",VLOOKUP(A29,'Employee Database'!A:B,2,FALSE))</f>
        <v>Hafiz Hafeez Ur Rehman</v>
      </c>
      <c r="C29" s="31"/>
      <c r="D29" s="31"/>
      <c r="E29" s="31"/>
      <c r="F29" s="39">
        <f>IF(COUNT(C29:E29)=0,0,SUMPRODUCT({5000,1000,500},C29:E29))</f>
        <v>0</v>
      </c>
      <c r="G29" s="31">
        <v>9</v>
      </c>
      <c r="H29" s="31">
        <v>37</v>
      </c>
      <c r="I29" s="31">
        <v>6</v>
      </c>
      <c r="J29" s="39">
        <f>IF(COUNT(G29:I29)=0,0,SUMPRODUCT({5000,1000,500},G29:I29))</f>
        <v>85000</v>
      </c>
      <c r="K29" s="31"/>
      <c r="L29" s="31"/>
      <c r="M29" s="31"/>
      <c r="N29" s="39">
        <f>IF(COUNT(K29:M29)=0,0,SUMPRODUCT({5000,1000,500},K29:M29))</f>
        <v>0</v>
      </c>
      <c r="O29" s="31"/>
      <c r="P29" s="31"/>
      <c r="Q29" s="31"/>
      <c r="R29" s="39">
        <f>IF(COUNT(O29:Q29)=0,0,SUMPRODUCT({5000,1000,500},O29:Q29))</f>
        <v>0</v>
      </c>
      <c r="S29" s="31"/>
      <c r="T29" s="31"/>
      <c r="U29" s="31"/>
      <c r="V29" s="31">
        <v>7</v>
      </c>
      <c r="W29" s="31"/>
      <c r="X29" s="31">
        <v>66</v>
      </c>
      <c r="Y29" s="31">
        <v>2</v>
      </c>
      <c r="Z29" s="31">
        <v>14</v>
      </c>
      <c r="AA29" s="31"/>
      <c r="AB29" s="31"/>
      <c r="AC29" s="31"/>
      <c r="AD29" s="34">
        <f>IF(COUNT(S29:AC29)=0,0,SUMPRODUCT({5000,1000,500,100,75,50,20,10,5,2,1}, S29:AC29))</f>
        <v>4180</v>
      </c>
      <c r="AE29" s="33">
        <v>89186</v>
      </c>
      <c r="AF29" s="24">
        <f>IF(AND(COUNT(C29:E29)=0,COUNT(G29:I29)=0,COUNT(K29:M29)=0,COUNT(O29:Q29)=0,COUNT(S29:AC29)=0,AE29=""),"",(IF(COUNT(C29:E29)=0,0,SUMPRODUCT({5000,1000,500},C29:E29))+IF(COUNT(G29:I29)=0,0,SUMPRODUCT({5000,1000,500},G29:I29))+IF(COUNT(K29:M29)=0,0,SUMPRODUCT({5000,1000,500},K29:M29))+IF(COUNT(O29:Q29)=0,0,SUMPRODUCT({5000,1000,500},O29:Q29))+AD29)-N(AE29))</f>
        <v>-6</v>
      </c>
      <c r="AG29" s="35" t="str">
        <f t="shared" si="0"/>
        <v>Short</v>
      </c>
      <c r="AH29" s="38"/>
      <c r="AI29" s="36">
        <f>396285+2997</f>
        <v>399282</v>
      </c>
      <c r="AJ29" s="37">
        <f>183220+213065+2997</f>
        <v>399282</v>
      </c>
      <c r="AK29" s="26">
        <f t="shared" si="1"/>
        <v>0</v>
      </c>
      <c r="AL29" s="25" t="str">
        <f t="shared" si="2"/>
        <v>Matched</v>
      </c>
      <c r="AM29" s="38"/>
    </row>
    <row r="30" spans="1:39" ht="12.75" customHeight="1" x14ac:dyDescent="0.25">
      <c r="A30" s="31">
        <v>50313</v>
      </c>
      <c r="B30" s="32" t="str">
        <f>IF(A30="","",VLOOKUP(A30,'Employee Database'!A:B,2,FALSE))</f>
        <v>Waseem Raza</v>
      </c>
      <c r="C30" s="31"/>
      <c r="D30" s="31"/>
      <c r="E30" s="31"/>
      <c r="F30" s="39">
        <f>IF(COUNT(C30:E30)=0,0,SUMPRODUCT({5000,1000,500},C30:E30))</f>
        <v>0</v>
      </c>
      <c r="G30" s="31"/>
      <c r="H30" s="31">
        <v>3</v>
      </c>
      <c r="I30" s="31">
        <v>1</v>
      </c>
      <c r="J30" s="39">
        <f>IF(COUNT(G30:I30)=0,0,SUMPRODUCT({5000,1000,500},G30:I30))</f>
        <v>3500</v>
      </c>
      <c r="K30" s="31"/>
      <c r="L30" s="31"/>
      <c r="M30" s="31"/>
      <c r="N30" s="39">
        <f>IF(COUNT(K30:M30)=0,0,SUMPRODUCT({5000,1000,500},K30:M30))</f>
        <v>0</v>
      </c>
      <c r="O30" s="31"/>
      <c r="P30" s="31"/>
      <c r="Q30" s="31"/>
      <c r="R30" s="39">
        <f>IF(COUNT(O30:Q30)=0,0,SUMPRODUCT({5000,1000,500},O30:Q30))</f>
        <v>0</v>
      </c>
      <c r="S30" s="31"/>
      <c r="T30" s="31"/>
      <c r="U30" s="31"/>
      <c r="V30" s="31">
        <v>1</v>
      </c>
      <c r="W30" s="31"/>
      <c r="X30" s="31">
        <v>5</v>
      </c>
      <c r="Y30" s="31"/>
      <c r="Z30" s="31">
        <v>1</v>
      </c>
      <c r="AA30" s="31"/>
      <c r="AB30" s="31"/>
      <c r="AC30" s="31"/>
      <c r="AD30" s="34">
        <f>IF(COUNT(S30:AC30)=0,0,SUMPRODUCT({5000,1000,500,100,75,50,20,10,5,2,1}, S30:AC30))</f>
        <v>360</v>
      </c>
      <c r="AE30" s="33">
        <v>3864</v>
      </c>
      <c r="AF30" s="24">
        <f>IF(AND(COUNT(C30:E30)=0,COUNT(G30:I30)=0,COUNT(K30:M30)=0,COUNT(O30:Q30)=0,COUNT(S30:AC30)=0,AE30=""),"",(IF(COUNT(C30:E30)=0,0,SUMPRODUCT({5000,1000,500},C30:E30))+IF(COUNT(G30:I30)=0,0,SUMPRODUCT({5000,1000,500},G30:I30))+IF(COUNT(K30:M30)=0,0,SUMPRODUCT({5000,1000,500},K30:M30))+IF(COUNT(O30:Q30)=0,0,SUMPRODUCT({5000,1000,500},O30:Q30))+AD30)-N(AE30))</f>
        <v>-4</v>
      </c>
      <c r="AG30" s="35" t="str">
        <f t="shared" si="0"/>
        <v>Short</v>
      </c>
      <c r="AH30" s="38"/>
      <c r="AI30" s="36"/>
      <c r="AJ30" s="37"/>
      <c r="AK30" s="26" t="str">
        <f t="shared" si="1"/>
        <v/>
      </c>
      <c r="AL30" s="25" t="str">
        <f t="shared" si="2"/>
        <v/>
      </c>
      <c r="AM30" s="38"/>
    </row>
    <row r="31" spans="1:39" ht="12.75" customHeight="1" x14ac:dyDescent="0.25">
      <c r="A31" s="31">
        <v>79593</v>
      </c>
      <c r="B31" s="32" t="str">
        <f>IF(A31="","",VLOOKUP(A31,'Employee Database'!A:B,2,FALSE))</f>
        <v>Amir</v>
      </c>
      <c r="C31" s="31"/>
      <c r="D31" s="31"/>
      <c r="E31" s="31"/>
      <c r="F31" s="39">
        <f>IF(COUNT(C31:E31)=0,0,SUMPRODUCT({5000,1000,500},C31:E31))</f>
        <v>0</v>
      </c>
      <c r="G31" s="31">
        <v>48</v>
      </c>
      <c r="H31" s="31">
        <v>45</v>
      </c>
      <c r="I31" s="31">
        <v>16</v>
      </c>
      <c r="J31" s="39">
        <f>IF(COUNT(G31:I31)=0,0,SUMPRODUCT({5000,1000,500},G31:I31))</f>
        <v>293000</v>
      </c>
      <c r="K31" s="31"/>
      <c r="L31" s="31"/>
      <c r="M31" s="31"/>
      <c r="N31" s="39">
        <f>IF(COUNT(K31:M31)=0,0,SUMPRODUCT({5000,1000,500},K31:M31))</f>
        <v>0</v>
      </c>
      <c r="O31" s="31"/>
      <c r="P31" s="31"/>
      <c r="Q31" s="31"/>
      <c r="R31" s="39">
        <f>IF(COUNT(O31:Q31)=0,0,SUMPRODUCT({5000,1000,500},O31:Q31))</f>
        <v>0</v>
      </c>
      <c r="S31" s="31"/>
      <c r="T31" s="31"/>
      <c r="U31" s="31"/>
      <c r="V31" s="31">
        <v>67</v>
      </c>
      <c r="W31" s="31"/>
      <c r="X31" s="31"/>
      <c r="Y31" s="31"/>
      <c r="Z31" s="31">
        <v>44</v>
      </c>
      <c r="AA31" s="31"/>
      <c r="AB31" s="31"/>
      <c r="AC31" s="31"/>
      <c r="AD31" s="34">
        <f>IF(COUNT(S31:AC31)=0,0,SUMPRODUCT({5000,1000,500,100,75,50,20,10,5,2,1}, S31:AC31))</f>
        <v>7140</v>
      </c>
      <c r="AE31" s="33">
        <v>300106</v>
      </c>
      <c r="AF31" s="24">
        <f>IF(AND(COUNT(C31:E31)=0,COUNT(G31:I31)=0,COUNT(K31:M31)=0,COUNT(O31:Q31)=0,COUNT(S31:AC31)=0,AE31=""),"",(IF(COUNT(C31:E31)=0,0,SUMPRODUCT({5000,1000,500},C31:E31))+IF(COUNT(G31:I31)=0,0,SUMPRODUCT({5000,1000,500},G31:I31))+IF(COUNT(K31:M31)=0,0,SUMPRODUCT({5000,1000,500},K31:M31))+IF(COUNT(O31:Q31)=0,0,SUMPRODUCT({5000,1000,500},O31:Q31))+AD31)-N(AE31))</f>
        <v>34</v>
      </c>
      <c r="AG31" s="35" t="str">
        <f t="shared" si="0"/>
        <v>Excess</v>
      </c>
      <c r="AH31" s="38"/>
      <c r="AI31" s="36">
        <f>604421+157503</f>
        <v>761924</v>
      </c>
      <c r="AJ31" s="37">
        <f>157503+604421</f>
        <v>761924</v>
      </c>
      <c r="AK31" s="26">
        <f t="shared" si="1"/>
        <v>0</v>
      </c>
      <c r="AL31" s="25" t="str">
        <f t="shared" si="2"/>
        <v>Matched</v>
      </c>
      <c r="AM31" s="38"/>
    </row>
    <row r="32" spans="1:39" ht="12.75" customHeight="1" x14ac:dyDescent="0.25">
      <c r="A32" s="31">
        <v>77424</v>
      </c>
      <c r="B32" s="32" t="str">
        <f>IF(A32="","",VLOOKUP(A32,'Employee Database'!A:B,2,FALSE))</f>
        <v>M Husnain</v>
      </c>
      <c r="C32" s="31"/>
      <c r="D32" s="31"/>
      <c r="E32" s="31"/>
      <c r="F32" s="39">
        <f>IF(COUNT(C32:E32)=0,0,SUMPRODUCT({5000,1000,500},C32:E32))</f>
        <v>0</v>
      </c>
      <c r="G32" s="31">
        <v>35</v>
      </c>
      <c r="H32" s="31">
        <v>70</v>
      </c>
      <c r="I32" s="31">
        <v>8</v>
      </c>
      <c r="J32" s="39">
        <f>IF(COUNT(G32:I32)=0,0,SUMPRODUCT({5000,1000,500},G32:I32))</f>
        <v>249000</v>
      </c>
      <c r="K32" s="31"/>
      <c r="L32" s="31"/>
      <c r="M32" s="31"/>
      <c r="N32" s="39">
        <f>IF(COUNT(K32:M32)=0,0,SUMPRODUCT({5000,1000,500},K32:M32))</f>
        <v>0</v>
      </c>
      <c r="O32" s="31"/>
      <c r="P32" s="31"/>
      <c r="Q32" s="31"/>
      <c r="R32" s="39">
        <f>IF(COUNT(O32:Q32)=0,0,SUMPRODUCT({5000,1000,500},O32:Q32))</f>
        <v>0</v>
      </c>
      <c r="S32" s="31"/>
      <c r="T32" s="31"/>
      <c r="U32" s="31"/>
      <c r="V32" s="31">
        <v>51</v>
      </c>
      <c r="W32" s="31"/>
      <c r="X32" s="31">
        <v>99</v>
      </c>
      <c r="Y32" s="31"/>
      <c r="Z32" s="31">
        <v>102</v>
      </c>
      <c r="AA32" s="31"/>
      <c r="AB32" s="31"/>
      <c r="AC32" s="31"/>
      <c r="AD32" s="34">
        <f>IF(COUNT(S32:AC32)=0,0,SUMPRODUCT({5000,1000,500,100,75,50,20,10,5,2,1}, S32:AC32))</f>
        <v>11070</v>
      </c>
      <c r="AE32" s="33">
        <v>260075</v>
      </c>
      <c r="AF32" s="24">
        <f>IF(AND(COUNT(C32:E32)=0,COUNT(G32:I32)=0,COUNT(K32:M32)=0,COUNT(O32:Q32)=0,COUNT(S32:AC32)=0,AE32=""),"",(IF(COUNT(C32:E32)=0,0,SUMPRODUCT({5000,1000,500},C32:E32))+IF(COUNT(G32:I32)=0,0,SUMPRODUCT({5000,1000,500},G32:I32))+IF(COUNT(K32:M32)=0,0,SUMPRODUCT({5000,1000,500},K32:M32))+IF(COUNT(O32:Q32)=0,0,SUMPRODUCT({5000,1000,500},O32:Q32))+AD32)-N(AE32))</f>
        <v>-5</v>
      </c>
      <c r="AG32" s="35" t="str">
        <f t="shared" si="0"/>
        <v>Short</v>
      </c>
      <c r="AH32" s="38"/>
      <c r="AI32" s="36">
        <f>8577+541167</f>
        <v>549744</v>
      </c>
      <c r="AJ32" s="37">
        <f>541167+8577</f>
        <v>549744</v>
      </c>
      <c r="AK32" s="26">
        <f t="shared" si="1"/>
        <v>0</v>
      </c>
      <c r="AL32" s="25" t="str">
        <f t="shared" si="2"/>
        <v>Matched</v>
      </c>
      <c r="AM32" s="38"/>
    </row>
    <row r="33" spans="1:39" ht="12.75" customHeight="1" x14ac:dyDescent="0.25">
      <c r="A33" s="31">
        <v>71788</v>
      </c>
      <c r="B33" s="32" t="str">
        <f>IF(A33="","",VLOOKUP(A33,'Employee Database'!A:B,2,FALSE))</f>
        <v>Saaim</v>
      </c>
      <c r="C33" s="31"/>
      <c r="D33" s="31"/>
      <c r="E33" s="31"/>
      <c r="F33" s="39">
        <f>IF(COUNT(C33:E33)=0,0,SUMPRODUCT({5000,1000,500},C33:E33))</f>
        <v>0</v>
      </c>
      <c r="G33" s="31">
        <v>38</v>
      </c>
      <c r="H33" s="31">
        <v>69</v>
      </c>
      <c r="I33" s="31">
        <v>25</v>
      </c>
      <c r="J33" s="39">
        <f>IF(COUNT(G33:I33)=0,0,SUMPRODUCT({5000,1000,500},G33:I33))</f>
        <v>271500</v>
      </c>
      <c r="K33" s="31"/>
      <c r="L33" s="31"/>
      <c r="M33" s="31"/>
      <c r="N33" s="39">
        <f>IF(COUNT(K33:M33)=0,0,SUMPRODUCT({5000,1000,500},K33:M33))</f>
        <v>0</v>
      </c>
      <c r="O33" s="31"/>
      <c r="P33" s="31"/>
      <c r="Q33" s="31"/>
      <c r="R33" s="39">
        <f>IF(COUNT(O33:Q33)=0,0,SUMPRODUCT({5000,1000,500},O33:Q33))</f>
        <v>0</v>
      </c>
      <c r="S33" s="31"/>
      <c r="T33" s="31"/>
      <c r="U33" s="31"/>
      <c r="V33" s="31">
        <v>7</v>
      </c>
      <c r="W33" s="31"/>
      <c r="X33" s="31">
        <v>87</v>
      </c>
      <c r="Y33" s="31"/>
      <c r="Z33" s="31">
        <v>56</v>
      </c>
      <c r="AA33" s="31"/>
      <c r="AB33" s="31"/>
      <c r="AC33" s="31"/>
      <c r="AD33" s="34">
        <f>IF(COUNT(S33:AC33)=0,0,SUMPRODUCT({5000,1000,500,100,75,50,20,10,5,2,1}, S33:AC33))</f>
        <v>5610</v>
      </c>
      <c r="AE33" s="33">
        <v>277071</v>
      </c>
      <c r="AF33" s="24">
        <f>IF(AND(COUNT(C33:E33)=0,COUNT(G33:I33)=0,COUNT(K33:M33)=0,COUNT(O33:Q33)=0,COUNT(S33:AC33)=0,AE33=""),"",(IF(COUNT(C33:E33)=0,0,SUMPRODUCT({5000,1000,500},C33:E33))+IF(COUNT(G33:I33)=0,0,SUMPRODUCT({5000,1000,500},G33:I33))+IF(COUNT(K33:M33)=0,0,SUMPRODUCT({5000,1000,500},K33:M33))+IF(COUNT(O33:Q33)=0,0,SUMPRODUCT({5000,1000,500},O33:Q33))+AD33)-N(AE33))</f>
        <v>39</v>
      </c>
      <c r="AG33" s="35" t="str">
        <f t="shared" si="0"/>
        <v>Excess</v>
      </c>
      <c r="AH33" s="38"/>
      <c r="AI33" s="36">
        <f>273470+374123</f>
        <v>647593</v>
      </c>
      <c r="AJ33" s="37">
        <f>569381+374020</f>
        <v>943401</v>
      </c>
      <c r="AK33" s="26">
        <f t="shared" si="1"/>
        <v>-295808</v>
      </c>
      <c r="AL33" s="25" t="str">
        <f t="shared" si="2"/>
        <v>Bank Short</v>
      </c>
      <c r="AM33" s="38"/>
    </row>
    <row r="34" spans="1:39" ht="12.75" customHeight="1" x14ac:dyDescent="0.25">
      <c r="A34" s="31">
        <v>53874</v>
      </c>
      <c r="B34" s="32" t="str">
        <f>IF(A34="","",VLOOKUP(A34,'Employee Database'!A:B,2,FALSE))</f>
        <v>Ahmad Raza</v>
      </c>
      <c r="C34" s="31"/>
      <c r="D34" s="31"/>
      <c r="E34" s="31"/>
      <c r="F34" s="39"/>
      <c r="G34" s="31">
        <v>33</v>
      </c>
      <c r="H34" s="31">
        <v>113</v>
      </c>
      <c r="I34" s="31">
        <v>7</v>
      </c>
      <c r="J34" s="39">
        <f>IF(COUNT(G34:I34)=0,0,SUMPRODUCT({5000,1000,500},G34:I34))</f>
        <v>281500</v>
      </c>
      <c r="K34" s="31"/>
      <c r="L34" s="31"/>
      <c r="M34" s="31"/>
      <c r="N34" s="39"/>
      <c r="O34" s="31"/>
      <c r="P34" s="31"/>
      <c r="Q34" s="31"/>
      <c r="R34" s="39"/>
      <c r="S34" s="31"/>
      <c r="T34" s="31"/>
      <c r="U34" s="31"/>
      <c r="V34" s="31">
        <v>4</v>
      </c>
      <c r="W34" s="31"/>
      <c r="X34" s="31">
        <v>22</v>
      </c>
      <c r="Y34" s="31"/>
      <c r="Z34" s="31">
        <v>43</v>
      </c>
      <c r="AA34" s="31"/>
      <c r="AB34" s="31"/>
      <c r="AC34" s="31"/>
      <c r="AD34" s="34">
        <f>IF(COUNT(S34:AC34)=0,0,SUMPRODUCT({5000,1000,500,100,75,50,20,10,5,2,1}, S34:AC34))</f>
        <v>1930</v>
      </c>
      <c r="AE34" s="33">
        <v>283339</v>
      </c>
      <c r="AF34" s="24">
        <f>IF(AND(COUNT(C34:E34)=0,COUNT(G34:I34)=0,COUNT(K34:M34)=0,COUNT(O34:Q34)=0,COUNT(S34:AC34)=0,AE34=""),"",(IF(COUNT(C34:E34)=0,0,SUMPRODUCT({5000,1000,500},C34:E34))+IF(COUNT(G34:I34)=0,0,SUMPRODUCT({5000,1000,500},G34:I34))+IF(COUNT(K34:M34)=0,0,SUMPRODUCT({5000,1000,500},K34:M34))+IF(COUNT(O34:Q34)=0,0,SUMPRODUCT({5000,1000,500},O34:Q34))+AD34)-N(AE34))</f>
        <v>91</v>
      </c>
      <c r="AG34" s="35" t="str">
        <f t="shared" si="0"/>
        <v>Excess</v>
      </c>
      <c r="AH34" s="38"/>
      <c r="AI34" s="36">
        <v>397815</v>
      </c>
      <c r="AJ34" s="37">
        <f>166281+231533+1</f>
        <v>397815</v>
      </c>
      <c r="AK34" s="26">
        <f t="shared" si="1"/>
        <v>0</v>
      </c>
      <c r="AL34" s="25" t="str">
        <f t="shared" si="2"/>
        <v>Matched</v>
      </c>
      <c r="AM34" s="38"/>
    </row>
    <row r="35" spans="1:39" ht="12.75" customHeight="1" x14ac:dyDescent="0.25">
      <c r="A35" s="31">
        <v>73679</v>
      </c>
      <c r="B35" s="32" t="str">
        <f>IF(A35="","",VLOOKUP(A35,'Employee Database'!A:B,2,FALSE))</f>
        <v>Imran Waqar</v>
      </c>
      <c r="C35" s="31"/>
      <c r="D35" s="31"/>
      <c r="E35" s="31"/>
      <c r="F35" s="39">
        <f>IF(COUNT(C35:E35)=0,0,SUMPRODUCT({5000,1000,500},C35:E35))</f>
        <v>0</v>
      </c>
      <c r="G35" s="31">
        <v>26</v>
      </c>
      <c r="H35" s="31">
        <v>91</v>
      </c>
      <c r="I35" s="31">
        <v>28</v>
      </c>
      <c r="J35" s="39">
        <f>IF(COUNT(G35:I35)=0,0,SUMPRODUCT({5000,1000,500},G35:I35))</f>
        <v>235000</v>
      </c>
      <c r="K35" s="31"/>
      <c r="L35" s="31"/>
      <c r="M35" s="31"/>
      <c r="N35" s="39">
        <f>IF(COUNT(K35:M35)=0,0,SUMPRODUCT({5000,1000,500},K35:M35))</f>
        <v>0</v>
      </c>
      <c r="O35" s="31"/>
      <c r="P35" s="31"/>
      <c r="Q35" s="31"/>
      <c r="R35" s="39">
        <f>IF(COUNT(O35:Q35)=0,0,SUMPRODUCT({5000,1000,500},O35:Q35))</f>
        <v>0</v>
      </c>
      <c r="S35" s="31"/>
      <c r="T35" s="31"/>
      <c r="U35" s="31"/>
      <c r="V35" s="31">
        <v>10</v>
      </c>
      <c r="W35" s="31"/>
      <c r="X35" s="31">
        <v>683</v>
      </c>
      <c r="Y35" s="31">
        <v>1</v>
      </c>
      <c r="Z35" s="31">
        <v>363</v>
      </c>
      <c r="AA35" s="31"/>
      <c r="AB35" s="31"/>
      <c r="AC35" s="31"/>
      <c r="AD35" s="34">
        <f>IF(COUNT(S35:AC35)=0,0,SUMPRODUCT({5000,1000,500,100,75,50,20,10,5,2,1}, S35:AC35))</f>
        <v>38800</v>
      </c>
      <c r="AE35" s="33">
        <v>273781</v>
      </c>
      <c r="AF35" s="24">
        <f>IF(AND(COUNT(C35:E35)=0,COUNT(G35:I35)=0,COUNT(K35:M35)=0,COUNT(O35:Q35)=0,COUNT(S35:AC35)=0,AE35=""),"",(IF(COUNT(C35:E35)=0,0,SUMPRODUCT({5000,1000,500},C35:E35))+IF(COUNT(G35:I35)=0,0,SUMPRODUCT({5000,1000,500},G35:I35))+IF(COUNT(K35:M35)=0,0,SUMPRODUCT({5000,1000,500},K35:M35))+IF(COUNT(O35:Q35)=0,0,SUMPRODUCT({5000,1000,500},O35:Q35))+AD35)-N(AE35))</f>
        <v>19</v>
      </c>
      <c r="AG35" s="35" t="str">
        <f t="shared" si="0"/>
        <v>Excess</v>
      </c>
      <c r="AH35" s="38"/>
      <c r="AI35" s="36">
        <v>596155</v>
      </c>
      <c r="AJ35" s="37">
        <f>405127+191027+1</f>
        <v>596155</v>
      </c>
      <c r="AK35" s="26">
        <f t="shared" si="1"/>
        <v>0</v>
      </c>
      <c r="AL35" s="25" t="str">
        <f t="shared" si="2"/>
        <v>Matched</v>
      </c>
      <c r="AM35" s="38"/>
    </row>
    <row r="36" spans="1:39" ht="22.5" customHeight="1" x14ac:dyDescent="0.25">
      <c r="A36" s="27" t="s">
        <v>24</v>
      </c>
      <c r="B36" s="27" t="s">
        <v>24</v>
      </c>
      <c r="C36" s="28">
        <f t="shared" ref="C36:AF36" si="3">SUM(C5:C35)</f>
        <v>414</v>
      </c>
      <c r="D36" s="28">
        <f t="shared" si="3"/>
        <v>1385</v>
      </c>
      <c r="E36" s="28">
        <f t="shared" si="3"/>
        <v>310</v>
      </c>
      <c r="F36" s="40">
        <f t="shared" si="3"/>
        <v>3610000</v>
      </c>
      <c r="G36" s="28">
        <f t="shared" si="3"/>
        <v>462</v>
      </c>
      <c r="H36" s="28">
        <f t="shared" si="3"/>
        <v>1598</v>
      </c>
      <c r="I36" s="28">
        <f t="shared" si="3"/>
        <v>398</v>
      </c>
      <c r="J36" s="40">
        <f t="shared" si="3"/>
        <v>4107000</v>
      </c>
      <c r="K36" s="28">
        <f t="shared" si="3"/>
        <v>0</v>
      </c>
      <c r="L36" s="28">
        <f t="shared" si="3"/>
        <v>0</v>
      </c>
      <c r="M36" s="28">
        <f t="shared" si="3"/>
        <v>0</v>
      </c>
      <c r="N36" s="40">
        <f t="shared" si="3"/>
        <v>0</v>
      </c>
      <c r="O36" s="28">
        <f t="shared" si="3"/>
        <v>0</v>
      </c>
      <c r="P36" s="28">
        <f t="shared" si="3"/>
        <v>0</v>
      </c>
      <c r="Q36" s="28">
        <f t="shared" si="3"/>
        <v>0</v>
      </c>
      <c r="R36" s="40">
        <f t="shared" si="3"/>
        <v>0</v>
      </c>
      <c r="S36" s="28">
        <f t="shared" si="3"/>
        <v>0</v>
      </c>
      <c r="T36" s="28">
        <f t="shared" si="3"/>
        <v>0</v>
      </c>
      <c r="U36" s="28">
        <f t="shared" si="3"/>
        <v>0</v>
      </c>
      <c r="V36" s="28">
        <f t="shared" si="3"/>
        <v>697</v>
      </c>
      <c r="W36" s="28">
        <f t="shared" si="3"/>
        <v>0</v>
      </c>
      <c r="X36" s="28">
        <f t="shared" si="3"/>
        <v>1747</v>
      </c>
      <c r="Y36" s="28">
        <f t="shared" si="3"/>
        <v>12</v>
      </c>
      <c r="Z36" s="28">
        <f t="shared" si="3"/>
        <v>1503</v>
      </c>
      <c r="AA36" s="28">
        <f t="shared" si="3"/>
        <v>0</v>
      </c>
      <c r="AB36" s="28">
        <f t="shared" si="3"/>
        <v>0</v>
      </c>
      <c r="AC36" s="28">
        <f t="shared" si="3"/>
        <v>0</v>
      </c>
      <c r="AD36" s="40">
        <f t="shared" si="3"/>
        <v>172320</v>
      </c>
      <c r="AE36" s="41">
        <f t="shared" si="3"/>
        <v>7889359</v>
      </c>
      <c r="AF36" s="29">
        <f t="shared" si="3"/>
        <v>-39</v>
      </c>
      <c r="AG36" s="27" t="s">
        <v>24</v>
      </c>
      <c r="AH36" s="27" t="s">
        <v>24</v>
      </c>
      <c r="AI36" s="28">
        <f>SUM(AI5:AI35)</f>
        <v>16586598</v>
      </c>
      <c r="AJ36" s="28">
        <f>SUM(AJ5:AJ35)</f>
        <v>16882406</v>
      </c>
      <c r="AK36" s="28">
        <f>SUM(AK5:AK35)</f>
        <v>-295808</v>
      </c>
      <c r="AL36" s="28">
        <f>AJ36+AE36</f>
        <v>24771765</v>
      </c>
      <c r="AM36" s="28">
        <f>SUM(AM5:AM35)</f>
        <v>0</v>
      </c>
    </row>
  </sheetData>
  <sheetProtection algorithmName="SHA-512" hashValue="tWgZJiPSvBlNQHpqR20202vWCIHF/bXO/V8c2ttJFqiwxugOZJvR74ZQlVBs700UQMeqePcAqspW1hyTbejTjw==" saltValue="4gUu4GqubVmO6ShfLbg7PQ==" spinCount="100000" sheet="1" objects="1" scenarios="1"/>
  <mergeCells count="9">
    <mergeCell ref="S3:AC3"/>
    <mergeCell ref="AD3:AG3"/>
    <mergeCell ref="AH3:AM3"/>
    <mergeCell ref="A1:B1"/>
    <mergeCell ref="A3:B3"/>
    <mergeCell ref="C3:F3"/>
    <mergeCell ref="G3:J3"/>
    <mergeCell ref="K3:N3"/>
    <mergeCell ref="O3:R3"/>
  </mergeCells>
  <conditionalFormatting sqref="A5">
    <cfRule type="duplicateValues" dxfId="140" priority="3"/>
    <cfRule type="duplicateValues" dxfId="139" priority="4"/>
  </conditionalFormatting>
  <conditionalFormatting sqref="A6">
    <cfRule type="duplicateValues" dxfId="138" priority="5"/>
    <cfRule type="duplicateValues" dxfId="137" priority="6"/>
  </conditionalFormatting>
  <conditionalFormatting sqref="A7:A35">
    <cfRule type="duplicateValues" dxfId="136" priority="12"/>
    <cfRule type="duplicateValues" dxfId="135" priority="13"/>
  </conditionalFormatting>
  <conditionalFormatting sqref="A36">
    <cfRule type="duplicateValues" dxfId="134" priority="7"/>
  </conditionalFormatting>
  <dataValidations count="1">
    <dataValidation type="list" allowBlank="1" showInputMessage="1" showErrorMessage="1" sqref="A1:B1" xr:uid="{00000000-0002-0000-0D00-000000000000}">
      <formula1>Locations</formula1>
    </dataValidation>
  </dataValidations>
  <pageMargins left="0.75" right="0.75" top="1" bottom="1" header="0.5" footer="0.5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>
    <tabColor rgb="FFFF0000"/>
  </sheetPr>
  <dimension ref="A1:AM35"/>
  <sheetViews>
    <sheetView showGridLines="0" topLeftCell="A16" zoomScale="85" zoomScaleNormal="85" workbookViewId="0">
      <pane xSplit="2" topLeftCell="P1" activePane="topRight" state="frozen"/>
      <selection activeCell="A4" sqref="A4"/>
      <selection pane="topRight" activeCell="AD41" sqref="AD41"/>
    </sheetView>
  </sheetViews>
  <sheetFormatPr defaultRowHeight="15" x14ac:dyDescent="0.25"/>
  <cols>
    <col min="1" max="1" width="11.85546875" customWidth="1"/>
    <col min="2" max="2" width="20.5703125" customWidth="1"/>
    <col min="6" max="6" width="14.42578125" bestFit="1" customWidth="1"/>
    <col min="10" max="10" width="14.42578125" bestFit="1" customWidth="1"/>
    <col min="14" max="14" width="14.42578125" bestFit="1" customWidth="1"/>
    <col min="18" max="18" width="14.42578125" bestFit="1" customWidth="1"/>
    <col min="30" max="31" width="18" customWidth="1"/>
    <col min="32" max="32" width="20" customWidth="1"/>
    <col min="33" max="33" width="14" customWidth="1"/>
    <col min="35" max="35" width="18" customWidth="1"/>
    <col min="36" max="36" width="22" customWidth="1"/>
    <col min="37" max="37" width="16" customWidth="1"/>
    <col min="38" max="38" width="14" customWidth="1"/>
  </cols>
  <sheetData>
    <row r="1" spans="1:39" ht="43.5" customHeight="1" x14ac:dyDescent="0.25">
      <c r="A1" s="48" t="s">
        <v>306</v>
      </c>
      <c r="B1" s="48"/>
    </row>
    <row r="2" spans="1:39" ht="13.5" customHeight="1" x14ac:dyDescent="0.25">
      <c r="A2" s="30">
        <f>'12'!A2+1</f>
        <v>46216</v>
      </c>
    </row>
    <row r="3" spans="1:39" ht="24" customHeight="1" x14ac:dyDescent="0.25">
      <c r="A3" s="49" t="s">
        <v>0</v>
      </c>
      <c r="B3" s="49"/>
      <c r="C3" s="49" t="s">
        <v>93</v>
      </c>
      <c r="D3" s="50"/>
      <c r="E3" s="50"/>
      <c r="F3" s="50"/>
      <c r="G3" s="49" t="s">
        <v>94</v>
      </c>
      <c r="H3" s="50"/>
      <c r="I3" s="50"/>
      <c r="J3" s="50"/>
      <c r="K3" s="49" t="s">
        <v>95</v>
      </c>
      <c r="L3" s="50"/>
      <c r="M3" s="50"/>
      <c r="N3" s="50"/>
      <c r="O3" s="49" t="s">
        <v>96</v>
      </c>
      <c r="P3" s="50"/>
      <c r="Q3" s="50"/>
      <c r="R3" s="50"/>
      <c r="S3" s="45" t="s">
        <v>1</v>
      </c>
      <c r="T3" s="46"/>
      <c r="U3" s="46"/>
      <c r="V3" s="46"/>
      <c r="W3" s="46"/>
      <c r="X3" s="46"/>
      <c r="Y3" s="46"/>
      <c r="Z3" s="46"/>
      <c r="AA3" s="46"/>
      <c r="AB3" s="46"/>
      <c r="AC3" s="46"/>
      <c r="AD3" s="47" t="s">
        <v>97</v>
      </c>
      <c r="AE3" s="46"/>
      <c r="AF3" s="46"/>
      <c r="AG3" s="46"/>
      <c r="AH3" s="47" t="s">
        <v>98</v>
      </c>
      <c r="AI3" s="46"/>
      <c r="AJ3" s="46"/>
      <c r="AK3" s="46"/>
      <c r="AL3" s="46"/>
      <c r="AM3" s="46"/>
    </row>
    <row r="4" spans="1:39" ht="27.95" customHeight="1" x14ac:dyDescent="0.25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92</v>
      </c>
      <c r="G4" s="1" t="s">
        <v>5</v>
      </c>
      <c r="H4" s="1" t="s">
        <v>6</v>
      </c>
      <c r="I4" s="1" t="s">
        <v>7</v>
      </c>
      <c r="J4" s="1" t="s">
        <v>92</v>
      </c>
      <c r="K4" s="1" t="s">
        <v>5</v>
      </c>
      <c r="L4" s="1" t="s">
        <v>6</v>
      </c>
      <c r="M4" s="1" t="s">
        <v>7</v>
      </c>
      <c r="N4" s="1" t="s">
        <v>92</v>
      </c>
      <c r="O4" s="1" t="s">
        <v>5</v>
      </c>
      <c r="P4" s="1" t="s">
        <v>6</v>
      </c>
      <c r="Q4" s="1" t="s">
        <v>7</v>
      </c>
      <c r="R4" s="1" t="s">
        <v>92</v>
      </c>
      <c r="S4" s="1" t="s">
        <v>5</v>
      </c>
      <c r="T4" s="1" t="s">
        <v>6</v>
      </c>
      <c r="U4" s="1" t="s">
        <v>7</v>
      </c>
      <c r="V4" s="1" t="s">
        <v>8</v>
      </c>
      <c r="W4" s="1" t="s">
        <v>9</v>
      </c>
      <c r="X4" s="1" t="s">
        <v>10</v>
      </c>
      <c r="Y4" s="1" t="s">
        <v>11</v>
      </c>
      <c r="Z4" s="1" t="s">
        <v>12</v>
      </c>
      <c r="AA4" s="1" t="s">
        <v>13</v>
      </c>
      <c r="AB4" s="1" t="s">
        <v>14</v>
      </c>
      <c r="AC4" s="1" t="s">
        <v>15</v>
      </c>
      <c r="AD4" s="1" t="s">
        <v>16</v>
      </c>
      <c r="AE4" s="1" t="s">
        <v>17</v>
      </c>
      <c r="AF4" s="1" t="s">
        <v>18</v>
      </c>
      <c r="AG4" s="1" t="s">
        <v>19</v>
      </c>
      <c r="AH4" s="1" t="s">
        <v>20</v>
      </c>
      <c r="AI4" s="4" t="s">
        <v>99</v>
      </c>
      <c r="AJ4" s="1" t="s">
        <v>21</v>
      </c>
      <c r="AK4" s="1" t="s">
        <v>22</v>
      </c>
      <c r="AL4" s="1" t="s">
        <v>23</v>
      </c>
      <c r="AM4" s="4" t="s">
        <v>100</v>
      </c>
    </row>
    <row r="5" spans="1:39" ht="12.75" customHeight="1" x14ac:dyDescent="0.25">
      <c r="A5" s="31">
        <v>56189</v>
      </c>
      <c r="B5" s="32" t="str">
        <f>IF(A5="","",VLOOKUP(A5,'Employee Database'!A:B,2,FALSE))</f>
        <v>Iffat Sultan</v>
      </c>
      <c r="C5" s="31">
        <v>9</v>
      </c>
      <c r="D5" s="31">
        <v>88</v>
      </c>
      <c r="E5" s="31">
        <v>7</v>
      </c>
      <c r="F5" s="39">
        <f>IF(COUNT(C5:E5)=0,0,SUMPRODUCT({5000,1000,500},C5:E5))</f>
        <v>136500</v>
      </c>
      <c r="G5" s="31"/>
      <c r="H5" s="31"/>
      <c r="I5" s="31"/>
      <c r="J5" s="39">
        <f>IF(COUNT(G5:I5)=0,0,SUMPRODUCT({5000,1000,500},G5:I5))</f>
        <v>0</v>
      </c>
      <c r="K5" s="31"/>
      <c r="L5" s="31"/>
      <c r="M5" s="31"/>
      <c r="N5" s="39">
        <f>IF(COUNT(K5:M5)=0,0,SUMPRODUCT({5000,1000,500},K5:M5))</f>
        <v>0</v>
      </c>
      <c r="O5" s="31"/>
      <c r="P5" s="31"/>
      <c r="Q5" s="31"/>
      <c r="R5" s="39">
        <f>IF(COUNT(O5:Q5)=0,0,SUMPRODUCT({5000,1000,500},O5:Q5))</f>
        <v>0</v>
      </c>
      <c r="S5" s="31"/>
      <c r="T5" s="31"/>
      <c r="U5" s="31"/>
      <c r="V5" s="31">
        <v>7</v>
      </c>
      <c r="W5" s="31"/>
      <c r="X5" s="31">
        <v>9</v>
      </c>
      <c r="Y5" s="31"/>
      <c r="Z5" s="31">
        <v>46</v>
      </c>
      <c r="AA5" s="31"/>
      <c r="AB5" s="31"/>
      <c r="AC5" s="31">
        <v>1</v>
      </c>
      <c r="AD5" s="34">
        <f>IF(COUNT(S5:AC5)=0,0,SUMPRODUCT({5000,1000,500,100,75,50,20,10,5,2,1}, S5:AC5))</f>
        <v>1611</v>
      </c>
      <c r="AE5" s="33">
        <v>138052</v>
      </c>
      <c r="AF5" s="24">
        <f>IF(AND(COUNT(C5:E5)=0,COUNT(G5:I5)=0,COUNT(K5:M5)=0,COUNT(O5:Q5)=0,COUNT(S5:AC5)=0,AE5=""),"",(IF(COUNT(C5:E5)=0,0,SUMPRODUCT({5000,1000,500},C5:E5))+IF(COUNT(G5:I5)=0,0,SUMPRODUCT({5000,1000,500},G5:I5))+IF(COUNT(K5:M5)=0,0,SUMPRODUCT({5000,1000,500},K5:M5))+IF(COUNT(O5:Q5)=0,0,SUMPRODUCT({5000,1000,500},O5:Q5))+AD5)-N(AE5))</f>
        <v>59</v>
      </c>
      <c r="AG5" s="35" t="str">
        <f t="shared" ref="AG5:AG34" si="0">IF(AF5="","",IF(AF5&gt;0,"Excess",IF(AF5&lt;0,"Short","Balanced")))</f>
        <v>Excess</v>
      </c>
      <c r="AH5" s="38"/>
      <c r="AI5" s="36">
        <v>356269</v>
      </c>
      <c r="AJ5" s="37">
        <f>233059+123210</f>
        <v>356269</v>
      </c>
      <c r="AK5" s="26">
        <f t="shared" ref="AK5:AK34" si="1">IF(AND(AI5="",AJ5=""),"",N(AI5)-N(AJ5))</f>
        <v>0</v>
      </c>
      <c r="AL5" s="25" t="str">
        <f t="shared" ref="AL5:AL34" si="2">IF(AK5="","",IF(AK5&gt;0,"POS Excess",IF(AK5&lt;0,"Bank Short","Matched")))</f>
        <v>Matched</v>
      </c>
      <c r="AM5" s="38"/>
    </row>
    <row r="6" spans="1:39" ht="12.75" customHeight="1" x14ac:dyDescent="0.25">
      <c r="A6" s="31">
        <v>65299</v>
      </c>
      <c r="B6" s="32" t="str">
        <f>IF(A6="","",VLOOKUP(A6,'Employee Database'!A:B,2,FALSE))</f>
        <v>M Faisal</v>
      </c>
      <c r="C6" s="31">
        <v>4</v>
      </c>
      <c r="D6" s="31">
        <v>11</v>
      </c>
      <c r="E6" s="31">
        <v>13</v>
      </c>
      <c r="F6" s="39">
        <f>IF(COUNT(C6:E6)=0,0,SUMPRODUCT({5000,1000,500},C6:E6))</f>
        <v>37500</v>
      </c>
      <c r="G6" s="31"/>
      <c r="H6" s="31"/>
      <c r="I6" s="31"/>
      <c r="J6" s="39">
        <f>IF(COUNT(G6:I6)=0,0,SUMPRODUCT({5000,1000,500},G6:I6))</f>
        <v>0</v>
      </c>
      <c r="K6" s="31"/>
      <c r="L6" s="31"/>
      <c r="M6" s="31"/>
      <c r="N6" s="39">
        <f>IF(COUNT(K6:M6)=0,0,SUMPRODUCT({5000,1000,500},K6:M6))</f>
        <v>0</v>
      </c>
      <c r="O6" s="31"/>
      <c r="P6" s="31"/>
      <c r="Q6" s="31"/>
      <c r="R6" s="39">
        <f>IF(COUNT(O6:Q6)=0,0,SUMPRODUCT({5000,1000,500},O6:Q6))</f>
        <v>0</v>
      </c>
      <c r="S6" s="31"/>
      <c r="T6" s="31"/>
      <c r="U6" s="31"/>
      <c r="V6" s="31">
        <v>4</v>
      </c>
      <c r="W6" s="31"/>
      <c r="X6" s="31">
        <v>28</v>
      </c>
      <c r="Y6" s="31">
        <v>1</v>
      </c>
      <c r="Z6" s="31">
        <v>1</v>
      </c>
      <c r="AA6" s="31"/>
      <c r="AB6" s="31"/>
      <c r="AC6" s="31"/>
      <c r="AD6" s="34">
        <f>IF(COUNT(S6:AC6)=0,0,SUMPRODUCT({5000,1000,500,100,75,50,20,10,5,2,1}, S6:AC6))</f>
        <v>1830</v>
      </c>
      <c r="AE6" s="33">
        <v>39343</v>
      </c>
      <c r="AF6" s="24">
        <f>IF(AND(COUNT(C6:E6)=0,COUNT(G6:I6)=0,COUNT(K6:M6)=0,COUNT(O6:Q6)=0,COUNT(S6:AC6)=0,AE6=""),"",(IF(COUNT(C6:E6)=0,0,SUMPRODUCT({5000,1000,500},C6:E6))+IF(COUNT(G6:I6)=0,0,SUMPRODUCT({5000,1000,500},G6:I6))+IF(COUNT(K6:M6)=0,0,SUMPRODUCT({5000,1000,500},K6:M6))+IF(COUNT(O6:Q6)=0,0,SUMPRODUCT({5000,1000,500},O6:Q6))+AD6)-N(AE6))</f>
        <v>-13</v>
      </c>
      <c r="AG6" s="35" t="str">
        <f t="shared" si="0"/>
        <v>Short</v>
      </c>
      <c r="AH6" s="38"/>
      <c r="AI6" s="36">
        <v>34693</v>
      </c>
      <c r="AJ6" s="37">
        <f>19295+15398</f>
        <v>34693</v>
      </c>
      <c r="AK6" s="26">
        <f t="shared" si="1"/>
        <v>0</v>
      </c>
      <c r="AL6" s="25" t="str">
        <f t="shared" si="2"/>
        <v>Matched</v>
      </c>
      <c r="AM6" s="38"/>
    </row>
    <row r="7" spans="1:39" ht="12.75" customHeight="1" x14ac:dyDescent="0.25">
      <c r="A7" s="31">
        <v>72873</v>
      </c>
      <c r="B7" s="32" t="str">
        <f>IF(A7="","",VLOOKUP(A7,'Employee Database'!A:B,2,FALSE))</f>
        <v>M Shajee</v>
      </c>
      <c r="C7" s="31">
        <v>40</v>
      </c>
      <c r="D7" s="31">
        <v>126</v>
      </c>
      <c r="E7" s="31">
        <v>10</v>
      </c>
      <c r="F7" s="39">
        <f>IF(COUNT(C7:E7)=0,0,SUMPRODUCT({5000,1000,500},C7:E7))</f>
        <v>331000</v>
      </c>
      <c r="G7" s="31"/>
      <c r="H7" s="31"/>
      <c r="I7" s="31"/>
      <c r="J7" s="39">
        <f>IF(COUNT(G7:I7)=0,0,SUMPRODUCT({5000,1000,500},G7:I7))</f>
        <v>0</v>
      </c>
      <c r="K7" s="31"/>
      <c r="L7" s="31"/>
      <c r="M7" s="31"/>
      <c r="N7" s="39">
        <f>IF(COUNT(K7:M7)=0,0,SUMPRODUCT({5000,1000,500},K7:M7))</f>
        <v>0</v>
      </c>
      <c r="O7" s="31"/>
      <c r="P7" s="31"/>
      <c r="Q7" s="31"/>
      <c r="R7" s="39">
        <f>IF(COUNT(O7:Q7)=0,0,SUMPRODUCT({5000,1000,500},O7:Q7))</f>
        <v>0</v>
      </c>
      <c r="S7" s="31"/>
      <c r="T7" s="31"/>
      <c r="U7" s="31"/>
      <c r="V7" s="31">
        <v>2</v>
      </c>
      <c r="W7" s="31"/>
      <c r="X7" s="31">
        <v>20</v>
      </c>
      <c r="Y7" s="31">
        <v>1</v>
      </c>
      <c r="Z7" s="31">
        <v>37</v>
      </c>
      <c r="AA7" s="31"/>
      <c r="AB7" s="31"/>
      <c r="AC7" s="31"/>
      <c r="AD7" s="34">
        <f>IF(COUNT(S7:AC7)=0,0,SUMPRODUCT({5000,1000,500,100,75,50,20,10,5,2,1}, S7:AC7))</f>
        <v>1590</v>
      </c>
      <c r="AE7" s="33">
        <v>332519</v>
      </c>
      <c r="AF7" s="24">
        <f>IF(AND(COUNT(C7:E7)=0,COUNT(G7:I7)=0,COUNT(K7:M7)=0,COUNT(O7:Q7)=0,COUNT(S7:AC7)=0,AE7=""),"",(IF(COUNT(C7:E7)=0,0,SUMPRODUCT({5000,1000,500},C7:E7))+IF(COUNT(G7:I7)=0,0,SUMPRODUCT({5000,1000,500},G7:I7))+IF(COUNT(K7:M7)=0,0,SUMPRODUCT({5000,1000,500},K7:M7))+IF(COUNT(O7:Q7)=0,0,SUMPRODUCT({5000,1000,500},O7:Q7))+AD7)-N(AE7))</f>
        <v>71</v>
      </c>
      <c r="AG7" s="35" t="str">
        <f t="shared" si="0"/>
        <v>Excess</v>
      </c>
      <c r="AH7" s="38"/>
      <c r="AI7" s="36">
        <v>345757</v>
      </c>
      <c r="AJ7" s="37">
        <f>164193+181563+1</f>
        <v>345757</v>
      </c>
      <c r="AK7" s="26">
        <f t="shared" si="1"/>
        <v>0</v>
      </c>
      <c r="AL7" s="25" t="str">
        <f t="shared" si="2"/>
        <v>Matched</v>
      </c>
      <c r="AM7" s="38"/>
    </row>
    <row r="8" spans="1:39" ht="12.75" customHeight="1" x14ac:dyDescent="0.25">
      <c r="A8" s="31">
        <v>57653</v>
      </c>
      <c r="B8" s="32" t="str">
        <f>IF(A8="","",VLOOKUP(A8,'Employee Database'!A:B,2,FALSE))</f>
        <v>Amanat ali</v>
      </c>
      <c r="C8" s="31">
        <v>44</v>
      </c>
      <c r="D8" s="31">
        <v>174</v>
      </c>
      <c r="E8" s="31">
        <v>26</v>
      </c>
      <c r="F8" s="39">
        <f>IF(COUNT(C8:E8)=0,0,SUMPRODUCT({5000,1000,500},C8:E8))</f>
        <v>407000</v>
      </c>
      <c r="G8" s="31"/>
      <c r="H8" s="31"/>
      <c r="I8" s="31"/>
      <c r="J8" s="39">
        <f>IF(COUNT(G8:I8)=0,0,SUMPRODUCT({5000,1000,500},G8:I8))</f>
        <v>0</v>
      </c>
      <c r="K8" s="31"/>
      <c r="L8" s="31"/>
      <c r="M8" s="31"/>
      <c r="N8" s="39">
        <f>IF(COUNT(K8:M8)=0,0,SUMPRODUCT({5000,1000,500},K8:M8))</f>
        <v>0</v>
      </c>
      <c r="O8" s="31"/>
      <c r="P8" s="31"/>
      <c r="Q8" s="31"/>
      <c r="R8" s="39">
        <f>IF(COUNT(O8:Q8)=0,0,SUMPRODUCT({5000,1000,500},O8:Q8))</f>
        <v>0</v>
      </c>
      <c r="S8" s="31"/>
      <c r="T8" s="31"/>
      <c r="U8" s="31"/>
      <c r="V8" s="31"/>
      <c r="W8" s="31"/>
      <c r="X8" s="31">
        <v>14</v>
      </c>
      <c r="Y8" s="31"/>
      <c r="Z8" s="31">
        <v>7</v>
      </c>
      <c r="AA8" s="31"/>
      <c r="AB8" s="31"/>
      <c r="AC8" s="31"/>
      <c r="AD8" s="34">
        <f>IF(COUNT(S8:AC8)=0,0,SUMPRODUCT({5000,1000,500,100,75,50,20,10,5,2,1}, S8:AC8))</f>
        <v>770</v>
      </c>
      <c r="AE8" s="33">
        <v>407668</v>
      </c>
      <c r="AF8" s="24">
        <f>IF(AND(COUNT(C8:E8)=0,COUNT(G8:I8)=0,COUNT(K8:M8)=0,COUNT(O8:Q8)=0,COUNT(S8:AC8)=0,AE8=""),"",(IF(COUNT(C8:E8)=0,0,SUMPRODUCT({5000,1000,500},C8:E8))+IF(COUNT(G8:I8)=0,0,SUMPRODUCT({5000,1000,500},G8:I8))+IF(COUNT(K8:M8)=0,0,SUMPRODUCT({5000,1000,500},K8:M8))+IF(COUNT(O8:Q8)=0,0,SUMPRODUCT({5000,1000,500},O8:Q8))+AD8)-N(AE8))</f>
        <v>102</v>
      </c>
      <c r="AG8" s="35" t="str">
        <f t="shared" si="0"/>
        <v>Excess</v>
      </c>
      <c r="AH8" s="38"/>
      <c r="AI8" s="36">
        <v>462656</v>
      </c>
      <c r="AJ8" s="37">
        <f>195011+267645</f>
        <v>462656</v>
      </c>
      <c r="AK8" s="26">
        <f>IF(AND(AI8="",AJ8=""),"",N(AI8)-N(AJ8))</f>
        <v>0</v>
      </c>
      <c r="AL8" s="25" t="str">
        <f t="shared" si="2"/>
        <v>Matched</v>
      </c>
      <c r="AM8" s="38"/>
    </row>
    <row r="9" spans="1:39" ht="12.75" customHeight="1" x14ac:dyDescent="0.25">
      <c r="A9" s="31">
        <v>77423</v>
      </c>
      <c r="B9" s="32" t="str">
        <f>IF(A9="","",VLOOKUP(A9,'Employee Database'!A:B,2,FALSE))</f>
        <v>Shoaib Akhtar</v>
      </c>
      <c r="C9" s="31">
        <v>20</v>
      </c>
      <c r="D9" s="31">
        <v>95</v>
      </c>
      <c r="E9" s="31">
        <v>17</v>
      </c>
      <c r="F9" s="39">
        <f>IF(COUNT(C9:E9)=0,0,SUMPRODUCT({5000,1000,500},C9:E9))</f>
        <v>203500</v>
      </c>
      <c r="G9" s="31"/>
      <c r="H9" s="31"/>
      <c r="I9" s="31"/>
      <c r="J9" s="39">
        <f>IF(COUNT(G9:I9)=0,0,SUMPRODUCT({5000,1000,500},G9:I9))</f>
        <v>0</v>
      </c>
      <c r="K9" s="31"/>
      <c r="L9" s="31"/>
      <c r="M9" s="31"/>
      <c r="N9" s="39">
        <f>IF(COUNT(K9:M9)=0,0,SUMPRODUCT({5000,1000,500},K9:M9))</f>
        <v>0</v>
      </c>
      <c r="O9" s="31"/>
      <c r="P9" s="31"/>
      <c r="Q9" s="31"/>
      <c r="R9" s="39">
        <f>IF(COUNT(O9:Q9)=0,0,SUMPRODUCT({5000,1000,500},O9:Q9))</f>
        <v>0</v>
      </c>
      <c r="S9" s="31"/>
      <c r="T9" s="31"/>
      <c r="U9" s="31"/>
      <c r="V9" s="31"/>
      <c r="W9" s="31"/>
      <c r="X9" s="31">
        <v>4</v>
      </c>
      <c r="Y9" s="31"/>
      <c r="Z9" s="31">
        <v>60</v>
      </c>
      <c r="AA9" s="31"/>
      <c r="AB9" s="31"/>
      <c r="AC9" s="31"/>
      <c r="AD9" s="34">
        <f>IF(COUNT(S9:AC9)=0,0,SUMPRODUCT({5000,1000,500,100,75,50,20,10,5,2,1}, S9:AC9))</f>
        <v>800</v>
      </c>
      <c r="AE9" s="33">
        <v>204192</v>
      </c>
      <c r="AF9" s="24">
        <f>IF(AND(COUNT(C9:E9)=0,COUNT(G9:I9)=0,COUNT(K9:M9)=0,COUNT(O9:Q9)=0,COUNT(S9:AC9)=0,AE9=""),"",(IF(COUNT(C9:E9)=0,0,SUMPRODUCT({5000,1000,500},C9:E9))+IF(COUNT(G9:I9)=0,0,SUMPRODUCT({5000,1000,500},G9:I9))+IF(COUNT(K9:M9)=0,0,SUMPRODUCT({5000,1000,500},K9:M9))+IF(COUNT(O9:Q9)=0,0,SUMPRODUCT({5000,1000,500},O9:Q9))+AD9)-N(AE9))</f>
        <v>108</v>
      </c>
      <c r="AG9" s="35" t="str">
        <f t="shared" si="0"/>
        <v>Excess</v>
      </c>
      <c r="AH9" s="38"/>
      <c r="AI9" s="36">
        <v>241265</v>
      </c>
      <c r="AJ9" s="37">
        <f>113972+127293</f>
        <v>241265</v>
      </c>
      <c r="AK9" s="26">
        <f t="shared" si="1"/>
        <v>0</v>
      </c>
      <c r="AL9" s="25" t="str">
        <f t="shared" si="2"/>
        <v>Matched</v>
      </c>
      <c r="AM9" s="38"/>
    </row>
    <row r="10" spans="1:39" ht="12.75" customHeight="1" x14ac:dyDescent="0.25">
      <c r="A10" s="31">
        <v>59257</v>
      </c>
      <c r="B10" s="32" t="str">
        <f>IF(A10="","",VLOOKUP(A10,'Employee Database'!A:B,2,FALSE))</f>
        <v>Saddiqa Maryam</v>
      </c>
      <c r="C10" s="31">
        <v>25</v>
      </c>
      <c r="D10" s="31">
        <v>132</v>
      </c>
      <c r="E10" s="31">
        <v>10</v>
      </c>
      <c r="F10" s="39">
        <f>IF(COUNT(C10:E10)=0,0,SUMPRODUCT({5000,1000,500},C10:E10))</f>
        <v>262000</v>
      </c>
      <c r="G10" s="31"/>
      <c r="H10" s="31"/>
      <c r="I10" s="31"/>
      <c r="J10" s="39">
        <f>IF(COUNT(G10:I10)=0,0,SUMPRODUCT({5000,1000,500},G10:I10))</f>
        <v>0</v>
      </c>
      <c r="K10" s="31"/>
      <c r="L10" s="31"/>
      <c r="M10" s="31"/>
      <c r="N10" s="39">
        <f>IF(COUNT(K10:M10)=0,0,SUMPRODUCT({5000,1000,500},K10:M10))</f>
        <v>0</v>
      </c>
      <c r="O10" s="31"/>
      <c r="P10" s="31"/>
      <c r="Q10" s="31"/>
      <c r="R10" s="39">
        <f>IF(COUNT(O10:Q10)=0,0,SUMPRODUCT({5000,1000,500},O10:Q10))</f>
        <v>0</v>
      </c>
      <c r="S10" s="31"/>
      <c r="T10" s="31"/>
      <c r="U10" s="31"/>
      <c r="V10" s="31">
        <v>1</v>
      </c>
      <c r="W10" s="31"/>
      <c r="X10" s="31"/>
      <c r="Y10" s="31"/>
      <c r="Z10" s="31"/>
      <c r="AA10" s="31"/>
      <c r="AB10" s="31"/>
      <c r="AC10" s="31"/>
      <c r="AD10" s="34">
        <f>IF(COUNT(S10:AC10)=0,0,SUMPRODUCT({5000,1000,500,100,75,50,20,10,5,2,1}, S10:AC10))</f>
        <v>100</v>
      </c>
      <c r="AE10" s="33">
        <v>262150</v>
      </c>
      <c r="AF10" s="24">
        <f>IF(AND(COUNT(C10:E10)=0,COUNT(G10:I10)=0,COUNT(K10:M10)=0,COUNT(O10:Q10)=0,COUNT(S10:AC10)=0,AE10=""),"",(IF(COUNT(C10:E10)=0,0,SUMPRODUCT({5000,1000,500},C10:E10))+IF(COUNT(G10:I10)=0,0,SUMPRODUCT({5000,1000,500},G10:I10))+IF(COUNT(K10:M10)=0,0,SUMPRODUCT({5000,1000,500},K10:M10))+IF(COUNT(O10:Q10)=0,0,SUMPRODUCT({5000,1000,500},O10:Q10))+AD10)-N(AE10))</f>
        <v>-50</v>
      </c>
      <c r="AG10" s="35" t="str">
        <f t="shared" si="0"/>
        <v>Short</v>
      </c>
      <c r="AH10" s="38"/>
      <c r="AI10" s="36">
        <v>589146</v>
      </c>
      <c r="AJ10" s="37">
        <f>296174+292972</f>
        <v>589146</v>
      </c>
      <c r="AK10" s="26">
        <f t="shared" si="1"/>
        <v>0</v>
      </c>
      <c r="AL10" s="25" t="str">
        <f t="shared" si="2"/>
        <v>Matched</v>
      </c>
      <c r="AM10" s="38"/>
    </row>
    <row r="11" spans="1:39" ht="12.75" customHeight="1" x14ac:dyDescent="0.25">
      <c r="A11" s="31">
        <v>73196</v>
      </c>
      <c r="B11" s="32" t="str">
        <f>IF(A11="","",VLOOKUP(A11,'Employee Database'!A:B,2,FALSE))</f>
        <v>Asma</v>
      </c>
      <c r="C11" s="31">
        <v>63</v>
      </c>
      <c r="D11" s="31">
        <v>121</v>
      </c>
      <c r="E11" s="31">
        <v>7</v>
      </c>
      <c r="F11" s="39">
        <f>IF(COUNT(C11:E11)=0,0,SUMPRODUCT({5000,1000,500},C11:E11))</f>
        <v>439500</v>
      </c>
      <c r="G11" s="31"/>
      <c r="H11" s="31"/>
      <c r="I11" s="31"/>
      <c r="J11" s="39">
        <f>IF(COUNT(G11:I11)=0,0,SUMPRODUCT({5000,1000,500},G11:I11))</f>
        <v>0</v>
      </c>
      <c r="K11" s="31"/>
      <c r="L11" s="31"/>
      <c r="M11" s="31"/>
      <c r="N11" s="39">
        <f>IF(COUNT(K11:M11)=0,0,SUMPRODUCT({5000,1000,500},K11:M11))</f>
        <v>0</v>
      </c>
      <c r="O11" s="31"/>
      <c r="P11" s="31"/>
      <c r="Q11" s="31"/>
      <c r="R11" s="39">
        <f>IF(COUNT(O11:Q11)=0,0,SUMPRODUCT({5000,1000,500},O11:Q11))</f>
        <v>0</v>
      </c>
      <c r="S11" s="31"/>
      <c r="T11" s="31"/>
      <c r="U11" s="31"/>
      <c r="V11" s="31"/>
      <c r="W11" s="31"/>
      <c r="X11" s="31">
        <v>5</v>
      </c>
      <c r="Y11" s="31">
        <v>1</v>
      </c>
      <c r="Z11" s="31">
        <v>44</v>
      </c>
      <c r="AA11" s="31"/>
      <c r="AB11" s="31"/>
      <c r="AC11" s="31"/>
      <c r="AD11" s="34">
        <f>IF(COUNT(S11:AC11)=0,0,SUMPRODUCT({5000,1000,500,100,75,50,20,10,5,2,1}, S11:AC11))</f>
        <v>710</v>
      </c>
      <c r="AE11" s="33">
        <v>440182</v>
      </c>
      <c r="AF11" s="24">
        <f>IF(AND(COUNT(C11:E11)=0,COUNT(G11:I11)=0,COUNT(K11:M11)=0,COUNT(O11:Q11)=0,COUNT(S11:AC11)=0,AE11=""),"",(IF(COUNT(C11:E11)=0,0,SUMPRODUCT({5000,1000,500},C11:E11))+IF(COUNT(G11:I11)=0,0,SUMPRODUCT({5000,1000,500},G11:I11))+IF(COUNT(K11:M11)=0,0,SUMPRODUCT({5000,1000,500},K11:M11))+IF(COUNT(O11:Q11)=0,0,SUMPRODUCT({5000,1000,500},O11:Q11))+AD11)-N(AE11))</f>
        <v>28</v>
      </c>
      <c r="AG11" s="35" t="str">
        <f t="shared" si="0"/>
        <v>Excess</v>
      </c>
      <c r="AH11" s="38"/>
      <c r="AI11" s="36">
        <v>450087</v>
      </c>
      <c r="AJ11" s="37">
        <f>276129+173958</f>
        <v>450087</v>
      </c>
      <c r="AK11" s="26">
        <f t="shared" si="1"/>
        <v>0</v>
      </c>
      <c r="AL11" s="25" t="str">
        <f t="shared" si="2"/>
        <v>Matched</v>
      </c>
      <c r="AM11" s="38"/>
    </row>
    <row r="12" spans="1:39" ht="12.75" customHeight="1" x14ac:dyDescent="0.25">
      <c r="A12" s="31">
        <v>67249</v>
      </c>
      <c r="B12" s="32" t="str">
        <f>IF(A12="","",VLOOKUP(A12,'Employee Database'!A:B,2,FALSE))</f>
        <v>Hanan Javaid</v>
      </c>
      <c r="C12" s="31">
        <v>22</v>
      </c>
      <c r="D12" s="31">
        <v>104</v>
      </c>
      <c r="E12" s="31">
        <v>30</v>
      </c>
      <c r="F12" s="39">
        <f>IF(COUNT(C12:E12)=0,0,SUMPRODUCT({5000,1000,500},C12:E12))</f>
        <v>229000</v>
      </c>
      <c r="G12" s="31"/>
      <c r="H12" s="31"/>
      <c r="I12" s="31"/>
      <c r="J12" s="39">
        <f>IF(COUNT(G12:I12)=0,0,SUMPRODUCT({5000,1000,500},G12:I12))</f>
        <v>0</v>
      </c>
      <c r="K12" s="31"/>
      <c r="L12" s="31"/>
      <c r="M12" s="31"/>
      <c r="N12" s="39">
        <f>IF(COUNT(K12:M12)=0,0,SUMPRODUCT({5000,1000,500},K12:M12))</f>
        <v>0</v>
      </c>
      <c r="O12" s="31"/>
      <c r="P12" s="31"/>
      <c r="Q12" s="31"/>
      <c r="R12" s="39">
        <f>IF(COUNT(O12:Q12)=0,0,SUMPRODUCT({5000,1000,500},O12:Q12))</f>
        <v>0</v>
      </c>
      <c r="S12" s="31"/>
      <c r="T12" s="31"/>
      <c r="U12" s="31"/>
      <c r="V12" s="31"/>
      <c r="W12" s="31"/>
      <c r="X12" s="31">
        <v>26</v>
      </c>
      <c r="Y12" s="31"/>
      <c r="Z12" s="31">
        <v>19</v>
      </c>
      <c r="AA12" s="31"/>
      <c r="AB12" s="31"/>
      <c r="AC12" s="31"/>
      <c r="AD12" s="34">
        <f>IF(COUNT(S12:AC12)=0,0,SUMPRODUCT({5000,1000,500,100,75,50,20,10,5,2,1}, S12:AC12))</f>
        <v>1490</v>
      </c>
      <c r="AE12" s="33">
        <v>230440</v>
      </c>
      <c r="AF12" s="24">
        <f>IF(AND(COUNT(C12:E12)=0,COUNT(G12:I12)=0,COUNT(K12:M12)=0,COUNT(O12:Q12)=0,COUNT(S12:AC12)=0,AE12=""),"",(IF(COUNT(C12:E12)=0,0,SUMPRODUCT({5000,1000,500},C12:E12))+IF(COUNT(G12:I12)=0,0,SUMPRODUCT({5000,1000,500},G12:I12))+IF(COUNT(K12:M12)=0,0,SUMPRODUCT({5000,1000,500},K12:M12))+IF(COUNT(O12:Q12)=0,0,SUMPRODUCT({5000,1000,500},O12:Q12))+AD12)-N(AE12))</f>
        <v>50</v>
      </c>
      <c r="AG12" s="35" t="str">
        <f t="shared" si="0"/>
        <v>Excess</v>
      </c>
      <c r="AH12" s="38" t="s">
        <v>309</v>
      </c>
      <c r="AI12" s="36">
        <v>533824</v>
      </c>
      <c r="AJ12" s="37">
        <v>533824</v>
      </c>
      <c r="AK12" s="26">
        <f t="shared" si="1"/>
        <v>0</v>
      </c>
      <c r="AL12" s="25" t="str">
        <f t="shared" si="2"/>
        <v>Matched</v>
      </c>
      <c r="AM12" s="38"/>
    </row>
    <row r="13" spans="1:39" ht="12.75" customHeight="1" x14ac:dyDescent="0.25">
      <c r="A13" s="31">
        <v>71205</v>
      </c>
      <c r="B13" s="32" t="str">
        <f>IF(A13="","",VLOOKUP(A13,'Employee Database'!A:B,2,FALSE))</f>
        <v>M Yaqoob</v>
      </c>
      <c r="C13" s="31">
        <v>5</v>
      </c>
      <c r="D13" s="31">
        <v>63</v>
      </c>
      <c r="E13" s="31">
        <v>34</v>
      </c>
      <c r="F13" s="39">
        <f>IF(COUNT(C13:E13)=0,0,SUMPRODUCT({5000,1000,500},C13:E13))</f>
        <v>105000</v>
      </c>
      <c r="G13" s="31"/>
      <c r="H13" s="31"/>
      <c r="I13" s="31"/>
      <c r="J13" s="39">
        <f>IF(COUNT(G13:I13)=0,0,SUMPRODUCT({5000,1000,500},G13:I13))</f>
        <v>0</v>
      </c>
      <c r="K13" s="31"/>
      <c r="L13" s="31"/>
      <c r="M13" s="31"/>
      <c r="N13" s="39">
        <f>IF(COUNT(K13:M13)=0,0,SUMPRODUCT({5000,1000,500},K13:M13))</f>
        <v>0</v>
      </c>
      <c r="O13" s="31"/>
      <c r="P13" s="31"/>
      <c r="Q13" s="31"/>
      <c r="R13" s="39">
        <f>IF(COUNT(O13:Q13)=0,0,SUMPRODUCT({5000,1000,500},O13:Q13))</f>
        <v>0</v>
      </c>
      <c r="S13" s="31"/>
      <c r="T13" s="31"/>
      <c r="U13" s="31"/>
      <c r="V13" s="31">
        <v>2</v>
      </c>
      <c r="W13" s="31"/>
      <c r="X13" s="31">
        <v>5</v>
      </c>
      <c r="Y13" s="31"/>
      <c r="Z13" s="31">
        <v>55</v>
      </c>
      <c r="AA13" s="31"/>
      <c r="AB13" s="31"/>
      <c r="AC13" s="31"/>
      <c r="AD13" s="34">
        <f>IF(COUNT(S13:AC13)=0,0,SUMPRODUCT({5000,1000,500,100,75,50,20,10,5,2,1}, S13:AC13))</f>
        <v>1000</v>
      </c>
      <c r="AE13" s="33">
        <v>105954</v>
      </c>
      <c r="AF13" s="24">
        <f>IF(AND(COUNT(C13:E13)=0,COUNT(G13:I13)=0,COUNT(K13:M13)=0,COUNT(O13:Q13)=0,COUNT(S13:AC13)=0,AE13=""),"",(IF(COUNT(C13:E13)=0,0,SUMPRODUCT({5000,1000,500},C13:E13))+IF(COUNT(G13:I13)=0,0,SUMPRODUCT({5000,1000,500},G13:I13))+IF(COUNT(K13:M13)=0,0,SUMPRODUCT({5000,1000,500},K13:M13))+IF(COUNT(O13:Q13)=0,0,SUMPRODUCT({5000,1000,500},O13:Q13))+AD13)-N(AE13))</f>
        <v>46</v>
      </c>
      <c r="AG13" s="35" t="str">
        <f t="shared" si="0"/>
        <v>Excess</v>
      </c>
      <c r="AH13" s="38"/>
      <c r="AI13" s="36">
        <v>181606</v>
      </c>
      <c r="AJ13" s="37">
        <f>126995+52812</f>
        <v>179807</v>
      </c>
      <c r="AK13" s="26">
        <f t="shared" si="1"/>
        <v>1799</v>
      </c>
      <c r="AL13" s="25" t="str">
        <f t="shared" si="2"/>
        <v>POS Excess</v>
      </c>
      <c r="AM13" s="38"/>
    </row>
    <row r="14" spans="1:39" ht="12.75" customHeight="1" x14ac:dyDescent="0.25">
      <c r="A14" s="31">
        <v>53893</v>
      </c>
      <c r="B14" s="32" t="str">
        <f>IF(A14="","",VLOOKUP(A14,'Employee Database'!A:B,2,FALSE))</f>
        <v>M Binyameen</v>
      </c>
      <c r="C14" s="31"/>
      <c r="D14" s="31"/>
      <c r="E14" s="31"/>
      <c r="F14" s="39">
        <f>IF(COUNT(C14:E14)=0,0,SUMPRODUCT({5000,1000,500},C14:E14))</f>
        <v>0</v>
      </c>
      <c r="G14" s="31">
        <v>15</v>
      </c>
      <c r="H14" s="31">
        <v>36</v>
      </c>
      <c r="I14" s="31">
        <v>1</v>
      </c>
      <c r="J14" s="39">
        <f>IF(COUNT(G14:I14)=0,0,SUMPRODUCT({5000,1000,500},G14:I14))</f>
        <v>111500</v>
      </c>
      <c r="K14" s="31"/>
      <c r="L14" s="31"/>
      <c r="M14" s="31"/>
      <c r="N14" s="39">
        <f>IF(COUNT(K14:M14)=0,0,SUMPRODUCT({5000,1000,500},K14:M14))</f>
        <v>0</v>
      </c>
      <c r="O14" s="31"/>
      <c r="P14" s="31"/>
      <c r="Q14" s="31"/>
      <c r="R14" s="39">
        <f>IF(COUNT(O14:Q14)=0,0,SUMPRODUCT({5000,1000,500},O14:Q14))</f>
        <v>0</v>
      </c>
      <c r="S14" s="31"/>
      <c r="T14" s="31"/>
      <c r="U14" s="31"/>
      <c r="V14" s="31">
        <v>3</v>
      </c>
      <c r="W14" s="31"/>
      <c r="X14" s="31">
        <v>8</v>
      </c>
      <c r="Y14" s="31"/>
      <c r="Z14" s="31">
        <v>87</v>
      </c>
      <c r="AA14" s="31"/>
      <c r="AB14" s="31"/>
      <c r="AC14" s="31"/>
      <c r="AD14" s="34">
        <f>IF(COUNT(S14:AC14)=0,0,SUMPRODUCT({5000,1000,500,100,75,50,20,10,5,2,1}, S14:AC14))</f>
        <v>1570</v>
      </c>
      <c r="AE14" s="33">
        <v>113052</v>
      </c>
      <c r="AF14" s="24">
        <f>IF(AND(COUNT(C14:E14)=0,COUNT(G14:I14)=0,COUNT(K14:M14)=0,COUNT(O14:Q14)=0,COUNT(S14:AC14)=0,AE14=""),"",(IF(COUNT(C14:E14)=0,0,SUMPRODUCT({5000,1000,500},C14:E14))+IF(COUNT(G14:I14)=0,0,SUMPRODUCT({5000,1000,500},G14:I14))+IF(COUNT(K14:M14)=0,0,SUMPRODUCT({5000,1000,500},K14:M14))+IF(COUNT(O14:Q14)=0,0,SUMPRODUCT({5000,1000,500},O14:Q14))+AD14)-N(AE14))</f>
        <v>18</v>
      </c>
      <c r="AG14" s="35" t="str">
        <f t="shared" si="0"/>
        <v>Excess</v>
      </c>
      <c r="AH14" s="38"/>
      <c r="AI14" s="36">
        <v>112622.68</v>
      </c>
      <c r="AJ14" s="37">
        <f>51996.24+43475.9+17150.54</f>
        <v>112622.68</v>
      </c>
      <c r="AK14" s="26">
        <f t="shared" si="1"/>
        <v>0</v>
      </c>
      <c r="AL14" s="25" t="str">
        <f t="shared" si="2"/>
        <v>Matched</v>
      </c>
      <c r="AM14" s="38"/>
    </row>
    <row r="15" spans="1:39" ht="12.75" customHeight="1" x14ac:dyDescent="0.25">
      <c r="A15" s="31">
        <v>78242</v>
      </c>
      <c r="B15" s="32" t="str">
        <f>IF(A15="","",VLOOKUP(A15,'Employee Database'!A:B,2,FALSE))</f>
        <v>Hamad Mughal</v>
      </c>
      <c r="C15" s="31"/>
      <c r="D15" s="31"/>
      <c r="E15" s="31"/>
      <c r="F15" s="39">
        <f>IF(COUNT(C15:E15)=0,0,SUMPRODUCT({5000,1000,500},C15:E15))</f>
        <v>0</v>
      </c>
      <c r="G15" s="31">
        <v>33</v>
      </c>
      <c r="H15" s="31">
        <v>38</v>
      </c>
      <c r="I15" s="31">
        <v>2</v>
      </c>
      <c r="J15" s="39">
        <f>IF(COUNT(G15:I15)=0,0,SUMPRODUCT({5000,1000,500},G15:I15))</f>
        <v>204000</v>
      </c>
      <c r="K15" s="31"/>
      <c r="L15" s="31"/>
      <c r="M15" s="31"/>
      <c r="N15" s="39">
        <f>IF(COUNT(K15:M15)=0,0,SUMPRODUCT({5000,1000,500},K15:M15))</f>
        <v>0</v>
      </c>
      <c r="O15" s="31"/>
      <c r="P15" s="31"/>
      <c r="Q15" s="31"/>
      <c r="R15" s="39">
        <f>IF(COUNT(O15:Q15)=0,0,SUMPRODUCT({5000,1000,500},O15:Q15))</f>
        <v>0</v>
      </c>
      <c r="S15" s="31"/>
      <c r="T15" s="31"/>
      <c r="U15" s="31"/>
      <c r="V15" s="31"/>
      <c r="W15" s="31"/>
      <c r="X15" s="31">
        <v>10</v>
      </c>
      <c r="Y15" s="31"/>
      <c r="Z15" s="31">
        <v>25</v>
      </c>
      <c r="AA15" s="31"/>
      <c r="AB15" s="31"/>
      <c r="AC15" s="31"/>
      <c r="AD15" s="34">
        <f>IF(COUNT(S15:AC15)=0,0,SUMPRODUCT({5000,1000,500,100,75,50,20,10,5,2,1}, S15:AC15))</f>
        <v>750</v>
      </c>
      <c r="AE15" s="33">
        <v>204726</v>
      </c>
      <c r="AF15" s="24">
        <f>IF(AND(COUNT(C15:E15)=0,COUNT(G15:I15)=0,COUNT(K15:M15)=0,COUNT(O15:Q15)=0,COUNT(S15:AC15)=0,AE15=""),"",(IF(COUNT(C15:E15)=0,0,SUMPRODUCT({5000,1000,500},C15:E15))+IF(COUNT(G15:I15)=0,0,SUMPRODUCT({5000,1000,500},G15:I15))+IF(COUNT(K15:M15)=0,0,SUMPRODUCT({5000,1000,500},K15:M15))+IF(COUNT(O15:Q15)=0,0,SUMPRODUCT({5000,1000,500},O15:Q15))+AD15)-N(AE15))</f>
        <v>24</v>
      </c>
      <c r="AG15" s="35" t="str">
        <f t="shared" si="0"/>
        <v>Excess</v>
      </c>
      <c r="AH15" s="38"/>
      <c r="AI15" s="36">
        <v>471290.22</v>
      </c>
      <c r="AJ15" s="37">
        <f>106501.46+44202.48+320586.28</f>
        <v>471290.22000000003</v>
      </c>
      <c r="AK15" s="26">
        <f t="shared" si="1"/>
        <v>-5.8207660913467407E-11</v>
      </c>
      <c r="AL15" s="25" t="str">
        <f t="shared" si="2"/>
        <v>Bank Short</v>
      </c>
      <c r="AM15" s="38"/>
    </row>
    <row r="16" spans="1:39" ht="12.75" customHeight="1" x14ac:dyDescent="0.25">
      <c r="A16" s="31">
        <v>75768</v>
      </c>
      <c r="B16" s="32" t="str">
        <f>IF(A16="","",VLOOKUP(A16,'Employee Database'!A:B,2,FALSE))</f>
        <v>Zuhaib</v>
      </c>
      <c r="C16" s="31"/>
      <c r="D16" s="31"/>
      <c r="E16" s="31"/>
      <c r="F16" s="39">
        <f>IF(COUNT(C16:E16)=0,0,SUMPRODUCT({5000,1000,500},C16:E16))</f>
        <v>0</v>
      </c>
      <c r="G16" s="31">
        <v>11</v>
      </c>
      <c r="H16" s="31">
        <v>19</v>
      </c>
      <c r="I16" s="31">
        <v>0</v>
      </c>
      <c r="J16" s="39">
        <f>IF(COUNT(G16:I16)=0,0,SUMPRODUCT({5000,1000,500},G16:I16))</f>
        <v>74000</v>
      </c>
      <c r="K16" s="31"/>
      <c r="L16" s="31"/>
      <c r="M16" s="31"/>
      <c r="N16" s="39">
        <f>IF(COUNT(K16:M16)=0,0,SUMPRODUCT({5000,1000,500},K16:M16))</f>
        <v>0</v>
      </c>
      <c r="O16" s="31"/>
      <c r="P16" s="31"/>
      <c r="Q16" s="31"/>
      <c r="R16" s="39">
        <f>IF(COUNT(O16:Q16)=0,0,SUMPRODUCT({5000,1000,500},O16:Q16))</f>
        <v>0</v>
      </c>
      <c r="S16" s="31"/>
      <c r="T16" s="31"/>
      <c r="U16" s="31"/>
      <c r="V16" s="31">
        <v>4</v>
      </c>
      <c r="W16" s="31"/>
      <c r="X16" s="31"/>
      <c r="Y16" s="31">
        <v>1</v>
      </c>
      <c r="Z16" s="31">
        <v>34</v>
      </c>
      <c r="AA16" s="31"/>
      <c r="AB16" s="31"/>
      <c r="AC16" s="31"/>
      <c r="AD16" s="34">
        <f>IF(COUNT(S16:AC16)=0,0,SUMPRODUCT({5000,1000,500,100,75,50,20,10,5,2,1}, S16:AC16))</f>
        <v>760</v>
      </c>
      <c r="AE16" s="33">
        <v>74752</v>
      </c>
      <c r="AF16" s="24">
        <f>IF(AND(COUNT(C16:E16)=0,COUNT(G16:I16)=0,COUNT(K16:M16)=0,COUNT(O16:Q16)=0,COUNT(S16:AC16)=0,AE16=""),"",(IF(COUNT(C16:E16)=0,0,SUMPRODUCT({5000,1000,500},C16:E16))+IF(COUNT(G16:I16)=0,0,SUMPRODUCT({5000,1000,500},G16:I16))+IF(COUNT(K16:M16)=0,0,SUMPRODUCT({5000,1000,500},K16:M16))+IF(COUNT(O16:Q16)=0,0,SUMPRODUCT({5000,1000,500},O16:Q16))+AD16)-N(AE16))</f>
        <v>8</v>
      </c>
      <c r="AG16" s="35" t="str">
        <f t="shared" si="0"/>
        <v>Excess</v>
      </c>
      <c r="AH16" s="38"/>
      <c r="AI16" s="36">
        <v>207646</v>
      </c>
      <c r="AJ16" s="37">
        <f>151021.306+56624.79</f>
        <v>207646.09600000002</v>
      </c>
      <c r="AK16" s="26">
        <f t="shared" si="1"/>
        <v>-9.6000000019557774E-2</v>
      </c>
      <c r="AL16" s="25" t="str">
        <f t="shared" si="2"/>
        <v>Bank Short</v>
      </c>
      <c r="AM16" s="38"/>
    </row>
    <row r="17" spans="1:39" ht="12.75" customHeight="1" x14ac:dyDescent="0.25">
      <c r="A17" s="31">
        <v>73679</v>
      </c>
      <c r="B17" s="32" t="str">
        <f>IF(A17="","",VLOOKUP(A17,'Employee Database'!A:B,2,FALSE))</f>
        <v>Imran Waqar</v>
      </c>
      <c r="C17" s="31"/>
      <c r="D17" s="31"/>
      <c r="E17" s="31"/>
      <c r="F17" s="39">
        <f>IF(COUNT(C17:E17)=0,0,SUMPRODUCT({5000,1000,500},C17:E17))</f>
        <v>0</v>
      </c>
      <c r="G17" s="31">
        <v>25</v>
      </c>
      <c r="H17" s="31">
        <v>107</v>
      </c>
      <c r="I17" s="31">
        <v>32</v>
      </c>
      <c r="J17" s="39">
        <f>IF(COUNT(G17:I17)=0,0,SUMPRODUCT({5000,1000,500},G17:I17))</f>
        <v>248000</v>
      </c>
      <c r="K17" s="31"/>
      <c r="L17" s="31"/>
      <c r="M17" s="31"/>
      <c r="N17" s="39">
        <f>IF(COUNT(K17:M17)=0,0,SUMPRODUCT({5000,1000,500},K17:M17))</f>
        <v>0</v>
      </c>
      <c r="O17" s="31"/>
      <c r="P17" s="31"/>
      <c r="Q17" s="31"/>
      <c r="R17" s="39">
        <f>IF(COUNT(O17:Q17)=0,0,SUMPRODUCT({5000,1000,500},O17:Q17))</f>
        <v>0</v>
      </c>
      <c r="S17" s="31"/>
      <c r="T17" s="31"/>
      <c r="U17" s="31"/>
      <c r="V17" s="31">
        <v>1</v>
      </c>
      <c r="W17" s="31"/>
      <c r="X17" s="31">
        <v>49</v>
      </c>
      <c r="Y17" s="31">
        <v>1</v>
      </c>
      <c r="Z17" s="31">
        <v>59</v>
      </c>
      <c r="AA17" s="31"/>
      <c r="AB17" s="31"/>
      <c r="AC17" s="31"/>
      <c r="AD17" s="34">
        <f>IF(COUNT(S17:AC17)=0,0,SUMPRODUCT({5000,1000,500,100,75,50,20,10,5,2,1}, S17:AC17))</f>
        <v>3160</v>
      </c>
      <c r="AE17" s="33">
        <v>251163</v>
      </c>
      <c r="AF17" s="24">
        <f>IF(AND(COUNT(C17:E17)=0,COUNT(G17:I17)=0,COUNT(K17:M17)=0,COUNT(O17:Q17)=0,COUNT(S17:AC17)=0,AE17=""),"",(IF(COUNT(C17:E17)=0,0,SUMPRODUCT({5000,1000,500},C17:E17))+IF(COUNT(G17:I17)=0,0,SUMPRODUCT({5000,1000,500},G17:I17))+IF(COUNT(K17:M17)=0,0,SUMPRODUCT({5000,1000,500},K17:M17))+IF(COUNT(O17:Q17)=0,0,SUMPRODUCT({5000,1000,500},O17:Q17))+AD17)-N(AE17))</f>
        <v>-3</v>
      </c>
      <c r="AG17" s="35" t="str">
        <f t="shared" si="0"/>
        <v>Short</v>
      </c>
      <c r="AH17" s="38"/>
      <c r="AI17" s="36">
        <v>428677.36</v>
      </c>
      <c r="AJ17" s="37">
        <f>10808+45859.29+372010.07</f>
        <v>428677.36</v>
      </c>
      <c r="AK17" s="26">
        <f t="shared" si="1"/>
        <v>0</v>
      </c>
      <c r="AL17" s="25" t="str">
        <f t="shared" si="2"/>
        <v>Matched</v>
      </c>
      <c r="AM17" s="38"/>
    </row>
    <row r="18" spans="1:39" ht="12.75" customHeight="1" x14ac:dyDescent="0.25">
      <c r="A18" s="31">
        <v>50134</v>
      </c>
      <c r="B18" s="32" t="str">
        <f>IF(A18="","",VLOOKUP(A18,'Employee Database'!A:B,2,FALSE))</f>
        <v>Asif Abbas</v>
      </c>
      <c r="C18" s="31"/>
      <c r="D18" s="31"/>
      <c r="E18" s="31"/>
      <c r="F18" s="39">
        <f>IF(COUNT(C18:E18)=0,0,SUMPRODUCT({5000,1000,500},C18:E18))</f>
        <v>0</v>
      </c>
      <c r="G18" s="31">
        <v>8</v>
      </c>
      <c r="H18" s="31">
        <v>15</v>
      </c>
      <c r="I18" s="31">
        <v>22</v>
      </c>
      <c r="J18" s="39">
        <f>IF(COUNT(G18:I18)=0,0,SUMPRODUCT({5000,1000,500},G18:I18))</f>
        <v>66000</v>
      </c>
      <c r="K18" s="31"/>
      <c r="L18" s="31"/>
      <c r="M18" s="31"/>
      <c r="N18" s="39">
        <f>IF(COUNT(K18:M18)=0,0,SUMPRODUCT({5000,1000,500},K18:M18))</f>
        <v>0</v>
      </c>
      <c r="O18" s="31"/>
      <c r="P18" s="31"/>
      <c r="Q18" s="31"/>
      <c r="R18" s="39">
        <f>IF(COUNT(O18:Q18)=0,0,SUMPRODUCT({5000,1000,500},O18:Q18))</f>
        <v>0</v>
      </c>
      <c r="S18" s="31"/>
      <c r="T18" s="31"/>
      <c r="U18" s="31"/>
      <c r="V18" s="31">
        <v>8</v>
      </c>
      <c r="W18" s="31"/>
      <c r="X18" s="31">
        <v>65</v>
      </c>
      <c r="Y18" s="31"/>
      <c r="Z18" s="31">
        <v>103</v>
      </c>
      <c r="AA18" s="31"/>
      <c r="AB18" s="31"/>
      <c r="AC18" s="31"/>
      <c r="AD18" s="34">
        <f>IF(COUNT(S18:AC18)=0,0,SUMPRODUCT({5000,1000,500,100,75,50,20,10,5,2,1}, S18:AC18))</f>
        <v>5080</v>
      </c>
      <c r="AE18" s="33">
        <v>71057</v>
      </c>
      <c r="AF18" s="24">
        <f>IF(AND(COUNT(C18:E18)=0,COUNT(G18:I18)=0,COUNT(K18:M18)=0,COUNT(O18:Q18)=0,COUNT(S18:AC18)=0,AE18=""),"",(IF(COUNT(C18:E18)=0,0,SUMPRODUCT({5000,1000,500},C18:E18))+IF(COUNT(G18:I18)=0,0,SUMPRODUCT({5000,1000,500},G18:I18))+IF(COUNT(K18:M18)=0,0,SUMPRODUCT({5000,1000,500},K18:M18))+IF(COUNT(O18:Q18)=0,0,SUMPRODUCT({5000,1000,500},O18:Q18))+AD18)-N(AE18))</f>
        <v>23</v>
      </c>
      <c r="AG18" s="35" t="str">
        <f t="shared" si="0"/>
        <v>Excess</v>
      </c>
      <c r="AH18" s="38"/>
      <c r="AI18" s="36">
        <f>37508.34+24401</f>
        <v>61909.34</v>
      </c>
      <c r="AJ18" s="37">
        <f>27952.58+9555.76+24401</f>
        <v>61909.340000000004</v>
      </c>
      <c r="AK18" s="26">
        <f t="shared" si="1"/>
        <v>-7.2759576141834259E-12</v>
      </c>
      <c r="AL18" s="25" t="str">
        <f t="shared" si="2"/>
        <v>Bank Short</v>
      </c>
      <c r="AM18" s="38"/>
    </row>
    <row r="19" spans="1:39" ht="12.75" customHeight="1" x14ac:dyDescent="0.25">
      <c r="A19" s="31">
        <v>53874</v>
      </c>
      <c r="B19" s="32" t="str">
        <f>IF(A19="","",VLOOKUP(A19,'Employee Database'!A:B,2,FALSE))</f>
        <v>Ahmad Raza</v>
      </c>
      <c r="C19" s="31"/>
      <c r="D19" s="31"/>
      <c r="E19" s="31"/>
      <c r="F19" s="39">
        <f>IF(COUNT(C19:E19)=0,0,SUMPRODUCT({5000,1000,500},C19:E19))</f>
        <v>0</v>
      </c>
      <c r="G19" s="31">
        <v>11</v>
      </c>
      <c r="H19" s="31">
        <v>22</v>
      </c>
      <c r="I19" s="31">
        <v>8</v>
      </c>
      <c r="J19" s="39">
        <f>IF(COUNT(G19:I19)=0,0,SUMPRODUCT({5000,1000,500},G19:I19))</f>
        <v>81000</v>
      </c>
      <c r="K19" s="31"/>
      <c r="L19" s="31"/>
      <c r="M19" s="31"/>
      <c r="N19" s="39">
        <f>IF(COUNT(K19:M19)=0,0,SUMPRODUCT({5000,1000,500},K19:M19))</f>
        <v>0</v>
      </c>
      <c r="O19" s="31"/>
      <c r="P19" s="31"/>
      <c r="Q19" s="31"/>
      <c r="R19" s="39">
        <f>IF(COUNT(O19:Q19)=0,0,SUMPRODUCT({5000,1000,500},O19:Q19))</f>
        <v>0</v>
      </c>
      <c r="S19" s="31"/>
      <c r="T19" s="31"/>
      <c r="U19" s="31"/>
      <c r="V19" s="31">
        <v>2</v>
      </c>
      <c r="W19" s="31"/>
      <c r="X19" s="31">
        <v>23</v>
      </c>
      <c r="Y19" s="31"/>
      <c r="Z19" s="31">
        <v>64</v>
      </c>
      <c r="AA19" s="31"/>
      <c r="AB19" s="31"/>
      <c r="AC19" s="31"/>
      <c r="AD19" s="34">
        <f>IF(COUNT(S19:AC19)=0,0,SUMPRODUCT({5000,1000,500,100,75,50,20,10,5,2,1}, S19:AC19))</f>
        <v>1990</v>
      </c>
      <c r="AE19" s="33">
        <v>82923</v>
      </c>
      <c r="AF19" s="24">
        <f>IF(AND(COUNT(C19:E19)=0,COUNT(G19:I19)=0,COUNT(K19:M19)=0,COUNT(O19:Q19)=0,COUNT(S19:AC19)=0,AE19=""),"",(IF(COUNT(C19:E19)=0,0,SUMPRODUCT({5000,1000,500},C19:E19))+IF(COUNT(G19:I19)=0,0,SUMPRODUCT({5000,1000,500},G19:I19))+IF(COUNT(K19:M19)=0,0,SUMPRODUCT({5000,1000,500},K19:M19))+IF(COUNT(O19:Q19)=0,0,SUMPRODUCT({5000,1000,500},O19:Q19))+AD19)-N(AE19))</f>
        <v>67</v>
      </c>
      <c r="AG19" s="35" t="str">
        <f t="shared" si="0"/>
        <v>Excess</v>
      </c>
      <c r="AH19" s="38"/>
      <c r="AI19" s="36">
        <f>161110.18+1700.86</f>
        <v>162811.03999999998</v>
      </c>
      <c r="AJ19" s="37">
        <f>161110.18+1700.86</f>
        <v>162811.03999999998</v>
      </c>
      <c r="AK19" s="26">
        <f t="shared" si="1"/>
        <v>0</v>
      </c>
      <c r="AL19" s="25" t="str">
        <f t="shared" si="2"/>
        <v>Matched</v>
      </c>
      <c r="AM19" s="38"/>
    </row>
    <row r="20" spans="1:39" ht="12.75" customHeight="1" x14ac:dyDescent="0.25">
      <c r="A20" s="31">
        <v>63374</v>
      </c>
      <c r="B20" s="32" t="str">
        <f>IF(A20="","",VLOOKUP(A20,'Employee Database'!A:B,2,FALSE))</f>
        <v>Aftab Ali</v>
      </c>
      <c r="C20" s="31"/>
      <c r="D20" s="31"/>
      <c r="E20" s="31"/>
      <c r="F20" s="39">
        <f>IF(COUNT(C20:E20)=0,0,SUMPRODUCT({5000,1000,500},C20:E20))</f>
        <v>0</v>
      </c>
      <c r="G20" s="31">
        <v>26</v>
      </c>
      <c r="H20" s="31">
        <v>93</v>
      </c>
      <c r="I20" s="31">
        <v>31</v>
      </c>
      <c r="J20" s="39">
        <f>IF(COUNT(G20:I20)=0,0,SUMPRODUCT({5000,1000,500},G20:I20))</f>
        <v>238500</v>
      </c>
      <c r="K20" s="31"/>
      <c r="L20" s="31"/>
      <c r="M20" s="31"/>
      <c r="N20" s="39">
        <f>IF(COUNT(K20:M20)=0,0,SUMPRODUCT({5000,1000,500},K20:M20))</f>
        <v>0</v>
      </c>
      <c r="O20" s="31"/>
      <c r="P20" s="31"/>
      <c r="Q20" s="31"/>
      <c r="R20" s="39">
        <f>IF(COUNT(O20:Q20)=0,0,SUMPRODUCT({5000,1000,500},O20:Q20))</f>
        <v>0</v>
      </c>
      <c r="S20" s="31"/>
      <c r="T20" s="31"/>
      <c r="U20" s="31"/>
      <c r="V20" s="31">
        <v>5</v>
      </c>
      <c r="W20" s="31"/>
      <c r="X20" s="31">
        <v>39</v>
      </c>
      <c r="Y20" s="31"/>
      <c r="Z20" s="31">
        <v>65</v>
      </c>
      <c r="AA20" s="31"/>
      <c r="AB20" s="31"/>
      <c r="AC20" s="31"/>
      <c r="AD20" s="34">
        <f>IF(COUNT(S20:AC20)=0,0,SUMPRODUCT({5000,1000,500,100,75,50,20,10,5,2,1}, S20:AC20))</f>
        <v>3100</v>
      </c>
      <c r="AE20" s="33">
        <v>241611</v>
      </c>
      <c r="AF20" s="24">
        <f>IF(AND(COUNT(C20:E20)=0,COUNT(G20:I20)=0,COUNT(K20:M20)=0,COUNT(O20:Q20)=0,COUNT(S20:AC20)=0,AE20=""),"",(IF(COUNT(C20:E20)=0,0,SUMPRODUCT({5000,1000,500},C20:E20))+IF(COUNT(G20:I20)=0,0,SUMPRODUCT({5000,1000,500},G20:I20))+IF(COUNT(K20:M20)=0,0,SUMPRODUCT({5000,1000,500},K20:M20))+IF(COUNT(O20:Q20)=0,0,SUMPRODUCT({5000,1000,500},O20:Q20))+AD20)-N(AE20))</f>
        <v>-11</v>
      </c>
      <c r="AG20" s="35" t="str">
        <f t="shared" si="0"/>
        <v>Short</v>
      </c>
      <c r="AH20" s="38"/>
      <c r="AI20" s="36">
        <v>583221.99</v>
      </c>
      <c r="AJ20" s="37">
        <v>583221.99</v>
      </c>
      <c r="AK20" s="26">
        <f t="shared" si="1"/>
        <v>0</v>
      </c>
      <c r="AL20" s="25" t="str">
        <f t="shared" si="2"/>
        <v>Matched</v>
      </c>
      <c r="AM20" s="38"/>
    </row>
    <row r="21" spans="1:39" ht="12.75" customHeight="1" x14ac:dyDescent="0.25">
      <c r="A21" s="31">
        <v>79593</v>
      </c>
      <c r="B21" s="32" t="str">
        <f>IF(A21="","",VLOOKUP(A21,'Employee Database'!A:B,2,FALSE))</f>
        <v>Amir</v>
      </c>
      <c r="C21" s="31"/>
      <c r="D21" s="31"/>
      <c r="E21" s="31"/>
      <c r="F21" s="39">
        <f>IF(COUNT(C21:E21)=0,0,SUMPRODUCT({5000,1000,500},C21:E21))</f>
        <v>0</v>
      </c>
      <c r="G21" s="31">
        <v>40</v>
      </c>
      <c r="H21" s="31">
        <v>76</v>
      </c>
      <c r="I21" s="31">
        <v>39</v>
      </c>
      <c r="J21" s="39">
        <f>IF(COUNT(G21:I21)=0,0,SUMPRODUCT({5000,1000,500},G21:I21))</f>
        <v>295500</v>
      </c>
      <c r="K21" s="31"/>
      <c r="L21" s="31"/>
      <c r="M21" s="31"/>
      <c r="N21" s="39">
        <f>IF(COUNT(K21:M21)=0,0,SUMPRODUCT({5000,1000,500},K21:M21))</f>
        <v>0</v>
      </c>
      <c r="O21" s="31"/>
      <c r="P21" s="31"/>
      <c r="Q21" s="31"/>
      <c r="R21" s="39">
        <f>IF(COUNT(O21:Q21)=0,0,SUMPRODUCT({5000,1000,500},O21:Q21))</f>
        <v>0</v>
      </c>
      <c r="S21" s="31"/>
      <c r="T21" s="31"/>
      <c r="U21" s="31"/>
      <c r="V21" s="31"/>
      <c r="W21" s="31"/>
      <c r="X21" s="31">
        <v>80</v>
      </c>
      <c r="Y21" s="31"/>
      <c r="Z21" s="31">
        <v>5</v>
      </c>
      <c r="AA21" s="31"/>
      <c r="AB21" s="31"/>
      <c r="AC21" s="31"/>
      <c r="AD21" s="34">
        <f>IF(COUNT(S21:AC21)=0,0,SUMPRODUCT({5000,1000,500,100,75,50,20,10,5,2,1}, S21:AC21))</f>
        <v>4050</v>
      </c>
      <c r="AE21" s="33">
        <v>299548</v>
      </c>
      <c r="AF21" s="24">
        <f>IF(AND(COUNT(C21:E21)=0,COUNT(G21:I21)=0,COUNT(K21:M21)=0,COUNT(O21:Q21)=0,COUNT(S21:AC21)=0,AE21=""),"",(IF(COUNT(C21:E21)=0,0,SUMPRODUCT({5000,1000,500},C21:E21))+IF(COUNT(G21:I21)=0,0,SUMPRODUCT({5000,1000,500},G21:I21))+IF(COUNT(K21:M21)=0,0,SUMPRODUCT({5000,1000,500},K21:M21))+IF(COUNT(O21:Q21)=0,0,SUMPRODUCT({5000,1000,500},O21:Q21))+AD21)-N(AE21))</f>
        <v>2</v>
      </c>
      <c r="AG21" s="35" t="str">
        <f t="shared" si="0"/>
        <v>Excess</v>
      </c>
      <c r="AH21" s="38"/>
      <c r="AI21" s="36">
        <f>65365.23+479076.29</f>
        <v>544441.52</v>
      </c>
      <c r="AJ21" s="37">
        <f>65365.23+479076.29</f>
        <v>544441.52</v>
      </c>
      <c r="AK21" s="26">
        <f t="shared" si="1"/>
        <v>0</v>
      </c>
      <c r="AL21" s="25" t="str">
        <f t="shared" si="2"/>
        <v>Matched</v>
      </c>
      <c r="AM21" s="38"/>
    </row>
    <row r="22" spans="1:39" ht="12.75" customHeight="1" x14ac:dyDescent="0.25">
      <c r="A22" s="31">
        <v>67799</v>
      </c>
      <c r="B22" s="32" t="str">
        <f>IF(A22="","",VLOOKUP(A22,'Employee Database'!A:B,2,FALSE))</f>
        <v>Hassan Raza</v>
      </c>
      <c r="C22" s="31"/>
      <c r="D22" s="31"/>
      <c r="E22" s="31"/>
      <c r="F22" s="39">
        <f>IF(COUNT(C22:E22)=0,0,SUMPRODUCT({5000,1000,500},C22:E22))</f>
        <v>0</v>
      </c>
      <c r="G22" s="31">
        <v>36</v>
      </c>
      <c r="H22" s="31">
        <v>64</v>
      </c>
      <c r="I22" s="31">
        <v>5</v>
      </c>
      <c r="J22" s="39">
        <f>IF(COUNT(G22:I22)=0,0,SUMPRODUCT({5000,1000,500},G22:I22))</f>
        <v>246500</v>
      </c>
      <c r="K22" s="31"/>
      <c r="L22" s="31"/>
      <c r="M22" s="31"/>
      <c r="N22" s="39">
        <f>IF(COUNT(K22:M22)=0,0,SUMPRODUCT({5000,1000,500},K22:M22))</f>
        <v>0</v>
      </c>
      <c r="O22" s="31"/>
      <c r="P22" s="31"/>
      <c r="Q22" s="31"/>
      <c r="R22" s="39">
        <f>IF(COUNT(O22:Q22)=0,0,SUMPRODUCT({5000,1000,500},O22:Q22))</f>
        <v>0</v>
      </c>
      <c r="S22" s="31"/>
      <c r="T22" s="31"/>
      <c r="U22" s="31"/>
      <c r="V22" s="31"/>
      <c r="W22" s="31"/>
      <c r="X22" s="31">
        <v>5</v>
      </c>
      <c r="Y22" s="31"/>
      <c r="Z22" s="31">
        <v>96</v>
      </c>
      <c r="AA22" s="31"/>
      <c r="AB22" s="31"/>
      <c r="AC22" s="31"/>
      <c r="AD22" s="34">
        <f>IF(COUNT(S22:AC22)=0,0,SUMPRODUCT({5000,1000,500,100,75,50,20,10,5,2,1}, S22:AC22))</f>
        <v>1210</v>
      </c>
      <c r="AE22" s="33">
        <v>247640</v>
      </c>
      <c r="AF22" s="24">
        <f>IF(AND(COUNT(C22:E22)=0,COUNT(G22:I22)=0,COUNT(K22:M22)=0,COUNT(O22:Q22)=0,COUNT(S22:AC22)=0,AE22=""),"",(IF(COUNT(C22:E22)=0,0,SUMPRODUCT({5000,1000,500},C22:E22))+IF(COUNT(G22:I22)=0,0,SUMPRODUCT({5000,1000,500},G22:I22))+IF(COUNT(K22:M22)=0,0,SUMPRODUCT({5000,1000,500},K22:M22))+IF(COUNT(O22:Q22)=0,0,SUMPRODUCT({5000,1000,500},O22:Q22))+AD22)-N(AE22))</f>
        <v>70</v>
      </c>
      <c r="AG22" s="35" t="str">
        <f t="shared" si="0"/>
        <v>Excess</v>
      </c>
      <c r="AH22" s="38"/>
      <c r="AI22" s="36">
        <f>46724.7+510644.8</f>
        <v>557369.5</v>
      </c>
      <c r="AJ22" s="37">
        <f>80038.7+430606.1+46724.7</f>
        <v>557369.5</v>
      </c>
      <c r="AK22" s="26">
        <f t="shared" si="1"/>
        <v>0</v>
      </c>
      <c r="AL22" s="25" t="str">
        <f t="shared" si="2"/>
        <v>Matched</v>
      </c>
      <c r="AM22" s="38"/>
    </row>
    <row r="23" spans="1:39" ht="12.75" customHeight="1" x14ac:dyDescent="0.25">
      <c r="A23" s="31">
        <v>69732</v>
      </c>
      <c r="B23" s="32" t="str">
        <f>IF(A23="","",VLOOKUP(A23,'Employee Database'!A:B,2,FALSE))</f>
        <v>Abdul Hafeez</v>
      </c>
      <c r="C23" s="31"/>
      <c r="D23" s="31"/>
      <c r="E23" s="31"/>
      <c r="F23" s="39">
        <f>IF(COUNT(C23:E23)=0,0,SUMPRODUCT({5000,1000,500},C23:E23))</f>
        <v>0</v>
      </c>
      <c r="G23" s="31">
        <v>34</v>
      </c>
      <c r="H23" s="31">
        <v>137</v>
      </c>
      <c r="I23" s="31">
        <v>30</v>
      </c>
      <c r="J23" s="39">
        <f>IF(COUNT(G23:I23)=0,0,SUMPRODUCT({5000,1000,500},G23:I23))</f>
        <v>322000</v>
      </c>
      <c r="K23" s="31"/>
      <c r="L23" s="31"/>
      <c r="M23" s="31"/>
      <c r="N23" s="39">
        <f>IF(COUNT(K23:M23)=0,0,SUMPRODUCT({5000,1000,500},K23:M23))</f>
        <v>0</v>
      </c>
      <c r="O23" s="31"/>
      <c r="P23" s="31"/>
      <c r="Q23" s="31"/>
      <c r="R23" s="39">
        <f>IF(COUNT(O23:Q23)=0,0,SUMPRODUCT({5000,1000,500},O23:Q23))</f>
        <v>0</v>
      </c>
      <c r="S23" s="31"/>
      <c r="T23" s="31"/>
      <c r="U23" s="31"/>
      <c r="V23" s="31"/>
      <c r="W23" s="31"/>
      <c r="X23" s="31">
        <v>3</v>
      </c>
      <c r="Y23" s="31">
        <v>3</v>
      </c>
      <c r="Z23" s="31">
        <v>45</v>
      </c>
      <c r="AA23" s="31"/>
      <c r="AB23" s="31"/>
      <c r="AC23" s="31"/>
      <c r="AD23" s="34">
        <f>IF(COUNT(S23:AC23)=0,0,SUMPRODUCT({5000,1000,500,100,75,50,20,10,5,2,1}, S23:AC23))</f>
        <v>660</v>
      </c>
      <c r="AE23" s="33">
        <v>322648</v>
      </c>
      <c r="AF23" s="24">
        <f>IF(AND(COUNT(C23:E23)=0,COUNT(G23:I23)=0,COUNT(K23:M23)=0,COUNT(O23:Q23)=0,COUNT(S23:AC23)=0,AE23=""),"",(IF(COUNT(C23:E23)=0,0,SUMPRODUCT({5000,1000,500},C23:E23))+IF(COUNT(G23:I23)=0,0,SUMPRODUCT({5000,1000,500},G23:I23))+IF(COUNT(K23:M23)=0,0,SUMPRODUCT({5000,1000,500},K23:M23))+IF(COUNT(O23:Q23)=0,0,SUMPRODUCT({5000,1000,500},O23:Q23))+AD23)-N(AE23))</f>
        <v>12</v>
      </c>
      <c r="AG23" s="35" t="str">
        <f t="shared" si="0"/>
        <v>Excess</v>
      </c>
      <c r="AH23" s="38"/>
      <c r="AI23" s="36">
        <v>598567.01</v>
      </c>
      <c r="AJ23" s="37">
        <f>79920.27+518646.74</f>
        <v>598567.01</v>
      </c>
      <c r="AK23" s="26">
        <f t="shared" si="1"/>
        <v>0</v>
      </c>
      <c r="AL23" s="25" t="str">
        <f t="shared" si="2"/>
        <v>Matched</v>
      </c>
      <c r="AM23" s="38"/>
    </row>
    <row r="24" spans="1:39" ht="12.75" customHeight="1" x14ac:dyDescent="0.25">
      <c r="A24" s="31">
        <v>50524</v>
      </c>
      <c r="B24" s="32" t="str">
        <f>IF(A24="","",VLOOKUP(A24,'Employee Database'!A:B,2,FALSE))</f>
        <v>Allah Rakha</v>
      </c>
      <c r="C24" s="31"/>
      <c r="D24" s="31"/>
      <c r="E24" s="31"/>
      <c r="F24" s="39">
        <f>IF(COUNT(C24:E24)=0,0,SUMPRODUCT({5000,1000,500},C24:E24))</f>
        <v>0</v>
      </c>
      <c r="G24" s="31">
        <v>18</v>
      </c>
      <c r="H24" s="31">
        <v>116</v>
      </c>
      <c r="I24" s="31">
        <v>38</v>
      </c>
      <c r="J24" s="39">
        <f>IF(COUNT(G24:I24)=0,0,SUMPRODUCT({5000,1000,500},G24:I24))</f>
        <v>225000</v>
      </c>
      <c r="K24" s="31"/>
      <c r="L24" s="31"/>
      <c r="M24" s="31"/>
      <c r="N24" s="39">
        <f>IF(COUNT(K24:M24)=0,0,SUMPRODUCT({5000,1000,500},K24:M24))</f>
        <v>0</v>
      </c>
      <c r="O24" s="31"/>
      <c r="P24" s="31"/>
      <c r="Q24" s="31"/>
      <c r="R24" s="39">
        <f>IF(COUNT(O24:Q24)=0,0,SUMPRODUCT({5000,1000,500},O24:Q24))</f>
        <v>0</v>
      </c>
      <c r="S24" s="31"/>
      <c r="T24" s="31"/>
      <c r="U24" s="31"/>
      <c r="V24" s="31">
        <v>10</v>
      </c>
      <c r="W24" s="31"/>
      <c r="X24" s="31">
        <v>36</v>
      </c>
      <c r="Y24" s="31">
        <v>4</v>
      </c>
      <c r="Z24" s="31">
        <v>84</v>
      </c>
      <c r="AA24" s="31"/>
      <c r="AB24" s="31"/>
      <c r="AC24" s="31"/>
      <c r="AD24" s="34">
        <f>IF(COUNT(S24:AC24)=0,0,SUMPRODUCT({5000,1000,500,100,75,50,20,10,5,2,1}, S24:AC24))</f>
        <v>3720</v>
      </c>
      <c r="AE24" s="33">
        <v>228705</v>
      </c>
      <c r="AF24" s="24">
        <f>IF(AND(COUNT(C24:E24)=0,COUNT(G24:I24)=0,COUNT(K24:M24)=0,COUNT(O24:Q24)=0,COUNT(S24:AC24)=0,AE24=""),"",(IF(COUNT(C24:E24)=0,0,SUMPRODUCT({5000,1000,500},C24:E24))+IF(COUNT(G24:I24)=0,0,SUMPRODUCT({5000,1000,500},G24:I24))+IF(COUNT(K24:M24)=0,0,SUMPRODUCT({5000,1000,500},K24:M24))+IF(COUNT(O24:Q24)=0,0,SUMPRODUCT({5000,1000,500},O24:Q24))+AD24)-N(AE24))</f>
        <v>15</v>
      </c>
      <c r="AG24" s="35" t="str">
        <f t="shared" si="0"/>
        <v>Excess</v>
      </c>
      <c r="AH24" s="38"/>
      <c r="AI24" s="36">
        <v>355257.12</v>
      </c>
      <c r="AJ24" s="37">
        <f>212479.99+100023.48+42753.65</f>
        <v>355257.12</v>
      </c>
      <c r="AK24" s="26">
        <f t="shared" si="1"/>
        <v>0</v>
      </c>
      <c r="AL24" s="25" t="str">
        <f t="shared" si="2"/>
        <v>Matched</v>
      </c>
      <c r="AM24" s="38"/>
    </row>
    <row r="25" spans="1:39" ht="12.75" customHeight="1" x14ac:dyDescent="0.25">
      <c r="A25" s="31">
        <v>67250</v>
      </c>
      <c r="B25" s="32" t="str">
        <f>IF(A25="","",VLOOKUP(A25,'Employee Database'!A:B,2,FALSE))</f>
        <v>M Fiaz</v>
      </c>
      <c r="C25" s="31"/>
      <c r="D25" s="31"/>
      <c r="E25" s="31"/>
      <c r="F25" s="39">
        <f>IF(COUNT(C25:E25)=0,0,SUMPRODUCT({5000,1000,500},C25:E25))</f>
        <v>0</v>
      </c>
      <c r="G25" s="31">
        <v>18</v>
      </c>
      <c r="H25" s="31">
        <v>109</v>
      </c>
      <c r="I25" s="31">
        <v>2</v>
      </c>
      <c r="J25" s="39">
        <f>IF(COUNT(G25:I25)=0,0,SUMPRODUCT({5000,1000,500},G25:I25))</f>
        <v>200000</v>
      </c>
      <c r="K25" s="31"/>
      <c r="L25" s="31"/>
      <c r="M25" s="31"/>
      <c r="N25" s="39">
        <f>IF(COUNT(K25:M25)=0,0,SUMPRODUCT({5000,1000,500},K25:M25))</f>
        <v>0</v>
      </c>
      <c r="O25" s="31"/>
      <c r="P25" s="31"/>
      <c r="Q25" s="31"/>
      <c r="R25" s="39">
        <f>IF(COUNT(O25:Q25)=0,0,SUMPRODUCT({5000,1000,500},O25:Q25))</f>
        <v>0</v>
      </c>
      <c r="S25" s="31"/>
      <c r="T25" s="31"/>
      <c r="U25" s="31"/>
      <c r="V25" s="31">
        <v>3</v>
      </c>
      <c r="W25" s="31"/>
      <c r="X25" s="31">
        <v>16</v>
      </c>
      <c r="Y25" s="31"/>
      <c r="Z25" s="31">
        <v>95</v>
      </c>
      <c r="AA25" s="31"/>
      <c r="AB25" s="31"/>
      <c r="AC25" s="31"/>
      <c r="AD25" s="34">
        <f>IF(COUNT(S25:AC25)=0,0,SUMPRODUCT({5000,1000,500,100,75,50,20,10,5,2,1}, S25:AC25))</f>
        <v>2050</v>
      </c>
      <c r="AE25" s="33">
        <v>202135</v>
      </c>
      <c r="AF25" s="24">
        <f>IF(AND(COUNT(C25:E25)=0,COUNT(G25:I25)=0,COUNT(K25:M25)=0,COUNT(O25:Q25)=0,COUNT(S25:AC25)=0,AE25=""),"",(IF(COUNT(C25:E25)=0,0,SUMPRODUCT({5000,1000,500},C25:E25))+IF(COUNT(G25:I25)=0,0,SUMPRODUCT({5000,1000,500},G25:I25))+IF(COUNT(K25:M25)=0,0,SUMPRODUCT({5000,1000,500},K25:M25))+IF(COUNT(O25:Q25)=0,0,SUMPRODUCT({5000,1000,500},O25:Q25))+AD25)-N(AE25))</f>
        <v>-85</v>
      </c>
      <c r="AG25" s="35" t="str">
        <f t="shared" si="0"/>
        <v>Short</v>
      </c>
      <c r="AH25" s="38"/>
      <c r="AI25" s="36">
        <v>585841.32999999996</v>
      </c>
      <c r="AJ25" s="37">
        <f>368542.12+217299.21</f>
        <v>585841.32999999996</v>
      </c>
      <c r="AK25" s="26">
        <f t="shared" si="1"/>
        <v>0</v>
      </c>
      <c r="AL25" s="25" t="str">
        <f t="shared" si="2"/>
        <v>Matched</v>
      </c>
      <c r="AM25" s="38"/>
    </row>
    <row r="26" spans="1:39" ht="12.75" customHeight="1" x14ac:dyDescent="0.25">
      <c r="A26" s="31">
        <v>77424</v>
      </c>
      <c r="B26" s="32" t="str">
        <f>IF(A26="","",VLOOKUP(A26,'Employee Database'!A:B,2,FALSE))</f>
        <v>M Husnain</v>
      </c>
      <c r="C26" s="31"/>
      <c r="D26" s="31"/>
      <c r="E26" s="31"/>
      <c r="F26" s="39">
        <f>IF(COUNT(C26:E26)=0,0,SUMPRODUCT({5000,1000,500},C26:E26))</f>
        <v>0</v>
      </c>
      <c r="G26" s="31">
        <v>28</v>
      </c>
      <c r="H26" s="31">
        <v>96</v>
      </c>
      <c r="I26" s="31">
        <v>4</v>
      </c>
      <c r="J26" s="39">
        <f>IF(COUNT(G26:I26)=0,0,SUMPRODUCT({5000,1000,500},G26:I26))</f>
        <v>238000</v>
      </c>
      <c r="K26" s="31"/>
      <c r="L26" s="31"/>
      <c r="M26" s="31"/>
      <c r="N26" s="39">
        <f>IF(COUNT(K26:M26)=0,0,SUMPRODUCT({5000,1000,500},K26:M26))</f>
        <v>0</v>
      </c>
      <c r="O26" s="31"/>
      <c r="P26" s="31"/>
      <c r="Q26" s="31"/>
      <c r="R26" s="39">
        <f>IF(COUNT(O26:Q26)=0,0,SUMPRODUCT({5000,1000,500},O26:Q26))</f>
        <v>0</v>
      </c>
      <c r="S26" s="31"/>
      <c r="T26" s="31"/>
      <c r="U26" s="31"/>
      <c r="V26" s="31"/>
      <c r="W26" s="31"/>
      <c r="X26" s="31">
        <v>49</v>
      </c>
      <c r="Y26" s="31"/>
      <c r="Z26" s="31">
        <v>39</v>
      </c>
      <c r="AA26" s="31"/>
      <c r="AB26" s="31"/>
      <c r="AC26" s="31"/>
      <c r="AD26" s="34">
        <f>IF(COUNT(S26:AC26)=0,0,SUMPRODUCT({5000,1000,500,100,75,50,20,10,5,2,1}, S26:AC26))</f>
        <v>2840</v>
      </c>
      <c r="AE26" s="33">
        <v>240761.21</v>
      </c>
      <c r="AF26" s="24">
        <f>IF(AND(COUNT(C26:E26)=0,COUNT(G26:I26)=0,COUNT(K26:M26)=0,COUNT(O26:Q26)=0,COUNT(S26:AC26)=0,AE26=""),"",(IF(COUNT(C26:E26)=0,0,SUMPRODUCT({5000,1000,500},C26:E26))+IF(COUNT(G26:I26)=0,0,SUMPRODUCT({5000,1000,500},G26:I26))+IF(COUNT(K26:M26)=0,0,SUMPRODUCT({5000,1000,500},K26:M26))+IF(COUNT(O26:Q26)=0,0,SUMPRODUCT({5000,1000,500},O26:Q26))+AD26)-N(AE26))</f>
        <v>78.790000000008149</v>
      </c>
      <c r="AG26" s="35" t="str">
        <f t="shared" si="0"/>
        <v>Excess</v>
      </c>
      <c r="AH26" s="38"/>
      <c r="AI26" s="36">
        <v>630121.99</v>
      </c>
      <c r="AJ26" s="37">
        <v>630121.99</v>
      </c>
      <c r="AK26" s="26">
        <f t="shared" si="1"/>
        <v>0</v>
      </c>
      <c r="AL26" s="25" t="str">
        <f t="shared" si="2"/>
        <v>Matched</v>
      </c>
      <c r="AM26" s="38"/>
    </row>
    <row r="27" spans="1:39" ht="12.75" customHeight="1" x14ac:dyDescent="0.25">
      <c r="A27" s="31">
        <v>69728</v>
      </c>
      <c r="B27" s="32" t="str">
        <f>IF(A27="","",VLOOKUP(A27,'Employee Database'!A:B,2,FALSE))</f>
        <v>Hafiz Hafeez Ur Rehman</v>
      </c>
      <c r="C27" s="31"/>
      <c r="D27" s="31"/>
      <c r="E27" s="31"/>
      <c r="F27" s="39">
        <f>IF(COUNT(C27:E27)=0,0,SUMPRODUCT({5000,1000,500},C27:E27))</f>
        <v>0</v>
      </c>
      <c r="G27" s="31">
        <v>19</v>
      </c>
      <c r="H27" s="31">
        <v>79</v>
      </c>
      <c r="I27" s="31">
        <v>16</v>
      </c>
      <c r="J27" s="39">
        <f>IF(COUNT(G27:I27)=0,0,SUMPRODUCT({5000,1000,500},G27:I27))</f>
        <v>182000</v>
      </c>
      <c r="K27" s="31"/>
      <c r="L27" s="31"/>
      <c r="M27" s="31"/>
      <c r="N27" s="39">
        <f>IF(COUNT(K27:M27)=0,0,SUMPRODUCT({5000,1000,500},K27:M27))</f>
        <v>0</v>
      </c>
      <c r="O27" s="31"/>
      <c r="P27" s="31"/>
      <c r="Q27" s="31"/>
      <c r="R27" s="39">
        <f>IF(COUNT(O27:Q27)=0,0,SUMPRODUCT({5000,1000,500},O27:Q27))</f>
        <v>0</v>
      </c>
      <c r="S27" s="31"/>
      <c r="T27" s="31"/>
      <c r="U27" s="31"/>
      <c r="V27" s="31"/>
      <c r="W27" s="31"/>
      <c r="X27" s="31">
        <v>581</v>
      </c>
      <c r="Y27" s="31"/>
      <c r="Z27" s="31">
        <v>342</v>
      </c>
      <c r="AA27" s="31"/>
      <c r="AB27" s="31"/>
      <c r="AC27" s="31"/>
      <c r="AD27" s="34">
        <f>IF(COUNT(S27:AC27)=0,0,SUMPRODUCT({5000,1000,500,100,75,50,20,10,5,2,1}, S27:AC27))</f>
        <v>32470</v>
      </c>
      <c r="AE27" s="33">
        <v>214469</v>
      </c>
      <c r="AF27" s="24">
        <f>IF(AND(COUNT(C27:E27)=0,COUNT(G27:I27)=0,COUNT(K27:M27)=0,COUNT(O27:Q27)=0,COUNT(S27:AC27)=0,AE27=""),"",(IF(COUNT(C27:E27)=0,0,SUMPRODUCT({5000,1000,500},C27:E27))+IF(COUNT(G27:I27)=0,0,SUMPRODUCT({5000,1000,500},G27:I27))+IF(COUNT(K27:M27)=0,0,SUMPRODUCT({5000,1000,500},K27:M27))+IF(COUNT(O27:Q27)=0,0,SUMPRODUCT({5000,1000,500},O27:Q27))+AD27)-N(AE27))</f>
        <v>1</v>
      </c>
      <c r="AG27" s="35" t="str">
        <f t="shared" si="0"/>
        <v>Excess</v>
      </c>
      <c r="AH27" s="38"/>
      <c r="AI27" s="36">
        <v>759980.12</v>
      </c>
      <c r="AJ27" s="37">
        <f>627569.42+132410.69</f>
        <v>759980.1100000001</v>
      </c>
      <c r="AK27" s="26">
        <f t="shared" si="1"/>
        <v>9.9999998928979039E-3</v>
      </c>
      <c r="AL27" s="25" t="str">
        <f t="shared" si="2"/>
        <v>POS Excess</v>
      </c>
      <c r="AM27" s="38"/>
    </row>
    <row r="28" spans="1:39" ht="12.75" customHeight="1" x14ac:dyDescent="0.25">
      <c r="A28" s="31">
        <v>50313</v>
      </c>
      <c r="B28" s="32" t="str">
        <f>IF(A28="","",VLOOKUP(A28,'Employee Database'!A:B,2,FALSE))</f>
        <v>Waseem Raza</v>
      </c>
      <c r="C28" s="31"/>
      <c r="D28" s="31"/>
      <c r="E28" s="31"/>
      <c r="F28" s="39">
        <f>IF(COUNT(C28:E28)=0,0,SUMPRODUCT({5000,1000,500},C28:E28))</f>
        <v>0</v>
      </c>
      <c r="G28" s="31"/>
      <c r="H28" s="31">
        <v>2</v>
      </c>
      <c r="I28" s="31">
        <v>15</v>
      </c>
      <c r="J28" s="39">
        <f>IF(COUNT(G28:I28)=0,0,SUMPRODUCT({5000,1000,500},G28:I28))</f>
        <v>9500</v>
      </c>
      <c r="K28" s="31"/>
      <c r="L28" s="31"/>
      <c r="M28" s="31"/>
      <c r="N28" s="39">
        <f>IF(COUNT(K28:M28)=0,0,SUMPRODUCT({5000,1000,500},K28:M28))</f>
        <v>0</v>
      </c>
      <c r="O28" s="31"/>
      <c r="P28" s="31"/>
      <c r="Q28" s="31"/>
      <c r="R28" s="39">
        <f>IF(COUNT(O28:Q28)=0,0,SUMPRODUCT({5000,1000,500},O28:Q28))</f>
        <v>0</v>
      </c>
      <c r="S28" s="31"/>
      <c r="T28" s="31"/>
      <c r="U28" s="31"/>
      <c r="V28" s="31">
        <v>1</v>
      </c>
      <c r="W28" s="31"/>
      <c r="X28" s="31">
        <v>6</v>
      </c>
      <c r="Y28" s="31"/>
      <c r="Z28" s="31">
        <v>4</v>
      </c>
      <c r="AA28" s="31"/>
      <c r="AB28" s="31"/>
      <c r="AC28" s="31"/>
      <c r="AD28" s="34">
        <f>IF(COUNT(S28:AC28)=0,0,SUMPRODUCT({5000,1000,500,100,75,50,20,10,5,2,1}, S28:AC28))</f>
        <v>440</v>
      </c>
      <c r="AE28" s="33">
        <v>9945</v>
      </c>
      <c r="AF28" s="24">
        <f>IF(AND(COUNT(C28:E28)=0,COUNT(G28:I28)=0,COUNT(K28:M28)=0,COUNT(O28:Q28)=0,COUNT(S28:AC28)=0,AE28=""),"",(IF(COUNT(C28:E28)=0,0,SUMPRODUCT({5000,1000,500},C28:E28))+IF(COUNT(G28:I28)=0,0,SUMPRODUCT({5000,1000,500},G28:I28))+IF(COUNT(K28:M28)=0,0,SUMPRODUCT({5000,1000,500},K28:M28))+IF(COUNT(O28:Q28)=0,0,SUMPRODUCT({5000,1000,500},O28:Q28))+AD28)-N(AE28))</f>
        <v>-5</v>
      </c>
      <c r="AG28" s="35" t="str">
        <f t="shared" si="0"/>
        <v>Short</v>
      </c>
      <c r="AH28" s="38"/>
      <c r="AI28" s="36"/>
      <c r="AJ28" s="37"/>
      <c r="AK28" s="26" t="str">
        <f t="shared" si="1"/>
        <v/>
      </c>
      <c r="AL28" s="25" t="str">
        <f t="shared" si="2"/>
        <v/>
      </c>
      <c r="AM28" s="38"/>
    </row>
    <row r="29" spans="1:39" ht="12.75" customHeight="1" x14ac:dyDescent="0.25">
      <c r="A29" s="31"/>
      <c r="B29" s="32" t="str">
        <f>IF(A29="","",VLOOKUP(A29,'Employee Database'!A:B,2,FALSE))</f>
        <v/>
      </c>
      <c r="C29" s="31"/>
      <c r="D29" s="31"/>
      <c r="E29" s="31"/>
      <c r="F29" s="39">
        <f>IF(COUNT(C29:E29)=0,0,SUMPRODUCT({5000,1000,500},C29:E29))</f>
        <v>0</v>
      </c>
      <c r="G29" s="31"/>
      <c r="H29" s="31"/>
      <c r="I29" s="31"/>
      <c r="J29" s="39">
        <f>IF(COUNT(G29:I29)=0,0,SUMPRODUCT({5000,1000,500},G29:I29))</f>
        <v>0</v>
      </c>
      <c r="K29" s="31"/>
      <c r="L29" s="31"/>
      <c r="M29" s="31"/>
      <c r="N29" s="39">
        <f>IF(COUNT(K29:M29)=0,0,SUMPRODUCT({5000,1000,500},K29:M29))</f>
        <v>0</v>
      </c>
      <c r="O29" s="31"/>
      <c r="P29" s="31"/>
      <c r="Q29" s="31"/>
      <c r="R29" s="39">
        <f>IF(COUNT(O29:Q29)=0,0,SUMPRODUCT({5000,1000,500},O29:Q29))</f>
        <v>0</v>
      </c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4">
        <f>IF(COUNT(S29:AC29)=0,0,SUMPRODUCT({5000,1000,500,100,75,50,20,10,5,2,1}, S29:AC29))</f>
        <v>0</v>
      </c>
      <c r="AE29" s="33"/>
      <c r="AF29" s="24" t="str">
        <f>IF(AND(COUNT(C29:E29)=0,COUNT(G29:I29)=0,COUNT(K29:M29)=0,COUNT(O29:Q29)=0,COUNT(S29:AC29)=0,AE29=""),"",(IF(COUNT(C29:E29)=0,0,SUMPRODUCT({5000,1000,500},C29:E29))+IF(COUNT(G29:I29)=0,0,SUMPRODUCT({5000,1000,500},G29:I29))+IF(COUNT(K29:M29)=0,0,SUMPRODUCT({5000,1000,500},K29:M29))+IF(COUNT(O29:Q29)=0,0,SUMPRODUCT({5000,1000,500},O29:Q29))+AD29)-N(AE29))</f>
        <v/>
      </c>
      <c r="AG29" s="35" t="str">
        <f t="shared" si="0"/>
        <v/>
      </c>
      <c r="AH29" s="38"/>
      <c r="AI29" s="36"/>
      <c r="AJ29" s="37"/>
      <c r="AK29" s="26" t="str">
        <f t="shared" si="1"/>
        <v/>
      </c>
      <c r="AL29" s="25" t="str">
        <f t="shared" si="2"/>
        <v/>
      </c>
      <c r="AM29" s="38"/>
    </row>
    <row r="30" spans="1:39" ht="12.75" customHeight="1" x14ac:dyDescent="0.25">
      <c r="A30" s="31"/>
      <c r="B30" s="32" t="str">
        <f>IF(A30="","",VLOOKUP(A30,'Employee Database'!A:B,2,FALSE))</f>
        <v/>
      </c>
      <c r="C30" s="31"/>
      <c r="D30" s="31"/>
      <c r="E30" s="31"/>
      <c r="F30" s="39">
        <f>IF(COUNT(C30:E30)=0,0,SUMPRODUCT({5000,1000,500},C30:E30))</f>
        <v>0</v>
      </c>
      <c r="G30" s="31"/>
      <c r="H30" s="31"/>
      <c r="I30" s="31"/>
      <c r="J30" s="39">
        <f>IF(COUNT(G30:I30)=0,0,SUMPRODUCT({5000,1000,500},G30:I30))</f>
        <v>0</v>
      </c>
      <c r="K30" s="31"/>
      <c r="L30" s="31"/>
      <c r="M30" s="31"/>
      <c r="N30" s="39">
        <f>IF(COUNT(K30:M30)=0,0,SUMPRODUCT({5000,1000,500},K30:M30))</f>
        <v>0</v>
      </c>
      <c r="O30" s="31"/>
      <c r="P30" s="31"/>
      <c r="Q30" s="31"/>
      <c r="R30" s="39">
        <f>IF(COUNT(O30:Q30)=0,0,SUMPRODUCT({5000,1000,500},O30:Q30))</f>
        <v>0</v>
      </c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4">
        <f>IF(COUNT(S30:AC30)=0,0,SUMPRODUCT({5000,1000,500,100,75,50,20,10,5,2,1}, S30:AC30))</f>
        <v>0</v>
      </c>
      <c r="AE30" s="33"/>
      <c r="AF30" s="24" t="str">
        <f>IF(AND(COUNT(C30:E30)=0,COUNT(G30:I30)=0,COUNT(K30:M30)=0,COUNT(O30:Q30)=0,COUNT(S30:AC30)=0,AE30=""),"",(IF(COUNT(C30:E30)=0,0,SUMPRODUCT({5000,1000,500},C30:E30))+IF(COUNT(G30:I30)=0,0,SUMPRODUCT({5000,1000,500},G30:I30))+IF(COUNT(K30:M30)=0,0,SUMPRODUCT({5000,1000,500},K30:M30))+IF(COUNT(O30:Q30)=0,0,SUMPRODUCT({5000,1000,500},O30:Q30))+AD30)-N(AE30))</f>
        <v/>
      </c>
      <c r="AG30" s="35" t="str">
        <f t="shared" si="0"/>
        <v/>
      </c>
      <c r="AH30" s="38"/>
      <c r="AI30" s="36"/>
      <c r="AJ30" s="37"/>
      <c r="AK30" s="26" t="str">
        <f t="shared" si="1"/>
        <v/>
      </c>
      <c r="AL30" s="25" t="str">
        <f t="shared" si="2"/>
        <v/>
      </c>
      <c r="AM30" s="38"/>
    </row>
    <row r="31" spans="1:39" ht="12.75" customHeight="1" x14ac:dyDescent="0.25">
      <c r="A31" s="31"/>
      <c r="B31" s="32" t="str">
        <f>IF(A31="","",VLOOKUP(A31,'Employee Database'!A:B,2,FALSE))</f>
        <v/>
      </c>
      <c r="C31" s="31"/>
      <c r="D31" s="31"/>
      <c r="E31" s="31"/>
      <c r="F31" s="39">
        <f>IF(COUNT(C31:E31)=0,0,SUMPRODUCT({5000,1000,500},C31:E31))</f>
        <v>0</v>
      </c>
      <c r="G31" s="31"/>
      <c r="H31" s="31"/>
      <c r="I31" s="31"/>
      <c r="J31" s="39">
        <f>IF(COUNT(G31:I31)=0,0,SUMPRODUCT({5000,1000,500},G31:I31))</f>
        <v>0</v>
      </c>
      <c r="K31" s="31"/>
      <c r="L31" s="31"/>
      <c r="M31" s="31"/>
      <c r="N31" s="39">
        <f>IF(COUNT(K31:M31)=0,0,SUMPRODUCT({5000,1000,500},K31:M31))</f>
        <v>0</v>
      </c>
      <c r="O31" s="31"/>
      <c r="P31" s="31"/>
      <c r="Q31" s="31"/>
      <c r="R31" s="39">
        <f>IF(COUNT(O31:Q31)=0,0,SUMPRODUCT({5000,1000,500},O31:Q31))</f>
        <v>0</v>
      </c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4">
        <f>IF(COUNT(S31:AC31)=0,0,SUMPRODUCT({5000,1000,500,100,75,50,20,10,5,2,1}, S31:AC31))</f>
        <v>0</v>
      </c>
      <c r="AE31" s="33"/>
      <c r="AF31" s="24" t="str">
        <f>IF(AND(COUNT(C31:E31)=0,COUNT(G31:I31)=0,COUNT(K31:M31)=0,COUNT(O31:Q31)=0,COUNT(S31:AC31)=0,AE31=""),"",(IF(COUNT(C31:E31)=0,0,SUMPRODUCT({5000,1000,500},C31:E31))+IF(COUNT(G31:I31)=0,0,SUMPRODUCT({5000,1000,500},G31:I31))+IF(COUNT(K31:M31)=0,0,SUMPRODUCT({5000,1000,500},K31:M31))+IF(COUNT(O31:Q31)=0,0,SUMPRODUCT({5000,1000,500},O31:Q31))+AD31)-N(AE31))</f>
        <v/>
      </c>
      <c r="AG31" s="35" t="str">
        <f t="shared" si="0"/>
        <v/>
      </c>
      <c r="AH31" s="38"/>
      <c r="AI31" s="36"/>
      <c r="AJ31" s="37"/>
      <c r="AK31" s="26" t="str">
        <f t="shared" si="1"/>
        <v/>
      </c>
      <c r="AL31" s="25" t="str">
        <f t="shared" si="2"/>
        <v/>
      </c>
      <c r="AM31" s="38"/>
    </row>
    <row r="32" spans="1:39" ht="12.75" customHeight="1" x14ac:dyDescent="0.25">
      <c r="A32" s="31"/>
      <c r="B32" s="32" t="str">
        <f>IF(A32="","",VLOOKUP(A32,'Employee Database'!A:B,2,FALSE))</f>
        <v/>
      </c>
      <c r="C32" s="31"/>
      <c r="D32" s="31"/>
      <c r="E32" s="31"/>
      <c r="F32" s="39">
        <f>IF(COUNT(C32:E32)=0,0,SUMPRODUCT({5000,1000,500},C32:E32))</f>
        <v>0</v>
      </c>
      <c r="G32" s="31"/>
      <c r="H32" s="31"/>
      <c r="I32" s="31"/>
      <c r="J32" s="39">
        <f>IF(COUNT(G32:I32)=0,0,SUMPRODUCT({5000,1000,500},G32:I32))</f>
        <v>0</v>
      </c>
      <c r="K32" s="31"/>
      <c r="L32" s="31"/>
      <c r="M32" s="31"/>
      <c r="N32" s="39">
        <f>IF(COUNT(K32:M32)=0,0,SUMPRODUCT({5000,1000,500},K32:M32))</f>
        <v>0</v>
      </c>
      <c r="O32" s="31"/>
      <c r="P32" s="31"/>
      <c r="Q32" s="31"/>
      <c r="R32" s="39">
        <f>IF(COUNT(O32:Q32)=0,0,SUMPRODUCT({5000,1000,500},O32:Q32))</f>
        <v>0</v>
      </c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4">
        <f>IF(COUNT(S32:AC32)=0,0,SUMPRODUCT({5000,1000,500,100,75,50,20,10,5,2,1}, S32:AC32))</f>
        <v>0</v>
      </c>
      <c r="AE32" s="33"/>
      <c r="AF32" s="24" t="str">
        <f>IF(AND(COUNT(C32:E32)=0,COUNT(G32:I32)=0,COUNT(K32:M32)=0,COUNT(O32:Q32)=0,COUNT(S32:AC32)=0,AE32=""),"",(IF(COUNT(C32:E32)=0,0,SUMPRODUCT({5000,1000,500},C32:E32))+IF(COUNT(G32:I32)=0,0,SUMPRODUCT({5000,1000,500},G32:I32))+IF(COUNT(K32:M32)=0,0,SUMPRODUCT({5000,1000,500},K32:M32))+IF(COUNT(O32:Q32)=0,0,SUMPRODUCT({5000,1000,500},O32:Q32))+AD32)-N(AE32))</f>
        <v/>
      </c>
      <c r="AG32" s="35" t="str">
        <f t="shared" si="0"/>
        <v/>
      </c>
      <c r="AH32" s="38"/>
      <c r="AI32" s="36"/>
      <c r="AJ32" s="37"/>
      <c r="AK32" s="26" t="str">
        <f t="shared" si="1"/>
        <v/>
      </c>
      <c r="AL32" s="25" t="str">
        <f t="shared" si="2"/>
        <v/>
      </c>
      <c r="AM32" s="38"/>
    </row>
    <row r="33" spans="1:39" ht="12.75" customHeight="1" x14ac:dyDescent="0.25">
      <c r="A33" s="31"/>
      <c r="B33" s="32" t="str">
        <f>IF(A33="","",VLOOKUP(A33,'Employee Database'!A:B,2,FALSE))</f>
        <v/>
      </c>
      <c r="C33" s="31"/>
      <c r="D33" s="31"/>
      <c r="E33" s="31"/>
      <c r="F33" s="39">
        <f>IF(COUNT(C33:E33)=0,0,SUMPRODUCT({5000,1000,500},C33:E33))</f>
        <v>0</v>
      </c>
      <c r="G33" s="31"/>
      <c r="H33" s="31"/>
      <c r="I33" s="31"/>
      <c r="J33" s="39">
        <f>IF(COUNT(G33:I33)=0,0,SUMPRODUCT({5000,1000,500},G33:I33))</f>
        <v>0</v>
      </c>
      <c r="K33" s="31"/>
      <c r="L33" s="31"/>
      <c r="M33" s="31"/>
      <c r="N33" s="39">
        <f>IF(COUNT(K33:M33)=0,0,SUMPRODUCT({5000,1000,500},K33:M33))</f>
        <v>0</v>
      </c>
      <c r="O33" s="31"/>
      <c r="P33" s="31"/>
      <c r="Q33" s="31"/>
      <c r="R33" s="39">
        <f>IF(COUNT(O33:Q33)=0,0,SUMPRODUCT({5000,1000,500},O33:Q33))</f>
        <v>0</v>
      </c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4">
        <f>IF(COUNT(S33:AC33)=0,0,SUMPRODUCT({5000,1000,500,100,75,50,20,10,5,2,1}, S33:AC33))</f>
        <v>0</v>
      </c>
      <c r="AE33" s="33"/>
      <c r="AF33" s="24" t="str">
        <f>IF(AND(COUNT(C33:E33)=0,COUNT(G33:I33)=0,COUNT(K33:M33)=0,COUNT(O33:Q33)=0,COUNT(S33:AC33)=0,AE33=""),"",(IF(COUNT(C33:E33)=0,0,SUMPRODUCT({5000,1000,500},C33:E33))+IF(COUNT(G33:I33)=0,0,SUMPRODUCT({5000,1000,500},G33:I33))+IF(COUNT(K33:M33)=0,0,SUMPRODUCT({5000,1000,500},K33:M33))+IF(COUNT(O33:Q33)=0,0,SUMPRODUCT({5000,1000,500},O33:Q33))+AD33)-N(AE33))</f>
        <v/>
      </c>
      <c r="AG33" s="35" t="str">
        <f t="shared" si="0"/>
        <v/>
      </c>
      <c r="AH33" s="38"/>
      <c r="AI33" s="36"/>
      <c r="AJ33" s="37"/>
      <c r="AK33" s="26" t="str">
        <f t="shared" si="1"/>
        <v/>
      </c>
      <c r="AL33" s="25" t="str">
        <f t="shared" si="2"/>
        <v/>
      </c>
      <c r="AM33" s="38"/>
    </row>
    <row r="34" spans="1:39" ht="12.75" customHeight="1" x14ac:dyDescent="0.25">
      <c r="A34" s="31"/>
      <c r="B34" s="32" t="str">
        <f>IF(A34="","",VLOOKUP(A34,'Employee Database'!A:B,2,FALSE))</f>
        <v/>
      </c>
      <c r="C34" s="31"/>
      <c r="D34" s="31"/>
      <c r="E34" s="31"/>
      <c r="F34" s="39">
        <f>IF(COUNT(C34:E34)=0,0,SUMPRODUCT({5000,1000,500},C34:E34))</f>
        <v>0</v>
      </c>
      <c r="G34" s="31"/>
      <c r="H34" s="31"/>
      <c r="I34" s="31"/>
      <c r="J34" s="39">
        <f>IF(COUNT(G34:I34)=0,0,SUMPRODUCT({5000,1000,500},G34:I34))</f>
        <v>0</v>
      </c>
      <c r="K34" s="31"/>
      <c r="L34" s="31"/>
      <c r="M34" s="31"/>
      <c r="N34" s="39">
        <f>IF(COUNT(K34:M34)=0,0,SUMPRODUCT({5000,1000,500},K34:M34))</f>
        <v>0</v>
      </c>
      <c r="O34" s="31"/>
      <c r="P34" s="31"/>
      <c r="Q34" s="31"/>
      <c r="R34" s="39">
        <f>IF(COUNT(O34:Q34)=0,0,SUMPRODUCT({5000,1000,500},O34:Q34))</f>
        <v>0</v>
      </c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4">
        <f>IF(COUNT(S34:AC34)=0,0,SUMPRODUCT({5000,1000,500,100,75,50,20,10,5,2,1}, S34:AC34))</f>
        <v>0</v>
      </c>
      <c r="AE34" s="33"/>
      <c r="AF34" s="24" t="str">
        <f>IF(AND(COUNT(C34:E34)=0,COUNT(G34:I34)=0,COUNT(K34:M34)=0,COUNT(O34:Q34)=0,COUNT(S34:AC34)=0,AE34=""),"",(IF(COUNT(C34:E34)=0,0,SUMPRODUCT({5000,1000,500},C34:E34))+IF(COUNT(G34:I34)=0,0,SUMPRODUCT({5000,1000,500},G34:I34))+IF(COUNT(K34:M34)=0,0,SUMPRODUCT({5000,1000,500},K34:M34))+IF(COUNT(O34:Q34)=0,0,SUMPRODUCT({5000,1000,500},O34:Q34))+AD34)-N(AE34))</f>
        <v/>
      </c>
      <c r="AG34" s="35" t="str">
        <f t="shared" si="0"/>
        <v/>
      </c>
      <c r="AH34" s="38"/>
      <c r="AI34" s="36"/>
      <c r="AJ34" s="37"/>
      <c r="AK34" s="26" t="str">
        <f t="shared" si="1"/>
        <v/>
      </c>
      <c r="AL34" s="25" t="str">
        <f t="shared" si="2"/>
        <v/>
      </c>
      <c r="AM34" s="38"/>
    </row>
    <row r="35" spans="1:39" ht="22.5" customHeight="1" x14ac:dyDescent="0.25">
      <c r="A35" s="27" t="s">
        <v>24</v>
      </c>
      <c r="B35" s="27" t="s">
        <v>24</v>
      </c>
      <c r="C35" s="28">
        <f t="shared" ref="C35:AF35" si="3">SUM(C5:C34)</f>
        <v>232</v>
      </c>
      <c r="D35" s="28">
        <f t="shared" si="3"/>
        <v>914</v>
      </c>
      <c r="E35" s="28">
        <f t="shared" si="3"/>
        <v>154</v>
      </c>
      <c r="F35" s="40">
        <f t="shared" si="3"/>
        <v>2151000</v>
      </c>
      <c r="G35" s="28">
        <f t="shared" si="3"/>
        <v>322</v>
      </c>
      <c r="H35" s="28">
        <f t="shared" si="3"/>
        <v>1009</v>
      </c>
      <c r="I35" s="28">
        <f t="shared" si="3"/>
        <v>245</v>
      </c>
      <c r="J35" s="40">
        <f t="shared" si="3"/>
        <v>2741500</v>
      </c>
      <c r="K35" s="28">
        <f t="shared" si="3"/>
        <v>0</v>
      </c>
      <c r="L35" s="28">
        <f t="shared" si="3"/>
        <v>0</v>
      </c>
      <c r="M35" s="28">
        <f t="shared" si="3"/>
        <v>0</v>
      </c>
      <c r="N35" s="40">
        <f t="shared" si="3"/>
        <v>0</v>
      </c>
      <c r="O35" s="28">
        <f t="shared" si="3"/>
        <v>0</v>
      </c>
      <c r="P35" s="28">
        <f t="shared" si="3"/>
        <v>0</v>
      </c>
      <c r="Q35" s="28">
        <f t="shared" si="3"/>
        <v>0</v>
      </c>
      <c r="R35" s="40">
        <f t="shared" si="3"/>
        <v>0</v>
      </c>
      <c r="S35" s="28">
        <f t="shared" si="3"/>
        <v>0</v>
      </c>
      <c r="T35" s="28">
        <f t="shared" si="3"/>
        <v>0</v>
      </c>
      <c r="U35" s="28">
        <f t="shared" si="3"/>
        <v>0</v>
      </c>
      <c r="V35" s="28">
        <f t="shared" si="3"/>
        <v>53</v>
      </c>
      <c r="W35" s="28">
        <f t="shared" si="3"/>
        <v>0</v>
      </c>
      <c r="X35" s="28">
        <f t="shared" si="3"/>
        <v>1081</v>
      </c>
      <c r="Y35" s="28">
        <f t="shared" si="3"/>
        <v>12</v>
      </c>
      <c r="Z35" s="28">
        <f t="shared" si="3"/>
        <v>1416</v>
      </c>
      <c r="AA35" s="28">
        <f t="shared" si="3"/>
        <v>0</v>
      </c>
      <c r="AB35" s="28">
        <f t="shared" si="3"/>
        <v>0</v>
      </c>
      <c r="AC35" s="28">
        <f t="shared" si="3"/>
        <v>1</v>
      </c>
      <c r="AD35" s="40">
        <f t="shared" si="3"/>
        <v>73751</v>
      </c>
      <c r="AE35" s="41">
        <f t="shared" si="3"/>
        <v>4965635.21</v>
      </c>
      <c r="AF35" s="29">
        <f t="shared" si="3"/>
        <v>615.79000000000815</v>
      </c>
      <c r="AG35" s="27" t="s">
        <v>24</v>
      </c>
      <c r="AH35" s="27" t="s">
        <v>24</v>
      </c>
      <c r="AI35" s="28">
        <f>SUM(AI5:AI34)</f>
        <v>9255060.2199999988</v>
      </c>
      <c r="AJ35" s="28">
        <f>SUM(AJ5:AJ34)</f>
        <v>9253261.3059999999</v>
      </c>
      <c r="AK35" s="28">
        <f>SUM(AK5:AK34)</f>
        <v>1798.9139999998079</v>
      </c>
      <c r="AL35" s="28">
        <f>AJ35+AE35</f>
        <v>14218896.515999999</v>
      </c>
      <c r="AM35" s="28">
        <f>SUM(AM5:AM34)</f>
        <v>0</v>
      </c>
    </row>
  </sheetData>
  <sheetProtection algorithmName="SHA-512" hashValue="v5/nTwt6XKV/V736y2X2Lm5h7snF4UaRwj8fM3P2bXbUQavJDpaSQoZweEUbehnC3Aky4wKZ51vxzrqqaa2BAg==" saltValue="TwOLsD2GRNnOIoAlKuq8vg==" spinCount="100000" sheet="1" objects="1" scenarios="1"/>
  <mergeCells count="9">
    <mergeCell ref="S3:AC3"/>
    <mergeCell ref="AD3:AG3"/>
    <mergeCell ref="AH3:AM3"/>
    <mergeCell ref="A1:B1"/>
    <mergeCell ref="A3:B3"/>
    <mergeCell ref="C3:F3"/>
    <mergeCell ref="G3:J3"/>
    <mergeCell ref="K3:N3"/>
    <mergeCell ref="O3:R3"/>
  </mergeCells>
  <conditionalFormatting sqref="A5">
    <cfRule type="duplicateValues" dxfId="133" priority="3"/>
    <cfRule type="duplicateValues" dxfId="132" priority="4"/>
  </conditionalFormatting>
  <conditionalFormatting sqref="A6">
    <cfRule type="duplicateValues" dxfId="131" priority="5"/>
    <cfRule type="duplicateValues" dxfId="130" priority="6"/>
  </conditionalFormatting>
  <conditionalFormatting sqref="A7:A34">
    <cfRule type="duplicateValues" dxfId="129" priority="1"/>
    <cfRule type="duplicateValues" dxfId="128" priority="2"/>
  </conditionalFormatting>
  <conditionalFormatting sqref="A35">
    <cfRule type="duplicateValues" dxfId="127" priority="7"/>
  </conditionalFormatting>
  <dataValidations disablePrompts="1" count="1">
    <dataValidation type="list" allowBlank="1" showInputMessage="1" showErrorMessage="1" sqref="A1:B1" xr:uid="{00000000-0002-0000-0E00-000000000000}">
      <formula1>Locations</formula1>
    </dataValidation>
  </dataValidations>
  <pageMargins left="0.75" right="0.75" top="1" bottom="1" header="0.5" footer="0.5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tabColor rgb="FFFF0000"/>
  </sheetPr>
  <dimension ref="A1:AM34"/>
  <sheetViews>
    <sheetView showGridLines="0" topLeftCell="A13" zoomScale="85" zoomScaleNormal="85" workbookViewId="0">
      <pane xSplit="2" topLeftCell="S1" activePane="topRight" state="frozen"/>
      <selection activeCell="A4" sqref="A4"/>
      <selection pane="topRight" activeCell="AE34" sqref="AE34"/>
    </sheetView>
  </sheetViews>
  <sheetFormatPr defaultRowHeight="15" x14ac:dyDescent="0.25"/>
  <cols>
    <col min="1" max="1" width="11.85546875" customWidth="1"/>
    <col min="2" max="2" width="20.5703125" customWidth="1"/>
    <col min="6" max="6" width="14.42578125" bestFit="1" customWidth="1"/>
    <col min="10" max="10" width="14.42578125" bestFit="1" customWidth="1"/>
    <col min="14" max="14" width="14.42578125" bestFit="1" customWidth="1"/>
    <col min="18" max="18" width="14.42578125" bestFit="1" customWidth="1"/>
    <col min="30" max="31" width="18" customWidth="1"/>
    <col min="32" max="32" width="20" customWidth="1"/>
    <col min="33" max="33" width="14" customWidth="1"/>
    <col min="35" max="35" width="18" customWidth="1"/>
    <col min="36" max="36" width="22" customWidth="1"/>
    <col min="37" max="37" width="16" customWidth="1"/>
    <col min="38" max="38" width="14" customWidth="1"/>
  </cols>
  <sheetData>
    <row r="1" spans="1:39" ht="43.5" customHeight="1" x14ac:dyDescent="0.25">
      <c r="A1" s="48" t="s">
        <v>306</v>
      </c>
      <c r="B1" s="48"/>
    </row>
    <row r="2" spans="1:39" ht="13.5" customHeight="1" x14ac:dyDescent="0.25">
      <c r="A2" s="30">
        <f>'13'!A2+1</f>
        <v>46217</v>
      </c>
    </row>
    <row r="3" spans="1:39" ht="24" customHeight="1" x14ac:dyDescent="0.25">
      <c r="A3" s="49" t="s">
        <v>0</v>
      </c>
      <c r="B3" s="49"/>
      <c r="C3" s="49" t="s">
        <v>93</v>
      </c>
      <c r="D3" s="50"/>
      <c r="E3" s="50"/>
      <c r="F3" s="50"/>
      <c r="G3" s="49" t="s">
        <v>94</v>
      </c>
      <c r="H3" s="50"/>
      <c r="I3" s="50"/>
      <c r="J3" s="50"/>
      <c r="K3" s="49" t="s">
        <v>95</v>
      </c>
      <c r="L3" s="50"/>
      <c r="M3" s="50"/>
      <c r="N3" s="50"/>
      <c r="O3" s="49" t="s">
        <v>96</v>
      </c>
      <c r="P3" s="50"/>
      <c r="Q3" s="50"/>
      <c r="R3" s="50"/>
      <c r="S3" s="45" t="s">
        <v>1</v>
      </c>
      <c r="T3" s="46"/>
      <c r="U3" s="46"/>
      <c r="V3" s="46"/>
      <c r="W3" s="46"/>
      <c r="X3" s="46"/>
      <c r="Y3" s="46"/>
      <c r="Z3" s="46"/>
      <c r="AA3" s="46"/>
      <c r="AB3" s="46"/>
      <c r="AC3" s="46"/>
      <c r="AD3" s="47" t="s">
        <v>97</v>
      </c>
      <c r="AE3" s="46"/>
      <c r="AF3" s="46"/>
      <c r="AG3" s="46"/>
      <c r="AH3" s="47" t="s">
        <v>98</v>
      </c>
      <c r="AI3" s="46"/>
      <c r="AJ3" s="46"/>
      <c r="AK3" s="46"/>
      <c r="AL3" s="46"/>
      <c r="AM3" s="46"/>
    </row>
    <row r="4" spans="1:39" ht="27.95" customHeight="1" x14ac:dyDescent="0.25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92</v>
      </c>
      <c r="G4" s="1" t="s">
        <v>5</v>
      </c>
      <c r="H4" s="1" t="s">
        <v>6</v>
      </c>
      <c r="I4" s="1" t="s">
        <v>7</v>
      </c>
      <c r="J4" s="1" t="s">
        <v>92</v>
      </c>
      <c r="K4" s="1" t="s">
        <v>5</v>
      </c>
      <c r="L4" s="1" t="s">
        <v>6</v>
      </c>
      <c r="M4" s="1" t="s">
        <v>7</v>
      </c>
      <c r="N4" s="1" t="s">
        <v>92</v>
      </c>
      <c r="O4" s="1" t="s">
        <v>5</v>
      </c>
      <c r="P4" s="1" t="s">
        <v>6</v>
      </c>
      <c r="Q4" s="1" t="s">
        <v>7</v>
      </c>
      <c r="R4" s="1" t="s">
        <v>92</v>
      </c>
      <c r="S4" s="1" t="s">
        <v>5</v>
      </c>
      <c r="T4" s="1" t="s">
        <v>6</v>
      </c>
      <c r="U4" s="1" t="s">
        <v>7</v>
      </c>
      <c r="V4" s="1" t="s">
        <v>8</v>
      </c>
      <c r="W4" s="1" t="s">
        <v>9</v>
      </c>
      <c r="X4" s="1" t="s">
        <v>10</v>
      </c>
      <c r="Y4" s="1" t="s">
        <v>11</v>
      </c>
      <c r="Z4" s="1" t="s">
        <v>12</v>
      </c>
      <c r="AA4" s="1" t="s">
        <v>13</v>
      </c>
      <c r="AB4" s="1" t="s">
        <v>14</v>
      </c>
      <c r="AC4" s="1" t="s">
        <v>15</v>
      </c>
      <c r="AD4" s="1" t="s">
        <v>16</v>
      </c>
      <c r="AE4" s="1" t="s">
        <v>17</v>
      </c>
      <c r="AF4" s="1" t="s">
        <v>18</v>
      </c>
      <c r="AG4" s="1" t="s">
        <v>19</v>
      </c>
      <c r="AH4" s="1" t="s">
        <v>20</v>
      </c>
      <c r="AI4" s="4" t="s">
        <v>99</v>
      </c>
      <c r="AJ4" s="1" t="s">
        <v>21</v>
      </c>
      <c r="AK4" s="1" t="s">
        <v>22</v>
      </c>
      <c r="AL4" s="1" t="s">
        <v>23</v>
      </c>
      <c r="AM4" s="4" t="s">
        <v>100</v>
      </c>
    </row>
    <row r="5" spans="1:39" ht="12.75" customHeight="1" x14ac:dyDescent="0.25">
      <c r="A5" s="31">
        <v>77423</v>
      </c>
      <c r="B5" s="32" t="str">
        <f>IF(A5="","",VLOOKUP(A5,'Employee Database'!A:B,2,FALSE))</f>
        <v>Shoaib Akhtar</v>
      </c>
      <c r="C5" s="31">
        <f>27+9</f>
        <v>36</v>
      </c>
      <c r="D5" s="31">
        <f>120+15</f>
        <v>135</v>
      </c>
      <c r="E5" s="31">
        <v>24</v>
      </c>
      <c r="F5" s="39">
        <f>IF(COUNT(C5:E5)=0,0,SUMPRODUCT({5000,1000,500},C5:E5))</f>
        <v>327000</v>
      </c>
      <c r="G5" s="31"/>
      <c r="H5" s="31"/>
      <c r="I5" s="31"/>
      <c r="J5" s="39">
        <f>IF(COUNT(G5:I5)=0,0,SUMPRODUCT({5000,1000,500},G5:I5))</f>
        <v>0</v>
      </c>
      <c r="K5" s="31"/>
      <c r="L5" s="31"/>
      <c r="M5" s="31"/>
      <c r="N5" s="39">
        <f>IF(COUNT(K5:M5)=0,0,SUMPRODUCT({5000,1000,500},K5:M5))</f>
        <v>0</v>
      </c>
      <c r="O5" s="31"/>
      <c r="P5" s="31"/>
      <c r="Q5" s="31"/>
      <c r="R5" s="39">
        <f>IF(COUNT(O5:Q5)=0,0,SUMPRODUCT({5000,1000,500},O5:Q5))</f>
        <v>0</v>
      </c>
      <c r="S5" s="31"/>
      <c r="T5" s="31"/>
      <c r="U5" s="31"/>
      <c r="V5" s="31"/>
      <c r="W5" s="31"/>
      <c r="X5" s="31">
        <v>44</v>
      </c>
      <c r="Y5" s="31">
        <v>3</v>
      </c>
      <c r="Z5" s="31">
        <v>63</v>
      </c>
      <c r="AA5" s="31"/>
      <c r="AB5" s="31"/>
      <c r="AC5" s="31">
        <v>1</v>
      </c>
      <c r="AD5" s="34">
        <f>IF(COUNT(S5:AC5)=0,0,SUMPRODUCT({5000,1000,500,100,75,50,20,10,5,2,1}, S5:AC5))</f>
        <v>2891</v>
      </c>
      <c r="AE5" s="33">
        <v>329837</v>
      </c>
      <c r="AF5" s="24">
        <f>IF(AND(COUNT(C5:E5)=0,COUNT(G5:I5)=0,COUNT(K5:M5)=0,COUNT(O5:Q5)=0,COUNT(S5:AC5)=0,AE5=""),"",(IF(COUNT(C5:E5)=0,0,SUMPRODUCT({5000,1000,500},C5:E5))+IF(COUNT(G5:I5)=0,0,SUMPRODUCT({5000,1000,500},G5:I5))+IF(COUNT(K5:M5)=0,0,SUMPRODUCT({5000,1000,500},K5:M5))+IF(COUNT(O5:Q5)=0,0,SUMPRODUCT({5000,1000,500},O5:Q5))+AD5)-N(AE5))</f>
        <v>54</v>
      </c>
      <c r="AG5" s="35" t="str">
        <f t="shared" ref="AG5:AG33" si="0">IF(AF5="","",IF(AF5&gt;0,"Excess",IF(AF5&lt;0,"Short","Balanced")))</f>
        <v>Excess</v>
      </c>
      <c r="AH5" s="38"/>
      <c r="AI5" s="36">
        <v>786090</v>
      </c>
      <c r="AJ5" s="37">
        <v>786090</v>
      </c>
      <c r="AK5" s="26">
        <f t="shared" ref="AK5:AK33" si="1">IF(AND(AI5="",AJ5=""),"",N(AI5)-N(AJ5))</f>
        <v>0</v>
      </c>
      <c r="AL5" s="25" t="str">
        <f t="shared" ref="AL5:AL33" si="2">IF(AK5="","",IF(AK5&gt;0,"POS Excess",IF(AK5&lt;0,"Bank Short","Matched")))</f>
        <v>Matched</v>
      </c>
      <c r="AM5" s="38"/>
    </row>
    <row r="6" spans="1:39" ht="12.75" customHeight="1" x14ac:dyDescent="0.25">
      <c r="A6" s="31">
        <v>58112</v>
      </c>
      <c r="B6" s="32" t="str">
        <f>IF(A6="","",VLOOKUP(A6,'Employee Database'!A:B,2,FALSE))</f>
        <v>Shama</v>
      </c>
      <c r="C6" s="31">
        <f>12+24</f>
        <v>36</v>
      </c>
      <c r="D6" s="31">
        <f>89+63</f>
        <v>152</v>
      </c>
      <c r="E6" s="31">
        <f>17+22</f>
        <v>39</v>
      </c>
      <c r="F6" s="39">
        <f>IF(COUNT(C6:E6)=0,0,SUMPRODUCT({5000,1000,500},C6:E6))</f>
        <v>351500</v>
      </c>
      <c r="G6" s="31"/>
      <c r="H6" s="31"/>
      <c r="I6" s="31"/>
      <c r="J6" s="39">
        <f>IF(COUNT(G6:I6)=0,0,SUMPRODUCT({5000,1000,500},G6:I6))</f>
        <v>0</v>
      </c>
      <c r="K6" s="31"/>
      <c r="L6" s="31"/>
      <c r="M6" s="31"/>
      <c r="N6" s="39">
        <f>IF(COUNT(K6:M6)=0,0,SUMPRODUCT({5000,1000,500},K6:M6))</f>
        <v>0</v>
      </c>
      <c r="O6" s="31"/>
      <c r="P6" s="31"/>
      <c r="Q6" s="31"/>
      <c r="R6" s="39">
        <f>IF(COUNT(O6:Q6)=0,0,SUMPRODUCT({5000,1000,500},O6:Q6))</f>
        <v>0</v>
      </c>
      <c r="S6" s="31"/>
      <c r="T6" s="31"/>
      <c r="U6" s="31"/>
      <c r="V6" s="31">
        <v>1</v>
      </c>
      <c r="W6" s="31"/>
      <c r="X6" s="31">
        <v>11</v>
      </c>
      <c r="Y6" s="31"/>
      <c r="Z6" s="31">
        <v>14</v>
      </c>
      <c r="AA6" s="31"/>
      <c r="AB6" s="31"/>
      <c r="AC6" s="31"/>
      <c r="AD6" s="34">
        <f>IF(COUNT(S6:AC6)=0,0,SUMPRODUCT({5000,1000,500,100,75,50,20,10,5,2,1}, S6:AC6))</f>
        <v>790</v>
      </c>
      <c r="AE6" s="33">
        <v>352275</v>
      </c>
      <c r="AF6" s="24">
        <f>IF(AND(COUNT(C6:E6)=0,COUNT(G6:I6)=0,COUNT(K6:M6)=0,COUNT(O6:Q6)=0,COUNT(S6:AC6)=0,AE6=""),"",(IF(COUNT(C6:E6)=0,0,SUMPRODUCT({5000,1000,500},C6:E6))+IF(COUNT(G6:I6)=0,0,SUMPRODUCT({5000,1000,500},G6:I6))+IF(COUNT(K6:M6)=0,0,SUMPRODUCT({5000,1000,500},K6:M6))+IF(COUNT(O6:Q6)=0,0,SUMPRODUCT({5000,1000,500},O6:Q6))+AD6)-N(AE6))</f>
        <v>15</v>
      </c>
      <c r="AG6" s="35" t="str">
        <f t="shared" si="0"/>
        <v>Excess</v>
      </c>
      <c r="AH6" s="38"/>
      <c r="AI6" s="36">
        <v>319812</v>
      </c>
      <c r="AJ6" s="37">
        <f>180101+139711</f>
        <v>319812</v>
      </c>
      <c r="AK6" s="26">
        <f t="shared" si="1"/>
        <v>0</v>
      </c>
      <c r="AL6" s="25" t="str">
        <f t="shared" si="2"/>
        <v>Matched</v>
      </c>
      <c r="AM6" s="38"/>
    </row>
    <row r="7" spans="1:39" ht="12.75" customHeight="1" x14ac:dyDescent="0.25">
      <c r="A7" s="31">
        <v>59257</v>
      </c>
      <c r="B7" s="32" t="str">
        <f>IF(A7="","",VLOOKUP(A7,'Employee Database'!A:B,2,FALSE))</f>
        <v>Saddiqa Maryam</v>
      </c>
      <c r="C7" s="31">
        <f>20+24</f>
        <v>44</v>
      </c>
      <c r="D7" s="31">
        <f>51+43</f>
        <v>94</v>
      </c>
      <c r="E7" s="31">
        <f>14+14</f>
        <v>28</v>
      </c>
      <c r="F7" s="39">
        <f>IF(COUNT(C7:E7)=0,0,SUMPRODUCT({5000,1000,500},C7:E7))</f>
        <v>328000</v>
      </c>
      <c r="G7" s="31"/>
      <c r="H7" s="31"/>
      <c r="I7" s="31"/>
      <c r="J7" s="39">
        <f>IF(COUNT(G7:I7)=0,0,SUMPRODUCT({5000,1000,500},G7:I7))</f>
        <v>0</v>
      </c>
      <c r="K7" s="31"/>
      <c r="L7" s="31"/>
      <c r="M7" s="31"/>
      <c r="N7" s="39">
        <f>IF(COUNT(K7:M7)=0,0,SUMPRODUCT({5000,1000,500},K7:M7))</f>
        <v>0</v>
      </c>
      <c r="O7" s="31"/>
      <c r="P7" s="31"/>
      <c r="Q7" s="31"/>
      <c r="R7" s="39">
        <f>IF(COUNT(O7:Q7)=0,0,SUMPRODUCT({5000,1000,500},O7:Q7))</f>
        <v>0</v>
      </c>
      <c r="S7" s="31"/>
      <c r="T7" s="31"/>
      <c r="U7" s="31"/>
      <c r="V7" s="31">
        <v>5</v>
      </c>
      <c r="W7" s="31"/>
      <c r="X7" s="31">
        <v>33</v>
      </c>
      <c r="Y7" s="31"/>
      <c r="Z7" s="31">
        <v>45</v>
      </c>
      <c r="AA7" s="31"/>
      <c r="AB7" s="31"/>
      <c r="AC7" s="31"/>
      <c r="AD7" s="34">
        <f>IF(COUNT(S7:AC7)=0,0,SUMPRODUCT({5000,1000,500,100,75,50,20,10,5,2,1}, S7:AC7))</f>
        <v>2600</v>
      </c>
      <c r="AE7" s="33">
        <v>330556</v>
      </c>
      <c r="AF7" s="24">
        <f>IF(AND(COUNT(C7:E7)=0,COUNT(G7:I7)=0,COUNT(K7:M7)=0,COUNT(O7:Q7)=0,COUNT(S7:AC7)=0,AE7=""),"",(IF(COUNT(C7:E7)=0,0,SUMPRODUCT({5000,1000,500},C7:E7))+IF(COUNT(G7:I7)=0,0,SUMPRODUCT({5000,1000,500},G7:I7))+IF(COUNT(K7:M7)=0,0,SUMPRODUCT({5000,1000,500},K7:M7))+IF(COUNT(O7:Q7)=0,0,SUMPRODUCT({5000,1000,500},O7:Q7))+AD7)-N(AE7))</f>
        <v>44</v>
      </c>
      <c r="AG7" s="35" t="str">
        <f t="shared" si="0"/>
        <v>Excess</v>
      </c>
      <c r="AH7" s="38"/>
      <c r="AI7" s="36">
        <v>579953</v>
      </c>
      <c r="AJ7" s="37">
        <f>268834+311118+1</f>
        <v>579953</v>
      </c>
      <c r="AK7" s="26">
        <f t="shared" si="1"/>
        <v>0</v>
      </c>
      <c r="AL7" s="25" t="str">
        <f t="shared" si="2"/>
        <v>Matched</v>
      </c>
      <c r="AM7" s="38"/>
    </row>
    <row r="8" spans="1:39" ht="12.75" customHeight="1" x14ac:dyDescent="0.25">
      <c r="A8" s="31">
        <v>68107</v>
      </c>
      <c r="B8" s="32" t="str">
        <f>IF(A8="","",VLOOKUP(A8,'Employee Database'!A:B,2,FALSE))</f>
        <v>M Harris</v>
      </c>
      <c r="C8" s="31">
        <f>12+2</f>
        <v>14</v>
      </c>
      <c r="D8" s="31">
        <f>36+23</f>
        <v>59</v>
      </c>
      <c r="E8" s="31">
        <f>7+4</f>
        <v>11</v>
      </c>
      <c r="F8" s="39">
        <f>IF(COUNT(C8:E8)=0,0,SUMPRODUCT({5000,1000,500},C8:E8))</f>
        <v>134500</v>
      </c>
      <c r="G8" s="31"/>
      <c r="H8" s="31"/>
      <c r="I8" s="31"/>
      <c r="J8" s="39">
        <f>IF(COUNT(G8:I8)=0,0,SUMPRODUCT({5000,1000,500},G8:I8))</f>
        <v>0</v>
      </c>
      <c r="K8" s="31"/>
      <c r="L8" s="31"/>
      <c r="M8" s="31"/>
      <c r="N8" s="39">
        <f>IF(COUNT(K8:M8)=0,0,SUMPRODUCT({5000,1000,500},K8:M8))</f>
        <v>0</v>
      </c>
      <c r="O8" s="31"/>
      <c r="P8" s="31"/>
      <c r="Q8" s="31"/>
      <c r="R8" s="39">
        <f>IF(COUNT(O8:Q8)=0,0,SUMPRODUCT({5000,1000,500},O8:Q8))</f>
        <v>0</v>
      </c>
      <c r="S8" s="31"/>
      <c r="T8" s="31"/>
      <c r="U8" s="31"/>
      <c r="V8" s="31"/>
      <c r="W8" s="31"/>
      <c r="X8" s="31">
        <v>11</v>
      </c>
      <c r="Y8" s="31"/>
      <c r="Z8" s="31">
        <v>40</v>
      </c>
      <c r="AA8" s="31"/>
      <c r="AB8" s="31"/>
      <c r="AC8" s="31"/>
      <c r="AD8" s="34">
        <f>IF(COUNT(S8:AC8)=0,0,SUMPRODUCT({5000,1000,500,100,75,50,20,10,5,2,1}, S8:AC8))</f>
        <v>950</v>
      </c>
      <c r="AE8" s="33">
        <v>135454</v>
      </c>
      <c r="AF8" s="24">
        <f>IF(AND(COUNT(C8:E8)=0,COUNT(G8:I8)=0,COUNT(K8:M8)=0,COUNT(O8:Q8)=0,COUNT(S8:AC8)=0,AE8=""),"",(IF(COUNT(C8:E8)=0,0,SUMPRODUCT({5000,1000,500},C8:E8))+IF(COUNT(G8:I8)=0,0,SUMPRODUCT({5000,1000,500},G8:I8))+IF(COUNT(K8:M8)=0,0,SUMPRODUCT({5000,1000,500},K8:M8))+IF(COUNT(O8:Q8)=0,0,SUMPRODUCT({5000,1000,500},O8:Q8))+AD8)-N(AE8))</f>
        <v>-4</v>
      </c>
      <c r="AG8" s="35" t="str">
        <f t="shared" si="0"/>
        <v>Short</v>
      </c>
      <c r="AH8" s="38"/>
      <c r="AI8" s="36">
        <f>127766+175279</f>
        <v>303045</v>
      </c>
      <c r="AJ8" s="37">
        <f>71874+175279+55892</f>
        <v>303045</v>
      </c>
      <c r="AK8" s="26">
        <f t="shared" si="1"/>
        <v>0</v>
      </c>
      <c r="AL8" s="25" t="str">
        <f t="shared" si="2"/>
        <v>Matched</v>
      </c>
      <c r="AM8" s="38"/>
    </row>
    <row r="9" spans="1:39" ht="12.75" customHeight="1" x14ac:dyDescent="0.25">
      <c r="A9" s="31">
        <v>73196</v>
      </c>
      <c r="B9" s="32" t="str">
        <f>IF(A9="","",VLOOKUP(A9,'Employee Database'!A:B,2,FALSE))</f>
        <v>Asma</v>
      </c>
      <c r="C9" s="31">
        <f>15+14</f>
        <v>29</v>
      </c>
      <c r="D9" s="31">
        <f>144+26</f>
        <v>170</v>
      </c>
      <c r="E9" s="31">
        <f>22+12</f>
        <v>34</v>
      </c>
      <c r="F9" s="39">
        <f>IF(COUNT(C9:E9)=0,0,SUMPRODUCT({5000,1000,500},C9:E9))</f>
        <v>332000</v>
      </c>
      <c r="G9" s="31"/>
      <c r="H9" s="31"/>
      <c r="I9" s="31"/>
      <c r="J9" s="39">
        <f>IF(COUNT(G9:I9)=0,0,SUMPRODUCT({5000,1000,500},G9:I9))</f>
        <v>0</v>
      </c>
      <c r="K9" s="31"/>
      <c r="L9" s="31"/>
      <c r="M9" s="31"/>
      <c r="N9" s="39">
        <f>IF(COUNT(K9:M9)=0,0,SUMPRODUCT({5000,1000,500},K9:M9))</f>
        <v>0</v>
      </c>
      <c r="O9" s="31"/>
      <c r="P9" s="31"/>
      <c r="Q9" s="31"/>
      <c r="R9" s="39">
        <f>IF(COUNT(O9:Q9)=0,0,SUMPRODUCT({5000,1000,500},O9:Q9))</f>
        <v>0</v>
      </c>
      <c r="S9" s="31"/>
      <c r="T9" s="31"/>
      <c r="U9" s="31"/>
      <c r="V9" s="31"/>
      <c r="W9" s="31"/>
      <c r="X9" s="31">
        <v>11</v>
      </c>
      <c r="Y9" s="31"/>
      <c r="Z9" s="31">
        <v>10</v>
      </c>
      <c r="AA9" s="31"/>
      <c r="AB9" s="31"/>
      <c r="AC9" s="31"/>
      <c r="AD9" s="34">
        <f>IF(COUNT(S9:AC9)=0,0,SUMPRODUCT({5000,1000,500,100,75,50,20,10,5,2,1}, S9:AC9))</f>
        <v>650</v>
      </c>
      <c r="AE9" s="33">
        <v>332551</v>
      </c>
      <c r="AF9" s="24">
        <f>IF(AND(COUNT(C9:E9)=0,COUNT(G9:I9)=0,COUNT(K9:M9)=0,COUNT(O9:Q9)=0,COUNT(S9:AC9)=0,AE9=""),"",(IF(COUNT(C9:E9)=0,0,SUMPRODUCT({5000,1000,500},C9:E9))+IF(COUNT(G9:I9)=0,0,SUMPRODUCT({5000,1000,500},G9:I9))+IF(COUNT(K9:M9)=0,0,SUMPRODUCT({5000,1000,500},K9:M9))+IF(COUNT(O9:Q9)=0,0,SUMPRODUCT({5000,1000,500},O9:Q9))+AD9)-N(AE9))</f>
        <v>99</v>
      </c>
      <c r="AG9" s="35" t="str">
        <f t="shared" si="0"/>
        <v>Excess</v>
      </c>
      <c r="AH9" s="38"/>
      <c r="AI9" s="36">
        <v>650974</v>
      </c>
      <c r="AJ9" s="37">
        <f>218229+432744+1</f>
        <v>650974</v>
      </c>
      <c r="AK9" s="26">
        <f t="shared" si="1"/>
        <v>0</v>
      </c>
      <c r="AL9" s="25" t="str">
        <f t="shared" si="2"/>
        <v>Matched</v>
      </c>
      <c r="AM9" s="38"/>
    </row>
    <row r="10" spans="1:39" ht="12.75" customHeight="1" x14ac:dyDescent="0.25">
      <c r="A10" s="31">
        <v>50266</v>
      </c>
      <c r="B10" s="32" t="str">
        <f>IF(A10="","",VLOOKUP(A10,'Employee Database'!A:B,2,FALSE))</f>
        <v>Riaz</v>
      </c>
      <c r="C10" s="31">
        <v>32</v>
      </c>
      <c r="D10" s="31">
        <v>126</v>
      </c>
      <c r="E10" s="31">
        <v>85</v>
      </c>
      <c r="F10" s="39">
        <f>IF(COUNT(C10:E10)=0,0,SUMPRODUCT({5000,1000,500},C10:E10))</f>
        <v>328500</v>
      </c>
      <c r="G10" s="31"/>
      <c r="H10" s="31"/>
      <c r="I10" s="31"/>
      <c r="J10" s="39">
        <f>IF(COUNT(G10:I10)=0,0,SUMPRODUCT({5000,1000,500},G10:I10))</f>
        <v>0</v>
      </c>
      <c r="K10" s="31"/>
      <c r="L10" s="31"/>
      <c r="M10" s="31"/>
      <c r="N10" s="39">
        <f>IF(COUNT(K10:M10)=0,0,SUMPRODUCT({5000,1000,500},K10:M10))</f>
        <v>0</v>
      </c>
      <c r="O10" s="31"/>
      <c r="P10" s="31"/>
      <c r="Q10" s="31"/>
      <c r="R10" s="39">
        <f>IF(COUNT(O10:Q10)=0,0,SUMPRODUCT({5000,1000,500},O10:Q10))</f>
        <v>0</v>
      </c>
      <c r="S10" s="31"/>
      <c r="T10" s="31"/>
      <c r="U10" s="31"/>
      <c r="V10" s="31">
        <v>2</v>
      </c>
      <c r="W10" s="31"/>
      <c r="X10" s="31">
        <v>38</v>
      </c>
      <c r="Y10" s="31"/>
      <c r="Z10" s="31">
        <v>73</v>
      </c>
      <c r="AA10" s="31"/>
      <c r="AB10" s="31"/>
      <c r="AC10" s="31"/>
      <c r="AD10" s="34">
        <f>IF(COUNT(S10:AC10)=0,0,SUMPRODUCT({5000,1000,500,100,75,50,20,10,5,2,1}, S10:AC10))</f>
        <v>2830</v>
      </c>
      <c r="AE10" s="33">
        <v>331326</v>
      </c>
      <c r="AF10" s="24">
        <f>IF(AND(COUNT(C10:E10)=0,COUNT(G10:I10)=0,COUNT(K10:M10)=0,COUNT(O10:Q10)=0,COUNT(S10:AC10)=0,AE10=""),"",(IF(COUNT(C10:E10)=0,0,SUMPRODUCT({5000,1000,500},C10:E10))+IF(COUNT(G10:I10)=0,0,SUMPRODUCT({5000,1000,500},G10:I10))+IF(COUNT(K10:M10)=0,0,SUMPRODUCT({5000,1000,500},K10:M10))+IF(COUNT(O10:Q10)=0,0,SUMPRODUCT({5000,1000,500},O10:Q10))+AD10)-N(AE10))</f>
        <v>4</v>
      </c>
      <c r="AG10" s="35" t="str">
        <f t="shared" si="0"/>
        <v>Excess</v>
      </c>
      <c r="AH10" s="38"/>
      <c r="AI10" s="36">
        <f>666258+14828</f>
        <v>681086</v>
      </c>
      <c r="AJ10" s="37">
        <f>14828+666258</f>
        <v>681086</v>
      </c>
      <c r="AK10" s="26">
        <f t="shared" si="1"/>
        <v>0</v>
      </c>
      <c r="AL10" s="25" t="str">
        <f t="shared" si="2"/>
        <v>Matched</v>
      </c>
      <c r="AM10" s="38"/>
    </row>
    <row r="11" spans="1:39" ht="12.75" customHeight="1" x14ac:dyDescent="0.25">
      <c r="A11" s="31">
        <v>72873</v>
      </c>
      <c r="B11" s="32" t="str">
        <f>IF(A11="","",VLOOKUP(A11,'Employee Database'!A:B,2,FALSE))</f>
        <v>M Shajee</v>
      </c>
      <c r="C11" s="31">
        <v>4</v>
      </c>
      <c r="D11" s="31">
        <v>33</v>
      </c>
      <c r="E11" s="31">
        <v>8</v>
      </c>
      <c r="F11" s="39">
        <f>IF(COUNT(C11:E11)=0,0,SUMPRODUCT({5000,1000,500},C11:E11))</f>
        <v>57000</v>
      </c>
      <c r="G11" s="31"/>
      <c r="H11" s="31"/>
      <c r="I11" s="31"/>
      <c r="J11" s="39">
        <f>IF(COUNT(G11:I11)=0,0,SUMPRODUCT({5000,1000,500},G11:I11))</f>
        <v>0</v>
      </c>
      <c r="K11" s="31"/>
      <c r="L11" s="31"/>
      <c r="M11" s="31"/>
      <c r="N11" s="39">
        <f>IF(COUNT(K11:M11)=0,0,SUMPRODUCT({5000,1000,500},K11:M11))</f>
        <v>0</v>
      </c>
      <c r="O11" s="31"/>
      <c r="P11" s="31"/>
      <c r="Q11" s="31"/>
      <c r="R11" s="39">
        <f>IF(COUNT(O11:Q11)=0,0,SUMPRODUCT({5000,1000,500},O11:Q11))</f>
        <v>0</v>
      </c>
      <c r="S11" s="31"/>
      <c r="T11" s="31"/>
      <c r="U11" s="31"/>
      <c r="V11" s="31"/>
      <c r="W11" s="31"/>
      <c r="X11" s="31">
        <v>0</v>
      </c>
      <c r="Y11" s="31"/>
      <c r="Z11" s="31">
        <v>15</v>
      </c>
      <c r="AA11" s="31"/>
      <c r="AB11" s="31"/>
      <c r="AC11" s="31"/>
      <c r="AD11" s="34">
        <f>IF(COUNT(S11:AC11)=0,0,SUMPRODUCT({5000,1000,500,100,75,50,20,10,5,2,1}, S11:AC11))</f>
        <v>150</v>
      </c>
      <c r="AE11" s="33">
        <v>57082</v>
      </c>
      <c r="AF11" s="24">
        <f>IF(AND(COUNT(C11:E11)=0,COUNT(G11:I11)=0,COUNT(K11:M11)=0,COUNT(O11:Q11)=0,COUNT(S11:AC11)=0,AE11=""),"",(IF(COUNT(C11:E11)=0,0,SUMPRODUCT({5000,1000,500},C11:E11))+IF(COUNT(G11:I11)=0,0,SUMPRODUCT({5000,1000,500},G11:I11))+IF(COUNT(K11:M11)=0,0,SUMPRODUCT({5000,1000,500},K11:M11))+IF(COUNT(O11:Q11)=0,0,SUMPRODUCT({5000,1000,500},O11:Q11))+AD11)-N(AE11))</f>
        <v>68</v>
      </c>
      <c r="AG11" s="35" t="str">
        <f t="shared" si="0"/>
        <v>Excess</v>
      </c>
      <c r="AH11" s="38"/>
      <c r="AI11" s="36">
        <v>35785</v>
      </c>
      <c r="AJ11" s="37">
        <f>14647+21137+1</f>
        <v>35785</v>
      </c>
      <c r="AK11" s="26">
        <f t="shared" si="1"/>
        <v>0</v>
      </c>
      <c r="AL11" s="25" t="str">
        <f t="shared" si="2"/>
        <v>Matched</v>
      </c>
      <c r="AM11" s="38"/>
    </row>
    <row r="12" spans="1:39" ht="12.75" customHeight="1" x14ac:dyDescent="0.25">
      <c r="A12" s="31">
        <v>65299</v>
      </c>
      <c r="B12" s="32" t="str">
        <f>IF(A12="","",VLOOKUP(A12,'Employee Database'!A:B,2,FALSE))</f>
        <v>M Faisal</v>
      </c>
      <c r="C12" s="31">
        <f>15+18</f>
        <v>33</v>
      </c>
      <c r="D12" s="31">
        <f>38+102</f>
        <v>140</v>
      </c>
      <c r="E12" s="31">
        <f>10+13</f>
        <v>23</v>
      </c>
      <c r="F12" s="39">
        <f>IF(COUNT(C12:E12)=0,0,SUMPRODUCT({5000,1000,500},C12:E12))</f>
        <v>316500</v>
      </c>
      <c r="G12" s="31"/>
      <c r="H12" s="31"/>
      <c r="I12" s="31"/>
      <c r="J12" s="39">
        <f>IF(COUNT(G12:I12)=0,0,SUMPRODUCT({5000,1000,500},G12:I12))</f>
        <v>0</v>
      </c>
      <c r="K12" s="31"/>
      <c r="L12" s="31"/>
      <c r="M12" s="31"/>
      <c r="N12" s="39">
        <f>IF(COUNT(K12:M12)=0,0,SUMPRODUCT({5000,1000,500},K12:M12))</f>
        <v>0</v>
      </c>
      <c r="O12" s="31"/>
      <c r="P12" s="31"/>
      <c r="Q12" s="31"/>
      <c r="R12" s="39">
        <f>IF(COUNT(O12:Q12)=0,0,SUMPRODUCT({5000,1000,500},O12:Q12))</f>
        <v>0</v>
      </c>
      <c r="S12" s="31"/>
      <c r="T12" s="31"/>
      <c r="U12" s="31"/>
      <c r="V12" s="31">
        <v>7</v>
      </c>
      <c r="W12" s="31"/>
      <c r="X12" s="31">
        <v>65</v>
      </c>
      <c r="Y12" s="31"/>
      <c r="Z12" s="31">
        <v>31</v>
      </c>
      <c r="AA12" s="31"/>
      <c r="AB12" s="31"/>
      <c r="AC12" s="31"/>
      <c r="AD12" s="34">
        <f>IF(COUNT(S12:AC12)=0,0,SUMPRODUCT({5000,1000,500,100,75,50,20,10,5,2,1}, S12:AC12))</f>
        <v>4260</v>
      </c>
      <c r="AE12" s="33">
        <v>320691</v>
      </c>
      <c r="AF12" s="24">
        <f>IF(AND(COUNT(C12:E12)=0,COUNT(G12:I12)=0,COUNT(K12:M12)=0,COUNT(O12:Q12)=0,COUNT(S12:AC12)=0,AE12=""),"",(IF(COUNT(C12:E12)=0,0,SUMPRODUCT({5000,1000,500},C12:E12))+IF(COUNT(G12:I12)=0,0,SUMPRODUCT({5000,1000,500},G12:I12))+IF(COUNT(K12:M12)=0,0,SUMPRODUCT({5000,1000,500},K12:M12))+IF(COUNT(O12:Q12)=0,0,SUMPRODUCT({5000,1000,500},O12:Q12))+AD12)-N(AE12))</f>
        <v>69</v>
      </c>
      <c r="AG12" s="35" t="str">
        <f t="shared" si="0"/>
        <v>Excess</v>
      </c>
      <c r="AH12" s="38"/>
      <c r="AI12" s="36">
        <v>600675</v>
      </c>
      <c r="AJ12" s="37">
        <v>600675</v>
      </c>
      <c r="AK12" s="26">
        <f t="shared" si="1"/>
        <v>0</v>
      </c>
      <c r="AL12" s="25" t="str">
        <f t="shared" si="2"/>
        <v>Matched</v>
      </c>
      <c r="AM12" s="38"/>
    </row>
    <row r="13" spans="1:39" ht="12.75" customHeight="1" x14ac:dyDescent="0.25">
      <c r="A13" s="31">
        <v>79593</v>
      </c>
      <c r="B13" s="32" t="str">
        <f>IF(A13="","",VLOOKUP(A13,'Employee Database'!A:B,2,FALSE))</f>
        <v>Amir</v>
      </c>
      <c r="C13" s="31"/>
      <c r="D13" s="31"/>
      <c r="E13" s="31"/>
      <c r="F13" s="39">
        <f>IF(COUNT(C13:E13)=0,0,SUMPRODUCT({5000,1000,500},C13:E13))</f>
        <v>0</v>
      </c>
      <c r="G13" s="31">
        <v>11</v>
      </c>
      <c r="H13" s="31">
        <v>14</v>
      </c>
      <c r="I13" s="31">
        <v>3</v>
      </c>
      <c r="J13" s="39">
        <f>IF(COUNT(G13:I13)=0,0,SUMPRODUCT({5000,1000,500},G13:I13))</f>
        <v>70500</v>
      </c>
      <c r="K13" s="31"/>
      <c r="L13" s="31"/>
      <c r="M13" s="31"/>
      <c r="N13" s="39">
        <f>IF(COUNT(K13:M13)=0,0,SUMPRODUCT({5000,1000,500},K13:M13))</f>
        <v>0</v>
      </c>
      <c r="O13" s="31"/>
      <c r="P13" s="31"/>
      <c r="Q13" s="31"/>
      <c r="R13" s="39">
        <f>IF(COUNT(O13:Q13)=0,0,SUMPRODUCT({5000,1000,500},O13:Q13))</f>
        <v>0</v>
      </c>
      <c r="S13" s="31"/>
      <c r="T13" s="31"/>
      <c r="U13" s="31"/>
      <c r="V13" s="31"/>
      <c r="W13" s="31"/>
      <c r="X13" s="31">
        <v>27</v>
      </c>
      <c r="Y13" s="31"/>
      <c r="Z13" s="31">
        <v>48</v>
      </c>
      <c r="AA13" s="31"/>
      <c r="AB13" s="31"/>
      <c r="AC13" s="31"/>
      <c r="AD13" s="34">
        <f>IF(COUNT(S13:AC13)=0,0,SUMPRODUCT({5000,1000,500,100,75,50,20,10,5,2,1}, S13:AC13))</f>
        <v>1830</v>
      </c>
      <c r="AE13" s="33">
        <v>72317</v>
      </c>
      <c r="AF13" s="24">
        <f>IF(AND(COUNT(C13:E13)=0,COUNT(G13:I13)=0,COUNT(K13:M13)=0,COUNT(O13:Q13)=0,COUNT(S13:AC13)=0,AE13=""),"",(IF(COUNT(C13:E13)=0,0,SUMPRODUCT({5000,1000,500},C13:E13))+IF(COUNT(G13:I13)=0,0,SUMPRODUCT({5000,1000,500},G13:I13))+IF(COUNT(K13:M13)=0,0,SUMPRODUCT({5000,1000,500},K13:M13))+IF(COUNT(O13:Q13)=0,0,SUMPRODUCT({5000,1000,500},O13:Q13))+AD13)-N(AE13))</f>
        <v>13</v>
      </c>
      <c r="AG13" s="35" t="str">
        <f t="shared" si="0"/>
        <v>Excess</v>
      </c>
      <c r="AH13" s="38"/>
      <c r="AI13" s="36">
        <v>225091.38</v>
      </c>
      <c r="AJ13" s="37">
        <f>30118.85+194972.53</f>
        <v>225091.38</v>
      </c>
      <c r="AK13" s="26">
        <f t="shared" si="1"/>
        <v>0</v>
      </c>
      <c r="AL13" s="25" t="str">
        <f t="shared" si="2"/>
        <v>Matched</v>
      </c>
      <c r="AM13" s="38"/>
    </row>
    <row r="14" spans="1:39" ht="12.75" customHeight="1" x14ac:dyDescent="0.25">
      <c r="A14" s="31">
        <v>67799</v>
      </c>
      <c r="B14" s="32" t="str">
        <f>IF(A14="","",VLOOKUP(A14,'Employee Database'!A:B,2,FALSE))</f>
        <v>Hassan Raza</v>
      </c>
      <c r="C14" s="31"/>
      <c r="D14" s="31"/>
      <c r="E14" s="31"/>
      <c r="F14" s="39">
        <f>IF(COUNT(C14:E14)=0,0,SUMPRODUCT({5000,1000,500},C14:E14))</f>
        <v>0</v>
      </c>
      <c r="G14" s="31">
        <v>3</v>
      </c>
      <c r="H14" s="31">
        <v>27</v>
      </c>
      <c r="I14" s="31">
        <v>16</v>
      </c>
      <c r="J14" s="39">
        <f>IF(COUNT(G14:I14)=0,0,SUMPRODUCT({5000,1000,500},G14:I14))</f>
        <v>50000</v>
      </c>
      <c r="K14" s="31"/>
      <c r="L14" s="31"/>
      <c r="M14" s="31"/>
      <c r="N14" s="39">
        <f>IF(COUNT(K14:M14)=0,0,SUMPRODUCT({5000,1000,500},K14:M14))</f>
        <v>0</v>
      </c>
      <c r="O14" s="31"/>
      <c r="P14" s="31"/>
      <c r="Q14" s="31"/>
      <c r="R14" s="39">
        <f>IF(COUNT(O14:Q14)=0,0,SUMPRODUCT({5000,1000,500},O14:Q14))</f>
        <v>0</v>
      </c>
      <c r="S14" s="31"/>
      <c r="T14" s="31"/>
      <c r="U14" s="31"/>
      <c r="V14" s="31">
        <v>1</v>
      </c>
      <c r="W14" s="31"/>
      <c r="X14" s="31">
        <v>38</v>
      </c>
      <c r="Y14" s="31">
        <v>1</v>
      </c>
      <c r="Z14" s="31">
        <v>24</v>
      </c>
      <c r="AA14" s="31"/>
      <c r="AB14" s="31"/>
      <c r="AC14" s="31"/>
      <c r="AD14" s="34">
        <f>IF(COUNT(S14:AC14)=0,0,SUMPRODUCT({5000,1000,500,100,75,50,20,10,5,2,1}, S14:AC14))</f>
        <v>2260</v>
      </c>
      <c r="AE14" s="33">
        <v>52327</v>
      </c>
      <c r="AF14" s="24">
        <f>IF(AND(COUNT(C14:E14)=0,COUNT(G14:I14)=0,COUNT(K14:M14)=0,COUNT(O14:Q14)=0,COUNT(S14:AC14)=0,AE14=""),"",(IF(COUNT(C14:E14)=0,0,SUMPRODUCT({5000,1000,500},C14:E14))+IF(COUNT(G14:I14)=0,0,SUMPRODUCT({5000,1000,500},G14:I14))+IF(COUNT(K14:M14)=0,0,SUMPRODUCT({5000,1000,500},K14:M14))+IF(COUNT(O14:Q14)=0,0,SUMPRODUCT({5000,1000,500},O14:Q14))+AD14)-N(AE14))</f>
        <v>-67</v>
      </c>
      <c r="AG14" s="35" t="str">
        <f t="shared" si="0"/>
        <v>Short</v>
      </c>
      <c r="AH14" s="38"/>
      <c r="AI14" s="36">
        <v>28622.09</v>
      </c>
      <c r="AJ14" s="37">
        <f>7521.06+21101.03</f>
        <v>28622.09</v>
      </c>
      <c r="AK14" s="26">
        <f t="shared" si="1"/>
        <v>0</v>
      </c>
      <c r="AL14" s="25" t="str">
        <f t="shared" si="2"/>
        <v>Matched</v>
      </c>
      <c r="AM14" s="38"/>
    </row>
    <row r="15" spans="1:39" ht="12.75" customHeight="1" x14ac:dyDescent="0.25">
      <c r="A15" s="31">
        <v>50313</v>
      </c>
      <c r="B15" s="32" t="str">
        <f>IF(A15="","",VLOOKUP(A15,'Employee Database'!A:B,2,FALSE))</f>
        <v>Waseem Raza</v>
      </c>
      <c r="C15" s="31"/>
      <c r="D15" s="31"/>
      <c r="E15" s="31"/>
      <c r="F15" s="39">
        <f>IF(COUNT(C15:E15)=0,0,SUMPRODUCT({5000,1000,500},C15:E15))</f>
        <v>0</v>
      </c>
      <c r="G15" s="31"/>
      <c r="H15" s="31">
        <v>119</v>
      </c>
      <c r="I15" s="31">
        <v>115</v>
      </c>
      <c r="J15" s="39">
        <f>IF(COUNT(G15:I15)=0,0,SUMPRODUCT({5000,1000,500},G15:I15))</f>
        <v>176500</v>
      </c>
      <c r="K15" s="31"/>
      <c r="L15" s="31"/>
      <c r="M15" s="31"/>
      <c r="N15" s="39">
        <f>IF(COUNT(K15:M15)=0,0,SUMPRODUCT({5000,1000,500},K15:M15))</f>
        <v>0</v>
      </c>
      <c r="O15" s="31"/>
      <c r="P15" s="31"/>
      <c r="Q15" s="31"/>
      <c r="R15" s="39">
        <f>IF(COUNT(O15:Q15)=0,0,SUMPRODUCT({5000,1000,500},O15:Q15))</f>
        <v>0</v>
      </c>
      <c r="S15" s="31"/>
      <c r="T15" s="31"/>
      <c r="U15" s="31"/>
      <c r="V15" s="31"/>
      <c r="W15" s="31"/>
      <c r="X15" s="31">
        <v>2</v>
      </c>
      <c r="Y15" s="31"/>
      <c r="Z15" s="31">
        <v>9</v>
      </c>
      <c r="AA15" s="31"/>
      <c r="AB15" s="31"/>
      <c r="AC15" s="31"/>
      <c r="AD15" s="34">
        <f>IF(COUNT(S15:AC15)=0,0,SUMPRODUCT({5000,1000,500,100,75,50,20,10,5,2,1}, S15:AC15))</f>
        <v>190</v>
      </c>
      <c r="AE15" s="33">
        <v>176693</v>
      </c>
      <c r="AF15" s="24">
        <f>IF(AND(COUNT(C15:E15)=0,COUNT(G15:I15)=0,COUNT(K15:M15)=0,COUNT(O15:Q15)=0,COUNT(S15:AC15)=0,AE15=""),"",(IF(COUNT(C15:E15)=0,0,SUMPRODUCT({5000,1000,500},C15:E15))+IF(COUNT(G15:I15)=0,0,SUMPRODUCT({5000,1000,500},G15:I15))+IF(COUNT(K15:M15)=0,0,SUMPRODUCT({5000,1000,500},K15:M15))+IF(COUNT(O15:Q15)=0,0,SUMPRODUCT({5000,1000,500},O15:Q15))+AD15)-N(AE15))</f>
        <v>-3</v>
      </c>
      <c r="AG15" s="35" t="str">
        <f t="shared" si="0"/>
        <v>Short</v>
      </c>
      <c r="AH15" s="38"/>
      <c r="AI15" s="36"/>
      <c r="AJ15" s="37"/>
      <c r="AK15" s="26" t="str">
        <f t="shared" si="1"/>
        <v/>
      </c>
      <c r="AL15" s="25" t="str">
        <f t="shared" si="2"/>
        <v/>
      </c>
      <c r="AM15" s="38"/>
    </row>
    <row r="16" spans="1:39" ht="12.75" customHeight="1" x14ac:dyDescent="0.25">
      <c r="A16" s="31">
        <v>67250</v>
      </c>
      <c r="B16" s="32" t="str">
        <f>IF(A16="","",VLOOKUP(A16,'Employee Database'!A:B,2,FALSE))</f>
        <v>M Fiaz</v>
      </c>
      <c r="C16" s="31"/>
      <c r="D16" s="31"/>
      <c r="E16" s="31"/>
      <c r="F16" s="39">
        <f>IF(COUNT(C16:E16)=0,0,SUMPRODUCT({5000,1000,500},C16:E16))</f>
        <v>0</v>
      </c>
      <c r="G16" s="31">
        <v>21</v>
      </c>
      <c r="H16" s="31">
        <v>92</v>
      </c>
      <c r="I16" s="31">
        <v>31</v>
      </c>
      <c r="J16" s="39">
        <f>IF(COUNT(G16:I16)=0,0,SUMPRODUCT({5000,1000,500},G16:I16))</f>
        <v>212500</v>
      </c>
      <c r="K16" s="31"/>
      <c r="L16" s="31"/>
      <c r="M16" s="31"/>
      <c r="N16" s="39">
        <f>IF(COUNT(K16:M16)=0,0,SUMPRODUCT({5000,1000,500},K16:M16))</f>
        <v>0</v>
      </c>
      <c r="O16" s="31"/>
      <c r="P16" s="31"/>
      <c r="Q16" s="31"/>
      <c r="R16" s="39">
        <f>IF(COUNT(O16:Q16)=0,0,SUMPRODUCT({5000,1000,500},O16:Q16))</f>
        <v>0</v>
      </c>
      <c r="S16" s="31"/>
      <c r="T16" s="31"/>
      <c r="U16" s="31"/>
      <c r="V16" s="31">
        <v>1</v>
      </c>
      <c r="W16" s="31"/>
      <c r="X16" s="31">
        <v>53</v>
      </c>
      <c r="Y16" s="31"/>
      <c r="Z16" s="31">
        <v>43</v>
      </c>
      <c r="AA16" s="31"/>
      <c r="AB16" s="31"/>
      <c r="AC16" s="31"/>
      <c r="AD16" s="34">
        <f>IF(COUNT(S16:AC16)=0,0,SUMPRODUCT({5000,1000,500,100,75,50,20,10,5,2,1}, S16:AC16))</f>
        <v>3180</v>
      </c>
      <c r="AE16" s="33">
        <v>215655</v>
      </c>
      <c r="AF16" s="24">
        <f>IF(AND(COUNT(C16:E16)=0,COUNT(G16:I16)=0,COUNT(K16:M16)=0,COUNT(O16:Q16)=0,COUNT(S16:AC16)=0,AE16=""),"",(IF(COUNT(C16:E16)=0,0,SUMPRODUCT({5000,1000,500},C16:E16))+IF(COUNT(G16:I16)=0,0,SUMPRODUCT({5000,1000,500},G16:I16))+IF(COUNT(K16:M16)=0,0,SUMPRODUCT({5000,1000,500},K16:M16))+IF(COUNT(O16:Q16)=0,0,SUMPRODUCT({5000,1000,500},O16:Q16))+AD16)-N(AE16))</f>
        <v>25</v>
      </c>
      <c r="AG16" s="35" t="str">
        <f t="shared" si="0"/>
        <v>Excess</v>
      </c>
      <c r="AH16" s="38"/>
      <c r="AI16" s="36">
        <v>410912.17</v>
      </c>
      <c r="AJ16" s="37">
        <f>74534.92+336377.25</f>
        <v>410912.17</v>
      </c>
      <c r="AK16" s="26">
        <f t="shared" si="1"/>
        <v>0</v>
      </c>
      <c r="AL16" s="25" t="str">
        <f t="shared" si="2"/>
        <v>Matched</v>
      </c>
      <c r="AM16" s="38"/>
    </row>
    <row r="17" spans="1:39" ht="12.75" customHeight="1" x14ac:dyDescent="0.25">
      <c r="A17" s="31">
        <v>77424</v>
      </c>
      <c r="B17" s="32" t="str">
        <f>IF(A17="","",VLOOKUP(A17,'Employee Database'!A:B,2,FALSE))</f>
        <v>M Husnain</v>
      </c>
      <c r="C17" s="31"/>
      <c r="D17" s="31"/>
      <c r="E17" s="31"/>
      <c r="F17" s="39">
        <f>IF(COUNT(C17:E17)=0,0,SUMPRODUCT({5000,1000,500},C17:E17))</f>
        <v>0</v>
      </c>
      <c r="G17" s="31">
        <v>18</v>
      </c>
      <c r="H17" s="31">
        <v>122</v>
      </c>
      <c r="I17" s="31">
        <v>71</v>
      </c>
      <c r="J17" s="39">
        <f>IF(COUNT(G17:I17)=0,0,SUMPRODUCT({5000,1000,500},G17:I17))</f>
        <v>247500</v>
      </c>
      <c r="K17" s="31"/>
      <c r="L17" s="31"/>
      <c r="M17" s="31"/>
      <c r="N17" s="39">
        <f>IF(COUNT(K17:M17)=0,0,SUMPRODUCT({5000,1000,500},K17:M17))</f>
        <v>0</v>
      </c>
      <c r="O17" s="31"/>
      <c r="P17" s="31"/>
      <c r="Q17" s="31"/>
      <c r="R17" s="39">
        <f>IF(COUNT(O17:Q17)=0,0,SUMPRODUCT({5000,1000,500},O17:Q17))</f>
        <v>0</v>
      </c>
      <c r="S17" s="31"/>
      <c r="T17" s="31"/>
      <c r="U17" s="31"/>
      <c r="V17" s="31">
        <v>3</v>
      </c>
      <c r="W17" s="31"/>
      <c r="X17" s="31">
        <v>32</v>
      </c>
      <c r="Y17" s="31"/>
      <c r="Z17" s="31">
        <v>31</v>
      </c>
      <c r="AA17" s="31"/>
      <c r="AB17" s="31"/>
      <c r="AC17" s="31"/>
      <c r="AD17" s="34">
        <f>IF(COUNT(S17:AC17)=0,0,SUMPRODUCT({5000,1000,500,100,75,50,20,10,5,2,1}, S17:AC17))</f>
        <v>2210</v>
      </c>
      <c r="AE17" s="33">
        <v>249632</v>
      </c>
      <c r="AF17" s="24">
        <f>IF(AND(COUNT(C17:E17)=0,COUNT(G17:I17)=0,COUNT(K17:M17)=0,COUNT(O17:Q17)=0,COUNT(S17:AC17)=0,AE17=""),"",(IF(COUNT(C17:E17)=0,0,SUMPRODUCT({5000,1000,500},C17:E17))+IF(COUNT(G17:I17)=0,0,SUMPRODUCT({5000,1000,500},G17:I17))+IF(COUNT(K17:M17)=0,0,SUMPRODUCT({5000,1000,500},K17:M17))+IF(COUNT(O17:Q17)=0,0,SUMPRODUCT({5000,1000,500},O17:Q17))+AD17)-N(AE17))</f>
        <v>78</v>
      </c>
      <c r="AG17" s="35" t="str">
        <f t="shared" si="0"/>
        <v>Excess</v>
      </c>
      <c r="AH17" s="38"/>
      <c r="AI17" s="36">
        <v>580110.03</v>
      </c>
      <c r="AJ17" s="37">
        <v>580110.03</v>
      </c>
      <c r="AK17" s="26">
        <f t="shared" si="1"/>
        <v>0</v>
      </c>
      <c r="AL17" s="25" t="str">
        <f t="shared" si="2"/>
        <v>Matched</v>
      </c>
      <c r="AM17" s="38"/>
    </row>
    <row r="18" spans="1:39" ht="12.75" customHeight="1" x14ac:dyDescent="0.25">
      <c r="A18" s="31">
        <v>63599</v>
      </c>
      <c r="B18" s="32" t="str">
        <f>IF(A18="","",VLOOKUP(A18,'Employee Database'!A:B,2,FALSE))</f>
        <v>Hafsa</v>
      </c>
      <c r="C18" s="31"/>
      <c r="D18" s="31"/>
      <c r="E18" s="31"/>
      <c r="F18" s="39">
        <f>IF(COUNT(C18:E18)=0,0,SUMPRODUCT({5000,1000,500},C18:E18))</f>
        <v>0</v>
      </c>
      <c r="G18" s="31">
        <v>11</v>
      </c>
      <c r="H18" s="31">
        <v>65</v>
      </c>
      <c r="I18" s="31">
        <v>24</v>
      </c>
      <c r="J18" s="39">
        <f>IF(COUNT(G18:I18)=0,0,SUMPRODUCT({5000,1000,500},G18:I18))</f>
        <v>132000</v>
      </c>
      <c r="K18" s="31"/>
      <c r="L18" s="31"/>
      <c r="M18" s="31"/>
      <c r="N18" s="39">
        <f>IF(COUNT(K18:M18)=0,0,SUMPRODUCT({5000,1000,500},K18:M18))</f>
        <v>0</v>
      </c>
      <c r="O18" s="31"/>
      <c r="P18" s="31"/>
      <c r="Q18" s="31"/>
      <c r="R18" s="39">
        <f>IF(COUNT(O18:Q18)=0,0,SUMPRODUCT({5000,1000,500},O18:Q18))</f>
        <v>0</v>
      </c>
      <c r="S18" s="31"/>
      <c r="T18" s="31"/>
      <c r="U18" s="31"/>
      <c r="V18" s="31">
        <v>7</v>
      </c>
      <c r="W18" s="31"/>
      <c r="X18" s="31">
        <v>39</v>
      </c>
      <c r="Y18" s="31"/>
      <c r="Z18" s="31">
        <v>68</v>
      </c>
      <c r="AA18" s="31"/>
      <c r="AB18" s="31"/>
      <c r="AC18" s="31"/>
      <c r="AD18" s="34">
        <f>IF(COUNT(S18:AC18)=0,0,SUMPRODUCT({5000,1000,500,100,75,50,20,10,5,2,1}, S18:AC18))</f>
        <v>3330</v>
      </c>
      <c r="AE18" s="33">
        <v>135234</v>
      </c>
      <c r="AF18" s="24">
        <f>IF(AND(COUNT(C18:E18)=0,COUNT(G18:I18)=0,COUNT(K18:M18)=0,COUNT(O18:Q18)=0,COUNT(S18:AC18)=0,AE18=""),"",(IF(COUNT(C18:E18)=0,0,SUMPRODUCT({5000,1000,500},C18:E18))+IF(COUNT(G18:I18)=0,0,SUMPRODUCT({5000,1000,500},G18:I18))+IF(COUNT(K18:M18)=0,0,SUMPRODUCT({5000,1000,500},K18:M18))+IF(COUNT(O18:Q18)=0,0,SUMPRODUCT({5000,1000,500},O18:Q18))+AD18)-N(AE18))</f>
        <v>96</v>
      </c>
      <c r="AG18" s="35" t="str">
        <f t="shared" si="0"/>
        <v>Excess</v>
      </c>
      <c r="AH18" s="38"/>
      <c r="AI18" s="36">
        <f>23453.7+288450.36</f>
        <v>311904.06</v>
      </c>
      <c r="AJ18" s="37">
        <f>221312.89+67137.47+23453.7</f>
        <v>311904.06</v>
      </c>
      <c r="AK18" s="26">
        <f t="shared" si="1"/>
        <v>0</v>
      </c>
      <c r="AL18" s="25" t="str">
        <f t="shared" si="2"/>
        <v>Matched</v>
      </c>
      <c r="AM18" s="38"/>
    </row>
    <row r="19" spans="1:39" ht="12.75" customHeight="1" x14ac:dyDescent="0.25">
      <c r="A19" s="31">
        <v>50134</v>
      </c>
      <c r="B19" s="32" t="str">
        <f>IF(A19="","",VLOOKUP(A19,'Employee Database'!A:B,2,FALSE))</f>
        <v>Asif Abbas</v>
      </c>
      <c r="C19" s="31"/>
      <c r="D19" s="31"/>
      <c r="E19" s="31"/>
      <c r="F19" s="39">
        <f>IF(COUNT(C19:E19)=0,0,SUMPRODUCT({5000,1000,500},C19:E19))</f>
        <v>0</v>
      </c>
      <c r="G19" s="31">
        <v>61</v>
      </c>
      <c r="H19" s="31">
        <v>163</v>
      </c>
      <c r="I19" s="31">
        <v>13</v>
      </c>
      <c r="J19" s="39">
        <f>IF(COUNT(G19:I19)=0,0,SUMPRODUCT({5000,1000,500},G19:I19))</f>
        <v>474500</v>
      </c>
      <c r="K19" s="31"/>
      <c r="L19" s="31"/>
      <c r="M19" s="31"/>
      <c r="N19" s="39">
        <f>IF(COUNT(K19:M19)=0,0,SUMPRODUCT({5000,1000,500},K19:M19))</f>
        <v>0</v>
      </c>
      <c r="O19" s="31"/>
      <c r="P19" s="31"/>
      <c r="Q19" s="31"/>
      <c r="R19" s="39">
        <f>IF(COUNT(O19:Q19)=0,0,SUMPRODUCT({5000,1000,500},O19:Q19))</f>
        <v>0</v>
      </c>
      <c r="S19" s="31"/>
      <c r="T19" s="31"/>
      <c r="U19" s="31"/>
      <c r="V19" s="31">
        <v>4</v>
      </c>
      <c r="W19" s="31"/>
      <c r="X19" s="31">
        <v>60</v>
      </c>
      <c r="Y19" s="31">
        <v>2</v>
      </c>
      <c r="Z19" s="31">
        <v>39</v>
      </c>
      <c r="AA19" s="31"/>
      <c r="AB19" s="31"/>
      <c r="AC19" s="31"/>
      <c r="AD19" s="34">
        <f>IF(COUNT(S19:AC19)=0,0,SUMPRODUCT({5000,1000,500,100,75,50,20,10,5,2,1}, S19:AC19))</f>
        <v>3830</v>
      </c>
      <c r="AE19" s="33">
        <v>478296</v>
      </c>
      <c r="AF19" s="24">
        <f>IF(AND(COUNT(C19:E19)=0,COUNT(G19:I19)=0,COUNT(K19:M19)=0,COUNT(O19:Q19)=0,COUNT(S19:AC19)=0,AE19=""),"",(IF(COUNT(C19:E19)=0,0,SUMPRODUCT({5000,1000,500},C19:E19))+IF(COUNT(G19:I19)=0,0,SUMPRODUCT({5000,1000,500},G19:I19))+IF(COUNT(K19:M19)=0,0,SUMPRODUCT({5000,1000,500},K19:M19))+IF(COUNT(O19:Q19)=0,0,SUMPRODUCT({5000,1000,500},O19:Q19))+AD19)-N(AE19))</f>
        <v>34</v>
      </c>
      <c r="AG19" s="35" t="str">
        <f t="shared" si="0"/>
        <v>Excess</v>
      </c>
      <c r="AH19" s="38"/>
      <c r="AI19" s="36">
        <f>731808.77+8967</f>
        <v>740775.77</v>
      </c>
      <c r="AJ19" s="37">
        <f>8967+731808.77</f>
        <v>740775.77</v>
      </c>
      <c r="AK19" s="26">
        <f t="shared" si="1"/>
        <v>0</v>
      </c>
      <c r="AL19" s="25" t="str">
        <f t="shared" si="2"/>
        <v>Matched</v>
      </c>
      <c r="AM19" s="38"/>
    </row>
    <row r="20" spans="1:39" ht="12.75" customHeight="1" x14ac:dyDescent="0.25">
      <c r="A20" s="31">
        <v>63374</v>
      </c>
      <c r="B20" s="32" t="str">
        <f>IF(A20="","",VLOOKUP(A20,'Employee Database'!A:B,2,FALSE))</f>
        <v>Aftab Ali</v>
      </c>
      <c r="C20" s="31"/>
      <c r="D20" s="31"/>
      <c r="E20" s="31"/>
      <c r="F20" s="39">
        <f>IF(COUNT(C20:E20)=0,0,SUMPRODUCT({5000,1000,500},C20:E20))</f>
        <v>0</v>
      </c>
      <c r="G20" s="31">
        <v>40</v>
      </c>
      <c r="H20" s="31">
        <v>72</v>
      </c>
      <c r="I20" s="31">
        <v>33</v>
      </c>
      <c r="J20" s="39">
        <f>IF(COUNT(G20:I20)=0,0,SUMPRODUCT({5000,1000,500},G20:I20))</f>
        <v>288500</v>
      </c>
      <c r="K20" s="31"/>
      <c r="L20" s="31"/>
      <c r="M20" s="31"/>
      <c r="N20" s="39">
        <f>IF(COUNT(K20:M20)=0,0,SUMPRODUCT({5000,1000,500},K20:M20))</f>
        <v>0</v>
      </c>
      <c r="O20" s="31"/>
      <c r="P20" s="31"/>
      <c r="Q20" s="31"/>
      <c r="R20" s="39">
        <f>IF(COUNT(O20:Q20)=0,0,SUMPRODUCT({5000,1000,500},O20:Q20))</f>
        <v>0</v>
      </c>
      <c r="S20" s="31"/>
      <c r="T20" s="31"/>
      <c r="U20" s="31"/>
      <c r="V20" s="31">
        <v>2</v>
      </c>
      <c r="W20" s="31"/>
      <c r="X20" s="31">
        <v>28</v>
      </c>
      <c r="Y20" s="31">
        <v>1</v>
      </c>
      <c r="Z20" s="31">
        <v>54</v>
      </c>
      <c r="AA20" s="31"/>
      <c r="AB20" s="31"/>
      <c r="AC20" s="31"/>
      <c r="AD20" s="34">
        <f>IF(COUNT(S20:AC20)=0,0,SUMPRODUCT({5000,1000,500,100,75,50,20,10,5,2,1}, S20:AC20))</f>
        <v>2160</v>
      </c>
      <c r="AE20" s="33">
        <v>290645</v>
      </c>
      <c r="AF20" s="24">
        <f>IF(AND(COUNT(C20:E20)=0,COUNT(G20:I20)=0,COUNT(K20:M20)=0,COUNT(O20:Q20)=0,COUNT(S20:AC20)=0,AE20=""),"",(IF(COUNT(C20:E20)=0,0,SUMPRODUCT({5000,1000,500},C20:E20))+IF(COUNT(G20:I20)=0,0,SUMPRODUCT({5000,1000,500},G20:I20))+IF(COUNT(K20:M20)=0,0,SUMPRODUCT({5000,1000,500},K20:M20))+IF(COUNT(O20:Q20)=0,0,SUMPRODUCT({5000,1000,500},O20:Q20))+AD20)-N(AE20))</f>
        <v>15</v>
      </c>
      <c r="AG20" s="35" t="str">
        <f t="shared" si="0"/>
        <v>Excess</v>
      </c>
      <c r="AH20" s="38"/>
      <c r="AI20" s="36">
        <f>225253.13+59009.15</f>
        <v>284262.28000000003</v>
      </c>
      <c r="AJ20" s="37">
        <f>46575.1+178678.03+59009.15</f>
        <v>284262.28000000003</v>
      </c>
      <c r="AK20" s="26">
        <f t="shared" si="1"/>
        <v>0</v>
      </c>
      <c r="AL20" s="25" t="str">
        <f t="shared" si="2"/>
        <v>Matched</v>
      </c>
      <c r="AM20" s="38"/>
    </row>
    <row r="21" spans="1:39" ht="12.75" customHeight="1" x14ac:dyDescent="0.25">
      <c r="A21" s="31">
        <v>68475</v>
      </c>
      <c r="B21" s="32" t="str">
        <f>IF(A21="","",VLOOKUP(A21,'Employee Database'!A:B,2,FALSE))</f>
        <v>M Azeem</v>
      </c>
      <c r="C21" s="31"/>
      <c r="D21" s="31"/>
      <c r="E21" s="31"/>
      <c r="F21" s="39">
        <f>IF(COUNT(C21:E21)=0,0,SUMPRODUCT({5000,1000,500},C21:E21))</f>
        <v>0</v>
      </c>
      <c r="G21" s="31">
        <v>38</v>
      </c>
      <c r="H21" s="31">
        <v>69</v>
      </c>
      <c r="I21" s="31">
        <v>40</v>
      </c>
      <c r="J21" s="39">
        <f>IF(COUNT(G21:I21)=0,0,SUMPRODUCT({5000,1000,500},G21:I21))</f>
        <v>279000</v>
      </c>
      <c r="K21" s="31"/>
      <c r="L21" s="31"/>
      <c r="M21" s="31"/>
      <c r="N21" s="39">
        <f>IF(COUNT(K21:M21)=0,0,SUMPRODUCT({5000,1000,500},K21:M21))</f>
        <v>0</v>
      </c>
      <c r="O21" s="31"/>
      <c r="P21" s="31"/>
      <c r="Q21" s="31"/>
      <c r="R21" s="39">
        <f>IF(COUNT(O21:Q21)=0,0,SUMPRODUCT({5000,1000,500},O21:Q21))</f>
        <v>0</v>
      </c>
      <c r="S21" s="31"/>
      <c r="T21" s="31"/>
      <c r="U21" s="31"/>
      <c r="V21" s="31">
        <v>2</v>
      </c>
      <c r="W21" s="31"/>
      <c r="X21" s="31">
        <v>50</v>
      </c>
      <c r="Y21" s="31"/>
      <c r="Z21" s="31">
        <v>101</v>
      </c>
      <c r="AA21" s="31"/>
      <c r="AB21" s="31"/>
      <c r="AC21" s="31"/>
      <c r="AD21" s="34">
        <f>IF(COUNT(S21:AC21)=0,0,SUMPRODUCT({5000,1000,500,100,75,50,20,10,5,2,1}, S21:AC21))</f>
        <v>3710</v>
      </c>
      <c r="AE21" s="33">
        <v>282741</v>
      </c>
      <c r="AF21" s="24">
        <f>IF(AND(COUNT(C21:E21)=0,COUNT(G21:I21)=0,COUNT(K21:M21)=0,COUNT(O21:Q21)=0,COUNT(S21:AC21)=0,AE21=""),"",(IF(COUNT(C21:E21)=0,0,SUMPRODUCT({5000,1000,500},C21:E21))+IF(COUNT(G21:I21)=0,0,SUMPRODUCT({5000,1000,500},G21:I21))+IF(COUNT(K21:M21)=0,0,SUMPRODUCT({5000,1000,500},K21:M21))+IF(COUNT(O21:Q21)=0,0,SUMPRODUCT({5000,1000,500},O21:Q21))+AD21)-N(AE21))</f>
        <v>-31</v>
      </c>
      <c r="AG21" s="35" t="str">
        <f t="shared" si="0"/>
        <v>Short</v>
      </c>
      <c r="AH21" s="38"/>
      <c r="AI21" s="36">
        <v>592674.38</v>
      </c>
      <c r="AJ21" s="37">
        <v>592674.38</v>
      </c>
      <c r="AK21" s="26">
        <f t="shared" si="1"/>
        <v>0</v>
      </c>
      <c r="AL21" s="25" t="str">
        <f t="shared" si="2"/>
        <v>Matched</v>
      </c>
      <c r="AM21" s="38"/>
    </row>
    <row r="22" spans="1:39" ht="12.75" customHeight="1" x14ac:dyDescent="0.25">
      <c r="A22" s="31">
        <v>61648</v>
      </c>
      <c r="B22" s="32" t="str">
        <f>IF(A22="","",VLOOKUP(A22,'Employee Database'!A:B,2,FALSE))</f>
        <v>Rizwan</v>
      </c>
      <c r="C22" s="31"/>
      <c r="D22" s="31"/>
      <c r="E22" s="31"/>
      <c r="F22" s="39">
        <f>IF(COUNT(C22:E22)=0,0,SUMPRODUCT({5000,1000,500},C22:E22))</f>
        <v>0</v>
      </c>
      <c r="G22" s="31">
        <v>32</v>
      </c>
      <c r="H22" s="31">
        <v>141</v>
      </c>
      <c r="I22" s="31">
        <v>1</v>
      </c>
      <c r="J22" s="39">
        <f>IF(COUNT(G22:I22)=0,0,SUMPRODUCT({5000,1000,500},G22:I22))</f>
        <v>301500</v>
      </c>
      <c r="K22" s="31"/>
      <c r="L22" s="31"/>
      <c r="M22" s="31"/>
      <c r="N22" s="39">
        <f>IF(COUNT(K22:M22)=0,0,SUMPRODUCT({5000,1000,500},K22:M22))</f>
        <v>0</v>
      </c>
      <c r="O22" s="31"/>
      <c r="P22" s="31"/>
      <c r="Q22" s="31"/>
      <c r="R22" s="39">
        <f>IF(COUNT(O22:Q22)=0,0,SUMPRODUCT({5000,1000,500},O22:Q22))</f>
        <v>0</v>
      </c>
      <c r="S22" s="31"/>
      <c r="T22" s="31"/>
      <c r="U22" s="31"/>
      <c r="V22" s="31"/>
      <c r="W22" s="31"/>
      <c r="X22" s="31">
        <v>126</v>
      </c>
      <c r="Y22" s="31">
        <v>1</v>
      </c>
      <c r="Z22" s="31">
        <v>251</v>
      </c>
      <c r="AA22" s="31"/>
      <c r="AB22" s="31"/>
      <c r="AC22" s="31"/>
      <c r="AD22" s="34">
        <f>IF(COUNT(S22:AC22)=0,0,SUMPRODUCT({5000,1000,500,100,75,50,20,10,5,2,1}, S22:AC22))</f>
        <v>8830</v>
      </c>
      <c r="AE22" s="33">
        <v>310336</v>
      </c>
      <c r="AF22" s="24">
        <f>IF(AND(COUNT(C22:E22)=0,COUNT(G22:I22)=0,COUNT(K22:M22)=0,COUNT(O22:Q22)=0,COUNT(S22:AC22)=0,AE22=""),"",(IF(COUNT(C22:E22)=0,0,SUMPRODUCT({5000,1000,500},C22:E22))+IF(COUNT(G22:I22)=0,0,SUMPRODUCT({5000,1000,500},G22:I22))+IF(COUNT(K22:M22)=0,0,SUMPRODUCT({5000,1000,500},K22:M22))+IF(COUNT(O22:Q22)=0,0,SUMPRODUCT({5000,1000,500},O22:Q22))+AD22)-N(AE22))</f>
        <v>-6</v>
      </c>
      <c r="AG22" s="35" t="str">
        <f t="shared" si="0"/>
        <v>Short</v>
      </c>
      <c r="AH22" s="38"/>
      <c r="AI22" s="36">
        <v>1042753.64</v>
      </c>
      <c r="AJ22" s="37">
        <v>1042753.64</v>
      </c>
      <c r="AK22" s="26">
        <f t="shared" si="1"/>
        <v>0</v>
      </c>
      <c r="AL22" s="25" t="str">
        <f t="shared" si="2"/>
        <v>Matched</v>
      </c>
      <c r="AM22" s="38"/>
    </row>
    <row r="23" spans="1:39" ht="12.75" customHeight="1" x14ac:dyDescent="0.25">
      <c r="A23" s="31">
        <v>71788</v>
      </c>
      <c r="B23" s="32" t="str">
        <f>IF(A23="","",VLOOKUP(A23,'Employee Database'!A:B,2,FALSE))</f>
        <v>Saaim</v>
      </c>
      <c r="C23" s="31"/>
      <c r="D23" s="31"/>
      <c r="E23" s="31"/>
      <c r="F23" s="39">
        <f>IF(COUNT(C23:E23)=0,0,SUMPRODUCT({5000,1000,500},C23:E23))</f>
        <v>0</v>
      </c>
      <c r="G23" s="31">
        <v>31</v>
      </c>
      <c r="H23" s="31">
        <v>182</v>
      </c>
      <c r="I23" s="31">
        <v>86</v>
      </c>
      <c r="J23" s="39">
        <f>IF(COUNT(G23:I23)=0,0,SUMPRODUCT({5000,1000,500},G23:I23))</f>
        <v>380000</v>
      </c>
      <c r="K23" s="31"/>
      <c r="L23" s="31"/>
      <c r="M23" s="31"/>
      <c r="N23" s="39">
        <f>IF(COUNT(K23:M23)=0,0,SUMPRODUCT({5000,1000,500},K23:M23))</f>
        <v>0</v>
      </c>
      <c r="O23" s="31"/>
      <c r="P23" s="31"/>
      <c r="Q23" s="31"/>
      <c r="R23" s="39">
        <f>IF(COUNT(O23:Q23)=0,0,SUMPRODUCT({5000,1000,500},O23:Q23))</f>
        <v>0</v>
      </c>
      <c r="S23" s="31"/>
      <c r="T23" s="31"/>
      <c r="U23" s="31"/>
      <c r="V23" s="31"/>
      <c r="W23" s="31"/>
      <c r="X23" s="31">
        <v>9</v>
      </c>
      <c r="Y23" s="31"/>
      <c r="Z23" s="31">
        <v>21</v>
      </c>
      <c r="AA23" s="31"/>
      <c r="AB23" s="31"/>
      <c r="AC23" s="31"/>
      <c r="AD23" s="34">
        <f>IF(COUNT(S23:AC23)=0,0,SUMPRODUCT({5000,1000,500,100,75,50,20,10,5,2,1}, S23:AC23))</f>
        <v>660</v>
      </c>
      <c r="AE23" s="33">
        <v>380638</v>
      </c>
      <c r="AF23" s="24">
        <f>IF(AND(COUNT(C23:E23)=0,COUNT(G23:I23)=0,COUNT(K23:M23)=0,COUNT(O23:Q23)=0,COUNT(S23:AC23)=0,AE23=""),"",(IF(COUNT(C23:E23)=0,0,SUMPRODUCT({5000,1000,500},C23:E23))+IF(COUNT(G23:I23)=0,0,SUMPRODUCT({5000,1000,500},G23:I23))+IF(COUNT(K23:M23)=0,0,SUMPRODUCT({5000,1000,500},K23:M23))+IF(COUNT(O23:Q23)=0,0,SUMPRODUCT({5000,1000,500},O23:Q23))+AD23)-N(AE23))</f>
        <v>22</v>
      </c>
      <c r="AG23" s="35" t="str">
        <f t="shared" si="0"/>
        <v>Excess</v>
      </c>
      <c r="AH23" s="38"/>
      <c r="AI23" s="36">
        <v>733936.81</v>
      </c>
      <c r="AJ23" s="37">
        <v>733936.81</v>
      </c>
      <c r="AK23" s="26">
        <f t="shared" si="1"/>
        <v>0</v>
      </c>
      <c r="AL23" s="25" t="str">
        <f t="shared" si="2"/>
        <v>Matched</v>
      </c>
      <c r="AM23" s="38"/>
    </row>
    <row r="24" spans="1:39" ht="12.75" customHeight="1" x14ac:dyDescent="0.25">
      <c r="A24" s="31">
        <v>69213</v>
      </c>
      <c r="B24" s="32" t="str">
        <f>IF(A24="","",VLOOKUP(A24,'Employee Database'!A:B,2,FALSE))</f>
        <v>Muhammad Shahbaz</v>
      </c>
      <c r="C24" s="31"/>
      <c r="D24" s="31"/>
      <c r="E24" s="31"/>
      <c r="F24" s="39">
        <f>IF(COUNT(C24:E24)=0,0,SUMPRODUCT({5000,1000,500},C24:E24))</f>
        <v>0</v>
      </c>
      <c r="G24" s="31">
        <v>1</v>
      </c>
      <c r="H24" s="31">
        <v>18</v>
      </c>
      <c r="I24" s="31">
        <v>35</v>
      </c>
      <c r="J24" s="39">
        <f>IF(COUNT(G24:I24)=0,0,SUMPRODUCT({5000,1000,500},G24:I24))</f>
        <v>40500</v>
      </c>
      <c r="K24" s="31"/>
      <c r="L24" s="31"/>
      <c r="M24" s="31"/>
      <c r="N24" s="39">
        <f>IF(COUNT(K24:M24)=0,0,SUMPRODUCT({5000,1000,500},K24:M24))</f>
        <v>0</v>
      </c>
      <c r="O24" s="31"/>
      <c r="P24" s="31"/>
      <c r="Q24" s="31"/>
      <c r="R24" s="39">
        <f>IF(COUNT(O24:Q24)=0,0,SUMPRODUCT({5000,1000,500},O24:Q24))</f>
        <v>0</v>
      </c>
      <c r="S24" s="31"/>
      <c r="T24" s="31"/>
      <c r="U24" s="31"/>
      <c r="V24" s="31"/>
      <c r="W24" s="31"/>
      <c r="X24" s="31">
        <v>42</v>
      </c>
      <c r="Y24" s="31"/>
      <c r="Z24" s="31">
        <v>76</v>
      </c>
      <c r="AA24" s="31"/>
      <c r="AB24" s="31"/>
      <c r="AC24" s="31"/>
      <c r="AD24" s="34">
        <f>IF(COUNT(S24:AC24)=0,0,SUMPRODUCT({5000,1000,500,100,75,50,20,10,5,2,1}, S24:AC24))</f>
        <v>2860</v>
      </c>
      <c r="AE24" s="33">
        <v>43334</v>
      </c>
      <c r="AF24" s="24">
        <f>IF(AND(COUNT(C24:E24)=0,COUNT(G24:I24)=0,COUNT(K24:M24)=0,COUNT(O24:Q24)=0,COUNT(S24:AC24)=0,AE24=""),"",(IF(COUNT(C24:E24)=0,0,SUMPRODUCT({5000,1000,500},C24:E24))+IF(COUNT(G24:I24)=0,0,SUMPRODUCT({5000,1000,500},G24:I24))+IF(COUNT(K24:M24)=0,0,SUMPRODUCT({5000,1000,500},K24:M24))+IF(COUNT(O24:Q24)=0,0,SUMPRODUCT({5000,1000,500},O24:Q24))+AD24)-N(AE24))</f>
        <v>26</v>
      </c>
      <c r="AG24" s="35" t="str">
        <f t="shared" si="0"/>
        <v>Excess</v>
      </c>
      <c r="AH24" s="38"/>
      <c r="AI24" s="36">
        <v>243276.58</v>
      </c>
      <c r="AJ24" s="37">
        <v>243276.58</v>
      </c>
      <c r="AK24" s="26">
        <f t="shared" si="1"/>
        <v>0</v>
      </c>
      <c r="AL24" s="25" t="str">
        <f t="shared" si="2"/>
        <v>Matched</v>
      </c>
      <c r="AM24" s="38"/>
    </row>
    <row r="25" spans="1:39" ht="12.75" customHeight="1" x14ac:dyDescent="0.25">
      <c r="A25" s="31">
        <v>73679</v>
      </c>
      <c r="B25" s="32" t="str">
        <f>IF(A25="","",VLOOKUP(A25,'Employee Database'!A:B,2,FALSE))</f>
        <v>Imran Waqar</v>
      </c>
      <c r="C25" s="31"/>
      <c r="D25" s="31"/>
      <c r="E25" s="31"/>
      <c r="F25" s="39">
        <f>IF(COUNT(C25:E25)=0,0,SUMPRODUCT({5000,1000,500},C25:E25))</f>
        <v>0</v>
      </c>
      <c r="G25" s="31">
        <v>31</v>
      </c>
      <c r="H25" s="31">
        <v>74</v>
      </c>
      <c r="I25" s="31">
        <v>2</v>
      </c>
      <c r="J25" s="39">
        <f>IF(COUNT(G25:I25)=0,0,SUMPRODUCT({5000,1000,500},G25:I25))</f>
        <v>230000</v>
      </c>
      <c r="K25" s="31"/>
      <c r="L25" s="31"/>
      <c r="M25" s="31"/>
      <c r="N25" s="39">
        <f>IF(COUNT(K25:M25)=0,0,SUMPRODUCT({5000,1000,500},K25:M25))</f>
        <v>0</v>
      </c>
      <c r="O25" s="31"/>
      <c r="P25" s="31"/>
      <c r="Q25" s="31"/>
      <c r="R25" s="39">
        <f>IF(COUNT(O25:Q25)=0,0,SUMPRODUCT({5000,1000,500},O25:Q25))</f>
        <v>0</v>
      </c>
      <c r="S25" s="31"/>
      <c r="T25" s="31"/>
      <c r="U25" s="31"/>
      <c r="V25" s="31">
        <v>2</v>
      </c>
      <c r="W25" s="31"/>
      <c r="X25" s="31">
        <v>29</v>
      </c>
      <c r="Y25" s="31"/>
      <c r="Z25" s="31">
        <v>53</v>
      </c>
      <c r="AA25" s="31"/>
      <c r="AB25" s="31"/>
      <c r="AC25" s="31"/>
      <c r="AD25" s="34">
        <f>IF(COUNT(S25:AC25)=0,0,SUMPRODUCT({5000,1000,500,100,75,50,20,10,5,2,1}, S25:AC25))</f>
        <v>2180</v>
      </c>
      <c r="AE25" s="33">
        <v>232135</v>
      </c>
      <c r="AF25" s="24">
        <f>IF(AND(COUNT(C25:E25)=0,COUNT(G25:I25)=0,COUNT(K25:M25)=0,COUNT(O25:Q25)=0,COUNT(S25:AC25)=0,AE25=""),"",(IF(COUNT(C25:E25)=0,0,SUMPRODUCT({5000,1000,500},C25:E25))+IF(COUNT(G25:I25)=0,0,SUMPRODUCT({5000,1000,500},G25:I25))+IF(COUNT(K25:M25)=0,0,SUMPRODUCT({5000,1000,500},K25:M25))+IF(COUNT(O25:Q25)=0,0,SUMPRODUCT({5000,1000,500},O25:Q25))+AD25)-N(AE25))</f>
        <v>45</v>
      </c>
      <c r="AG25" s="35" t="str">
        <f t="shared" si="0"/>
        <v>Excess</v>
      </c>
      <c r="AH25" s="38"/>
      <c r="AI25" s="36">
        <f>22392+308229.84</f>
        <v>330621.84000000003</v>
      </c>
      <c r="AJ25" s="37">
        <f>308229.84+22392</f>
        <v>330621.84000000003</v>
      </c>
      <c r="AK25" s="26">
        <f t="shared" si="1"/>
        <v>0</v>
      </c>
      <c r="AL25" s="25" t="str">
        <f t="shared" si="2"/>
        <v>Matched</v>
      </c>
      <c r="AM25" s="38"/>
    </row>
    <row r="26" spans="1:39" ht="12.75" customHeight="1" x14ac:dyDescent="0.25">
      <c r="A26" s="31"/>
      <c r="B26" s="32" t="str">
        <f>IF(A26="","",VLOOKUP(A26,'Employee Database'!A:B,2,FALSE))</f>
        <v/>
      </c>
      <c r="C26" s="31"/>
      <c r="D26" s="31"/>
      <c r="E26" s="31"/>
      <c r="F26" s="39">
        <f>IF(COUNT(C26:E26)=0,0,SUMPRODUCT({5000,1000,500},C26:E26))</f>
        <v>0</v>
      </c>
      <c r="G26" s="31"/>
      <c r="H26" s="31"/>
      <c r="I26" s="31"/>
      <c r="J26" s="39">
        <f>IF(COUNT(G26:I26)=0,0,SUMPRODUCT({5000,1000,500},G26:I26))</f>
        <v>0</v>
      </c>
      <c r="K26" s="31"/>
      <c r="L26" s="31"/>
      <c r="M26" s="31"/>
      <c r="N26" s="39">
        <f>IF(COUNT(K26:M26)=0,0,SUMPRODUCT({5000,1000,500},K26:M26))</f>
        <v>0</v>
      </c>
      <c r="O26" s="31"/>
      <c r="P26" s="31"/>
      <c r="Q26" s="31"/>
      <c r="R26" s="39">
        <f>IF(COUNT(O26:Q26)=0,0,SUMPRODUCT({5000,1000,500},O26:Q26))</f>
        <v>0</v>
      </c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4">
        <f>IF(COUNT(S26:AC26)=0,0,SUMPRODUCT({5000,1000,500,100,75,50,20,10,5,2,1}, S26:AC26))</f>
        <v>0</v>
      </c>
      <c r="AE26" s="33"/>
      <c r="AF26" s="24" t="str">
        <f>IF(AND(COUNT(C26:E26)=0,COUNT(G26:I26)=0,COUNT(K26:M26)=0,COUNT(O26:Q26)=0,COUNT(S26:AC26)=0,AE26=""),"",(IF(COUNT(C26:E26)=0,0,SUMPRODUCT({5000,1000,500},C26:E26))+IF(COUNT(G26:I26)=0,0,SUMPRODUCT({5000,1000,500},G26:I26))+IF(COUNT(K26:M26)=0,0,SUMPRODUCT({5000,1000,500},K26:M26))+IF(COUNT(O26:Q26)=0,0,SUMPRODUCT({5000,1000,500},O26:Q26))+AD26)-N(AE26))</f>
        <v/>
      </c>
      <c r="AG26" s="35" t="str">
        <f t="shared" si="0"/>
        <v/>
      </c>
      <c r="AH26" s="38"/>
      <c r="AI26" s="36"/>
      <c r="AJ26" s="37"/>
      <c r="AK26" s="26" t="str">
        <f t="shared" si="1"/>
        <v/>
      </c>
      <c r="AL26" s="25" t="str">
        <f t="shared" si="2"/>
        <v/>
      </c>
      <c r="AM26" s="38"/>
    </row>
    <row r="27" spans="1:39" ht="12.75" customHeight="1" x14ac:dyDescent="0.25">
      <c r="A27" s="31"/>
      <c r="B27" s="32" t="str">
        <f>IF(A27="","",VLOOKUP(A27,'Employee Database'!A:B,2,FALSE))</f>
        <v/>
      </c>
      <c r="C27" s="31"/>
      <c r="D27" s="31"/>
      <c r="E27" s="31"/>
      <c r="F27" s="39">
        <f>IF(COUNT(C27:E27)=0,0,SUMPRODUCT({5000,1000,500},C27:E27))</f>
        <v>0</v>
      </c>
      <c r="G27" s="31"/>
      <c r="H27" s="31"/>
      <c r="I27" s="31"/>
      <c r="J27" s="39">
        <f>IF(COUNT(G27:I27)=0,0,SUMPRODUCT({5000,1000,500},G27:I27))</f>
        <v>0</v>
      </c>
      <c r="K27" s="31"/>
      <c r="L27" s="31"/>
      <c r="M27" s="31"/>
      <c r="N27" s="39">
        <f>IF(COUNT(K27:M27)=0,0,SUMPRODUCT({5000,1000,500},K27:M27))</f>
        <v>0</v>
      </c>
      <c r="O27" s="31"/>
      <c r="P27" s="31"/>
      <c r="Q27" s="31"/>
      <c r="R27" s="39">
        <f>IF(COUNT(O27:Q27)=0,0,SUMPRODUCT({5000,1000,500},O27:Q27))</f>
        <v>0</v>
      </c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4">
        <f>IF(COUNT(S27:AC27)=0,0,SUMPRODUCT({5000,1000,500,100,75,50,20,10,5,2,1}, S27:AC27))</f>
        <v>0</v>
      </c>
      <c r="AE27" s="33"/>
      <c r="AF27" s="24" t="str">
        <f>IF(AND(COUNT(C27:E27)=0,COUNT(G27:I27)=0,COUNT(K27:M27)=0,COUNT(O27:Q27)=0,COUNT(S27:AC27)=0,AE27=""),"",(IF(COUNT(C27:E27)=0,0,SUMPRODUCT({5000,1000,500},C27:E27))+IF(COUNT(G27:I27)=0,0,SUMPRODUCT({5000,1000,500},G27:I27))+IF(COUNT(K27:M27)=0,0,SUMPRODUCT({5000,1000,500},K27:M27))+IF(COUNT(O27:Q27)=0,0,SUMPRODUCT({5000,1000,500},O27:Q27))+AD27)-N(AE27))</f>
        <v/>
      </c>
      <c r="AG27" s="35" t="str">
        <f t="shared" si="0"/>
        <v/>
      </c>
      <c r="AH27" s="38"/>
      <c r="AI27" s="36"/>
      <c r="AJ27" s="37"/>
      <c r="AK27" s="26" t="str">
        <f t="shared" si="1"/>
        <v/>
      </c>
      <c r="AL27" s="25" t="str">
        <f t="shared" si="2"/>
        <v/>
      </c>
      <c r="AM27" s="38"/>
    </row>
    <row r="28" spans="1:39" ht="12.75" customHeight="1" x14ac:dyDescent="0.25">
      <c r="A28" s="31"/>
      <c r="B28" s="32" t="str">
        <f>IF(A28="","",VLOOKUP(A28,'Employee Database'!A:B,2,FALSE))</f>
        <v/>
      </c>
      <c r="C28" s="31"/>
      <c r="D28" s="31"/>
      <c r="E28" s="31"/>
      <c r="F28" s="39">
        <f>IF(COUNT(C28:E28)=0,0,SUMPRODUCT({5000,1000,500},C28:E28))</f>
        <v>0</v>
      </c>
      <c r="G28" s="31"/>
      <c r="H28" s="31"/>
      <c r="I28" s="31"/>
      <c r="J28" s="39">
        <f>IF(COUNT(G28:I28)=0,0,SUMPRODUCT({5000,1000,500},G28:I28))</f>
        <v>0</v>
      </c>
      <c r="K28" s="31"/>
      <c r="L28" s="31"/>
      <c r="M28" s="31"/>
      <c r="N28" s="39">
        <f>IF(COUNT(K28:M28)=0,0,SUMPRODUCT({5000,1000,500},K28:M28))</f>
        <v>0</v>
      </c>
      <c r="O28" s="31"/>
      <c r="P28" s="31"/>
      <c r="Q28" s="31"/>
      <c r="R28" s="39">
        <f>IF(COUNT(O28:Q28)=0,0,SUMPRODUCT({5000,1000,500},O28:Q28))</f>
        <v>0</v>
      </c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4">
        <f>IF(COUNT(S28:AC28)=0,0,SUMPRODUCT({5000,1000,500,100,75,50,20,10,5,2,1}, S28:AC28))</f>
        <v>0</v>
      </c>
      <c r="AE28" s="33"/>
      <c r="AF28" s="24" t="str">
        <f>IF(AND(COUNT(C28:E28)=0,COUNT(G28:I28)=0,COUNT(K28:M28)=0,COUNT(O28:Q28)=0,COUNT(S28:AC28)=0,AE28=""),"",(IF(COUNT(C28:E28)=0,0,SUMPRODUCT({5000,1000,500},C28:E28))+IF(COUNT(G28:I28)=0,0,SUMPRODUCT({5000,1000,500},G28:I28))+IF(COUNT(K28:M28)=0,0,SUMPRODUCT({5000,1000,500},K28:M28))+IF(COUNT(O28:Q28)=0,0,SUMPRODUCT({5000,1000,500},O28:Q28))+AD28)-N(AE28))</f>
        <v/>
      </c>
      <c r="AG28" s="35" t="str">
        <f t="shared" si="0"/>
        <v/>
      </c>
      <c r="AH28" s="38"/>
      <c r="AI28" s="36"/>
      <c r="AJ28" s="37"/>
      <c r="AK28" s="26" t="str">
        <f t="shared" si="1"/>
        <v/>
      </c>
      <c r="AL28" s="25" t="str">
        <f t="shared" si="2"/>
        <v/>
      </c>
      <c r="AM28" s="38"/>
    </row>
    <row r="29" spans="1:39" ht="12.75" customHeight="1" x14ac:dyDescent="0.25">
      <c r="A29" s="31"/>
      <c r="B29" s="32" t="str">
        <f>IF(A29="","",VLOOKUP(A29,'Employee Database'!A:B,2,FALSE))</f>
        <v/>
      </c>
      <c r="C29" s="31"/>
      <c r="D29" s="31"/>
      <c r="E29" s="31"/>
      <c r="F29" s="39">
        <f>IF(COUNT(C29:E29)=0,0,SUMPRODUCT({5000,1000,500},C29:E29))</f>
        <v>0</v>
      </c>
      <c r="G29" s="31"/>
      <c r="H29" s="31"/>
      <c r="I29" s="31"/>
      <c r="J29" s="39">
        <f>IF(COUNT(G29:I29)=0,0,SUMPRODUCT({5000,1000,500},G29:I29))</f>
        <v>0</v>
      </c>
      <c r="K29" s="31"/>
      <c r="L29" s="31"/>
      <c r="M29" s="31"/>
      <c r="N29" s="39">
        <f>IF(COUNT(K29:M29)=0,0,SUMPRODUCT({5000,1000,500},K29:M29))</f>
        <v>0</v>
      </c>
      <c r="O29" s="31"/>
      <c r="P29" s="31"/>
      <c r="Q29" s="31"/>
      <c r="R29" s="39">
        <f>IF(COUNT(O29:Q29)=0,0,SUMPRODUCT({5000,1000,500},O29:Q29))</f>
        <v>0</v>
      </c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4">
        <f>IF(COUNT(S29:AC29)=0,0,SUMPRODUCT({5000,1000,500,100,75,50,20,10,5,2,1}, S29:AC29))</f>
        <v>0</v>
      </c>
      <c r="AE29" s="33"/>
      <c r="AF29" s="24" t="str">
        <f>IF(AND(COUNT(C29:E29)=0,COUNT(G29:I29)=0,COUNT(K29:M29)=0,COUNT(O29:Q29)=0,COUNT(S29:AC29)=0,AE29=""),"",(IF(COUNT(C29:E29)=0,0,SUMPRODUCT({5000,1000,500},C29:E29))+IF(COUNT(G29:I29)=0,0,SUMPRODUCT({5000,1000,500},G29:I29))+IF(COUNT(K29:M29)=0,0,SUMPRODUCT({5000,1000,500},K29:M29))+IF(COUNT(O29:Q29)=0,0,SUMPRODUCT({5000,1000,500},O29:Q29))+AD29)-N(AE29))</f>
        <v/>
      </c>
      <c r="AG29" s="35" t="str">
        <f t="shared" si="0"/>
        <v/>
      </c>
      <c r="AH29" s="38"/>
      <c r="AI29" s="36"/>
      <c r="AJ29" s="37"/>
      <c r="AK29" s="26" t="str">
        <f t="shared" si="1"/>
        <v/>
      </c>
      <c r="AL29" s="25" t="str">
        <f t="shared" si="2"/>
        <v/>
      </c>
      <c r="AM29" s="38"/>
    </row>
    <row r="30" spans="1:39" ht="12.75" customHeight="1" x14ac:dyDescent="0.25">
      <c r="A30" s="31"/>
      <c r="B30" s="32" t="str">
        <f>IF(A30="","",VLOOKUP(A30,'Employee Database'!A:B,2,FALSE))</f>
        <v/>
      </c>
      <c r="C30" s="31"/>
      <c r="D30" s="31"/>
      <c r="E30" s="31"/>
      <c r="F30" s="39">
        <f>IF(COUNT(C30:E30)=0,0,SUMPRODUCT({5000,1000,500},C30:E30))</f>
        <v>0</v>
      </c>
      <c r="G30" s="31"/>
      <c r="H30" s="31"/>
      <c r="I30" s="31"/>
      <c r="J30" s="39">
        <f>IF(COUNT(G30:I30)=0,0,SUMPRODUCT({5000,1000,500},G30:I30))</f>
        <v>0</v>
      </c>
      <c r="K30" s="31"/>
      <c r="L30" s="31"/>
      <c r="M30" s="31"/>
      <c r="N30" s="39">
        <f>IF(COUNT(K30:M30)=0,0,SUMPRODUCT({5000,1000,500},K30:M30))</f>
        <v>0</v>
      </c>
      <c r="O30" s="31"/>
      <c r="P30" s="31"/>
      <c r="Q30" s="31"/>
      <c r="R30" s="39">
        <f>IF(COUNT(O30:Q30)=0,0,SUMPRODUCT({5000,1000,500},O30:Q30))</f>
        <v>0</v>
      </c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4">
        <f>IF(COUNT(S30:AC30)=0,0,SUMPRODUCT({5000,1000,500,100,75,50,20,10,5,2,1}, S30:AC30))</f>
        <v>0</v>
      </c>
      <c r="AE30" s="33"/>
      <c r="AF30" s="24" t="str">
        <f>IF(AND(COUNT(C30:E30)=0,COUNT(G30:I30)=0,COUNT(K30:M30)=0,COUNT(O30:Q30)=0,COUNT(S30:AC30)=0,AE30=""),"",(IF(COUNT(C30:E30)=0,0,SUMPRODUCT({5000,1000,500},C30:E30))+IF(COUNT(G30:I30)=0,0,SUMPRODUCT({5000,1000,500},G30:I30))+IF(COUNT(K30:M30)=0,0,SUMPRODUCT({5000,1000,500},K30:M30))+IF(COUNT(O30:Q30)=0,0,SUMPRODUCT({5000,1000,500},O30:Q30))+AD30)-N(AE30))</f>
        <v/>
      </c>
      <c r="AG30" s="35" t="str">
        <f t="shared" si="0"/>
        <v/>
      </c>
      <c r="AH30" s="38"/>
      <c r="AI30" s="36"/>
      <c r="AJ30" s="37"/>
      <c r="AK30" s="26" t="str">
        <f t="shared" si="1"/>
        <v/>
      </c>
      <c r="AL30" s="25" t="str">
        <f t="shared" si="2"/>
        <v/>
      </c>
      <c r="AM30" s="38"/>
    </row>
    <row r="31" spans="1:39" ht="12.75" customHeight="1" x14ac:dyDescent="0.25">
      <c r="A31" s="31"/>
      <c r="B31" s="32" t="str">
        <f>IF(A31="","",VLOOKUP(A31,'Employee Database'!A:B,2,FALSE))</f>
        <v/>
      </c>
      <c r="C31" s="31"/>
      <c r="D31" s="31"/>
      <c r="E31" s="31"/>
      <c r="F31" s="39">
        <f>IF(COUNT(C31:E31)=0,0,SUMPRODUCT({5000,1000,500},C31:E31))</f>
        <v>0</v>
      </c>
      <c r="G31" s="31"/>
      <c r="H31" s="31"/>
      <c r="I31" s="31"/>
      <c r="J31" s="39">
        <f>IF(COUNT(G31:I31)=0,0,SUMPRODUCT({5000,1000,500},G31:I31))</f>
        <v>0</v>
      </c>
      <c r="K31" s="31"/>
      <c r="L31" s="31"/>
      <c r="M31" s="31"/>
      <c r="N31" s="39">
        <f>IF(COUNT(K31:M31)=0,0,SUMPRODUCT({5000,1000,500},K31:M31))</f>
        <v>0</v>
      </c>
      <c r="O31" s="31"/>
      <c r="P31" s="31"/>
      <c r="Q31" s="31"/>
      <c r="R31" s="39">
        <f>IF(COUNT(O31:Q31)=0,0,SUMPRODUCT({5000,1000,500},O31:Q31))</f>
        <v>0</v>
      </c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4">
        <f>IF(COUNT(S31:AC31)=0,0,SUMPRODUCT({5000,1000,500,100,75,50,20,10,5,2,1}, S31:AC31))</f>
        <v>0</v>
      </c>
      <c r="AE31" s="33"/>
      <c r="AF31" s="24" t="str">
        <f>IF(AND(COUNT(C31:E31)=0,COUNT(G31:I31)=0,COUNT(K31:M31)=0,COUNT(O31:Q31)=0,COUNT(S31:AC31)=0,AE31=""),"",(IF(COUNT(C31:E31)=0,0,SUMPRODUCT({5000,1000,500},C31:E31))+IF(COUNT(G31:I31)=0,0,SUMPRODUCT({5000,1000,500},G31:I31))+IF(COUNT(K31:M31)=0,0,SUMPRODUCT({5000,1000,500},K31:M31))+IF(COUNT(O31:Q31)=0,0,SUMPRODUCT({5000,1000,500},O31:Q31))+AD31)-N(AE31))</f>
        <v/>
      </c>
      <c r="AG31" s="35" t="str">
        <f t="shared" si="0"/>
        <v/>
      </c>
      <c r="AH31" s="38"/>
      <c r="AI31" s="36"/>
      <c r="AJ31" s="37"/>
      <c r="AK31" s="26" t="str">
        <f t="shared" si="1"/>
        <v/>
      </c>
      <c r="AL31" s="25" t="str">
        <f t="shared" si="2"/>
        <v/>
      </c>
      <c r="AM31" s="38"/>
    </row>
    <row r="32" spans="1:39" ht="12.75" customHeight="1" x14ac:dyDescent="0.25">
      <c r="A32" s="31"/>
      <c r="B32" s="32" t="str">
        <f>IF(A32="","",VLOOKUP(A32,'Employee Database'!A:B,2,FALSE))</f>
        <v/>
      </c>
      <c r="C32" s="31"/>
      <c r="D32" s="31"/>
      <c r="E32" s="31"/>
      <c r="F32" s="39">
        <f>IF(COUNT(C32:E32)=0,0,SUMPRODUCT({5000,1000,500},C32:E32))</f>
        <v>0</v>
      </c>
      <c r="G32" s="31"/>
      <c r="H32" s="31"/>
      <c r="I32" s="31"/>
      <c r="J32" s="39">
        <f>IF(COUNT(G32:I32)=0,0,SUMPRODUCT({5000,1000,500},G32:I32))</f>
        <v>0</v>
      </c>
      <c r="K32" s="31"/>
      <c r="L32" s="31"/>
      <c r="M32" s="31"/>
      <c r="N32" s="39">
        <f>IF(COUNT(K32:M32)=0,0,SUMPRODUCT({5000,1000,500},K32:M32))</f>
        <v>0</v>
      </c>
      <c r="O32" s="31"/>
      <c r="P32" s="31"/>
      <c r="Q32" s="31"/>
      <c r="R32" s="39">
        <f>IF(COUNT(O32:Q32)=0,0,SUMPRODUCT({5000,1000,500},O32:Q32))</f>
        <v>0</v>
      </c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4">
        <f>IF(COUNT(S32:AC32)=0,0,SUMPRODUCT({5000,1000,500,100,75,50,20,10,5,2,1}, S32:AC32))</f>
        <v>0</v>
      </c>
      <c r="AE32" s="33"/>
      <c r="AF32" s="24" t="str">
        <f>IF(AND(COUNT(C32:E32)=0,COUNT(G32:I32)=0,COUNT(K32:M32)=0,COUNT(O32:Q32)=0,COUNT(S32:AC32)=0,AE32=""),"",(IF(COUNT(C32:E32)=0,0,SUMPRODUCT({5000,1000,500},C32:E32))+IF(COUNT(G32:I32)=0,0,SUMPRODUCT({5000,1000,500},G32:I32))+IF(COUNT(K32:M32)=0,0,SUMPRODUCT({5000,1000,500},K32:M32))+IF(COUNT(O32:Q32)=0,0,SUMPRODUCT({5000,1000,500},O32:Q32))+AD32)-N(AE32))</f>
        <v/>
      </c>
      <c r="AG32" s="35" t="str">
        <f t="shared" si="0"/>
        <v/>
      </c>
      <c r="AH32" s="38"/>
      <c r="AI32" s="36"/>
      <c r="AJ32" s="37"/>
      <c r="AK32" s="26" t="str">
        <f t="shared" si="1"/>
        <v/>
      </c>
      <c r="AL32" s="25" t="str">
        <f t="shared" si="2"/>
        <v/>
      </c>
      <c r="AM32" s="38"/>
    </row>
    <row r="33" spans="1:39" ht="12.75" customHeight="1" x14ac:dyDescent="0.25">
      <c r="A33" s="31"/>
      <c r="B33" s="32" t="str">
        <f>IF(A33="","",VLOOKUP(A33,'Employee Database'!A:B,2,FALSE))</f>
        <v/>
      </c>
      <c r="C33" s="31"/>
      <c r="D33" s="31"/>
      <c r="E33" s="31"/>
      <c r="F33" s="39">
        <f>IF(COUNT(C33:E33)=0,0,SUMPRODUCT({5000,1000,500},C33:E33))</f>
        <v>0</v>
      </c>
      <c r="G33" s="31"/>
      <c r="H33" s="31"/>
      <c r="I33" s="31"/>
      <c r="J33" s="39">
        <f>IF(COUNT(G33:I33)=0,0,SUMPRODUCT({5000,1000,500},G33:I33))</f>
        <v>0</v>
      </c>
      <c r="K33" s="31"/>
      <c r="L33" s="31"/>
      <c r="M33" s="31"/>
      <c r="N33" s="39">
        <f>IF(COUNT(K33:M33)=0,0,SUMPRODUCT({5000,1000,500},K33:M33))</f>
        <v>0</v>
      </c>
      <c r="O33" s="31"/>
      <c r="P33" s="31"/>
      <c r="Q33" s="31"/>
      <c r="R33" s="39">
        <f>IF(COUNT(O33:Q33)=0,0,SUMPRODUCT({5000,1000,500},O33:Q33))</f>
        <v>0</v>
      </c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4">
        <f>IF(COUNT(S33:AC33)=0,0,SUMPRODUCT({5000,1000,500,100,75,50,20,10,5,2,1}, S33:AC33))</f>
        <v>0</v>
      </c>
      <c r="AE33" s="33"/>
      <c r="AF33" s="24" t="str">
        <f>IF(AND(COUNT(C33:E33)=0,COUNT(G33:I33)=0,COUNT(K33:M33)=0,COUNT(O33:Q33)=0,COUNT(S33:AC33)=0,AE33=""),"",(IF(COUNT(C33:E33)=0,0,SUMPRODUCT({5000,1000,500},C33:E33))+IF(COUNT(G33:I33)=0,0,SUMPRODUCT({5000,1000,500},G33:I33))+IF(COUNT(K33:M33)=0,0,SUMPRODUCT({5000,1000,500},K33:M33))+IF(COUNT(O33:Q33)=0,0,SUMPRODUCT({5000,1000,500},O33:Q33))+AD33)-N(AE33))</f>
        <v/>
      </c>
      <c r="AG33" s="35" t="str">
        <f t="shared" si="0"/>
        <v/>
      </c>
      <c r="AH33" s="38"/>
      <c r="AI33" s="36"/>
      <c r="AJ33" s="37"/>
      <c r="AK33" s="26" t="str">
        <f t="shared" si="1"/>
        <v/>
      </c>
      <c r="AL33" s="25" t="str">
        <f t="shared" si="2"/>
        <v/>
      </c>
      <c r="AM33" s="38"/>
    </row>
    <row r="34" spans="1:39" ht="22.5" customHeight="1" x14ac:dyDescent="0.25">
      <c r="A34" s="27" t="s">
        <v>24</v>
      </c>
      <c r="B34" s="27" t="s">
        <v>24</v>
      </c>
      <c r="C34" s="28">
        <f t="shared" ref="C34:AF34" si="3">SUM(C5:C33)</f>
        <v>228</v>
      </c>
      <c r="D34" s="28">
        <f t="shared" si="3"/>
        <v>909</v>
      </c>
      <c r="E34" s="28">
        <f t="shared" si="3"/>
        <v>252</v>
      </c>
      <c r="F34" s="40">
        <f t="shared" si="3"/>
        <v>2175000</v>
      </c>
      <c r="G34" s="28">
        <f t="shared" si="3"/>
        <v>298</v>
      </c>
      <c r="H34" s="28">
        <f t="shared" si="3"/>
        <v>1158</v>
      </c>
      <c r="I34" s="28">
        <f t="shared" si="3"/>
        <v>470</v>
      </c>
      <c r="J34" s="40">
        <f t="shared" si="3"/>
        <v>2883000</v>
      </c>
      <c r="K34" s="28">
        <f t="shared" si="3"/>
        <v>0</v>
      </c>
      <c r="L34" s="28">
        <f t="shared" si="3"/>
        <v>0</v>
      </c>
      <c r="M34" s="28">
        <f t="shared" si="3"/>
        <v>0</v>
      </c>
      <c r="N34" s="40">
        <f t="shared" si="3"/>
        <v>0</v>
      </c>
      <c r="O34" s="28">
        <f t="shared" si="3"/>
        <v>0</v>
      </c>
      <c r="P34" s="28">
        <f t="shared" si="3"/>
        <v>0</v>
      </c>
      <c r="Q34" s="28">
        <f t="shared" si="3"/>
        <v>0</v>
      </c>
      <c r="R34" s="40">
        <f t="shared" si="3"/>
        <v>0</v>
      </c>
      <c r="S34" s="28">
        <f t="shared" si="3"/>
        <v>0</v>
      </c>
      <c r="T34" s="28">
        <f t="shared" si="3"/>
        <v>0</v>
      </c>
      <c r="U34" s="28">
        <f t="shared" si="3"/>
        <v>0</v>
      </c>
      <c r="V34" s="28">
        <f t="shared" si="3"/>
        <v>37</v>
      </c>
      <c r="W34" s="28">
        <f t="shared" si="3"/>
        <v>0</v>
      </c>
      <c r="X34" s="28">
        <f t="shared" si="3"/>
        <v>748</v>
      </c>
      <c r="Y34" s="28">
        <f t="shared" si="3"/>
        <v>8</v>
      </c>
      <c r="Z34" s="28">
        <f t="shared" si="3"/>
        <v>1109</v>
      </c>
      <c r="AA34" s="28">
        <f t="shared" si="3"/>
        <v>0</v>
      </c>
      <c r="AB34" s="28">
        <f t="shared" si="3"/>
        <v>0</v>
      </c>
      <c r="AC34" s="28">
        <f t="shared" si="3"/>
        <v>1</v>
      </c>
      <c r="AD34" s="40">
        <f t="shared" si="3"/>
        <v>52351</v>
      </c>
      <c r="AE34" s="41">
        <f t="shared" si="3"/>
        <v>5109755</v>
      </c>
      <c r="AF34" s="29">
        <f t="shared" si="3"/>
        <v>596</v>
      </c>
      <c r="AG34" s="27" t="s">
        <v>24</v>
      </c>
      <c r="AH34" s="27" t="s">
        <v>24</v>
      </c>
      <c r="AI34" s="28">
        <f>SUM(AI5:AI33)</f>
        <v>9482361.0299999993</v>
      </c>
      <c r="AJ34" s="28">
        <f>SUM(AJ5:AJ33)</f>
        <v>9482361.0299999993</v>
      </c>
      <c r="AK34" s="28">
        <f>SUM(AK5:AK33)</f>
        <v>0</v>
      </c>
      <c r="AL34" s="28">
        <f>AJ34+AE34</f>
        <v>14592116.029999999</v>
      </c>
      <c r="AM34" s="28">
        <f>SUM(AM5:AM33)</f>
        <v>0</v>
      </c>
    </row>
  </sheetData>
  <sheetProtection algorithmName="SHA-512" hashValue="0omcBenBIGGncNvfGymu6KTWHLlTaKmRYpZYYNqafo9vZRgvtZpzijd63hyR6hwD9GV2EifLcM5wkH+8j2vfuA==" saltValue="nx9irtANDjWwMjkxx5e9wg==" spinCount="100000" sheet="1" objects="1" scenarios="1"/>
  <mergeCells count="9">
    <mergeCell ref="S3:AC3"/>
    <mergeCell ref="AD3:AG3"/>
    <mergeCell ref="AH3:AM3"/>
    <mergeCell ref="A1:B1"/>
    <mergeCell ref="A3:B3"/>
    <mergeCell ref="C3:F3"/>
    <mergeCell ref="G3:J3"/>
    <mergeCell ref="K3:N3"/>
    <mergeCell ref="O3:R3"/>
  </mergeCells>
  <conditionalFormatting sqref="A5">
    <cfRule type="duplicateValues" dxfId="126" priority="3"/>
    <cfRule type="duplicateValues" dxfId="125" priority="4"/>
  </conditionalFormatting>
  <conditionalFormatting sqref="A6:A33">
    <cfRule type="duplicateValues" dxfId="124" priority="1"/>
    <cfRule type="duplicateValues" dxfId="123" priority="2"/>
  </conditionalFormatting>
  <conditionalFormatting sqref="A34">
    <cfRule type="duplicateValues" dxfId="122" priority="7"/>
  </conditionalFormatting>
  <dataValidations count="1">
    <dataValidation type="list" allowBlank="1" showInputMessage="1" showErrorMessage="1" sqref="A1:B1" xr:uid="{00000000-0002-0000-0F00-000000000000}">
      <formula1>Locations</formula1>
    </dataValidation>
  </dataValidations>
  <pageMargins left="0.75" right="0.75" top="1" bottom="1" header="0.5" footer="0.5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>
    <tabColor rgb="FFC00000"/>
  </sheetPr>
  <dimension ref="A1:AM35"/>
  <sheetViews>
    <sheetView showGridLines="0" topLeftCell="A16" zoomScale="95" zoomScaleNormal="95" workbookViewId="0">
      <pane xSplit="2" topLeftCell="Q1" activePane="topRight" state="frozen"/>
      <selection activeCell="A4" sqref="A4"/>
      <selection pane="topRight" activeCell="W35" sqref="W35"/>
    </sheetView>
  </sheetViews>
  <sheetFormatPr defaultRowHeight="15" x14ac:dyDescent="0.25"/>
  <cols>
    <col min="1" max="1" width="11.85546875" customWidth="1"/>
    <col min="2" max="2" width="20.5703125" customWidth="1"/>
    <col min="6" max="6" width="14.42578125" bestFit="1" customWidth="1"/>
    <col min="10" max="10" width="14.42578125" bestFit="1" customWidth="1"/>
    <col min="14" max="14" width="14.42578125" bestFit="1" customWidth="1"/>
    <col min="18" max="18" width="14.42578125" bestFit="1" customWidth="1"/>
    <col min="30" max="31" width="18" customWidth="1"/>
    <col min="32" max="32" width="20" customWidth="1"/>
    <col min="33" max="33" width="14" customWidth="1"/>
    <col min="35" max="35" width="18" customWidth="1"/>
    <col min="36" max="36" width="22" customWidth="1"/>
    <col min="37" max="37" width="16" customWidth="1"/>
    <col min="38" max="38" width="14" customWidth="1"/>
  </cols>
  <sheetData>
    <row r="1" spans="1:39" ht="43.5" customHeight="1" x14ac:dyDescent="0.25">
      <c r="A1" s="48" t="s">
        <v>306</v>
      </c>
      <c r="B1" s="48"/>
    </row>
    <row r="2" spans="1:39" ht="13.5" customHeight="1" x14ac:dyDescent="0.25">
      <c r="A2" s="30">
        <f>'14'!A2+1</f>
        <v>46218</v>
      </c>
    </row>
    <row r="3" spans="1:39" ht="24" customHeight="1" x14ac:dyDescent="0.25">
      <c r="A3" s="49" t="s">
        <v>0</v>
      </c>
      <c r="B3" s="49"/>
      <c r="C3" s="49" t="s">
        <v>93</v>
      </c>
      <c r="D3" s="50"/>
      <c r="E3" s="50"/>
      <c r="F3" s="50"/>
      <c r="G3" s="49" t="s">
        <v>94</v>
      </c>
      <c r="H3" s="50"/>
      <c r="I3" s="50"/>
      <c r="J3" s="50"/>
      <c r="K3" s="49" t="s">
        <v>95</v>
      </c>
      <c r="L3" s="50"/>
      <c r="M3" s="50"/>
      <c r="N3" s="50"/>
      <c r="O3" s="49" t="s">
        <v>96</v>
      </c>
      <c r="P3" s="50"/>
      <c r="Q3" s="50"/>
      <c r="R3" s="50"/>
      <c r="S3" s="45" t="s">
        <v>1</v>
      </c>
      <c r="T3" s="46"/>
      <c r="U3" s="46"/>
      <c r="V3" s="46"/>
      <c r="W3" s="46"/>
      <c r="X3" s="46"/>
      <c r="Y3" s="46"/>
      <c r="Z3" s="46"/>
      <c r="AA3" s="46"/>
      <c r="AB3" s="46"/>
      <c r="AC3" s="46"/>
      <c r="AD3" s="47" t="s">
        <v>97</v>
      </c>
      <c r="AE3" s="46"/>
      <c r="AF3" s="46"/>
      <c r="AG3" s="46"/>
      <c r="AH3" s="47" t="s">
        <v>98</v>
      </c>
      <c r="AI3" s="46"/>
      <c r="AJ3" s="46"/>
      <c r="AK3" s="46"/>
      <c r="AL3" s="46"/>
      <c r="AM3" s="46"/>
    </row>
    <row r="4" spans="1:39" ht="27.95" customHeight="1" x14ac:dyDescent="0.25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92</v>
      </c>
      <c r="G4" s="1" t="s">
        <v>5</v>
      </c>
      <c r="H4" s="1" t="s">
        <v>6</v>
      </c>
      <c r="I4" s="1" t="s">
        <v>7</v>
      </c>
      <c r="J4" s="1" t="s">
        <v>92</v>
      </c>
      <c r="K4" s="1" t="s">
        <v>5</v>
      </c>
      <c r="L4" s="1" t="s">
        <v>6</v>
      </c>
      <c r="M4" s="1" t="s">
        <v>7</v>
      </c>
      <c r="N4" s="1" t="s">
        <v>92</v>
      </c>
      <c r="O4" s="1" t="s">
        <v>5</v>
      </c>
      <c r="P4" s="1" t="s">
        <v>6</v>
      </c>
      <c r="Q4" s="1" t="s">
        <v>7</v>
      </c>
      <c r="R4" s="1" t="s">
        <v>92</v>
      </c>
      <c r="S4" s="1" t="s">
        <v>5</v>
      </c>
      <c r="T4" s="1" t="s">
        <v>6</v>
      </c>
      <c r="U4" s="1" t="s">
        <v>7</v>
      </c>
      <c r="V4" s="1" t="s">
        <v>8</v>
      </c>
      <c r="W4" s="1" t="s">
        <v>9</v>
      </c>
      <c r="X4" s="1" t="s">
        <v>10</v>
      </c>
      <c r="Y4" s="1" t="s">
        <v>11</v>
      </c>
      <c r="Z4" s="1" t="s">
        <v>12</v>
      </c>
      <c r="AA4" s="1" t="s">
        <v>13</v>
      </c>
      <c r="AB4" s="1" t="s">
        <v>14</v>
      </c>
      <c r="AC4" s="1" t="s">
        <v>15</v>
      </c>
      <c r="AD4" s="1" t="s">
        <v>16</v>
      </c>
      <c r="AE4" s="1" t="s">
        <v>17</v>
      </c>
      <c r="AF4" s="1" t="s">
        <v>18</v>
      </c>
      <c r="AG4" s="1" t="s">
        <v>19</v>
      </c>
      <c r="AH4" s="1" t="s">
        <v>20</v>
      </c>
      <c r="AI4" s="4" t="s">
        <v>99</v>
      </c>
      <c r="AJ4" s="1" t="s">
        <v>21</v>
      </c>
      <c r="AK4" s="1" t="s">
        <v>22</v>
      </c>
      <c r="AL4" s="1" t="s">
        <v>23</v>
      </c>
      <c r="AM4" s="4" t="s">
        <v>100</v>
      </c>
    </row>
    <row r="5" spans="1:39" ht="12.75" customHeight="1" x14ac:dyDescent="0.25">
      <c r="A5" s="31">
        <v>68107</v>
      </c>
      <c r="B5" s="32" t="str">
        <f>IF(A5="","",VLOOKUP(A5,'Employee Database'!A:B,2,FALSE))</f>
        <v>M Harris</v>
      </c>
      <c r="C5" s="31">
        <v>29</v>
      </c>
      <c r="D5" s="31">
        <v>32</v>
      </c>
      <c r="E5" s="31">
        <v>4</v>
      </c>
      <c r="F5" s="39">
        <f>IF(COUNT(C5:E5)=0,0,SUMPRODUCT({5000,1000,500},C5:E5))</f>
        <v>179000</v>
      </c>
      <c r="G5" s="31"/>
      <c r="H5" s="31"/>
      <c r="I5" s="31"/>
      <c r="J5" s="39">
        <f>IF(COUNT(G5:I5)=0,0,SUMPRODUCT({5000,1000,500},G5:I5))</f>
        <v>0</v>
      </c>
      <c r="K5" s="31"/>
      <c r="L5" s="31"/>
      <c r="M5" s="31"/>
      <c r="N5" s="39">
        <f>IF(COUNT(K5:M5)=0,0,SUMPRODUCT({5000,1000,500},K5:M5))</f>
        <v>0</v>
      </c>
      <c r="O5" s="31"/>
      <c r="P5" s="31"/>
      <c r="Q5" s="31"/>
      <c r="R5" s="39">
        <f>IF(COUNT(O5:Q5)=0,0,SUMPRODUCT({5000,1000,500},O5:Q5))</f>
        <v>0</v>
      </c>
      <c r="S5" s="31"/>
      <c r="T5" s="31"/>
      <c r="U5" s="31"/>
      <c r="V5" s="31">
        <v>4</v>
      </c>
      <c r="W5" s="31"/>
      <c r="X5" s="31">
        <v>45</v>
      </c>
      <c r="Y5" s="31"/>
      <c r="Z5" s="31">
        <v>63</v>
      </c>
      <c r="AA5" s="31"/>
      <c r="AB5" s="31"/>
      <c r="AC5" s="31"/>
      <c r="AD5" s="34">
        <f>IF(COUNT(S5:AC5)=0,0,SUMPRODUCT({5000,1000,500,100,75,50,20,10,5,2,1}, S5:AC5))</f>
        <v>3280</v>
      </c>
      <c r="AE5" s="33">
        <v>182270</v>
      </c>
      <c r="AF5" s="24">
        <f>IF(AND(COUNT(C5:E5)=0,COUNT(G5:I5)=0,COUNT(K5:M5)=0,COUNT(O5:Q5)=0,COUNT(S5:AC5)=0,AE5=""),"",(IF(COUNT(C5:E5)=0,0,SUMPRODUCT({5000,1000,500},C5:E5))+IF(COUNT(G5:I5)=0,0,SUMPRODUCT({5000,1000,500},G5:I5))+IF(COUNT(K5:M5)=0,0,SUMPRODUCT({5000,1000,500},K5:M5))+IF(COUNT(O5:Q5)=0,0,SUMPRODUCT({5000,1000,500},O5:Q5))+AD5)-N(AE5))</f>
        <v>10</v>
      </c>
      <c r="AG5" s="35" t="str">
        <f t="shared" ref="AG5:AG34" si="0">IF(AF5="","",IF(AF5&gt;0,"Excess",IF(AF5&lt;0,"Short","Balanced")))</f>
        <v>Excess</v>
      </c>
      <c r="AH5" s="38"/>
      <c r="AI5" s="36">
        <v>658789.61</v>
      </c>
      <c r="AJ5" s="37">
        <f>268070.67+390718.94</f>
        <v>658789.61</v>
      </c>
      <c r="AK5" s="26">
        <f t="shared" ref="AK5:AK34" si="1">IF(AND(AI5="",AJ5=""),"",N(AI5)-N(AJ5))</f>
        <v>0</v>
      </c>
      <c r="AL5" s="25" t="str">
        <f t="shared" ref="AL5:AL34" si="2">IF(AK5="","",IF(AK5&gt;0,"POS Excess",IF(AK5&lt;0,"Bank Short","Matched")))</f>
        <v>Matched</v>
      </c>
      <c r="AM5" s="38"/>
    </row>
    <row r="6" spans="1:39" ht="12.75" customHeight="1" x14ac:dyDescent="0.25">
      <c r="A6" s="31">
        <v>65299</v>
      </c>
      <c r="B6" s="32" t="str">
        <f>IF(A6="","",VLOOKUP(A6,'Employee Database'!A:B,2,FALSE))</f>
        <v>M Faisal</v>
      </c>
      <c r="C6" s="31">
        <v>34</v>
      </c>
      <c r="D6" s="31">
        <v>89</v>
      </c>
      <c r="E6" s="31">
        <v>59</v>
      </c>
      <c r="F6" s="39">
        <f>IF(COUNT(C6:E6)=0,0,SUMPRODUCT({5000,1000,500},C6:E6))</f>
        <v>288500</v>
      </c>
      <c r="G6" s="31"/>
      <c r="H6" s="31"/>
      <c r="I6" s="31"/>
      <c r="J6" s="39">
        <f>IF(COUNT(G6:I6)=0,0,SUMPRODUCT({5000,1000,500},G6:I6))</f>
        <v>0</v>
      </c>
      <c r="K6" s="31"/>
      <c r="L6" s="31"/>
      <c r="M6" s="31"/>
      <c r="N6" s="39">
        <f>IF(COUNT(K6:M6)=0,0,SUMPRODUCT({5000,1000,500},K6:M6))</f>
        <v>0</v>
      </c>
      <c r="O6" s="31"/>
      <c r="P6" s="31"/>
      <c r="Q6" s="31"/>
      <c r="R6" s="39">
        <f>IF(COUNT(O6:Q6)=0,0,SUMPRODUCT({5000,1000,500},O6:Q6))</f>
        <v>0</v>
      </c>
      <c r="S6" s="31"/>
      <c r="T6" s="31"/>
      <c r="U6" s="31"/>
      <c r="V6" s="31">
        <v>2</v>
      </c>
      <c r="W6" s="31"/>
      <c r="X6" s="31">
        <v>4</v>
      </c>
      <c r="Y6" s="31">
        <v>11</v>
      </c>
      <c r="Z6" s="31">
        <v>38</v>
      </c>
      <c r="AA6" s="31"/>
      <c r="AB6" s="31"/>
      <c r="AC6" s="31"/>
      <c r="AD6" s="34">
        <f>IF(COUNT(S6:AC6)=0,0,SUMPRODUCT({5000,1000,500,100,75,50,20,10,5,2,1}, S6:AC6))</f>
        <v>1000</v>
      </c>
      <c r="AE6" s="33">
        <v>289554</v>
      </c>
      <c r="AF6" s="24">
        <f>IF(AND(COUNT(C6:E6)=0,COUNT(G6:I6)=0,COUNT(K6:M6)=0,COUNT(O6:Q6)=0,COUNT(S6:AC6)=0,AE6=""),"",(IF(COUNT(C6:E6)=0,0,SUMPRODUCT({5000,1000,500},C6:E6))+IF(COUNT(G6:I6)=0,0,SUMPRODUCT({5000,1000,500},G6:I6))+IF(COUNT(K6:M6)=0,0,SUMPRODUCT({5000,1000,500},K6:M6))+IF(COUNT(O6:Q6)=0,0,SUMPRODUCT({5000,1000,500},O6:Q6))+AD6)-N(AE6))</f>
        <v>-54</v>
      </c>
      <c r="AG6" s="35" t="str">
        <f t="shared" si="0"/>
        <v>Short</v>
      </c>
      <c r="AH6" s="38"/>
      <c r="AI6" s="36">
        <f>506295.42+13531</f>
        <v>519826.42</v>
      </c>
      <c r="AJ6" s="37">
        <f>13531+281988.8+224306.62</f>
        <v>519826.42</v>
      </c>
      <c r="AK6" s="26">
        <f t="shared" si="1"/>
        <v>0</v>
      </c>
      <c r="AL6" s="25" t="str">
        <f t="shared" si="2"/>
        <v>Matched</v>
      </c>
      <c r="AM6" s="38"/>
    </row>
    <row r="7" spans="1:39" ht="12.75" customHeight="1" x14ac:dyDescent="0.25">
      <c r="A7" s="31">
        <v>72873</v>
      </c>
      <c r="B7" s="32" t="str">
        <f>IF(A7="","",VLOOKUP(A7,'Employee Database'!A:B,2,FALSE))</f>
        <v>M Shajee</v>
      </c>
      <c r="C7" s="31">
        <v>49</v>
      </c>
      <c r="D7" s="31">
        <v>135</v>
      </c>
      <c r="E7" s="31">
        <v>33</v>
      </c>
      <c r="F7" s="39">
        <f>IF(COUNT(C7:E7)=0,0,SUMPRODUCT({5000,1000,500},C7:E7))</f>
        <v>396500</v>
      </c>
      <c r="G7" s="31"/>
      <c r="H7" s="31"/>
      <c r="I7" s="31"/>
      <c r="J7" s="39">
        <f>IF(COUNT(G7:I7)=0,0,SUMPRODUCT({5000,1000,500},G7:I7))</f>
        <v>0</v>
      </c>
      <c r="K7" s="31"/>
      <c r="L7" s="31"/>
      <c r="M7" s="31"/>
      <c r="N7" s="39">
        <f>IF(COUNT(K7:M7)=0,0,SUMPRODUCT({5000,1000,500},K7:M7))</f>
        <v>0</v>
      </c>
      <c r="O7" s="31"/>
      <c r="P7" s="31"/>
      <c r="Q7" s="31"/>
      <c r="R7" s="39">
        <f>IF(COUNT(O7:Q7)=0,0,SUMPRODUCT({5000,1000,500},O7:Q7))</f>
        <v>0</v>
      </c>
      <c r="S7" s="31"/>
      <c r="T7" s="31"/>
      <c r="U7" s="31"/>
      <c r="V7" s="31"/>
      <c r="W7" s="31"/>
      <c r="X7" s="31">
        <v>15</v>
      </c>
      <c r="Y7" s="31"/>
      <c r="Z7" s="31">
        <v>6</v>
      </c>
      <c r="AA7" s="31"/>
      <c r="AB7" s="31"/>
      <c r="AC7" s="31"/>
      <c r="AD7" s="34">
        <f>IF(COUNT(S7:AC7)=0,0,SUMPRODUCT({5000,1000,500,100,75,50,20,10,5,2,1}, S7:AC7))</f>
        <v>810</v>
      </c>
      <c r="AE7" s="33">
        <v>397268</v>
      </c>
      <c r="AF7" s="24">
        <f>IF(AND(COUNT(C7:E7)=0,COUNT(G7:I7)=0,COUNT(K7:M7)=0,COUNT(O7:Q7)=0,COUNT(S7:AC7)=0,AE7=""),"",(IF(COUNT(C7:E7)=0,0,SUMPRODUCT({5000,1000,500},C7:E7))+IF(COUNT(G7:I7)=0,0,SUMPRODUCT({5000,1000,500},G7:I7))+IF(COUNT(K7:M7)=0,0,SUMPRODUCT({5000,1000,500},K7:M7))+IF(COUNT(O7:Q7)=0,0,SUMPRODUCT({5000,1000,500},O7:Q7))+AD7)-N(AE7))</f>
        <v>42</v>
      </c>
      <c r="AG7" s="35" t="str">
        <f t="shared" si="0"/>
        <v>Excess</v>
      </c>
      <c r="AH7" s="38"/>
      <c r="AI7" s="36">
        <v>383507.79</v>
      </c>
      <c r="AJ7" s="37">
        <f>181142.26+202365.53</f>
        <v>383507.79000000004</v>
      </c>
      <c r="AK7" s="26">
        <f t="shared" si="1"/>
        <v>-5.8207660913467407E-11</v>
      </c>
      <c r="AL7" s="25" t="str">
        <f t="shared" si="2"/>
        <v>Bank Short</v>
      </c>
      <c r="AM7" s="38"/>
    </row>
    <row r="8" spans="1:39" ht="12.75" customHeight="1" x14ac:dyDescent="0.25">
      <c r="A8" s="31">
        <v>57653</v>
      </c>
      <c r="B8" s="32" t="str">
        <f>IF(A8="","",VLOOKUP(A8,'Employee Database'!A:B,2,FALSE))</f>
        <v>Amanat ali</v>
      </c>
      <c r="C8" s="31">
        <v>65</v>
      </c>
      <c r="D8" s="31">
        <v>142</v>
      </c>
      <c r="E8" s="31">
        <v>6</v>
      </c>
      <c r="F8" s="39">
        <f>IF(COUNT(C8:E8)=0,0,SUMPRODUCT({5000,1000,500},C8:E8))</f>
        <v>470000</v>
      </c>
      <c r="G8" s="31"/>
      <c r="H8" s="31"/>
      <c r="I8" s="31"/>
      <c r="J8" s="39">
        <f>IF(COUNT(G8:I8)=0,0,SUMPRODUCT({5000,1000,500},G8:I8))</f>
        <v>0</v>
      </c>
      <c r="K8" s="31"/>
      <c r="L8" s="31"/>
      <c r="M8" s="31"/>
      <c r="N8" s="39">
        <f>IF(COUNT(K8:M8)=0,0,SUMPRODUCT({5000,1000,500},K8:M8))</f>
        <v>0</v>
      </c>
      <c r="O8" s="31"/>
      <c r="P8" s="31"/>
      <c r="Q8" s="31"/>
      <c r="R8" s="39">
        <f>IF(COUNT(O8:Q8)=0,0,SUMPRODUCT({5000,1000,500},O8:Q8))</f>
        <v>0</v>
      </c>
      <c r="S8" s="31"/>
      <c r="T8" s="31"/>
      <c r="U8" s="31"/>
      <c r="V8" s="31">
        <v>1</v>
      </c>
      <c r="W8" s="31"/>
      <c r="X8" s="31">
        <v>4</v>
      </c>
      <c r="Y8" s="31">
        <v>2</v>
      </c>
      <c r="Z8" s="31">
        <v>30</v>
      </c>
      <c r="AA8" s="31"/>
      <c r="AB8" s="31">
        <v>3</v>
      </c>
      <c r="AC8" s="31"/>
      <c r="AD8" s="34">
        <f>IF(COUNT(S8:AC8)=0,0,SUMPRODUCT({5000,1000,500,100,75,50,20,10,5,2,1}, S8:AC8))</f>
        <v>646</v>
      </c>
      <c r="AE8" s="33">
        <v>470622</v>
      </c>
      <c r="AF8" s="24">
        <f>IF(AND(COUNT(C8:E8)=0,COUNT(G8:I8)=0,COUNT(K8:M8)=0,COUNT(O8:Q8)=0,COUNT(S8:AC8)=0,AE8=""),"",(IF(COUNT(C8:E8)=0,0,SUMPRODUCT({5000,1000,500},C8:E8))+IF(COUNT(G8:I8)=0,0,SUMPRODUCT({5000,1000,500},G8:I8))+IF(COUNT(K8:M8)=0,0,SUMPRODUCT({5000,1000,500},K8:M8))+IF(COUNT(O8:Q8)=0,0,SUMPRODUCT({5000,1000,500},O8:Q8))+AD8)-N(AE8))</f>
        <v>24</v>
      </c>
      <c r="AG8" s="35" t="str">
        <f t="shared" si="0"/>
        <v>Excess</v>
      </c>
      <c r="AH8" s="38"/>
      <c r="AI8" s="36">
        <v>715631.25</v>
      </c>
      <c r="AJ8" s="37">
        <f>445035.21+270596.04</f>
        <v>715631.25</v>
      </c>
      <c r="AK8" s="26">
        <f t="shared" si="1"/>
        <v>0</v>
      </c>
      <c r="AL8" s="25" t="str">
        <f t="shared" si="2"/>
        <v>Matched</v>
      </c>
      <c r="AM8" s="38"/>
    </row>
    <row r="9" spans="1:39" ht="12.75" customHeight="1" x14ac:dyDescent="0.25">
      <c r="A9" s="31">
        <v>67249</v>
      </c>
      <c r="B9" s="32" t="str">
        <f>IF(A9="","",VLOOKUP(A9,'Employee Database'!A:B,2,FALSE))</f>
        <v>Hanan Javaid</v>
      </c>
      <c r="C9" s="31">
        <v>29</v>
      </c>
      <c r="D9" s="31">
        <v>186</v>
      </c>
      <c r="E9" s="31">
        <v>57</v>
      </c>
      <c r="F9" s="39">
        <f>IF(COUNT(C9:E9)=0,0,SUMPRODUCT({5000,1000,500},C9:E9))</f>
        <v>359500</v>
      </c>
      <c r="G9" s="31"/>
      <c r="H9" s="31"/>
      <c r="I9" s="31"/>
      <c r="J9" s="39">
        <f>IF(COUNT(G9:I9)=0,0,SUMPRODUCT({5000,1000,500},G9:I9))</f>
        <v>0</v>
      </c>
      <c r="K9" s="31"/>
      <c r="L9" s="31"/>
      <c r="M9" s="31"/>
      <c r="N9" s="39">
        <f>IF(COUNT(K9:M9)=0,0,SUMPRODUCT({5000,1000,500},K9:M9))</f>
        <v>0</v>
      </c>
      <c r="O9" s="31"/>
      <c r="P9" s="31"/>
      <c r="Q9" s="31"/>
      <c r="R9" s="39">
        <f>IF(COUNT(O9:Q9)=0,0,SUMPRODUCT({5000,1000,500},O9:Q9))</f>
        <v>0</v>
      </c>
      <c r="S9" s="31"/>
      <c r="T9" s="31"/>
      <c r="U9" s="31"/>
      <c r="V9" s="31">
        <v>7</v>
      </c>
      <c r="W9" s="31"/>
      <c r="X9" s="31">
        <v>43</v>
      </c>
      <c r="Y9" s="31">
        <v>2</v>
      </c>
      <c r="Z9" s="31">
        <v>56</v>
      </c>
      <c r="AA9" s="31"/>
      <c r="AB9" s="31"/>
      <c r="AC9" s="31"/>
      <c r="AD9" s="34">
        <f>IF(COUNT(S9:AC9)=0,0,SUMPRODUCT({5000,1000,500,100,75,50,20,10,5,2,1}, S9:AC9))</f>
        <v>3450</v>
      </c>
      <c r="AE9" s="33">
        <v>362952</v>
      </c>
      <c r="AF9" s="24">
        <f>IF(AND(COUNT(C9:E9)=0,COUNT(G9:I9)=0,COUNT(K9:M9)=0,COUNT(O9:Q9)=0,COUNT(S9:AC9)=0,AE9=""),"",(IF(COUNT(C9:E9)=0,0,SUMPRODUCT({5000,1000,500},C9:E9))+IF(COUNT(G9:I9)=0,0,SUMPRODUCT({5000,1000,500},G9:I9))+IF(COUNT(K9:M9)=0,0,SUMPRODUCT({5000,1000,500},K9:M9))+IF(COUNT(O9:Q9)=0,0,SUMPRODUCT({5000,1000,500},O9:Q9))+AD9)-N(AE9))</f>
        <v>-2</v>
      </c>
      <c r="AG9" s="35" t="str">
        <f t="shared" si="0"/>
        <v>Short</v>
      </c>
      <c r="AH9" s="38"/>
      <c r="AI9" s="36">
        <v>899811.41</v>
      </c>
      <c r="AJ9" s="37">
        <v>899811.41</v>
      </c>
      <c r="AK9" s="26">
        <f t="shared" si="1"/>
        <v>0</v>
      </c>
      <c r="AL9" s="25" t="str">
        <f t="shared" si="2"/>
        <v>Matched</v>
      </c>
      <c r="AM9" s="38"/>
    </row>
    <row r="10" spans="1:39" ht="12.75" customHeight="1" x14ac:dyDescent="0.25">
      <c r="A10" s="31">
        <v>73196</v>
      </c>
      <c r="B10" s="32" t="str">
        <f>IF(A10="","",VLOOKUP(A10,'Employee Database'!A:B,2,FALSE))</f>
        <v>Asma</v>
      </c>
      <c r="C10" s="31">
        <v>43</v>
      </c>
      <c r="D10" s="31">
        <v>137</v>
      </c>
      <c r="E10" s="31">
        <v>27</v>
      </c>
      <c r="F10" s="39">
        <f>IF(COUNT(C10:E10)=0,0,SUMPRODUCT({5000,1000,500},C10:E10))</f>
        <v>365500</v>
      </c>
      <c r="G10" s="31"/>
      <c r="H10" s="31"/>
      <c r="I10" s="31"/>
      <c r="J10" s="39">
        <f>IF(COUNT(G10:I10)=0,0,SUMPRODUCT({5000,1000,500},G10:I10))</f>
        <v>0</v>
      </c>
      <c r="K10" s="31"/>
      <c r="L10" s="31"/>
      <c r="M10" s="31"/>
      <c r="N10" s="39">
        <f>IF(COUNT(K10:M10)=0,0,SUMPRODUCT({5000,1000,500},K10:M10))</f>
        <v>0</v>
      </c>
      <c r="O10" s="31"/>
      <c r="P10" s="31"/>
      <c r="Q10" s="31"/>
      <c r="R10" s="39">
        <f>IF(COUNT(O10:Q10)=0,0,SUMPRODUCT({5000,1000,500},O10:Q10))</f>
        <v>0</v>
      </c>
      <c r="S10" s="31"/>
      <c r="T10" s="31"/>
      <c r="U10" s="31"/>
      <c r="V10" s="31"/>
      <c r="W10" s="31"/>
      <c r="X10" s="31">
        <v>28</v>
      </c>
      <c r="Y10" s="31"/>
      <c r="Z10" s="31">
        <v>16</v>
      </c>
      <c r="AA10" s="31"/>
      <c r="AB10" s="31"/>
      <c r="AC10" s="31"/>
      <c r="AD10" s="34">
        <f>IF(COUNT(S10:AC10)=0,0,SUMPRODUCT({5000,1000,500,100,75,50,20,10,5,2,1}, S10:AC10))</f>
        <v>1560</v>
      </c>
      <c r="AE10" s="33">
        <v>367052</v>
      </c>
      <c r="AF10" s="24">
        <f>IF(AND(COUNT(C10:E10)=0,COUNT(G10:I10)=0,COUNT(K10:M10)=0,COUNT(O10:Q10)=0,COUNT(S10:AC10)=0,AE10=""),"",(IF(COUNT(C10:E10)=0,0,SUMPRODUCT({5000,1000,500},C10:E10))+IF(COUNT(G10:I10)=0,0,SUMPRODUCT({5000,1000,500},G10:I10))+IF(COUNT(K10:M10)=0,0,SUMPRODUCT({5000,1000,500},K10:M10))+IF(COUNT(O10:Q10)=0,0,SUMPRODUCT({5000,1000,500},O10:Q10))+AD10)-N(AE10))</f>
        <v>8</v>
      </c>
      <c r="AG10" s="35" t="str">
        <f t="shared" si="0"/>
        <v>Excess</v>
      </c>
      <c r="AH10" s="38"/>
      <c r="AI10" s="36">
        <v>739520.73</v>
      </c>
      <c r="AJ10" s="37">
        <f>455707.47+283813.26</f>
        <v>739520.73</v>
      </c>
      <c r="AK10" s="26">
        <f t="shared" si="1"/>
        <v>0</v>
      </c>
      <c r="AL10" s="25" t="str">
        <f t="shared" si="2"/>
        <v>Matched</v>
      </c>
      <c r="AM10" s="38"/>
    </row>
    <row r="11" spans="1:39" ht="12.75" customHeight="1" x14ac:dyDescent="0.25">
      <c r="A11" s="31">
        <v>63854</v>
      </c>
      <c r="B11" s="32" t="str">
        <f>IF(A11="","",VLOOKUP(A11,'Employee Database'!A:B,2,FALSE))</f>
        <v>Maham</v>
      </c>
      <c r="C11" s="31">
        <v>4</v>
      </c>
      <c r="D11" s="31">
        <v>29</v>
      </c>
      <c r="E11" s="31">
        <v>27</v>
      </c>
      <c r="F11" s="39">
        <f>IF(COUNT(C11:E11)=0,0,SUMPRODUCT({5000,1000,500},C11:E11))</f>
        <v>62500</v>
      </c>
      <c r="G11" s="31"/>
      <c r="H11" s="31"/>
      <c r="I11" s="31"/>
      <c r="J11" s="39">
        <f>IF(COUNT(G11:I11)=0,0,SUMPRODUCT({5000,1000,500},G11:I11))</f>
        <v>0</v>
      </c>
      <c r="K11" s="31"/>
      <c r="L11" s="31"/>
      <c r="M11" s="31"/>
      <c r="N11" s="39">
        <f>IF(COUNT(K11:M11)=0,0,SUMPRODUCT({5000,1000,500},K11:M11))</f>
        <v>0</v>
      </c>
      <c r="O11" s="31"/>
      <c r="P11" s="31"/>
      <c r="Q11" s="31"/>
      <c r="R11" s="39">
        <f>IF(COUNT(O11:Q11)=0,0,SUMPRODUCT({5000,1000,500},O11:Q11))</f>
        <v>0</v>
      </c>
      <c r="S11" s="31"/>
      <c r="T11" s="31"/>
      <c r="U11" s="31"/>
      <c r="V11" s="31"/>
      <c r="W11" s="31"/>
      <c r="X11" s="31">
        <v>43</v>
      </c>
      <c r="Y11" s="31"/>
      <c r="Z11" s="31"/>
      <c r="AA11" s="31"/>
      <c r="AB11" s="31"/>
      <c r="AC11" s="31"/>
      <c r="AD11" s="34">
        <f>IF(COUNT(S11:AC11)=0,0,SUMPRODUCT({5000,1000,500,100,75,50,20,10,5,2,1}, S11:AC11))</f>
        <v>2150</v>
      </c>
      <c r="AE11" s="33">
        <v>64602</v>
      </c>
      <c r="AF11" s="24">
        <f>IF(AND(COUNT(C11:E11)=0,COUNT(G11:I11)=0,COUNT(K11:M11)=0,COUNT(O11:Q11)=0,COUNT(S11:AC11)=0,AE11=""),"",(IF(COUNT(C11:E11)=0,0,SUMPRODUCT({5000,1000,500},C11:E11))+IF(COUNT(G11:I11)=0,0,SUMPRODUCT({5000,1000,500},G11:I11))+IF(COUNT(K11:M11)=0,0,SUMPRODUCT({5000,1000,500},K11:M11))+IF(COUNT(O11:Q11)=0,0,SUMPRODUCT({5000,1000,500},O11:Q11))+AD11)-N(AE11))</f>
        <v>48</v>
      </c>
      <c r="AG11" s="35" t="str">
        <f t="shared" si="0"/>
        <v>Excess</v>
      </c>
      <c r="AH11" s="38"/>
      <c r="AI11" s="36">
        <v>42069.19</v>
      </c>
      <c r="AJ11" s="37">
        <f>23141.73+18927.46</f>
        <v>42069.19</v>
      </c>
      <c r="AK11" s="26">
        <f t="shared" si="1"/>
        <v>0</v>
      </c>
      <c r="AL11" s="25" t="str">
        <f t="shared" si="2"/>
        <v>Matched</v>
      </c>
      <c r="AM11" s="38"/>
    </row>
    <row r="12" spans="1:39" ht="12.75" customHeight="1" x14ac:dyDescent="0.25">
      <c r="A12" s="31">
        <v>56189</v>
      </c>
      <c r="B12" s="32" t="str">
        <f>IF(A12="","",VLOOKUP(A12,'Employee Database'!A:B,2,FALSE))</f>
        <v>Iffat Sultan</v>
      </c>
      <c r="C12" s="31">
        <v>19</v>
      </c>
      <c r="D12" s="31">
        <v>54</v>
      </c>
      <c r="E12" s="31">
        <v>7</v>
      </c>
      <c r="F12" s="39">
        <f>IF(COUNT(C12:E12)=0,0,SUMPRODUCT({5000,1000,500},C12:E12))</f>
        <v>152500</v>
      </c>
      <c r="G12" s="31"/>
      <c r="H12" s="31"/>
      <c r="I12" s="31"/>
      <c r="J12" s="39">
        <f>IF(COUNT(G12:I12)=0,0,SUMPRODUCT({5000,1000,500},G12:I12))</f>
        <v>0</v>
      </c>
      <c r="K12" s="31"/>
      <c r="L12" s="31"/>
      <c r="M12" s="31"/>
      <c r="N12" s="39">
        <f>IF(COUNT(K12:M12)=0,0,SUMPRODUCT({5000,1000,500},K12:M12))</f>
        <v>0</v>
      </c>
      <c r="O12" s="31"/>
      <c r="P12" s="31"/>
      <c r="Q12" s="31"/>
      <c r="R12" s="39">
        <f>IF(COUNT(O12:Q12)=0,0,SUMPRODUCT({5000,1000,500},O12:Q12))</f>
        <v>0</v>
      </c>
      <c r="S12" s="31"/>
      <c r="T12" s="31"/>
      <c r="U12" s="31"/>
      <c r="V12" s="31">
        <v>1</v>
      </c>
      <c r="W12" s="31"/>
      <c r="X12" s="31">
        <v>13</v>
      </c>
      <c r="Y12" s="31">
        <v>1</v>
      </c>
      <c r="Z12" s="31">
        <v>21</v>
      </c>
      <c r="AA12" s="31"/>
      <c r="AB12" s="31"/>
      <c r="AC12" s="31"/>
      <c r="AD12" s="34">
        <f>IF(COUNT(S12:AC12)=0,0,SUMPRODUCT({5000,1000,500,100,75,50,20,10,5,2,1}, S12:AC12))</f>
        <v>980</v>
      </c>
      <c r="AE12" s="33">
        <v>153448</v>
      </c>
      <c r="AF12" s="24">
        <f>IF(AND(COUNT(C12:E12)=0,COUNT(G12:I12)=0,COUNT(K12:M12)=0,COUNT(O12:Q12)=0,COUNT(S12:AC12)=0,AE12=""),"",(IF(COUNT(C12:E12)=0,0,SUMPRODUCT({5000,1000,500},C12:E12))+IF(COUNT(G12:I12)=0,0,SUMPRODUCT({5000,1000,500},G12:I12))+IF(COUNT(K12:M12)=0,0,SUMPRODUCT({5000,1000,500},K12:M12))+IF(COUNT(O12:Q12)=0,0,SUMPRODUCT({5000,1000,500},O12:Q12))+AD12)-N(AE12))</f>
        <v>32</v>
      </c>
      <c r="AG12" s="35" t="str">
        <f t="shared" si="0"/>
        <v>Excess</v>
      </c>
      <c r="AH12" s="38"/>
      <c r="AI12" s="36">
        <v>284263.81</v>
      </c>
      <c r="AJ12" s="37">
        <f>100479.21+183784.6</f>
        <v>284263.81</v>
      </c>
      <c r="AK12" s="26">
        <f t="shared" si="1"/>
        <v>0</v>
      </c>
      <c r="AL12" s="25" t="str">
        <f t="shared" si="2"/>
        <v>Matched</v>
      </c>
      <c r="AM12" s="38"/>
    </row>
    <row r="13" spans="1:39" ht="12.75" customHeight="1" x14ac:dyDescent="0.25">
      <c r="A13" s="31">
        <v>71788</v>
      </c>
      <c r="B13" s="32" t="str">
        <f>IF(A13="","",VLOOKUP(A13,'Employee Database'!A:B,2,FALSE))</f>
        <v>Saaim</v>
      </c>
      <c r="C13" s="31"/>
      <c r="D13" s="31"/>
      <c r="E13" s="31"/>
      <c r="F13" s="39">
        <f>IF(COUNT(C13:E13)=0,0,SUMPRODUCT({5000,1000,500},C13:E13))</f>
        <v>0</v>
      </c>
      <c r="G13" s="31">
        <v>14</v>
      </c>
      <c r="H13" s="31">
        <v>83</v>
      </c>
      <c r="I13" s="31">
        <v>22</v>
      </c>
      <c r="J13" s="39">
        <f>IF(COUNT(G13:I13)=0,0,SUMPRODUCT({5000,1000,500},G13:I13))</f>
        <v>164000</v>
      </c>
      <c r="K13" s="31"/>
      <c r="L13" s="31"/>
      <c r="M13" s="31"/>
      <c r="N13" s="39">
        <f>IF(COUNT(K13:M13)=0,0,SUMPRODUCT({5000,1000,500},K13:M13))</f>
        <v>0</v>
      </c>
      <c r="O13" s="31"/>
      <c r="P13" s="31"/>
      <c r="Q13" s="31"/>
      <c r="R13" s="39">
        <f>IF(COUNT(O13:Q13)=0,0,SUMPRODUCT({5000,1000,500},O13:Q13))</f>
        <v>0</v>
      </c>
      <c r="S13" s="31"/>
      <c r="T13" s="31"/>
      <c r="U13" s="31"/>
      <c r="V13" s="31"/>
      <c r="W13" s="31"/>
      <c r="X13" s="31">
        <v>17</v>
      </c>
      <c r="Y13" s="31"/>
      <c r="Z13" s="31">
        <v>57</v>
      </c>
      <c r="AA13" s="31"/>
      <c r="AB13" s="31"/>
      <c r="AC13" s="31"/>
      <c r="AD13" s="34">
        <f>IF(COUNT(S13:AC13)=0,0,SUMPRODUCT({5000,1000,500,100,75,50,20,10,5,2,1}, S13:AC13))</f>
        <v>1420</v>
      </c>
      <c r="AE13" s="33">
        <v>165370</v>
      </c>
      <c r="AF13" s="24">
        <f>IF(AND(COUNT(C13:E13)=0,COUNT(G13:I13)=0,COUNT(K13:M13)=0,COUNT(O13:Q13)=0,COUNT(S13:AC13)=0,AE13=""),"",(IF(COUNT(C13:E13)=0,0,SUMPRODUCT({5000,1000,500},C13:E13))+IF(COUNT(G13:I13)=0,0,SUMPRODUCT({5000,1000,500},G13:I13))+IF(COUNT(K13:M13)=0,0,SUMPRODUCT({5000,1000,500},K13:M13))+IF(COUNT(O13:Q13)=0,0,SUMPRODUCT({5000,1000,500},O13:Q13))+AD13)-N(AE13))</f>
        <v>50</v>
      </c>
      <c r="AG13" s="35" t="str">
        <f t="shared" si="0"/>
        <v>Excess</v>
      </c>
      <c r="AH13" s="38"/>
      <c r="AI13" s="36">
        <f>462420.09+59457.8</f>
        <v>521877.89</v>
      </c>
      <c r="AJ13" s="37">
        <f>128212.24+250422.67+83785.18+59457.8</f>
        <v>521877.89</v>
      </c>
      <c r="AK13" s="26">
        <f t="shared" si="1"/>
        <v>0</v>
      </c>
      <c r="AL13" s="25" t="str">
        <f t="shared" si="2"/>
        <v>Matched</v>
      </c>
      <c r="AM13" s="38"/>
    </row>
    <row r="14" spans="1:39" ht="12.75" customHeight="1" x14ac:dyDescent="0.25">
      <c r="A14" s="31">
        <v>67799</v>
      </c>
      <c r="B14" s="32" t="str">
        <f>IF(A14="","",VLOOKUP(A14,'Employee Database'!A:B,2,FALSE))</f>
        <v>Hassan Raza</v>
      </c>
      <c r="C14" s="31"/>
      <c r="D14" s="31"/>
      <c r="E14" s="31"/>
      <c r="F14" s="39">
        <f>IF(COUNT(C14:E14)=0,0,SUMPRODUCT({5000,1000,500},C14:E14))</f>
        <v>0</v>
      </c>
      <c r="G14" s="31">
        <v>21</v>
      </c>
      <c r="H14" s="31">
        <v>102</v>
      </c>
      <c r="I14" s="31">
        <v>48</v>
      </c>
      <c r="J14" s="39">
        <f>IF(COUNT(G14:I14)=0,0,SUMPRODUCT({5000,1000,500},G14:I14))</f>
        <v>231000</v>
      </c>
      <c r="K14" s="31"/>
      <c r="L14" s="31"/>
      <c r="M14" s="31"/>
      <c r="N14" s="39">
        <f>IF(COUNT(K14:M14)=0,0,SUMPRODUCT({5000,1000,500},K14:M14))</f>
        <v>0</v>
      </c>
      <c r="O14" s="31"/>
      <c r="P14" s="31"/>
      <c r="Q14" s="31"/>
      <c r="R14" s="39">
        <f>IF(COUNT(O14:Q14)=0,0,SUMPRODUCT({5000,1000,500},O14:Q14))</f>
        <v>0</v>
      </c>
      <c r="S14" s="31"/>
      <c r="T14" s="31"/>
      <c r="U14" s="31"/>
      <c r="V14" s="31">
        <v>6</v>
      </c>
      <c r="W14" s="31"/>
      <c r="X14" s="31">
        <v>13</v>
      </c>
      <c r="Y14" s="31">
        <v>1</v>
      </c>
      <c r="Z14" s="31">
        <v>482</v>
      </c>
      <c r="AA14" s="31"/>
      <c r="AB14" s="31"/>
      <c r="AC14" s="31"/>
      <c r="AD14" s="34">
        <f>IF(COUNT(S14:AC14)=0,0,SUMPRODUCT({5000,1000,500,100,75,50,20,10,5,2,1}, S14:AC14))</f>
        <v>6090</v>
      </c>
      <c r="AE14" s="33">
        <v>237106</v>
      </c>
      <c r="AF14" s="24">
        <f>IF(AND(COUNT(C14:E14)=0,COUNT(G14:I14)=0,COUNT(K14:M14)=0,COUNT(O14:Q14)=0,COUNT(S14:AC14)=0,AE14=""),"",(IF(COUNT(C14:E14)=0,0,SUMPRODUCT({5000,1000,500},C14:E14))+IF(COUNT(G14:I14)=0,0,SUMPRODUCT({5000,1000,500},G14:I14))+IF(COUNT(K14:M14)=0,0,SUMPRODUCT({5000,1000,500},K14:M14))+IF(COUNT(O14:Q14)=0,0,SUMPRODUCT({5000,1000,500},O14:Q14))+AD14)-N(AE14))</f>
        <v>-16</v>
      </c>
      <c r="AG14" s="35" t="str">
        <f t="shared" si="0"/>
        <v>Short</v>
      </c>
      <c r="AH14" s="38"/>
      <c r="AI14" s="36">
        <v>304190.17</v>
      </c>
      <c r="AJ14" s="37">
        <f>33810.96+270379.21</f>
        <v>304190.17000000004</v>
      </c>
      <c r="AK14" s="26">
        <f t="shared" si="1"/>
        <v>-5.8207660913467407E-11</v>
      </c>
      <c r="AL14" s="25" t="str">
        <f t="shared" si="2"/>
        <v>Bank Short</v>
      </c>
      <c r="AM14" s="38"/>
    </row>
    <row r="15" spans="1:39" ht="12.75" customHeight="1" x14ac:dyDescent="0.25">
      <c r="A15" s="31">
        <v>75768</v>
      </c>
      <c r="B15" s="32" t="str">
        <f>IF(A15="","",VLOOKUP(A15,'Employee Database'!A:B,2,FALSE))</f>
        <v>Zuhaib</v>
      </c>
      <c r="C15" s="31"/>
      <c r="D15" s="31"/>
      <c r="E15" s="31"/>
      <c r="F15" s="39">
        <f>IF(COUNT(C15:E15)=0,0,SUMPRODUCT({5000,1000,500},C15:E15))</f>
        <v>0</v>
      </c>
      <c r="G15" s="31">
        <v>17</v>
      </c>
      <c r="H15" s="31">
        <v>146</v>
      </c>
      <c r="I15" s="31">
        <v>35</v>
      </c>
      <c r="J15" s="39">
        <f>IF(COUNT(G15:I15)=0,0,SUMPRODUCT({5000,1000,500},G15:I15))</f>
        <v>248500</v>
      </c>
      <c r="K15" s="31"/>
      <c r="L15" s="31"/>
      <c r="M15" s="31"/>
      <c r="N15" s="39">
        <f>IF(COUNT(K15:M15)=0,0,SUMPRODUCT({5000,1000,500},K15:M15))</f>
        <v>0</v>
      </c>
      <c r="O15" s="31"/>
      <c r="P15" s="31"/>
      <c r="Q15" s="31"/>
      <c r="R15" s="39">
        <f>IF(COUNT(O15:Q15)=0,0,SUMPRODUCT({5000,1000,500},O15:Q15))</f>
        <v>0</v>
      </c>
      <c r="S15" s="31"/>
      <c r="T15" s="31"/>
      <c r="U15" s="31"/>
      <c r="V15" s="31">
        <v>12</v>
      </c>
      <c r="W15" s="31"/>
      <c r="X15" s="31">
        <v>12</v>
      </c>
      <c r="Y15" s="31"/>
      <c r="Z15" s="31">
        <v>1</v>
      </c>
      <c r="AA15" s="31"/>
      <c r="AB15" s="31"/>
      <c r="AC15" s="31"/>
      <c r="AD15" s="34">
        <f>IF(COUNT(S15:AC15)=0,0,SUMPRODUCT({5000,1000,500,100,75,50,20,10,5,2,1}, S15:AC15))</f>
        <v>1810</v>
      </c>
      <c r="AE15" s="33">
        <v>250300</v>
      </c>
      <c r="AF15" s="24">
        <f>IF(AND(COUNT(C15:E15)=0,COUNT(G15:I15)=0,COUNT(K15:M15)=0,COUNT(O15:Q15)=0,COUNT(S15:AC15)=0,AE15=""),"",(IF(COUNT(C15:E15)=0,0,SUMPRODUCT({5000,1000,500},C15:E15))+IF(COUNT(G15:I15)=0,0,SUMPRODUCT({5000,1000,500},G15:I15))+IF(COUNT(K15:M15)=0,0,SUMPRODUCT({5000,1000,500},K15:M15))+IF(COUNT(O15:Q15)=0,0,SUMPRODUCT({5000,1000,500},O15:Q15))+AD15)-N(AE15))</f>
        <v>10</v>
      </c>
      <c r="AG15" s="35" t="str">
        <f t="shared" si="0"/>
        <v>Excess</v>
      </c>
      <c r="AH15" s="38"/>
      <c r="AI15" s="36">
        <v>862399.78</v>
      </c>
      <c r="AJ15" s="37">
        <f>671460.95+190938.83</f>
        <v>862399.77999999991</v>
      </c>
      <c r="AK15" s="26">
        <f t="shared" si="1"/>
        <v>1.1641532182693481E-10</v>
      </c>
      <c r="AL15" s="25" t="str">
        <f t="shared" si="2"/>
        <v>POS Excess</v>
      </c>
      <c r="AM15" s="38"/>
    </row>
    <row r="16" spans="1:39" ht="12.75" customHeight="1" x14ac:dyDescent="0.25">
      <c r="A16" s="31">
        <v>53893</v>
      </c>
      <c r="B16" s="32" t="str">
        <f>IF(A16="","",VLOOKUP(A16,'Employee Database'!A:B,2,FALSE))</f>
        <v>M Binyameen</v>
      </c>
      <c r="C16" s="31"/>
      <c r="D16" s="31"/>
      <c r="E16" s="31"/>
      <c r="F16" s="39">
        <f>IF(COUNT(C16:E16)=0,0,SUMPRODUCT({5000,1000,500},C16:E16))</f>
        <v>0</v>
      </c>
      <c r="G16" s="31">
        <v>32</v>
      </c>
      <c r="H16" s="31">
        <v>105</v>
      </c>
      <c r="I16" s="31">
        <v>19</v>
      </c>
      <c r="J16" s="39">
        <f>IF(COUNT(G16:I16)=0,0,SUMPRODUCT({5000,1000,500},G16:I16))</f>
        <v>274500</v>
      </c>
      <c r="K16" s="31"/>
      <c r="L16" s="31"/>
      <c r="M16" s="31"/>
      <c r="N16" s="39">
        <f>IF(COUNT(K16:M16)=0,0,SUMPRODUCT({5000,1000,500},K16:M16))</f>
        <v>0</v>
      </c>
      <c r="O16" s="31"/>
      <c r="P16" s="31"/>
      <c r="Q16" s="31"/>
      <c r="R16" s="39">
        <f>IF(COUNT(O16:Q16)=0,0,SUMPRODUCT({5000,1000,500},O16:Q16))</f>
        <v>0</v>
      </c>
      <c r="S16" s="31"/>
      <c r="T16" s="31"/>
      <c r="U16" s="31"/>
      <c r="V16" s="31">
        <v>1</v>
      </c>
      <c r="W16" s="31"/>
      <c r="X16" s="31">
        <v>36</v>
      </c>
      <c r="Y16" s="31">
        <v>1</v>
      </c>
      <c r="Z16" s="31">
        <v>50</v>
      </c>
      <c r="AA16" s="31"/>
      <c r="AB16" s="31"/>
      <c r="AC16" s="31"/>
      <c r="AD16" s="34">
        <f>IF(COUNT(S16:AC16)=0,0,SUMPRODUCT({5000,1000,500,100,75,50,20,10,5,2,1}, S16:AC16))</f>
        <v>2420</v>
      </c>
      <c r="AE16" s="33">
        <v>276899</v>
      </c>
      <c r="AF16" s="24">
        <f>IF(AND(COUNT(C16:E16)=0,COUNT(G16:I16)=0,COUNT(K16:M16)=0,COUNT(O16:Q16)=0,COUNT(S16:AC16)=0,AE16=""),"",(IF(COUNT(C16:E16)=0,0,SUMPRODUCT({5000,1000,500},C16:E16))+IF(COUNT(G16:I16)=0,0,SUMPRODUCT({5000,1000,500},G16:I16))+IF(COUNT(K16:M16)=0,0,SUMPRODUCT({5000,1000,500},K16:M16))+IF(COUNT(O16:Q16)=0,0,SUMPRODUCT({5000,1000,500},O16:Q16))+AD16)-N(AE16))</f>
        <v>21</v>
      </c>
      <c r="AG16" s="35" t="str">
        <f t="shared" si="0"/>
        <v>Excess</v>
      </c>
      <c r="AH16" s="38"/>
      <c r="AI16" s="36">
        <v>758014.88</v>
      </c>
      <c r="AJ16" s="37">
        <v>758014.88</v>
      </c>
      <c r="AK16" s="26">
        <f t="shared" si="1"/>
        <v>0</v>
      </c>
      <c r="AL16" s="25" t="str">
        <f t="shared" si="2"/>
        <v>Matched</v>
      </c>
      <c r="AM16" s="38"/>
    </row>
    <row r="17" spans="1:39" ht="12.75" customHeight="1" x14ac:dyDescent="0.25">
      <c r="A17" s="31">
        <v>78242</v>
      </c>
      <c r="B17" s="32" t="str">
        <f>IF(A17="","",VLOOKUP(A17,'Employee Database'!A:B,2,FALSE))</f>
        <v>Hamad Mughal</v>
      </c>
      <c r="C17" s="31"/>
      <c r="D17" s="31"/>
      <c r="E17" s="31"/>
      <c r="F17" s="39">
        <f>IF(COUNT(C17:E17)=0,0,SUMPRODUCT({5000,1000,500},C17:E17))</f>
        <v>0</v>
      </c>
      <c r="G17" s="31">
        <v>18</v>
      </c>
      <c r="H17" s="31">
        <v>134</v>
      </c>
      <c r="I17" s="31">
        <v>12</v>
      </c>
      <c r="J17" s="39">
        <f>IF(COUNT(G17:I17)=0,0,SUMPRODUCT({5000,1000,500},G17:I17))</f>
        <v>230000</v>
      </c>
      <c r="K17" s="31"/>
      <c r="L17" s="31"/>
      <c r="M17" s="31"/>
      <c r="N17" s="39">
        <f>IF(COUNT(K17:M17)=0,0,SUMPRODUCT({5000,1000,500},K17:M17))</f>
        <v>0</v>
      </c>
      <c r="O17" s="31"/>
      <c r="P17" s="31"/>
      <c r="Q17" s="31"/>
      <c r="R17" s="39">
        <f>IF(COUNT(O17:Q17)=0,0,SUMPRODUCT({5000,1000,500},O17:Q17))</f>
        <v>0</v>
      </c>
      <c r="S17" s="31"/>
      <c r="T17" s="31"/>
      <c r="U17" s="31"/>
      <c r="V17" s="31">
        <v>2</v>
      </c>
      <c r="W17" s="31"/>
      <c r="X17" s="31">
        <v>56</v>
      </c>
      <c r="Y17" s="31"/>
      <c r="Z17" s="31">
        <v>32</v>
      </c>
      <c r="AA17" s="31"/>
      <c r="AB17" s="31"/>
      <c r="AC17" s="31"/>
      <c r="AD17" s="34">
        <f>IF(COUNT(S17:AC17)=0,0,SUMPRODUCT({5000,1000,500,100,75,50,20,10,5,2,1}, S17:AC17))</f>
        <v>3320</v>
      </c>
      <c r="AE17" s="33">
        <v>233250</v>
      </c>
      <c r="AF17" s="24">
        <f>IF(AND(COUNT(C17:E17)=0,COUNT(G17:I17)=0,COUNT(K17:M17)=0,COUNT(O17:Q17)=0,COUNT(S17:AC17)=0,AE17=""),"",(IF(COUNT(C17:E17)=0,0,SUMPRODUCT({5000,1000,500},C17:E17))+IF(COUNT(G17:I17)=0,0,SUMPRODUCT({5000,1000,500},G17:I17))+IF(COUNT(K17:M17)=0,0,SUMPRODUCT({5000,1000,500},K17:M17))+IF(COUNT(O17:Q17)=0,0,SUMPRODUCT({5000,1000,500},O17:Q17))+AD17)-N(AE17))</f>
        <v>70</v>
      </c>
      <c r="AG17" s="35" t="str">
        <f t="shared" si="0"/>
        <v>Excess</v>
      </c>
      <c r="AH17" s="38"/>
      <c r="AI17" s="36">
        <v>639804.43000000005</v>
      </c>
      <c r="AJ17" s="37">
        <v>639804.43000000005</v>
      </c>
      <c r="AK17" s="26">
        <f t="shared" si="1"/>
        <v>0</v>
      </c>
      <c r="AL17" s="25" t="str">
        <f t="shared" si="2"/>
        <v>Matched</v>
      </c>
      <c r="AM17" s="38"/>
    </row>
    <row r="18" spans="1:39" ht="12.75" customHeight="1" x14ac:dyDescent="0.25">
      <c r="A18" s="31">
        <v>73679</v>
      </c>
      <c r="B18" s="32" t="str">
        <f>IF(A18="","",VLOOKUP(A18,'Employee Database'!A:B,2,FALSE))</f>
        <v>Imran Waqar</v>
      </c>
      <c r="C18" s="31"/>
      <c r="D18" s="31"/>
      <c r="E18" s="31"/>
      <c r="F18" s="39">
        <f>IF(COUNT(C18:E18)=0,0,SUMPRODUCT({5000,1000,500},C18:E18))</f>
        <v>0</v>
      </c>
      <c r="G18" s="31">
        <v>29</v>
      </c>
      <c r="H18" s="31">
        <v>143</v>
      </c>
      <c r="I18" s="31">
        <v>39</v>
      </c>
      <c r="J18" s="39">
        <f>IF(COUNT(G18:I18)=0,0,SUMPRODUCT({5000,1000,500},G18:I18))</f>
        <v>307500</v>
      </c>
      <c r="K18" s="31"/>
      <c r="L18" s="31"/>
      <c r="M18" s="31"/>
      <c r="N18" s="39">
        <f>IF(COUNT(K18:M18)=0,0,SUMPRODUCT({5000,1000,500},K18:M18))</f>
        <v>0</v>
      </c>
      <c r="O18" s="31"/>
      <c r="P18" s="31"/>
      <c r="Q18" s="31"/>
      <c r="R18" s="39">
        <f>IF(COUNT(O18:Q18)=0,0,SUMPRODUCT({5000,1000,500},O18:Q18))</f>
        <v>0</v>
      </c>
      <c r="S18" s="31"/>
      <c r="T18" s="31"/>
      <c r="U18" s="31"/>
      <c r="V18" s="31">
        <v>6</v>
      </c>
      <c r="W18" s="31"/>
      <c r="X18" s="31">
        <v>53</v>
      </c>
      <c r="Y18" s="31"/>
      <c r="Z18" s="31">
        <v>59</v>
      </c>
      <c r="AA18" s="31"/>
      <c r="AB18" s="31"/>
      <c r="AC18" s="31"/>
      <c r="AD18" s="34">
        <f>IF(COUNT(S18:AC18)=0,0,SUMPRODUCT({5000,1000,500,100,75,50,20,10,5,2,1}, S18:AC18))</f>
        <v>3840</v>
      </c>
      <c r="AE18" s="33">
        <v>311284</v>
      </c>
      <c r="AF18" s="24">
        <f>IF(AND(COUNT(C18:E18)=0,COUNT(G18:I18)=0,COUNT(K18:M18)=0,COUNT(O18:Q18)=0,COUNT(S18:AC18)=0,AE18=""),"",(IF(COUNT(C18:E18)=0,0,SUMPRODUCT({5000,1000,500},C18:E18))+IF(COUNT(G18:I18)=0,0,SUMPRODUCT({5000,1000,500},G18:I18))+IF(COUNT(K18:M18)=0,0,SUMPRODUCT({5000,1000,500},K18:M18))+IF(COUNT(O18:Q18)=0,0,SUMPRODUCT({5000,1000,500},O18:Q18))+AD18)-N(AE18))</f>
        <v>56</v>
      </c>
      <c r="AG18" s="35" t="str">
        <f t="shared" si="0"/>
        <v>Excess</v>
      </c>
      <c r="AH18" s="38"/>
      <c r="AI18" s="36">
        <v>537852.81999999995</v>
      </c>
      <c r="AJ18" s="37">
        <f>467682.98+70169.84</f>
        <v>537852.81999999995</v>
      </c>
      <c r="AK18" s="26">
        <f t="shared" si="1"/>
        <v>0</v>
      </c>
      <c r="AL18" s="25" t="str">
        <f t="shared" si="2"/>
        <v>Matched</v>
      </c>
      <c r="AM18" s="38"/>
    </row>
    <row r="19" spans="1:39" ht="12.75" customHeight="1" x14ac:dyDescent="0.25">
      <c r="A19" s="31">
        <v>69728</v>
      </c>
      <c r="B19" s="32" t="str">
        <f>IF(A19="","",VLOOKUP(A19,'Employee Database'!A:B,2,FALSE))</f>
        <v>Hafiz Hafeez Ur Rehman</v>
      </c>
      <c r="C19" s="31"/>
      <c r="D19" s="31"/>
      <c r="E19" s="31"/>
      <c r="F19" s="39">
        <f>IF(COUNT(C19:E19)=0,0,SUMPRODUCT({5000,1000,500},C19:E19))</f>
        <v>0</v>
      </c>
      <c r="G19" s="31">
        <v>21</v>
      </c>
      <c r="H19" s="31">
        <v>95</v>
      </c>
      <c r="I19" s="31">
        <v>4</v>
      </c>
      <c r="J19" s="39">
        <f>IF(COUNT(G19:I19)=0,0,SUMPRODUCT({5000,1000,500},G19:I19))</f>
        <v>202000</v>
      </c>
      <c r="K19" s="31"/>
      <c r="L19" s="31"/>
      <c r="M19" s="31"/>
      <c r="N19" s="39">
        <f>IF(COUNT(K19:M19)=0,0,SUMPRODUCT({5000,1000,500},K19:M19))</f>
        <v>0</v>
      </c>
      <c r="O19" s="31"/>
      <c r="P19" s="31"/>
      <c r="Q19" s="31"/>
      <c r="R19" s="39">
        <f>IF(COUNT(O19:Q19)=0,0,SUMPRODUCT({5000,1000,500},O19:Q19))</f>
        <v>0</v>
      </c>
      <c r="S19" s="31"/>
      <c r="T19" s="31"/>
      <c r="U19" s="31"/>
      <c r="V19" s="31">
        <v>8</v>
      </c>
      <c r="W19" s="31"/>
      <c r="X19" s="31">
        <v>55</v>
      </c>
      <c r="Y19" s="31">
        <v>1</v>
      </c>
      <c r="Z19" s="31">
        <v>58</v>
      </c>
      <c r="AA19" s="31"/>
      <c r="AB19" s="31"/>
      <c r="AC19" s="31"/>
      <c r="AD19" s="34">
        <f>IF(COUNT(S19:AC19)=0,0,SUMPRODUCT({5000,1000,500,100,75,50,20,10,5,2,1}, S19:AC19))</f>
        <v>4150</v>
      </c>
      <c r="AE19" s="33">
        <v>206099</v>
      </c>
      <c r="AF19" s="24">
        <f>IF(AND(COUNT(C19:E19)=0,COUNT(G19:I19)=0,COUNT(K19:M19)=0,COUNT(O19:Q19)=0,COUNT(S19:AC19)=0,AE19=""),"",(IF(COUNT(C19:E19)=0,0,SUMPRODUCT({5000,1000,500},C19:E19))+IF(COUNT(G19:I19)=0,0,SUMPRODUCT({5000,1000,500},G19:I19))+IF(COUNT(K19:M19)=0,0,SUMPRODUCT({5000,1000,500},K19:M19))+IF(COUNT(O19:Q19)=0,0,SUMPRODUCT({5000,1000,500},O19:Q19))+AD19)-N(AE19))</f>
        <v>51</v>
      </c>
      <c r="AG19" s="35" t="str">
        <f t="shared" si="0"/>
        <v>Excess</v>
      </c>
      <c r="AH19" s="38"/>
      <c r="AI19" s="36">
        <v>857010.58</v>
      </c>
      <c r="AJ19" s="37">
        <v>857010.58</v>
      </c>
      <c r="AK19" s="26">
        <f t="shared" si="1"/>
        <v>0</v>
      </c>
      <c r="AL19" s="25" t="str">
        <f t="shared" si="2"/>
        <v>Matched</v>
      </c>
      <c r="AM19" s="38"/>
    </row>
    <row r="20" spans="1:39" ht="12.75" customHeight="1" x14ac:dyDescent="0.25">
      <c r="A20" s="31">
        <v>50524</v>
      </c>
      <c r="B20" s="32" t="str">
        <f>IF(A20="","",VLOOKUP(A20,'Employee Database'!A:B,2,FALSE))</f>
        <v>Allah Rakha</v>
      </c>
      <c r="C20" s="31"/>
      <c r="D20" s="31"/>
      <c r="E20" s="31"/>
      <c r="F20" s="39">
        <f>IF(COUNT(C20:E20)=0,0,SUMPRODUCT({5000,1000,500},C20:E20))</f>
        <v>0</v>
      </c>
      <c r="G20" s="31">
        <v>5</v>
      </c>
      <c r="H20" s="31">
        <v>26</v>
      </c>
      <c r="I20" s="31">
        <v>5</v>
      </c>
      <c r="J20" s="39">
        <f>IF(COUNT(G20:I20)=0,0,SUMPRODUCT({5000,1000,500},G20:I20))</f>
        <v>53500</v>
      </c>
      <c r="K20" s="31"/>
      <c r="L20" s="31"/>
      <c r="M20" s="31"/>
      <c r="N20" s="39">
        <f>IF(COUNT(K20:M20)=0,0,SUMPRODUCT({5000,1000,500},K20:M20))</f>
        <v>0</v>
      </c>
      <c r="O20" s="31"/>
      <c r="P20" s="31"/>
      <c r="Q20" s="31"/>
      <c r="R20" s="39">
        <f>IF(COUNT(O20:Q20)=0,0,SUMPRODUCT({5000,1000,500},O20:Q20))</f>
        <v>0</v>
      </c>
      <c r="S20" s="31"/>
      <c r="T20" s="31"/>
      <c r="U20" s="31"/>
      <c r="V20" s="31"/>
      <c r="W20" s="31"/>
      <c r="X20" s="31">
        <v>26</v>
      </c>
      <c r="Y20" s="31"/>
      <c r="Z20" s="31">
        <v>84</v>
      </c>
      <c r="AA20" s="31"/>
      <c r="AB20" s="31"/>
      <c r="AC20" s="31"/>
      <c r="AD20" s="34">
        <f>IF(COUNT(S20:AC20)=0,0,SUMPRODUCT({5000,1000,500,100,75,50,20,10,5,2,1}, S20:AC20))</f>
        <v>2140</v>
      </c>
      <c r="AE20" s="33">
        <v>55722</v>
      </c>
      <c r="AF20" s="24">
        <f>IF(AND(COUNT(C20:E20)=0,COUNT(G20:I20)=0,COUNT(K20:M20)=0,COUNT(O20:Q20)=0,COUNT(S20:AC20)=0,AE20=""),"",(IF(COUNT(C20:E20)=0,0,SUMPRODUCT({5000,1000,500},C20:E20))+IF(COUNT(G20:I20)=0,0,SUMPRODUCT({5000,1000,500},G20:I20))+IF(COUNT(K20:M20)=0,0,SUMPRODUCT({5000,1000,500},K20:M20))+IF(COUNT(O20:Q20)=0,0,SUMPRODUCT({5000,1000,500},O20:Q20))+AD20)-N(AE20))</f>
        <v>-82</v>
      </c>
      <c r="AG20" s="35" t="str">
        <f t="shared" si="0"/>
        <v>Short</v>
      </c>
      <c r="AH20" s="38"/>
      <c r="AI20" s="36">
        <f>48938.2+44317.91+21879.45</f>
        <v>115135.56</v>
      </c>
      <c r="AJ20" s="37">
        <f>44317.94+48938.2+21906.45</f>
        <v>115162.59</v>
      </c>
      <c r="AK20" s="26">
        <f t="shared" si="1"/>
        <v>-27.029999999998836</v>
      </c>
      <c r="AL20" s="25" t="str">
        <f t="shared" si="2"/>
        <v>Bank Short</v>
      </c>
      <c r="AM20" s="38"/>
    </row>
    <row r="21" spans="1:39" ht="12.75" customHeight="1" x14ac:dyDescent="0.25">
      <c r="A21" s="31">
        <v>61648</v>
      </c>
      <c r="B21" s="32" t="str">
        <f>IF(A21="","",VLOOKUP(A21,'Employee Database'!A:B,2,FALSE))</f>
        <v>Rizwan</v>
      </c>
      <c r="C21" s="31"/>
      <c r="D21" s="31"/>
      <c r="E21" s="31"/>
      <c r="F21" s="39">
        <f>IF(COUNT(C21:E21)=0,0,SUMPRODUCT({5000,1000,500},C21:E21))</f>
        <v>0</v>
      </c>
      <c r="G21" s="31">
        <v>6</v>
      </c>
      <c r="H21" s="31">
        <v>25</v>
      </c>
      <c r="I21" s="31">
        <v>25</v>
      </c>
      <c r="J21" s="39">
        <f>IF(COUNT(G21:I21)=0,0,SUMPRODUCT({5000,1000,500},G21:I21))</f>
        <v>67500</v>
      </c>
      <c r="K21" s="31"/>
      <c r="L21" s="31"/>
      <c r="M21" s="31"/>
      <c r="N21" s="39">
        <f>IF(COUNT(K21:M21)=0,0,SUMPRODUCT({5000,1000,500},K21:M21))</f>
        <v>0</v>
      </c>
      <c r="O21" s="31"/>
      <c r="P21" s="31"/>
      <c r="Q21" s="31"/>
      <c r="R21" s="39">
        <f>IF(COUNT(O21:Q21)=0,0,SUMPRODUCT({5000,1000,500},O21:Q21))</f>
        <v>0</v>
      </c>
      <c r="S21" s="31"/>
      <c r="T21" s="31"/>
      <c r="U21" s="31"/>
      <c r="V21" s="31">
        <v>2</v>
      </c>
      <c r="W21" s="31"/>
      <c r="X21" s="31">
        <v>44</v>
      </c>
      <c r="Y21" s="31"/>
      <c r="Z21" s="31">
        <v>15</v>
      </c>
      <c r="AA21" s="31"/>
      <c r="AB21" s="31"/>
      <c r="AC21" s="31"/>
      <c r="AD21" s="34">
        <f>IF(COUNT(S21:AC21)=0,0,SUMPRODUCT({5000,1000,500,100,75,50,20,10,5,2,1}, S21:AC21))</f>
        <v>2550</v>
      </c>
      <c r="AE21" s="33">
        <v>70063</v>
      </c>
      <c r="AF21" s="24">
        <f>IF(AND(COUNT(C21:E21)=0,COUNT(G21:I21)=0,COUNT(K21:M21)=0,COUNT(O21:Q21)=0,COUNT(S21:AC21)=0,AE21=""),"",(IF(COUNT(C21:E21)=0,0,SUMPRODUCT({5000,1000,500},C21:E21))+IF(COUNT(G21:I21)=0,0,SUMPRODUCT({5000,1000,500},G21:I21))+IF(COUNT(K21:M21)=0,0,SUMPRODUCT({5000,1000,500},K21:M21))+IF(COUNT(O21:Q21)=0,0,SUMPRODUCT({5000,1000,500},O21:Q21))+AD21)-N(AE21))</f>
        <v>-13</v>
      </c>
      <c r="AG21" s="35" t="str">
        <f t="shared" si="0"/>
        <v>Short</v>
      </c>
      <c r="AH21" s="38"/>
      <c r="AI21" s="36">
        <f>41008.53+59613.26</f>
        <v>100621.79000000001</v>
      </c>
      <c r="AJ21" s="37">
        <f>59613.26+5286.37+35722.16</f>
        <v>100621.79000000001</v>
      </c>
      <c r="AK21" s="26">
        <f t="shared" si="1"/>
        <v>0</v>
      </c>
      <c r="AL21" s="25" t="str">
        <f t="shared" si="2"/>
        <v>Matched</v>
      </c>
      <c r="AM21" s="38"/>
    </row>
    <row r="22" spans="1:39" ht="12.75" customHeight="1" x14ac:dyDescent="0.25">
      <c r="A22" s="31">
        <v>79593</v>
      </c>
      <c r="B22" s="32" t="str">
        <f>IF(A22="","",VLOOKUP(A22,'Employee Database'!A:B,2,FALSE))</f>
        <v>Amir</v>
      </c>
      <c r="C22" s="31"/>
      <c r="D22" s="31"/>
      <c r="E22" s="31"/>
      <c r="F22" s="39">
        <f>IF(COUNT(C22:E22)=0,0,SUMPRODUCT({5000,1000,500},C22:E22))</f>
        <v>0</v>
      </c>
      <c r="G22" s="31">
        <v>46</v>
      </c>
      <c r="H22" s="31">
        <v>88</v>
      </c>
      <c r="I22" s="31">
        <v>17</v>
      </c>
      <c r="J22" s="39">
        <f>IF(COUNT(G22:I22)=0,0,SUMPRODUCT({5000,1000,500},G22:I22))</f>
        <v>326500</v>
      </c>
      <c r="K22" s="31"/>
      <c r="L22" s="31"/>
      <c r="M22" s="31"/>
      <c r="N22" s="39">
        <f>IF(COUNT(K22:M22)=0,0,SUMPRODUCT({5000,1000,500},K22:M22))</f>
        <v>0</v>
      </c>
      <c r="O22" s="31"/>
      <c r="P22" s="31"/>
      <c r="Q22" s="31"/>
      <c r="R22" s="39">
        <f>IF(COUNT(O22:Q22)=0,0,SUMPRODUCT({5000,1000,500},O22:Q22))</f>
        <v>0</v>
      </c>
      <c r="S22" s="31"/>
      <c r="T22" s="31"/>
      <c r="U22" s="31"/>
      <c r="V22" s="31"/>
      <c r="W22" s="31"/>
      <c r="X22" s="31">
        <v>8</v>
      </c>
      <c r="Y22" s="31"/>
      <c r="Z22" s="31">
        <v>36</v>
      </c>
      <c r="AA22" s="31"/>
      <c r="AB22" s="31"/>
      <c r="AC22" s="31"/>
      <c r="AD22" s="34">
        <f>IF(COUNT(S22:AC22)=0,0,SUMPRODUCT({5000,1000,500,100,75,50,20,10,5,2,1}, S22:AC22))</f>
        <v>760</v>
      </c>
      <c r="AE22" s="33">
        <v>327217</v>
      </c>
      <c r="AF22" s="24">
        <f>IF(AND(COUNT(C22:E22)=0,COUNT(G22:I22)=0,COUNT(K22:M22)=0,COUNT(O22:Q22)=0,COUNT(S22:AC22)=0,AE22=""),"",(IF(COUNT(C22:E22)=0,0,SUMPRODUCT({5000,1000,500},C22:E22))+IF(COUNT(G22:I22)=0,0,SUMPRODUCT({5000,1000,500},G22:I22))+IF(COUNT(K22:M22)=0,0,SUMPRODUCT({5000,1000,500},K22:M22))+IF(COUNT(O22:Q22)=0,0,SUMPRODUCT({5000,1000,500},O22:Q22))+AD22)-N(AE22))</f>
        <v>43</v>
      </c>
      <c r="AG22" s="35" t="str">
        <f t="shared" si="0"/>
        <v>Excess</v>
      </c>
      <c r="AH22" s="38"/>
      <c r="AI22" s="36">
        <f>371234.92+345680.3</f>
        <v>716915.22</v>
      </c>
      <c r="AJ22" s="37">
        <f>371234.92+345680.3</f>
        <v>716915.22</v>
      </c>
      <c r="AK22" s="26">
        <f t="shared" si="1"/>
        <v>0</v>
      </c>
      <c r="AL22" s="25" t="str">
        <f t="shared" si="2"/>
        <v>Matched</v>
      </c>
      <c r="AM22" s="38"/>
    </row>
    <row r="23" spans="1:39" ht="12.75" customHeight="1" x14ac:dyDescent="0.25">
      <c r="A23" s="31">
        <v>68475</v>
      </c>
      <c r="B23" s="32" t="str">
        <f>IF(A23="","",VLOOKUP(A23,'Employee Database'!A:B,2,FALSE))</f>
        <v>M Azeem</v>
      </c>
      <c r="C23" s="31"/>
      <c r="D23" s="31"/>
      <c r="E23" s="31"/>
      <c r="F23" s="39">
        <f>IF(COUNT(C23:E23)=0,0,SUMPRODUCT({5000,1000,500},C23:E23))</f>
        <v>0</v>
      </c>
      <c r="G23" s="31">
        <v>87</v>
      </c>
      <c r="H23" s="31">
        <v>56</v>
      </c>
      <c r="I23" s="31">
        <v>210</v>
      </c>
      <c r="J23" s="39">
        <f>IF(COUNT(G23:I23)=0,0,SUMPRODUCT({5000,1000,500},G23:I23))</f>
        <v>596000</v>
      </c>
      <c r="K23" s="31"/>
      <c r="L23" s="31"/>
      <c r="M23" s="31"/>
      <c r="N23" s="39">
        <f>IF(COUNT(K23:M23)=0,0,SUMPRODUCT({5000,1000,500},K23:M23))</f>
        <v>0</v>
      </c>
      <c r="O23" s="31"/>
      <c r="P23" s="31"/>
      <c r="Q23" s="31"/>
      <c r="R23" s="39">
        <f>IF(COUNT(O23:Q23)=0,0,SUMPRODUCT({5000,1000,500},O23:Q23))</f>
        <v>0</v>
      </c>
      <c r="S23" s="31"/>
      <c r="T23" s="31"/>
      <c r="U23" s="31"/>
      <c r="V23" s="31">
        <v>5</v>
      </c>
      <c r="W23" s="31"/>
      <c r="X23" s="31">
        <v>2</v>
      </c>
      <c r="Y23" s="31"/>
      <c r="Z23" s="31">
        <v>13</v>
      </c>
      <c r="AA23" s="31"/>
      <c r="AB23" s="31"/>
      <c r="AC23" s="31"/>
      <c r="AD23" s="34">
        <f>IF(COUNT(S23:AC23)=0,0,SUMPRODUCT({5000,1000,500,100,75,50,20,10,5,2,1}, S23:AC23))</f>
        <v>730</v>
      </c>
      <c r="AE23" s="33">
        <v>596728</v>
      </c>
      <c r="AF23" s="24">
        <f>IF(AND(COUNT(C23:E23)=0,COUNT(G23:I23)=0,COUNT(K23:M23)=0,COUNT(O23:Q23)=0,COUNT(S23:AC23)=0,AE23=""),"",(IF(COUNT(C23:E23)=0,0,SUMPRODUCT({5000,1000,500},C23:E23))+IF(COUNT(G23:I23)=0,0,SUMPRODUCT({5000,1000,500},G23:I23))+IF(COUNT(K23:M23)=0,0,SUMPRODUCT({5000,1000,500},K23:M23))+IF(COUNT(O23:Q23)=0,0,SUMPRODUCT({5000,1000,500},O23:Q23))+AD23)-N(AE23))</f>
        <v>2</v>
      </c>
      <c r="AG23" s="35" t="str">
        <f t="shared" si="0"/>
        <v>Excess</v>
      </c>
      <c r="AH23" s="38"/>
      <c r="AI23" s="36">
        <f>398138.75+44381.68+28807.24</f>
        <v>471327.67</v>
      </c>
      <c r="AJ23" s="37">
        <f>44381.68+398138.75+28807.24</f>
        <v>471327.67</v>
      </c>
      <c r="AK23" s="26">
        <f t="shared" si="1"/>
        <v>0</v>
      </c>
      <c r="AL23" s="25" t="str">
        <f t="shared" si="2"/>
        <v>Matched</v>
      </c>
      <c r="AM23" s="38"/>
    </row>
    <row r="24" spans="1:39" ht="12.75" customHeight="1" x14ac:dyDescent="0.25">
      <c r="A24" s="31">
        <v>50134</v>
      </c>
      <c r="B24" s="32" t="str">
        <f>IF(A24="","",VLOOKUP(A24,'Employee Database'!A:B,2,FALSE))</f>
        <v>Asif Abbas</v>
      </c>
      <c r="C24" s="31"/>
      <c r="D24" s="31"/>
      <c r="E24" s="31"/>
      <c r="F24" s="39">
        <f>IF(COUNT(C24:E24)=0,0,SUMPRODUCT({5000,1000,500},C24:E24))</f>
        <v>0</v>
      </c>
      <c r="G24" s="31">
        <v>11</v>
      </c>
      <c r="H24" s="31">
        <v>85</v>
      </c>
      <c r="I24" s="31">
        <v>11</v>
      </c>
      <c r="J24" s="39">
        <f>IF(COUNT(G24:I24)=0,0,SUMPRODUCT({5000,1000,500},G24:I24))</f>
        <v>145500</v>
      </c>
      <c r="K24" s="31"/>
      <c r="L24" s="31"/>
      <c r="M24" s="31"/>
      <c r="N24" s="39">
        <f>IF(COUNT(K24:M24)=0,0,SUMPRODUCT({5000,1000,500},K24:M24))</f>
        <v>0</v>
      </c>
      <c r="O24" s="31"/>
      <c r="P24" s="31"/>
      <c r="Q24" s="31"/>
      <c r="R24" s="39">
        <f>IF(COUNT(O24:Q24)=0,0,SUMPRODUCT({5000,1000,500},O24:Q24))</f>
        <v>0</v>
      </c>
      <c r="S24" s="31"/>
      <c r="T24" s="31"/>
      <c r="U24" s="31"/>
      <c r="V24" s="31">
        <v>1</v>
      </c>
      <c r="W24" s="31"/>
      <c r="X24" s="31">
        <v>2</v>
      </c>
      <c r="Y24" s="31"/>
      <c r="Z24" s="31">
        <v>31</v>
      </c>
      <c r="AA24" s="31"/>
      <c r="AB24" s="31"/>
      <c r="AC24" s="31"/>
      <c r="AD24" s="34">
        <f>IF(COUNT(S24:AC24)=0,0,SUMPRODUCT({5000,1000,500,100,75,50,20,10,5,2,1}, S24:AC24))</f>
        <v>510</v>
      </c>
      <c r="AE24" s="33">
        <v>146023</v>
      </c>
      <c r="AF24" s="24">
        <f>IF(AND(COUNT(C24:E24)=0,COUNT(G24:I24)=0,COUNT(K24:M24)=0,COUNT(O24:Q24)=0,COUNT(S24:AC24)=0,AE24=""),"",(IF(COUNT(C24:E24)=0,0,SUMPRODUCT({5000,1000,500},C24:E24))+IF(COUNT(G24:I24)=0,0,SUMPRODUCT({5000,1000,500},G24:I24))+IF(COUNT(K24:M24)=0,0,SUMPRODUCT({5000,1000,500},K24:M24))+IF(COUNT(O24:Q24)=0,0,SUMPRODUCT({5000,1000,500},O24:Q24))+AD24)-N(AE24))</f>
        <v>-13</v>
      </c>
      <c r="AG24" s="35" t="str">
        <f t="shared" si="0"/>
        <v>Short</v>
      </c>
      <c r="AH24" s="38"/>
      <c r="AI24" s="36">
        <f>655170.7+41010.83</f>
        <v>696181.52999999991</v>
      </c>
      <c r="AJ24" s="37">
        <f>586262.11+68908.59+41010.83</f>
        <v>696181.52999999991</v>
      </c>
      <c r="AK24" s="26">
        <f t="shared" si="1"/>
        <v>0</v>
      </c>
      <c r="AL24" s="25" t="str">
        <f t="shared" si="2"/>
        <v>Matched</v>
      </c>
      <c r="AM24" s="38"/>
    </row>
    <row r="25" spans="1:39" ht="12.75" customHeight="1" x14ac:dyDescent="0.25">
      <c r="A25" s="31">
        <v>50313</v>
      </c>
      <c r="B25" s="32" t="str">
        <f>IF(A25="","",VLOOKUP(A25,'Employee Database'!A:B,2,FALSE))</f>
        <v>Waseem Raza</v>
      </c>
      <c r="C25" s="31"/>
      <c r="D25" s="31"/>
      <c r="E25" s="31"/>
      <c r="F25" s="39">
        <f>IF(COUNT(C25:E25)=0,0,SUMPRODUCT({5000,1000,500},C25:E25))</f>
        <v>0</v>
      </c>
      <c r="G25" s="31"/>
      <c r="H25" s="31">
        <v>5</v>
      </c>
      <c r="I25" s="31">
        <v>1</v>
      </c>
      <c r="J25" s="39">
        <f>IF(COUNT(G25:I25)=0,0,SUMPRODUCT({5000,1000,500},G25:I25))</f>
        <v>5500</v>
      </c>
      <c r="K25" s="31"/>
      <c r="L25" s="31"/>
      <c r="M25" s="31"/>
      <c r="N25" s="39">
        <f>IF(COUNT(K25:M25)=0,0,SUMPRODUCT({5000,1000,500},K25:M25))</f>
        <v>0</v>
      </c>
      <c r="O25" s="31"/>
      <c r="P25" s="31"/>
      <c r="Q25" s="31"/>
      <c r="R25" s="39">
        <f>IF(COUNT(O25:Q25)=0,0,SUMPRODUCT({5000,1000,500},O25:Q25))</f>
        <v>0</v>
      </c>
      <c r="S25" s="31"/>
      <c r="T25" s="31"/>
      <c r="U25" s="31"/>
      <c r="V25" s="31"/>
      <c r="W25" s="31"/>
      <c r="X25" s="31">
        <v>6</v>
      </c>
      <c r="Y25" s="31"/>
      <c r="Z25" s="31">
        <v>1</v>
      </c>
      <c r="AA25" s="31"/>
      <c r="AB25" s="31"/>
      <c r="AC25" s="31"/>
      <c r="AD25" s="34">
        <f>IF(COUNT(S25:AC25)=0,0,SUMPRODUCT({5000,1000,500,100,75,50,20,10,5,2,1}, S25:AC25))</f>
        <v>310</v>
      </c>
      <c r="AE25" s="33">
        <v>5810</v>
      </c>
      <c r="AF25" s="24">
        <f>IF(AND(COUNT(C25:E25)=0,COUNT(G25:I25)=0,COUNT(K25:M25)=0,COUNT(O25:Q25)=0,COUNT(S25:AC25)=0,AE25=""),"",(IF(COUNT(C25:E25)=0,0,SUMPRODUCT({5000,1000,500},C25:E25))+IF(COUNT(G25:I25)=0,0,SUMPRODUCT({5000,1000,500},G25:I25))+IF(COUNT(K25:M25)=0,0,SUMPRODUCT({5000,1000,500},K25:M25))+IF(COUNT(O25:Q25)=0,0,SUMPRODUCT({5000,1000,500},O25:Q25))+AD25)-N(AE25))</f>
        <v>0</v>
      </c>
      <c r="AG25" s="35" t="str">
        <f t="shared" si="0"/>
        <v>Balanced</v>
      </c>
      <c r="AH25" s="38"/>
      <c r="AI25" s="36"/>
      <c r="AJ25" s="37"/>
      <c r="AK25" s="26" t="str">
        <f t="shared" si="1"/>
        <v/>
      </c>
      <c r="AL25" s="25" t="str">
        <f t="shared" si="2"/>
        <v/>
      </c>
      <c r="AM25" s="38"/>
    </row>
    <row r="26" spans="1:39" ht="12.75" customHeight="1" x14ac:dyDescent="0.25">
      <c r="A26" s="31"/>
      <c r="B26" s="32" t="str">
        <f>IF(A26="","",VLOOKUP(A26,'Employee Database'!A:B,2,FALSE))</f>
        <v/>
      </c>
      <c r="C26" s="31"/>
      <c r="D26" s="31"/>
      <c r="E26" s="31"/>
      <c r="F26" s="39">
        <f>IF(COUNT(C26:E26)=0,0,SUMPRODUCT({5000,1000,500},C26:E26))</f>
        <v>0</v>
      </c>
      <c r="G26" s="31"/>
      <c r="H26" s="31"/>
      <c r="I26" s="31"/>
      <c r="J26" s="39">
        <f>IF(COUNT(G26:I26)=0,0,SUMPRODUCT({5000,1000,500},G26:I26))</f>
        <v>0</v>
      </c>
      <c r="K26" s="31"/>
      <c r="L26" s="31"/>
      <c r="M26" s="31"/>
      <c r="N26" s="39">
        <f>IF(COUNT(K26:M26)=0,0,SUMPRODUCT({5000,1000,500},K26:M26))</f>
        <v>0</v>
      </c>
      <c r="O26" s="31"/>
      <c r="P26" s="31"/>
      <c r="Q26" s="31"/>
      <c r="R26" s="39">
        <f>IF(COUNT(O26:Q26)=0,0,SUMPRODUCT({5000,1000,500},O26:Q26))</f>
        <v>0</v>
      </c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4">
        <f>IF(COUNT(S26:AC26)=0,0,SUMPRODUCT({5000,1000,500,100,75,50,20,10,5,2,1}, S26:AC26))</f>
        <v>0</v>
      </c>
      <c r="AE26" s="33"/>
      <c r="AF26" s="24" t="str">
        <f>IF(AND(COUNT(C26:E26)=0,COUNT(G26:I26)=0,COUNT(K26:M26)=0,COUNT(O26:Q26)=0,COUNT(S26:AC26)=0,AE26=""),"",(IF(COUNT(C26:E26)=0,0,SUMPRODUCT({5000,1000,500},C26:E26))+IF(COUNT(G26:I26)=0,0,SUMPRODUCT({5000,1000,500},G26:I26))+IF(COUNT(K26:M26)=0,0,SUMPRODUCT({5000,1000,500},K26:M26))+IF(COUNT(O26:Q26)=0,0,SUMPRODUCT({5000,1000,500},O26:Q26))+AD26)-N(AE26))</f>
        <v/>
      </c>
      <c r="AG26" s="35" t="str">
        <f t="shared" si="0"/>
        <v/>
      </c>
      <c r="AH26" s="38"/>
      <c r="AI26" s="36"/>
      <c r="AJ26" s="37"/>
      <c r="AK26" s="26" t="str">
        <f t="shared" si="1"/>
        <v/>
      </c>
      <c r="AL26" s="25" t="str">
        <f t="shared" si="2"/>
        <v/>
      </c>
      <c r="AM26" s="38"/>
    </row>
    <row r="27" spans="1:39" ht="12.75" customHeight="1" x14ac:dyDescent="0.25">
      <c r="A27" s="31"/>
      <c r="B27" s="32" t="str">
        <f>IF(A27="","",VLOOKUP(A27,'Employee Database'!A:B,2,FALSE))</f>
        <v/>
      </c>
      <c r="C27" s="31"/>
      <c r="D27" s="31"/>
      <c r="E27" s="31"/>
      <c r="F27" s="39">
        <f>IF(COUNT(C27:E27)=0,0,SUMPRODUCT({5000,1000,500},C27:E27))</f>
        <v>0</v>
      </c>
      <c r="G27" s="31"/>
      <c r="H27" s="31"/>
      <c r="I27" s="31"/>
      <c r="J27" s="39">
        <f>IF(COUNT(G27:I27)=0,0,SUMPRODUCT({5000,1000,500},G27:I27))</f>
        <v>0</v>
      </c>
      <c r="K27" s="31"/>
      <c r="L27" s="31"/>
      <c r="M27" s="31"/>
      <c r="N27" s="39">
        <f>IF(COUNT(K27:M27)=0,0,SUMPRODUCT({5000,1000,500},K27:M27))</f>
        <v>0</v>
      </c>
      <c r="O27" s="31"/>
      <c r="P27" s="31"/>
      <c r="Q27" s="31"/>
      <c r="R27" s="39">
        <f>IF(COUNT(O27:Q27)=0,0,SUMPRODUCT({5000,1000,500},O27:Q27))</f>
        <v>0</v>
      </c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4">
        <f>IF(COUNT(S27:AC27)=0,0,SUMPRODUCT({5000,1000,500,100,75,50,20,10,5,2,1}, S27:AC27))</f>
        <v>0</v>
      </c>
      <c r="AE27" s="33"/>
      <c r="AF27" s="24" t="str">
        <f>IF(AND(COUNT(C27:E27)=0,COUNT(G27:I27)=0,COUNT(K27:M27)=0,COUNT(O27:Q27)=0,COUNT(S27:AC27)=0,AE27=""),"",(IF(COUNT(C27:E27)=0,0,SUMPRODUCT({5000,1000,500},C27:E27))+IF(COUNT(G27:I27)=0,0,SUMPRODUCT({5000,1000,500},G27:I27))+IF(COUNT(K27:M27)=0,0,SUMPRODUCT({5000,1000,500},K27:M27))+IF(COUNT(O27:Q27)=0,0,SUMPRODUCT({5000,1000,500},O27:Q27))+AD27)-N(AE27))</f>
        <v/>
      </c>
      <c r="AG27" s="35" t="str">
        <f t="shared" si="0"/>
        <v/>
      </c>
      <c r="AH27" s="38"/>
      <c r="AI27" s="36"/>
      <c r="AJ27" s="37"/>
      <c r="AK27" s="26" t="str">
        <f t="shared" si="1"/>
        <v/>
      </c>
      <c r="AL27" s="25" t="str">
        <f t="shared" si="2"/>
        <v/>
      </c>
      <c r="AM27" s="38"/>
    </row>
    <row r="28" spans="1:39" ht="12.75" customHeight="1" x14ac:dyDescent="0.25">
      <c r="A28" s="31"/>
      <c r="B28" s="32" t="str">
        <f>IF(A28="","",VLOOKUP(A28,'Employee Database'!A:B,2,FALSE))</f>
        <v/>
      </c>
      <c r="C28" s="31"/>
      <c r="D28" s="31"/>
      <c r="E28" s="31"/>
      <c r="F28" s="39">
        <f>IF(COUNT(C28:E28)=0,0,SUMPRODUCT({5000,1000,500},C28:E28))</f>
        <v>0</v>
      </c>
      <c r="G28" s="31"/>
      <c r="H28" s="31"/>
      <c r="I28" s="31"/>
      <c r="J28" s="39">
        <f>IF(COUNT(G28:I28)=0,0,SUMPRODUCT({5000,1000,500},G28:I28))</f>
        <v>0</v>
      </c>
      <c r="K28" s="31"/>
      <c r="L28" s="31"/>
      <c r="M28" s="31"/>
      <c r="N28" s="39">
        <f>IF(COUNT(K28:M28)=0,0,SUMPRODUCT({5000,1000,500},K28:M28))</f>
        <v>0</v>
      </c>
      <c r="O28" s="31"/>
      <c r="P28" s="31"/>
      <c r="Q28" s="31"/>
      <c r="R28" s="39">
        <f>IF(COUNT(O28:Q28)=0,0,SUMPRODUCT({5000,1000,500},O28:Q28))</f>
        <v>0</v>
      </c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4">
        <f>IF(COUNT(S28:AC28)=0,0,SUMPRODUCT({5000,1000,500,100,75,50,20,10,5,2,1}, S28:AC28))</f>
        <v>0</v>
      </c>
      <c r="AE28" s="33"/>
      <c r="AF28" s="24" t="str">
        <f>IF(AND(COUNT(C28:E28)=0,COUNT(G28:I28)=0,COUNT(K28:M28)=0,COUNT(O28:Q28)=0,COUNT(S28:AC28)=0,AE28=""),"",(IF(COUNT(C28:E28)=0,0,SUMPRODUCT({5000,1000,500},C28:E28))+IF(COUNT(G28:I28)=0,0,SUMPRODUCT({5000,1000,500},G28:I28))+IF(COUNT(K28:M28)=0,0,SUMPRODUCT({5000,1000,500},K28:M28))+IF(COUNT(O28:Q28)=0,0,SUMPRODUCT({5000,1000,500},O28:Q28))+AD28)-N(AE28))</f>
        <v/>
      </c>
      <c r="AG28" s="35" t="str">
        <f t="shared" si="0"/>
        <v/>
      </c>
      <c r="AH28" s="38"/>
      <c r="AI28" s="36"/>
      <c r="AJ28" s="37"/>
      <c r="AK28" s="26" t="str">
        <f t="shared" si="1"/>
        <v/>
      </c>
      <c r="AL28" s="25" t="str">
        <f t="shared" si="2"/>
        <v/>
      </c>
      <c r="AM28" s="38"/>
    </row>
    <row r="29" spans="1:39" ht="12.75" customHeight="1" x14ac:dyDescent="0.25">
      <c r="A29" s="31"/>
      <c r="B29" s="32" t="str">
        <f>IF(A29="","",VLOOKUP(A29,'Employee Database'!A:B,2,FALSE))</f>
        <v/>
      </c>
      <c r="C29" s="31"/>
      <c r="D29" s="31"/>
      <c r="E29" s="31"/>
      <c r="F29" s="39">
        <f>IF(COUNT(C29:E29)=0,0,SUMPRODUCT({5000,1000,500},C29:E29))</f>
        <v>0</v>
      </c>
      <c r="G29" s="31"/>
      <c r="H29" s="31"/>
      <c r="I29" s="31"/>
      <c r="J29" s="39">
        <f>IF(COUNT(G29:I29)=0,0,SUMPRODUCT({5000,1000,500},G29:I29))</f>
        <v>0</v>
      </c>
      <c r="K29" s="31"/>
      <c r="L29" s="31"/>
      <c r="M29" s="31"/>
      <c r="N29" s="39">
        <f>IF(COUNT(K29:M29)=0,0,SUMPRODUCT({5000,1000,500},K29:M29))</f>
        <v>0</v>
      </c>
      <c r="O29" s="31"/>
      <c r="P29" s="31"/>
      <c r="Q29" s="31"/>
      <c r="R29" s="39">
        <f>IF(COUNT(O29:Q29)=0,0,SUMPRODUCT({5000,1000,500},O29:Q29))</f>
        <v>0</v>
      </c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4">
        <f>IF(COUNT(S29:AC29)=0,0,SUMPRODUCT({5000,1000,500,100,75,50,20,10,5,2,1}, S29:AC29))</f>
        <v>0</v>
      </c>
      <c r="AE29" s="33"/>
      <c r="AF29" s="24" t="str">
        <f>IF(AND(COUNT(C29:E29)=0,COUNT(G29:I29)=0,COUNT(K29:M29)=0,COUNT(O29:Q29)=0,COUNT(S29:AC29)=0,AE29=""),"",(IF(COUNT(C29:E29)=0,0,SUMPRODUCT({5000,1000,500},C29:E29))+IF(COUNT(G29:I29)=0,0,SUMPRODUCT({5000,1000,500},G29:I29))+IF(COUNT(K29:M29)=0,0,SUMPRODUCT({5000,1000,500},K29:M29))+IF(COUNT(O29:Q29)=0,0,SUMPRODUCT({5000,1000,500},O29:Q29))+AD29)-N(AE29))</f>
        <v/>
      </c>
      <c r="AG29" s="35" t="str">
        <f t="shared" si="0"/>
        <v/>
      </c>
      <c r="AH29" s="38"/>
      <c r="AI29" s="36"/>
      <c r="AJ29" s="37"/>
      <c r="AK29" s="26" t="str">
        <f t="shared" si="1"/>
        <v/>
      </c>
      <c r="AL29" s="25" t="str">
        <f t="shared" si="2"/>
        <v/>
      </c>
      <c r="AM29" s="38"/>
    </row>
    <row r="30" spans="1:39" ht="12.75" customHeight="1" x14ac:dyDescent="0.25">
      <c r="A30" s="31"/>
      <c r="B30" s="32" t="str">
        <f>IF(A30="","",VLOOKUP(A30,'Employee Database'!A:B,2,FALSE))</f>
        <v/>
      </c>
      <c r="C30" s="31"/>
      <c r="D30" s="31"/>
      <c r="E30" s="31"/>
      <c r="F30" s="39">
        <f>IF(COUNT(C30:E30)=0,0,SUMPRODUCT({5000,1000,500},C30:E30))</f>
        <v>0</v>
      </c>
      <c r="G30" s="31"/>
      <c r="H30" s="31"/>
      <c r="I30" s="31"/>
      <c r="J30" s="39">
        <f>IF(COUNT(G30:I30)=0,0,SUMPRODUCT({5000,1000,500},G30:I30))</f>
        <v>0</v>
      </c>
      <c r="K30" s="31"/>
      <c r="L30" s="31"/>
      <c r="M30" s="31"/>
      <c r="N30" s="39">
        <f>IF(COUNT(K30:M30)=0,0,SUMPRODUCT({5000,1000,500},K30:M30))</f>
        <v>0</v>
      </c>
      <c r="O30" s="31"/>
      <c r="P30" s="31"/>
      <c r="Q30" s="31"/>
      <c r="R30" s="39">
        <f>IF(COUNT(O30:Q30)=0,0,SUMPRODUCT({5000,1000,500},O30:Q30))</f>
        <v>0</v>
      </c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4">
        <f>IF(COUNT(S30:AC30)=0,0,SUMPRODUCT({5000,1000,500,100,75,50,20,10,5,2,1}, S30:AC30))</f>
        <v>0</v>
      </c>
      <c r="AE30" s="33"/>
      <c r="AF30" s="24" t="str">
        <f>IF(AND(COUNT(C30:E30)=0,COUNT(G30:I30)=0,COUNT(K30:M30)=0,COUNT(O30:Q30)=0,COUNT(S30:AC30)=0,AE30=""),"",(IF(COUNT(C30:E30)=0,0,SUMPRODUCT({5000,1000,500},C30:E30))+IF(COUNT(G30:I30)=0,0,SUMPRODUCT({5000,1000,500},G30:I30))+IF(COUNT(K30:M30)=0,0,SUMPRODUCT({5000,1000,500},K30:M30))+IF(COUNT(O30:Q30)=0,0,SUMPRODUCT({5000,1000,500},O30:Q30))+AD30)-N(AE30))</f>
        <v/>
      </c>
      <c r="AG30" s="35" t="str">
        <f t="shared" si="0"/>
        <v/>
      </c>
      <c r="AH30" s="38"/>
      <c r="AI30" s="36"/>
      <c r="AJ30" s="37"/>
      <c r="AK30" s="26" t="str">
        <f t="shared" si="1"/>
        <v/>
      </c>
      <c r="AL30" s="25" t="str">
        <f t="shared" si="2"/>
        <v/>
      </c>
      <c r="AM30" s="38"/>
    </row>
    <row r="31" spans="1:39" ht="12.75" customHeight="1" x14ac:dyDescent="0.25">
      <c r="A31" s="31"/>
      <c r="B31" s="32" t="str">
        <f>IF(A31="","",VLOOKUP(A31,'Employee Database'!A:B,2,FALSE))</f>
        <v/>
      </c>
      <c r="C31" s="31"/>
      <c r="D31" s="31"/>
      <c r="E31" s="31"/>
      <c r="F31" s="39">
        <f>IF(COUNT(C31:E31)=0,0,SUMPRODUCT({5000,1000,500},C31:E31))</f>
        <v>0</v>
      </c>
      <c r="G31" s="31"/>
      <c r="H31" s="31"/>
      <c r="I31" s="31"/>
      <c r="J31" s="39">
        <f>IF(COUNT(G31:I31)=0,0,SUMPRODUCT({5000,1000,500},G31:I31))</f>
        <v>0</v>
      </c>
      <c r="K31" s="31"/>
      <c r="L31" s="31"/>
      <c r="M31" s="31"/>
      <c r="N31" s="39">
        <f>IF(COUNT(K31:M31)=0,0,SUMPRODUCT({5000,1000,500},K31:M31))</f>
        <v>0</v>
      </c>
      <c r="O31" s="31"/>
      <c r="P31" s="31"/>
      <c r="Q31" s="31"/>
      <c r="R31" s="39">
        <f>IF(COUNT(O31:Q31)=0,0,SUMPRODUCT({5000,1000,500},O31:Q31))</f>
        <v>0</v>
      </c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4">
        <f>IF(COUNT(S31:AC31)=0,0,SUMPRODUCT({5000,1000,500,100,75,50,20,10,5,2,1}, S31:AC31))</f>
        <v>0</v>
      </c>
      <c r="AE31" s="33"/>
      <c r="AF31" s="24" t="str">
        <f>IF(AND(COUNT(C31:E31)=0,COUNT(G31:I31)=0,COUNT(K31:M31)=0,COUNT(O31:Q31)=0,COUNT(S31:AC31)=0,AE31=""),"",(IF(COUNT(C31:E31)=0,0,SUMPRODUCT({5000,1000,500},C31:E31))+IF(COUNT(G31:I31)=0,0,SUMPRODUCT({5000,1000,500},G31:I31))+IF(COUNT(K31:M31)=0,0,SUMPRODUCT({5000,1000,500},K31:M31))+IF(COUNT(O31:Q31)=0,0,SUMPRODUCT({5000,1000,500},O31:Q31))+AD31)-N(AE31))</f>
        <v/>
      </c>
      <c r="AG31" s="35" t="str">
        <f t="shared" si="0"/>
        <v/>
      </c>
      <c r="AH31" s="38"/>
      <c r="AI31" s="36"/>
      <c r="AJ31" s="37"/>
      <c r="AK31" s="26" t="str">
        <f t="shared" si="1"/>
        <v/>
      </c>
      <c r="AL31" s="25" t="str">
        <f t="shared" si="2"/>
        <v/>
      </c>
      <c r="AM31" s="38"/>
    </row>
    <row r="32" spans="1:39" ht="12.75" customHeight="1" x14ac:dyDescent="0.25">
      <c r="A32" s="31"/>
      <c r="B32" s="32" t="str">
        <f>IF(A32="","",VLOOKUP(A32,'Employee Database'!A:B,2,FALSE))</f>
        <v/>
      </c>
      <c r="C32" s="31"/>
      <c r="D32" s="31"/>
      <c r="E32" s="31"/>
      <c r="F32" s="39">
        <f>IF(COUNT(C32:E32)=0,0,SUMPRODUCT({5000,1000,500},C32:E32))</f>
        <v>0</v>
      </c>
      <c r="G32" s="31"/>
      <c r="H32" s="31"/>
      <c r="I32" s="31"/>
      <c r="J32" s="39">
        <f>IF(COUNT(G32:I32)=0,0,SUMPRODUCT({5000,1000,500},G32:I32))</f>
        <v>0</v>
      </c>
      <c r="K32" s="31"/>
      <c r="L32" s="31"/>
      <c r="M32" s="31"/>
      <c r="N32" s="39">
        <f>IF(COUNT(K32:M32)=0,0,SUMPRODUCT({5000,1000,500},K32:M32))</f>
        <v>0</v>
      </c>
      <c r="O32" s="31"/>
      <c r="P32" s="31"/>
      <c r="Q32" s="31"/>
      <c r="R32" s="39">
        <f>IF(COUNT(O32:Q32)=0,0,SUMPRODUCT({5000,1000,500},O32:Q32))</f>
        <v>0</v>
      </c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4">
        <f>IF(COUNT(S32:AC32)=0,0,SUMPRODUCT({5000,1000,500,100,75,50,20,10,5,2,1}, S32:AC32))</f>
        <v>0</v>
      </c>
      <c r="AE32" s="33"/>
      <c r="AF32" s="24" t="str">
        <f>IF(AND(COUNT(C32:E32)=0,COUNT(G32:I32)=0,COUNT(K32:M32)=0,COUNT(O32:Q32)=0,COUNT(S32:AC32)=0,AE32=""),"",(IF(COUNT(C32:E32)=0,0,SUMPRODUCT({5000,1000,500},C32:E32))+IF(COUNT(G32:I32)=0,0,SUMPRODUCT({5000,1000,500},G32:I32))+IF(COUNT(K32:M32)=0,0,SUMPRODUCT({5000,1000,500},K32:M32))+IF(COUNT(O32:Q32)=0,0,SUMPRODUCT({5000,1000,500},O32:Q32))+AD32)-N(AE32))</f>
        <v/>
      </c>
      <c r="AG32" s="35" t="str">
        <f t="shared" si="0"/>
        <v/>
      </c>
      <c r="AH32" s="38"/>
      <c r="AI32" s="36"/>
      <c r="AJ32" s="37"/>
      <c r="AK32" s="26" t="str">
        <f t="shared" si="1"/>
        <v/>
      </c>
      <c r="AL32" s="25" t="str">
        <f t="shared" si="2"/>
        <v/>
      </c>
      <c r="AM32" s="38"/>
    </row>
    <row r="33" spans="1:39" ht="12.75" customHeight="1" x14ac:dyDescent="0.25">
      <c r="A33" s="31"/>
      <c r="B33" s="32" t="str">
        <f>IF(A33="","",VLOOKUP(A33,'Employee Database'!A:B,2,FALSE))</f>
        <v/>
      </c>
      <c r="C33" s="31"/>
      <c r="D33" s="31"/>
      <c r="E33" s="31"/>
      <c r="F33" s="39">
        <f>IF(COUNT(C33:E33)=0,0,SUMPRODUCT({5000,1000,500},C33:E33))</f>
        <v>0</v>
      </c>
      <c r="G33" s="31"/>
      <c r="H33" s="31"/>
      <c r="I33" s="31"/>
      <c r="J33" s="39">
        <f>IF(COUNT(G33:I33)=0,0,SUMPRODUCT({5000,1000,500},G33:I33))</f>
        <v>0</v>
      </c>
      <c r="K33" s="31"/>
      <c r="L33" s="31"/>
      <c r="M33" s="31"/>
      <c r="N33" s="39">
        <f>IF(COUNT(K33:M33)=0,0,SUMPRODUCT({5000,1000,500},K33:M33))</f>
        <v>0</v>
      </c>
      <c r="O33" s="31"/>
      <c r="P33" s="31"/>
      <c r="Q33" s="31"/>
      <c r="R33" s="39">
        <f>IF(COUNT(O33:Q33)=0,0,SUMPRODUCT({5000,1000,500},O33:Q33))</f>
        <v>0</v>
      </c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4">
        <f>IF(COUNT(S33:AC33)=0,0,SUMPRODUCT({5000,1000,500,100,75,50,20,10,5,2,1}, S33:AC33))</f>
        <v>0</v>
      </c>
      <c r="AE33" s="33"/>
      <c r="AF33" s="24" t="str">
        <f>IF(AND(COUNT(C33:E33)=0,COUNT(G33:I33)=0,COUNT(K33:M33)=0,COUNT(O33:Q33)=0,COUNT(S33:AC33)=0,AE33=""),"",(IF(COUNT(C33:E33)=0,0,SUMPRODUCT({5000,1000,500},C33:E33))+IF(COUNT(G33:I33)=0,0,SUMPRODUCT({5000,1000,500},G33:I33))+IF(COUNT(K33:M33)=0,0,SUMPRODUCT({5000,1000,500},K33:M33))+IF(COUNT(O33:Q33)=0,0,SUMPRODUCT({5000,1000,500},O33:Q33))+AD33)-N(AE33))</f>
        <v/>
      </c>
      <c r="AG33" s="35" t="str">
        <f t="shared" si="0"/>
        <v/>
      </c>
      <c r="AH33" s="38"/>
      <c r="AI33" s="36"/>
      <c r="AJ33" s="37"/>
      <c r="AK33" s="26" t="str">
        <f t="shared" si="1"/>
        <v/>
      </c>
      <c r="AL33" s="25" t="str">
        <f t="shared" si="2"/>
        <v/>
      </c>
      <c r="AM33" s="38"/>
    </row>
    <row r="34" spans="1:39" ht="12.75" customHeight="1" x14ac:dyDescent="0.25">
      <c r="A34" s="31"/>
      <c r="B34" s="32" t="str">
        <f>IF(A34="","",VLOOKUP(A34,'Employee Database'!A:B,2,FALSE))</f>
        <v/>
      </c>
      <c r="C34" s="31"/>
      <c r="D34" s="31"/>
      <c r="E34" s="31"/>
      <c r="F34" s="39">
        <f>IF(COUNT(C34:E34)=0,0,SUMPRODUCT({5000,1000,500},C34:E34))</f>
        <v>0</v>
      </c>
      <c r="G34" s="31"/>
      <c r="H34" s="31"/>
      <c r="I34" s="31"/>
      <c r="J34" s="39">
        <f>IF(COUNT(G34:I34)=0,0,SUMPRODUCT({5000,1000,500},G34:I34))</f>
        <v>0</v>
      </c>
      <c r="K34" s="31"/>
      <c r="L34" s="31"/>
      <c r="M34" s="31"/>
      <c r="N34" s="39">
        <f>IF(COUNT(K34:M34)=0,0,SUMPRODUCT({5000,1000,500},K34:M34))</f>
        <v>0</v>
      </c>
      <c r="O34" s="31"/>
      <c r="P34" s="31"/>
      <c r="Q34" s="31"/>
      <c r="R34" s="39">
        <f>IF(COUNT(O34:Q34)=0,0,SUMPRODUCT({5000,1000,500},O34:Q34))</f>
        <v>0</v>
      </c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4">
        <f>IF(COUNT(S34:AC34)=0,0,SUMPRODUCT({5000,1000,500,100,75,50,20,10,5,2,1}, S34:AC34))</f>
        <v>0</v>
      </c>
      <c r="AE34" s="33"/>
      <c r="AF34" s="24" t="str">
        <f>IF(AND(COUNT(C34:E34)=0,COUNT(G34:I34)=0,COUNT(K34:M34)=0,COUNT(O34:Q34)=0,COUNT(S34:AC34)=0,AE34=""),"",(IF(COUNT(C34:E34)=0,0,SUMPRODUCT({5000,1000,500},C34:E34))+IF(COUNT(G34:I34)=0,0,SUMPRODUCT({5000,1000,500},G34:I34))+IF(COUNT(K34:M34)=0,0,SUMPRODUCT({5000,1000,500},K34:M34))+IF(COUNT(O34:Q34)=0,0,SUMPRODUCT({5000,1000,500},O34:Q34))+AD34)-N(AE34))</f>
        <v/>
      </c>
      <c r="AG34" s="35" t="str">
        <f t="shared" si="0"/>
        <v/>
      </c>
      <c r="AH34" s="38"/>
      <c r="AI34" s="36"/>
      <c r="AJ34" s="37"/>
      <c r="AK34" s="26" t="str">
        <f t="shared" si="1"/>
        <v/>
      </c>
      <c r="AL34" s="25" t="str">
        <f t="shared" si="2"/>
        <v/>
      </c>
      <c r="AM34" s="38"/>
    </row>
    <row r="35" spans="1:39" ht="22.5" customHeight="1" x14ac:dyDescent="0.25">
      <c r="A35" s="27" t="s">
        <v>24</v>
      </c>
      <c r="B35" s="27" t="s">
        <v>24</v>
      </c>
      <c r="C35" s="28">
        <f t="shared" ref="C35:AF35" si="3">SUM(C5:C34)</f>
        <v>272</v>
      </c>
      <c r="D35" s="28">
        <f t="shared" si="3"/>
        <v>804</v>
      </c>
      <c r="E35" s="28">
        <f t="shared" si="3"/>
        <v>220</v>
      </c>
      <c r="F35" s="40">
        <f t="shared" si="3"/>
        <v>2274000</v>
      </c>
      <c r="G35" s="28">
        <f t="shared" si="3"/>
        <v>307</v>
      </c>
      <c r="H35" s="28">
        <f t="shared" si="3"/>
        <v>1093</v>
      </c>
      <c r="I35" s="28">
        <f t="shared" si="3"/>
        <v>448</v>
      </c>
      <c r="J35" s="40">
        <f t="shared" si="3"/>
        <v>2852000</v>
      </c>
      <c r="K35" s="28">
        <f t="shared" si="3"/>
        <v>0</v>
      </c>
      <c r="L35" s="28">
        <f t="shared" si="3"/>
        <v>0</v>
      </c>
      <c r="M35" s="28">
        <f t="shared" si="3"/>
        <v>0</v>
      </c>
      <c r="N35" s="40">
        <f t="shared" si="3"/>
        <v>0</v>
      </c>
      <c r="O35" s="28">
        <f t="shared" si="3"/>
        <v>0</v>
      </c>
      <c r="P35" s="28">
        <f t="shared" si="3"/>
        <v>0</v>
      </c>
      <c r="Q35" s="28">
        <f t="shared" si="3"/>
        <v>0</v>
      </c>
      <c r="R35" s="40">
        <f t="shared" si="3"/>
        <v>0</v>
      </c>
      <c r="S35" s="28">
        <f t="shared" si="3"/>
        <v>0</v>
      </c>
      <c r="T35" s="28">
        <f t="shared" si="3"/>
        <v>0</v>
      </c>
      <c r="U35" s="28">
        <f t="shared" si="3"/>
        <v>0</v>
      </c>
      <c r="V35" s="28">
        <f t="shared" si="3"/>
        <v>58</v>
      </c>
      <c r="W35" s="28">
        <f t="shared" si="3"/>
        <v>0</v>
      </c>
      <c r="X35" s="28">
        <f t="shared" si="3"/>
        <v>525</v>
      </c>
      <c r="Y35" s="28">
        <f t="shared" si="3"/>
        <v>19</v>
      </c>
      <c r="Z35" s="28">
        <f t="shared" si="3"/>
        <v>1149</v>
      </c>
      <c r="AA35" s="28">
        <f t="shared" si="3"/>
        <v>0</v>
      </c>
      <c r="AB35" s="28">
        <f t="shared" si="3"/>
        <v>3</v>
      </c>
      <c r="AC35" s="28">
        <f t="shared" si="3"/>
        <v>0</v>
      </c>
      <c r="AD35" s="40">
        <f t="shared" si="3"/>
        <v>43926</v>
      </c>
      <c r="AE35" s="41">
        <f t="shared" si="3"/>
        <v>5169639</v>
      </c>
      <c r="AF35" s="29">
        <f t="shared" si="3"/>
        <v>287</v>
      </c>
      <c r="AG35" s="27" t="s">
        <v>24</v>
      </c>
      <c r="AH35" s="27" t="s">
        <v>24</v>
      </c>
      <c r="AI35" s="28">
        <f>SUM(AI5:AI34)</f>
        <v>10824752.529999999</v>
      </c>
      <c r="AJ35" s="28">
        <f>SUM(AJ5:AJ34)</f>
        <v>10824779.559999999</v>
      </c>
      <c r="AK35" s="28">
        <f>SUM(AK5:AK34)</f>
        <v>-27.029999999998836</v>
      </c>
      <c r="AL35" s="28">
        <f>AJ35+AE35</f>
        <v>15994418.559999999</v>
      </c>
      <c r="AM35" s="28">
        <f>SUM(AM5:AM34)</f>
        <v>0</v>
      </c>
    </row>
  </sheetData>
  <mergeCells count="9">
    <mergeCell ref="S3:AC3"/>
    <mergeCell ref="AD3:AG3"/>
    <mergeCell ref="AH3:AM3"/>
    <mergeCell ref="A1:B1"/>
    <mergeCell ref="A3:B3"/>
    <mergeCell ref="C3:F3"/>
    <mergeCell ref="G3:J3"/>
    <mergeCell ref="K3:N3"/>
    <mergeCell ref="O3:R3"/>
  </mergeCells>
  <conditionalFormatting sqref="A5">
    <cfRule type="duplicateValues" dxfId="121" priority="3"/>
    <cfRule type="duplicateValues" dxfId="120" priority="4"/>
  </conditionalFormatting>
  <conditionalFormatting sqref="A6">
    <cfRule type="duplicateValues" dxfId="119" priority="5"/>
    <cfRule type="duplicateValues" dxfId="118" priority="6"/>
  </conditionalFormatting>
  <conditionalFormatting sqref="A7:A34">
    <cfRule type="duplicateValues" dxfId="117" priority="1"/>
    <cfRule type="duplicateValues" dxfId="116" priority="2"/>
  </conditionalFormatting>
  <conditionalFormatting sqref="A35">
    <cfRule type="duplicateValues" dxfId="115" priority="7"/>
  </conditionalFormatting>
  <dataValidations count="1">
    <dataValidation type="list" allowBlank="1" showInputMessage="1" showErrorMessage="1" sqref="A1:B1" xr:uid="{00000000-0002-0000-1000-000000000000}">
      <formula1>Locations</formula1>
    </dataValidation>
  </dataValidations>
  <pageMargins left="0.75" right="0.75" top="1" bottom="1" header="0.5" footer="0.5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tabColor rgb="FFFF0000"/>
  </sheetPr>
  <dimension ref="A1:AM35"/>
  <sheetViews>
    <sheetView showGridLines="0" zoomScale="85" zoomScaleNormal="85" workbookViewId="0">
      <pane xSplit="2" topLeftCell="R1" activePane="topRight" state="frozen"/>
      <selection activeCell="A4" sqref="A4"/>
      <selection pane="topRight" activeCell="V12" sqref="V12"/>
    </sheetView>
  </sheetViews>
  <sheetFormatPr defaultRowHeight="15" x14ac:dyDescent="0.25"/>
  <cols>
    <col min="1" max="1" width="11.85546875" customWidth="1"/>
    <col min="2" max="2" width="20.5703125" customWidth="1"/>
    <col min="6" max="6" width="14.42578125" bestFit="1" customWidth="1"/>
    <col min="10" max="10" width="14.42578125" bestFit="1" customWidth="1"/>
    <col min="14" max="14" width="14.42578125" bestFit="1" customWidth="1"/>
    <col min="18" max="18" width="14.42578125" bestFit="1" customWidth="1"/>
    <col min="30" max="31" width="18" customWidth="1"/>
    <col min="32" max="32" width="20" customWidth="1"/>
    <col min="33" max="33" width="14" customWidth="1"/>
    <col min="35" max="35" width="18" customWidth="1"/>
    <col min="36" max="36" width="22" customWidth="1"/>
    <col min="37" max="37" width="16" customWidth="1"/>
    <col min="38" max="38" width="14" customWidth="1"/>
  </cols>
  <sheetData>
    <row r="1" spans="1:39" ht="43.5" customHeight="1" x14ac:dyDescent="0.25">
      <c r="A1" s="48" t="s">
        <v>306</v>
      </c>
      <c r="B1" s="48"/>
    </row>
    <row r="2" spans="1:39" ht="13.5" customHeight="1" x14ac:dyDescent="0.25">
      <c r="A2" s="30">
        <f>'15'!A2+1</f>
        <v>46219</v>
      </c>
    </row>
    <row r="3" spans="1:39" ht="24" customHeight="1" x14ac:dyDescent="0.25">
      <c r="A3" s="49" t="s">
        <v>0</v>
      </c>
      <c r="B3" s="49"/>
      <c r="C3" s="49" t="s">
        <v>93</v>
      </c>
      <c r="D3" s="50"/>
      <c r="E3" s="50"/>
      <c r="F3" s="50"/>
      <c r="G3" s="49" t="s">
        <v>94</v>
      </c>
      <c r="H3" s="50"/>
      <c r="I3" s="50"/>
      <c r="J3" s="50"/>
      <c r="K3" s="49" t="s">
        <v>95</v>
      </c>
      <c r="L3" s="50"/>
      <c r="M3" s="50"/>
      <c r="N3" s="50"/>
      <c r="O3" s="49" t="s">
        <v>96</v>
      </c>
      <c r="P3" s="50"/>
      <c r="Q3" s="50"/>
      <c r="R3" s="50"/>
      <c r="S3" s="45" t="s">
        <v>1</v>
      </c>
      <c r="T3" s="46"/>
      <c r="U3" s="46"/>
      <c r="V3" s="46"/>
      <c r="W3" s="46"/>
      <c r="X3" s="46"/>
      <c r="Y3" s="46"/>
      <c r="Z3" s="46"/>
      <c r="AA3" s="46"/>
      <c r="AB3" s="46"/>
      <c r="AC3" s="46"/>
      <c r="AD3" s="47" t="s">
        <v>97</v>
      </c>
      <c r="AE3" s="46"/>
      <c r="AF3" s="46"/>
      <c r="AG3" s="46"/>
      <c r="AH3" s="47" t="s">
        <v>98</v>
      </c>
      <c r="AI3" s="46"/>
      <c r="AJ3" s="46"/>
      <c r="AK3" s="46"/>
      <c r="AL3" s="46"/>
      <c r="AM3" s="46"/>
    </row>
    <row r="4" spans="1:39" ht="27.95" customHeight="1" x14ac:dyDescent="0.25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92</v>
      </c>
      <c r="G4" s="1" t="s">
        <v>5</v>
      </c>
      <c r="H4" s="1" t="s">
        <v>6</v>
      </c>
      <c r="I4" s="1" t="s">
        <v>7</v>
      </c>
      <c r="J4" s="1" t="s">
        <v>92</v>
      </c>
      <c r="K4" s="1" t="s">
        <v>5</v>
      </c>
      <c r="L4" s="1" t="s">
        <v>6</v>
      </c>
      <c r="M4" s="1" t="s">
        <v>7</v>
      </c>
      <c r="N4" s="1" t="s">
        <v>92</v>
      </c>
      <c r="O4" s="1" t="s">
        <v>5</v>
      </c>
      <c r="P4" s="1" t="s">
        <v>6</v>
      </c>
      <c r="Q4" s="1" t="s">
        <v>7</v>
      </c>
      <c r="R4" s="1" t="s">
        <v>92</v>
      </c>
      <c r="S4" s="1" t="s">
        <v>5</v>
      </c>
      <c r="T4" s="1" t="s">
        <v>6</v>
      </c>
      <c r="U4" s="1" t="s">
        <v>7</v>
      </c>
      <c r="V4" s="1" t="s">
        <v>8</v>
      </c>
      <c r="W4" s="1" t="s">
        <v>9</v>
      </c>
      <c r="X4" s="1" t="s">
        <v>10</v>
      </c>
      <c r="Y4" s="1" t="s">
        <v>11</v>
      </c>
      <c r="Z4" s="1" t="s">
        <v>12</v>
      </c>
      <c r="AA4" s="1" t="s">
        <v>13</v>
      </c>
      <c r="AB4" s="1" t="s">
        <v>14</v>
      </c>
      <c r="AC4" s="1" t="s">
        <v>15</v>
      </c>
      <c r="AD4" s="1" t="s">
        <v>16</v>
      </c>
      <c r="AE4" s="1" t="s">
        <v>17</v>
      </c>
      <c r="AF4" s="1" t="s">
        <v>18</v>
      </c>
      <c r="AG4" s="1" t="s">
        <v>19</v>
      </c>
      <c r="AH4" s="1" t="s">
        <v>20</v>
      </c>
      <c r="AI4" s="4" t="s">
        <v>99</v>
      </c>
      <c r="AJ4" s="1" t="s">
        <v>21</v>
      </c>
      <c r="AK4" s="1" t="s">
        <v>22</v>
      </c>
      <c r="AL4" s="1" t="s">
        <v>23</v>
      </c>
      <c r="AM4" s="4" t="s">
        <v>100</v>
      </c>
    </row>
    <row r="5" spans="1:39" ht="12.75" customHeight="1" x14ac:dyDescent="0.25">
      <c r="A5" s="31">
        <v>68107</v>
      </c>
      <c r="B5" s="32" t="str">
        <f>IF(A5="","",VLOOKUP(A5,'Employee Database'!A:B,2,FALSE))</f>
        <v>M Harris</v>
      </c>
      <c r="C5" s="31">
        <v>7</v>
      </c>
      <c r="D5" s="31">
        <v>30</v>
      </c>
      <c r="E5" s="31">
        <v>12</v>
      </c>
      <c r="F5" s="39">
        <f>IF(COUNT(C5:E5)=0,0,SUMPRODUCT({5000,1000,500},C5:E5))</f>
        <v>71000</v>
      </c>
      <c r="G5" s="31"/>
      <c r="H5" s="31"/>
      <c r="I5" s="31"/>
      <c r="J5" s="39">
        <f>IF(COUNT(G5:I5)=0,0,SUMPRODUCT({5000,1000,500},G5:I5))</f>
        <v>0</v>
      </c>
      <c r="K5" s="31"/>
      <c r="L5" s="31"/>
      <c r="M5" s="31"/>
      <c r="N5" s="39">
        <f>IF(COUNT(K5:M5)=0,0,SUMPRODUCT({5000,1000,500},K5:M5))</f>
        <v>0</v>
      </c>
      <c r="O5" s="31"/>
      <c r="P5" s="31"/>
      <c r="Q5" s="31"/>
      <c r="R5" s="39">
        <f>IF(COUNT(O5:Q5)=0,0,SUMPRODUCT({5000,1000,500},O5:Q5))</f>
        <v>0</v>
      </c>
      <c r="S5" s="31"/>
      <c r="T5" s="31"/>
      <c r="U5" s="31"/>
      <c r="V5" s="31"/>
      <c r="W5" s="31"/>
      <c r="X5" s="31"/>
      <c r="Y5" s="31"/>
      <c r="Z5" s="31">
        <v>30</v>
      </c>
      <c r="AA5" s="31"/>
      <c r="AB5" s="31"/>
      <c r="AC5" s="31">
        <v>1</v>
      </c>
      <c r="AD5" s="34">
        <f>IF(COUNT(S5:AC5)=0,0,SUMPRODUCT({5000,1000,500,100,75,50,20,10,5,2,1}, S5:AC5))</f>
        <v>301</v>
      </c>
      <c r="AE5" s="33">
        <v>71298</v>
      </c>
      <c r="AF5" s="24">
        <f>IF(AND(COUNT(C5:E5)=0,COUNT(G5:I5)=0,COUNT(K5:M5)=0,COUNT(O5:Q5)=0,COUNT(S5:AC5)=0,AE5=""),"",(IF(COUNT(C5:E5)=0,0,SUMPRODUCT({5000,1000,500},C5:E5))+IF(COUNT(G5:I5)=0,0,SUMPRODUCT({5000,1000,500},G5:I5))+IF(COUNT(K5:M5)=0,0,SUMPRODUCT({5000,1000,500},K5:M5))+IF(COUNT(O5:Q5)=0,0,SUMPRODUCT({5000,1000,500},O5:Q5))+AD5)-N(AE5))</f>
        <v>3</v>
      </c>
      <c r="AG5" s="35" t="str">
        <f t="shared" ref="AG5:AG34" si="0">IF(AF5="","",IF(AF5&gt;0,"Excess",IF(AF5&lt;0,"Short","Balanced")))</f>
        <v>Excess</v>
      </c>
      <c r="AH5" s="38"/>
      <c r="AI5" s="36">
        <v>99848.35</v>
      </c>
      <c r="AJ5" s="37">
        <f>62891.78+36956.57</f>
        <v>99848.35</v>
      </c>
      <c r="AK5" s="26">
        <f t="shared" ref="AK5:AK33" si="1">IF(AND(AI5="",AJ5=""),"",N(AI5)-N(AJ5))</f>
        <v>0</v>
      </c>
      <c r="AL5" s="25" t="str">
        <f t="shared" ref="AL5:AL33" si="2">IF(AK5="","",IF(AK5&gt;0,"POS Excess",IF(AK5&lt;0,"Bank Short","Matched")))</f>
        <v>Matched</v>
      </c>
      <c r="AM5" s="38"/>
    </row>
    <row r="6" spans="1:39" ht="12.75" customHeight="1" x14ac:dyDescent="0.25">
      <c r="A6" s="31">
        <v>57653</v>
      </c>
      <c r="B6" s="32" t="str">
        <f>IF(A6="","",VLOOKUP(A6,'Employee Database'!A:B,2,FALSE))</f>
        <v>Amanat ali</v>
      </c>
      <c r="C6" s="31">
        <v>63</v>
      </c>
      <c r="D6" s="31">
        <v>121</v>
      </c>
      <c r="E6" s="31">
        <v>11</v>
      </c>
      <c r="F6" s="39">
        <f>IF(COUNT(C6:E6)=0,0,SUMPRODUCT({5000,1000,500},C6:E6))</f>
        <v>441500</v>
      </c>
      <c r="G6" s="31"/>
      <c r="H6" s="31"/>
      <c r="I6" s="31"/>
      <c r="J6" s="39">
        <f>IF(COUNT(G6:I6)=0,0,SUMPRODUCT({5000,1000,500},G6:I6))</f>
        <v>0</v>
      </c>
      <c r="K6" s="31"/>
      <c r="L6" s="31"/>
      <c r="M6" s="31"/>
      <c r="N6" s="39">
        <f>IF(COUNT(K6:M6)=0,0,SUMPRODUCT({5000,1000,500},K6:M6))</f>
        <v>0</v>
      </c>
      <c r="O6" s="31"/>
      <c r="P6" s="31"/>
      <c r="Q6" s="31"/>
      <c r="R6" s="39">
        <f>IF(COUNT(O6:Q6)=0,0,SUMPRODUCT({5000,1000,500},O6:Q6))</f>
        <v>0</v>
      </c>
      <c r="S6" s="31"/>
      <c r="T6" s="31"/>
      <c r="U6" s="31"/>
      <c r="V6" s="31"/>
      <c r="W6" s="31"/>
      <c r="X6" s="31">
        <v>6</v>
      </c>
      <c r="Y6" s="31"/>
      <c r="Z6" s="31">
        <v>14</v>
      </c>
      <c r="AA6" s="31"/>
      <c r="AB6" s="31"/>
      <c r="AC6" s="31"/>
      <c r="AD6" s="34">
        <f>IF(COUNT(S6:AC6)=0,0,SUMPRODUCT({5000,1000,500,100,75,50,20,10,5,2,1}, S6:AC6))</f>
        <v>440</v>
      </c>
      <c r="AE6" s="33">
        <v>441923</v>
      </c>
      <c r="AF6" s="24">
        <f>IF(AND(COUNT(C6:E6)=0,COUNT(G6:I6)=0,COUNT(K6:M6)=0,COUNT(O6:Q6)=0,COUNT(S6:AC6)=0,AE6=""),"",(IF(COUNT(C6:E6)=0,0,SUMPRODUCT({5000,1000,500},C6:E6))+IF(COUNT(G6:I6)=0,0,SUMPRODUCT({5000,1000,500},G6:I6))+IF(COUNT(K6:M6)=0,0,SUMPRODUCT({5000,1000,500},K6:M6))+IF(COUNT(O6:Q6)=0,0,SUMPRODUCT({5000,1000,500},O6:Q6))+AD6)-N(AE6))</f>
        <v>17</v>
      </c>
      <c r="AG6" s="35" t="str">
        <f t="shared" si="0"/>
        <v>Excess</v>
      </c>
      <c r="AH6" s="38"/>
      <c r="AI6" s="36">
        <v>866841.57</v>
      </c>
      <c r="AJ6" s="37">
        <f>499577.48+367264.09</f>
        <v>866841.57000000007</v>
      </c>
      <c r="AK6" s="26">
        <f t="shared" si="1"/>
        <v>-1.1641532182693481E-10</v>
      </c>
      <c r="AL6" s="25" t="str">
        <f t="shared" si="2"/>
        <v>Bank Short</v>
      </c>
      <c r="AM6" s="38"/>
    </row>
    <row r="7" spans="1:39" ht="12.75" customHeight="1" x14ac:dyDescent="0.25">
      <c r="A7" s="31">
        <v>77423</v>
      </c>
      <c r="B7" s="32" t="str">
        <f>IF(A7="","",VLOOKUP(A7,'Employee Database'!A:B,2,FALSE))</f>
        <v>Shoaib Akhtar</v>
      </c>
      <c r="C7" s="31">
        <v>43</v>
      </c>
      <c r="D7" s="31">
        <v>81</v>
      </c>
      <c r="E7" s="31">
        <v>13</v>
      </c>
      <c r="F7" s="39">
        <f>IF(COUNT(C7:E7)=0,0,SUMPRODUCT({5000,1000,500},C7:E7))</f>
        <v>302500</v>
      </c>
      <c r="G7" s="31"/>
      <c r="H7" s="31"/>
      <c r="I7" s="31"/>
      <c r="J7" s="39">
        <f>IF(COUNT(G7:I7)=0,0,SUMPRODUCT({5000,1000,500},G7:I7))</f>
        <v>0</v>
      </c>
      <c r="K7" s="31"/>
      <c r="L7" s="31"/>
      <c r="M7" s="31"/>
      <c r="N7" s="39">
        <f>IF(COUNT(K7:M7)=0,0,SUMPRODUCT({5000,1000,500},K7:M7))</f>
        <v>0</v>
      </c>
      <c r="O7" s="31"/>
      <c r="P7" s="31"/>
      <c r="Q7" s="31"/>
      <c r="R7" s="39">
        <f>IF(COUNT(O7:Q7)=0,0,SUMPRODUCT({5000,1000,500},O7:Q7))</f>
        <v>0</v>
      </c>
      <c r="S7" s="31"/>
      <c r="T7" s="31"/>
      <c r="U7" s="31"/>
      <c r="V7" s="31"/>
      <c r="W7" s="31"/>
      <c r="X7" s="31">
        <v>40</v>
      </c>
      <c r="Y7" s="31">
        <v>1</v>
      </c>
      <c r="Z7" s="31">
        <v>18</v>
      </c>
      <c r="AA7" s="31"/>
      <c r="AB7" s="31"/>
      <c r="AC7" s="31"/>
      <c r="AD7" s="34">
        <f>IF(COUNT(S7:AC7)=0,0,SUMPRODUCT({5000,1000,500,100,75,50,20,10,5,2,1}, S7:AC7))</f>
        <v>2200</v>
      </c>
      <c r="AE7" s="33">
        <v>304686</v>
      </c>
      <c r="AF7" s="24">
        <f>IF(AND(COUNT(C7:E7)=0,COUNT(G7:I7)=0,COUNT(K7:M7)=0,COUNT(O7:Q7)=0,COUNT(S7:AC7)=0,AE7=""),"",(IF(COUNT(C7:E7)=0,0,SUMPRODUCT({5000,1000,500},C7:E7))+IF(COUNT(G7:I7)=0,0,SUMPRODUCT({5000,1000,500},G7:I7))+IF(COUNT(K7:M7)=0,0,SUMPRODUCT({5000,1000,500},K7:M7))+IF(COUNT(O7:Q7)=0,0,SUMPRODUCT({5000,1000,500},O7:Q7))+AD7)-N(AE7))</f>
        <v>14</v>
      </c>
      <c r="AG7" s="35" t="str">
        <f t="shared" si="0"/>
        <v>Excess</v>
      </c>
      <c r="AH7" s="38"/>
      <c r="AI7" s="36">
        <v>775010.18</v>
      </c>
      <c r="AJ7" s="37">
        <f>358351.02+416659.16</f>
        <v>775010.17999999993</v>
      </c>
      <c r="AK7" s="26">
        <f t="shared" si="1"/>
        <v>1.1641532182693481E-10</v>
      </c>
      <c r="AL7" s="25" t="str">
        <f t="shared" si="2"/>
        <v>POS Excess</v>
      </c>
      <c r="AM7" s="38"/>
    </row>
    <row r="8" spans="1:39" ht="12.75" customHeight="1" x14ac:dyDescent="0.25">
      <c r="A8" s="31">
        <v>58112</v>
      </c>
      <c r="B8" s="32" t="str">
        <f>IF(A8="","",VLOOKUP(A8,'Employee Database'!A:B,2,FALSE))</f>
        <v>Shama</v>
      </c>
      <c r="C8" s="31">
        <v>2</v>
      </c>
      <c r="D8" s="31"/>
      <c r="E8" s="31"/>
      <c r="F8" s="39">
        <f>IF(COUNT(C8:E8)=0,0,SUMPRODUCT({5000,1000,500},C8:E8))</f>
        <v>10000</v>
      </c>
      <c r="G8" s="31"/>
      <c r="H8" s="31"/>
      <c r="I8" s="31"/>
      <c r="J8" s="39">
        <f>IF(COUNT(G8:I8)=0,0,SUMPRODUCT({5000,1000,500},G8:I8))</f>
        <v>0</v>
      </c>
      <c r="K8" s="31"/>
      <c r="L8" s="31"/>
      <c r="M8" s="31"/>
      <c r="N8" s="39">
        <f>IF(COUNT(K8:M8)=0,0,SUMPRODUCT({5000,1000,500},K8:M8))</f>
        <v>0</v>
      </c>
      <c r="O8" s="31"/>
      <c r="P8" s="31"/>
      <c r="Q8" s="31"/>
      <c r="R8" s="39">
        <f>IF(COUNT(O8:Q8)=0,0,SUMPRODUCT({5000,1000,500},O8:Q8))</f>
        <v>0</v>
      </c>
      <c r="S8" s="31"/>
      <c r="T8" s="31"/>
      <c r="U8" s="31"/>
      <c r="V8" s="31">
        <v>1</v>
      </c>
      <c r="W8" s="31"/>
      <c r="X8" s="31">
        <v>82</v>
      </c>
      <c r="Y8" s="31"/>
      <c r="Z8" s="31">
        <v>90</v>
      </c>
      <c r="AA8" s="31"/>
      <c r="AB8" s="31"/>
      <c r="AC8" s="31"/>
      <c r="AD8" s="34">
        <f>IF(COUNT(S8:AC8)=0,0,SUMPRODUCT({5000,1000,500,100,75,50,20,10,5,2,1}, S8:AC8))</f>
        <v>5100</v>
      </c>
      <c r="AE8" s="33">
        <v>15119</v>
      </c>
      <c r="AF8" s="24">
        <f>IF(AND(COUNT(C8:E8)=0,COUNT(G8:I8)=0,COUNT(K8:M8)=0,COUNT(O8:Q8)=0,COUNT(S8:AC8)=0,AE8=""),"",(IF(COUNT(C8:E8)=0,0,SUMPRODUCT({5000,1000,500},C8:E8))+IF(COUNT(G8:I8)=0,0,SUMPRODUCT({5000,1000,500},G8:I8))+IF(COUNT(K8:M8)=0,0,SUMPRODUCT({5000,1000,500},K8:M8))+IF(COUNT(O8:Q8)=0,0,SUMPRODUCT({5000,1000,500},O8:Q8))+AD8)-N(AE8))</f>
        <v>-19</v>
      </c>
      <c r="AG8" s="35" t="str">
        <f t="shared" si="0"/>
        <v>Short</v>
      </c>
      <c r="AH8" s="38"/>
      <c r="AI8" s="36"/>
      <c r="AJ8" s="37"/>
      <c r="AK8" s="26" t="str">
        <f t="shared" si="1"/>
        <v/>
      </c>
      <c r="AL8" s="25" t="str">
        <f t="shared" si="2"/>
        <v/>
      </c>
      <c r="AM8" s="38"/>
    </row>
    <row r="9" spans="1:39" ht="12.75" customHeight="1" x14ac:dyDescent="0.25">
      <c r="A9" s="31">
        <v>67249</v>
      </c>
      <c r="B9" s="32" t="str">
        <f>IF(A9="","",VLOOKUP(A9,'Employee Database'!A:B,2,FALSE))</f>
        <v>Hanan Javaid</v>
      </c>
      <c r="C9" s="31">
        <v>29</v>
      </c>
      <c r="D9" s="31">
        <v>145</v>
      </c>
      <c r="E9" s="31">
        <v>21</v>
      </c>
      <c r="F9" s="39">
        <f>IF(COUNT(C9:E9)=0,0,SUMPRODUCT({5000,1000,500},C9:E9))</f>
        <v>300500</v>
      </c>
      <c r="G9" s="31"/>
      <c r="H9" s="31"/>
      <c r="I9" s="31"/>
      <c r="J9" s="39">
        <f>IF(COUNT(G9:I9)=0,0,SUMPRODUCT({5000,1000,500},G9:I9))</f>
        <v>0</v>
      </c>
      <c r="K9" s="31"/>
      <c r="L9" s="31"/>
      <c r="M9" s="31"/>
      <c r="N9" s="39">
        <f>IF(COUNT(K9:M9)=0,0,SUMPRODUCT({5000,1000,500},K9:M9))</f>
        <v>0</v>
      </c>
      <c r="O9" s="31"/>
      <c r="P9" s="31"/>
      <c r="Q9" s="31"/>
      <c r="R9" s="39">
        <f>IF(COUNT(O9:Q9)=0,0,SUMPRODUCT({5000,1000,500},O9:Q9))</f>
        <v>0</v>
      </c>
      <c r="S9" s="31"/>
      <c r="T9" s="31"/>
      <c r="U9" s="31"/>
      <c r="V9" s="31">
        <v>1</v>
      </c>
      <c r="W9" s="31"/>
      <c r="X9" s="31">
        <v>1</v>
      </c>
      <c r="Y9" s="31"/>
      <c r="Z9" s="31">
        <v>57</v>
      </c>
      <c r="AA9" s="31"/>
      <c r="AB9" s="31"/>
      <c r="AC9" s="31"/>
      <c r="AD9" s="34">
        <f>IF(COUNT(S9:AC9)=0,0,SUMPRODUCT({5000,1000,500,100,75,50,20,10,5,2,1}, S9:AC9))</f>
        <v>720</v>
      </c>
      <c r="AE9" s="33">
        <v>301178</v>
      </c>
      <c r="AF9" s="24">
        <f>IF(AND(COUNT(C9:E9)=0,COUNT(G9:I9)=0,COUNT(K9:M9)=0,COUNT(O9:Q9)=0,COUNT(S9:AC9)=0,AE9=""),"",(IF(COUNT(C9:E9)=0,0,SUMPRODUCT({5000,1000,500},C9:E9))+IF(COUNT(G9:I9)=0,0,SUMPRODUCT({5000,1000,500},G9:I9))+IF(COUNT(K9:M9)=0,0,SUMPRODUCT({5000,1000,500},K9:M9))+IF(COUNT(O9:Q9)=0,0,SUMPRODUCT({5000,1000,500},O9:Q9))+AD9)-N(AE9))</f>
        <v>42</v>
      </c>
      <c r="AG9" s="35" t="str">
        <f t="shared" si="0"/>
        <v>Excess</v>
      </c>
      <c r="AH9" s="38"/>
      <c r="AI9" s="36">
        <f>3085+281071.16</f>
        <v>284156.15999999997</v>
      </c>
      <c r="AJ9" s="37">
        <f>3085+124828.89+156242.27</f>
        <v>284156.15999999997</v>
      </c>
      <c r="AK9" s="26">
        <f t="shared" si="1"/>
        <v>0</v>
      </c>
      <c r="AL9" s="25" t="str">
        <f t="shared" si="2"/>
        <v>Matched</v>
      </c>
      <c r="AM9" s="38"/>
    </row>
    <row r="10" spans="1:39" ht="12.75" customHeight="1" x14ac:dyDescent="0.25">
      <c r="A10" s="31">
        <v>59257</v>
      </c>
      <c r="B10" s="32" t="str">
        <f>IF(A10="","",VLOOKUP(A10,'Employee Database'!A:B,2,FALSE))</f>
        <v>Saddiqa Maryam</v>
      </c>
      <c r="C10" s="31">
        <v>33</v>
      </c>
      <c r="D10" s="31">
        <v>128</v>
      </c>
      <c r="E10" s="31">
        <v>40</v>
      </c>
      <c r="F10" s="39">
        <f>IF(COUNT(C10:E10)=0,0,SUMPRODUCT({5000,1000,500},C10:E10))</f>
        <v>313000</v>
      </c>
      <c r="G10" s="31"/>
      <c r="H10" s="31"/>
      <c r="I10" s="31"/>
      <c r="J10" s="39">
        <f>IF(COUNT(G10:I10)=0,0,SUMPRODUCT({5000,1000,500},G10:I10))</f>
        <v>0</v>
      </c>
      <c r="K10" s="31"/>
      <c r="L10" s="31"/>
      <c r="M10" s="31"/>
      <c r="N10" s="39">
        <f>IF(COUNT(K10:M10)=0,0,SUMPRODUCT({5000,1000,500},K10:M10))</f>
        <v>0</v>
      </c>
      <c r="O10" s="31"/>
      <c r="P10" s="31"/>
      <c r="Q10" s="31"/>
      <c r="R10" s="39">
        <f>IF(COUNT(O10:Q10)=0,0,SUMPRODUCT({5000,1000,500},O10:Q10))</f>
        <v>0</v>
      </c>
      <c r="S10" s="31"/>
      <c r="T10" s="31"/>
      <c r="U10" s="31"/>
      <c r="V10" s="31">
        <v>10</v>
      </c>
      <c r="W10" s="31"/>
      <c r="X10" s="31">
        <v>15</v>
      </c>
      <c r="Y10" s="31"/>
      <c r="Z10" s="31">
        <v>83</v>
      </c>
      <c r="AA10" s="31"/>
      <c r="AB10" s="31"/>
      <c r="AC10" s="31"/>
      <c r="AD10" s="34">
        <f>IF(COUNT(S10:AC10)=0,0,SUMPRODUCT({5000,1000,500,100,75,50,20,10,5,2,1}, S10:AC10))</f>
        <v>2580</v>
      </c>
      <c r="AE10" s="33">
        <v>315591</v>
      </c>
      <c r="AF10" s="24">
        <f>IF(AND(COUNT(C10:E10)=0,COUNT(G10:I10)=0,COUNT(K10:M10)=0,COUNT(O10:Q10)=0,COUNT(S10:AC10)=0,AE10=""),"",(IF(COUNT(C10:E10)=0,0,SUMPRODUCT({5000,1000,500},C10:E10))+IF(COUNT(G10:I10)=0,0,SUMPRODUCT({5000,1000,500},G10:I10))+IF(COUNT(K10:M10)=0,0,SUMPRODUCT({5000,1000,500},K10:M10))+IF(COUNT(O10:Q10)=0,0,SUMPRODUCT({5000,1000,500},O10:Q10))+AD10)-N(AE10))</f>
        <v>-11</v>
      </c>
      <c r="AG10" s="35" t="str">
        <f t="shared" si="0"/>
        <v>Short</v>
      </c>
      <c r="AH10" s="38"/>
      <c r="AI10" s="36">
        <f>626647.2+2335.42</f>
        <v>628982.62</v>
      </c>
      <c r="AJ10" s="37">
        <f>333380.78+293266.42+2335.42</f>
        <v>628982.62</v>
      </c>
      <c r="AK10" s="26">
        <f t="shared" si="1"/>
        <v>0</v>
      </c>
      <c r="AL10" s="25" t="str">
        <f t="shared" si="2"/>
        <v>Matched</v>
      </c>
      <c r="AM10" s="38"/>
    </row>
    <row r="11" spans="1:39" ht="12.75" customHeight="1" x14ac:dyDescent="0.25">
      <c r="A11" s="31">
        <v>63854</v>
      </c>
      <c r="B11" s="32" t="str">
        <f>IF(A11="","",VLOOKUP(A11,'Employee Database'!A:B,2,FALSE))</f>
        <v>Maham</v>
      </c>
      <c r="C11" s="31">
        <v>2</v>
      </c>
      <c r="D11" s="31">
        <v>16</v>
      </c>
      <c r="E11" s="31">
        <v>17</v>
      </c>
      <c r="F11" s="39">
        <f>IF(COUNT(C11:E11)=0,0,SUMPRODUCT({5000,1000,500},C11:E11))</f>
        <v>34500</v>
      </c>
      <c r="G11" s="31"/>
      <c r="H11" s="31"/>
      <c r="I11" s="31"/>
      <c r="J11" s="39">
        <f>IF(COUNT(G11:I11)=0,0,SUMPRODUCT({5000,1000,500},G11:I11))</f>
        <v>0</v>
      </c>
      <c r="K11" s="31"/>
      <c r="L11" s="31"/>
      <c r="M11" s="31"/>
      <c r="N11" s="39">
        <f>IF(COUNT(K11:M11)=0,0,SUMPRODUCT({5000,1000,500},K11:M11))</f>
        <v>0</v>
      </c>
      <c r="O11" s="31"/>
      <c r="P11" s="31"/>
      <c r="Q11" s="31"/>
      <c r="R11" s="39">
        <f>IF(COUNT(O11:Q11)=0,0,SUMPRODUCT({5000,1000,500},O11:Q11))</f>
        <v>0</v>
      </c>
      <c r="S11" s="31"/>
      <c r="T11" s="31"/>
      <c r="U11" s="31"/>
      <c r="V11" s="31"/>
      <c r="W11" s="31"/>
      <c r="X11" s="31">
        <v>28</v>
      </c>
      <c r="Y11" s="31"/>
      <c r="Z11" s="31">
        <v>36</v>
      </c>
      <c r="AA11" s="31"/>
      <c r="AB11" s="31"/>
      <c r="AC11" s="31"/>
      <c r="AD11" s="34">
        <f>IF(COUNT(S11:AC11)=0,0,SUMPRODUCT({5000,1000,500,100,75,50,20,10,5,2,1}, S11:AC11))</f>
        <v>1760</v>
      </c>
      <c r="AE11" s="33">
        <v>36278</v>
      </c>
      <c r="AF11" s="24">
        <f>IF(AND(COUNT(C11:E11)=0,COUNT(G11:I11)=0,COUNT(K11:M11)=0,COUNT(O11:Q11)=0,COUNT(S11:AC11)=0,AE11=""),"",(IF(COUNT(C11:E11)=0,0,SUMPRODUCT({5000,1000,500},C11:E11))+IF(COUNT(G11:I11)=0,0,SUMPRODUCT({5000,1000,500},G11:I11))+IF(COUNT(K11:M11)=0,0,SUMPRODUCT({5000,1000,500},K11:M11))+IF(COUNT(O11:Q11)=0,0,SUMPRODUCT({5000,1000,500},O11:Q11))+AD11)-N(AE11))</f>
        <v>-18</v>
      </c>
      <c r="AG11" s="35" t="str">
        <f t="shared" si="0"/>
        <v>Short</v>
      </c>
      <c r="AH11" s="38"/>
      <c r="AI11" s="36">
        <v>26861.31</v>
      </c>
      <c r="AJ11" s="37">
        <f>12448.59+14412.72</f>
        <v>26861.309999999998</v>
      </c>
      <c r="AK11" s="26">
        <f t="shared" si="1"/>
        <v>3.637978807091713E-12</v>
      </c>
      <c r="AL11" s="25" t="str">
        <f t="shared" si="2"/>
        <v>POS Excess</v>
      </c>
      <c r="AM11" s="38"/>
    </row>
    <row r="12" spans="1:39" ht="12.75" customHeight="1" x14ac:dyDescent="0.25">
      <c r="A12" s="31">
        <v>71205</v>
      </c>
      <c r="B12" s="32" t="str">
        <f>IF(A12="","",VLOOKUP(A12,'Employee Database'!A:B,2,FALSE))</f>
        <v>M Yaqoob</v>
      </c>
      <c r="C12" s="31">
        <v>11</v>
      </c>
      <c r="D12" s="31">
        <v>65</v>
      </c>
      <c r="E12" s="31">
        <v>17</v>
      </c>
      <c r="F12" s="39">
        <f>IF(COUNT(C12:E12)=0,0,SUMPRODUCT({5000,1000,500},C12:E12))</f>
        <v>128500</v>
      </c>
      <c r="G12" s="31"/>
      <c r="H12" s="31"/>
      <c r="I12" s="31"/>
      <c r="J12" s="39">
        <f>IF(COUNT(G12:I12)=0,0,SUMPRODUCT({5000,1000,500},G12:I12))</f>
        <v>0</v>
      </c>
      <c r="K12" s="31"/>
      <c r="L12" s="31"/>
      <c r="M12" s="31"/>
      <c r="N12" s="39">
        <f>IF(COUNT(K12:M12)=0,0,SUMPRODUCT({5000,1000,500},K12:M12))</f>
        <v>0</v>
      </c>
      <c r="O12" s="31"/>
      <c r="P12" s="31"/>
      <c r="Q12" s="31"/>
      <c r="R12" s="39">
        <f>IF(COUNT(O12:Q12)=0,0,SUMPRODUCT({5000,1000,500},O12:Q12))</f>
        <v>0</v>
      </c>
      <c r="S12" s="31"/>
      <c r="T12" s="31"/>
      <c r="U12" s="31"/>
      <c r="V12" s="31">
        <v>3</v>
      </c>
      <c r="W12" s="31"/>
      <c r="X12" s="31">
        <v>69</v>
      </c>
      <c r="Y12" s="31"/>
      <c r="Z12" s="31">
        <v>72</v>
      </c>
      <c r="AA12" s="31"/>
      <c r="AB12" s="31"/>
      <c r="AC12" s="31"/>
      <c r="AD12" s="34">
        <f>IF(COUNT(S12:AC12)=0,0,SUMPRODUCT({5000,1000,500,100,75,50,20,10,5,2,1}, S12:AC12))</f>
        <v>4470</v>
      </c>
      <c r="AE12" s="33">
        <v>132982</v>
      </c>
      <c r="AF12" s="24">
        <f>IF(AND(COUNT(C12:E12)=0,COUNT(G12:I12)=0,COUNT(K12:M12)=0,COUNT(O12:Q12)=0,COUNT(S12:AC12)=0,AE12=""),"",(IF(COUNT(C12:E12)=0,0,SUMPRODUCT({5000,1000,500},C12:E12))+IF(COUNT(G12:I12)=0,0,SUMPRODUCT({5000,1000,500},G12:I12))+IF(COUNT(K12:M12)=0,0,SUMPRODUCT({5000,1000,500},K12:M12))+IF(COUNT(O12:Q12)=0,0,SUMPRODUCT({5000,1000,500},O12:Q12))+AD12)-N(AE12))</f>
        <v>-12</v>
      </c>
      <c r="AG12" s="35" t="str">
        <f t="shared" si="0"/>
        <v>Short</v>
      </c>
      <c r="AH12" s="38"/>
      <c r="AI12" s="36">
        <v>264042.53999999998</v>
      </c>
      <c r="AJ12" s="37">
        <v>264042.53999999998</v>
      </c>
      <c r="AK12" s="26">
        <f t="shared" si="1"/>
        <v>0</v>
      </c>
      <c r="AL12" s="25" t="str">
        <f t="shared" si="2"/>
        <v>Matched</v>
      </c>
      <c r="AM12" s="38"/>
    </row>
    <row r="13" spans="1:39" ht="12.75" customHeight="1" x14ac:dyDescent="0.25">
      <c r="A13" s="31">
        <v>50134</v>
      </c>
      <c r="B13" s="32" t="str">
        <f>IF(A13="","",VLOOKUP(A13,'Employee Database'!A:B,2,FALSE))</f>
        <v>Asif Abbas</v>
      </c>
      <c r="C13" s="31"/>
      <c r="D13" s="31"/>
      <c r="E13" s="31"/>
      <c r="F13" s="39">
        <f>IF(COUNT(C13:E13)=0,0,SUMPRODUCT({5000,1000,500},C13:E13))</f>
        <v>0</v>
      </c>
      <c r="G13" s="31">
        <v>30</v>
      </c>
      <c r="H13" s="31">
        <v>46</v>
      </c>
      <c r="I13" s="31">
        <v>16</v>
      </c>
      <c r="J13" s="39">
        <f>IF(COUNT(G13:I13)=0,0,SUMPRODUCT({5000,1000,500},G13:I13))</f>
        <v>204000</v>
      </c>
      <c r="K13" s="31"/>
      <c r="L13" s="31"/>
      <c r="M13" s="31"/>
      <c r="N13" s="39">
        <f>IF(COUNT(K13:M13)=0,0,SUMPRODUCT({5000,1000,500},K13:M13))</f>
        <v>0</v>
      </c>
      <c r="O13" s="31"/>
      <c r="P13" s="31"/>
      <c r="Q13" s="31"/>
      <c r="R13" s="39">
        <f>IF(COUNT(O13:Q13)=0,0,SUMPRODUCT({5000,1000,500},O13:Q13))</f>
        <v>0</v>
      </c>
      <c r="S13" s="31"/>
      <c r="T13" s="31"/>
      <c r="U13" s="31"/>
      <c r="V13" s="31"/>
      <c r="W13" s="31"/>
      <c r="X13" s="31">
        <v>9</v>
      </c>
      <c r="Y13" s="31"/>
      <c r="Z13" s="31">
        <v>24</v>
      </c>
      <c r="AA13" s="31"/>
      <c r="AB13" s="31"/>
      <c r="AC13" s="31"/>
      <c r="AD13" s="34">
        <f>IF(COUNT(S13:AC13)=0,0,SUMPRODUCT({5000,1000,500,100,75,50,20,10,5,2,1}, S13:AC13))</f>
        <v>690</v>
      </c>
      <c r="AE13" s="33">
        <v>204635</v>
      </c>
      <c r="AF13" s="24">
        <f>IF(AND(COUNT(C13:E13)=0,COUNT(G13:I13)=0,COUNT(K13:M13)=0,COUNT(O13:Q13)=0,COUNT(S13:AC13)=0,AE13=""),"",(IF(COUNT(C13:E13)=0,0,SUMPRODUCT({5000,1000,500},C13:E13))+IF(COUNT(G13:I13)=0,0,SUMPRODUCT({5000,1000,500},G13:I13))+IF(COUNT(K13:M13)=0,0,SUMPRODUCT({5000,1000,500},K13:M13))+IF(COUNT(O13:Q13)=0,0,SUMPRODUCT({5000,1000,500},O13:Q13))+AD13)-N(AE13))</f>
        <v>55</v>
      </c>
      <c r="AG13" s="35" t="str">
        <f t="shared" si="0"/>
        <v>Excess</v>
      </c>
      <c r="AH13" s="38"/>
      <c r="AI13" s="36">
        <f>4469.2+433793.01</f>
        <v>438262.21</v>
      </c>
      <c r="AJ13" s="37">
        <f>425646.51+4469.2+8146.5</f>
        <v>438262.21</v>
      </c>
      <c r="AK13" s="26">
        <f t="shared" si="1"/>
        <v>0</v>
      </c>
      <c r="AL13" s="25" t="str">
        <f t="shared" si="2"/>
        <v>Matched</v>
      </c>
      <c r="AM13" s="38"/>
    </row>
    <row r="14" spans="1:39" ht="12.75" customHeight="1" x14ac:dyDescent="0.25">
      <c r="A14" s="31">
        <v>78242</v>
      </c>
      <c r="B14" s="32" t="str">
        <f>IF(A14="","",VLOOKUP(A14,'Employee Database'!A:B,2,FALSE))</f>
        <v>Hamad Mughal</v>
      </c>
      <c r="C14" s="31"/>
      <c r="D14" s="31"/>
      <c r="E14" s="31"/>
      <c r="F14" s="39">
        <f>IF(COUNT(C14:E14)=0,0,SUMPRODUCT({5000,1000,500},C14:E14))</f>
        <v>0</v>
      </c>
      <c r="G14" s="31">
        <v>29</v>
      </c>
      <c r="H14" s="31">
        <v>51</v>
      </c>
      <c r="I14" s="31">
        <v>11</v>
      </c>
      <c r="J14" s="39">
        <f>IF(COUNT(G14:I14)=0,0,SUMPRODUCT({5000,1000,500},G14:I14))</f>
        <v>201500</v>
      </c>
      <c r="K14" s="31"/>
      <c r="L14" s="31"/>
      <c r="M14" s="31"/>
      <c r="N14" s="39">
        <f>IF(COUNT(K14:M14)=0,0,SUMPRODUCT({5000,1000,500},K14:M14))</f>
        <v>0</v>
      </c>
      <c r="O14" s="31"/>
      <c r="P14" s="31"/>
      <c r="Q14" s="31"/>
      <c r="R14" s="39">
        <f>IF(COUNT(O14:Q14)=0,0,SUMPRODUCT({5000,1000,500},O14:Q14))</f>
        <v>0</v>
      </c>
      <c r="S14" s="31"/>
      <c r="T14" s="31"/>
      <c r="U14" s="31"/>
      <c r="V14" s="31"/>
      <c r="W14" s="31"/>
      <c r="X14" s="31">
        <v>5</v>
      </c>
      <c r="Y14" s="31"/>
      <c r="Z14" s="31">
        <v>76</v>
      </c>
      <c r="AA14" s="31"/>
      <c r="AB14" s="31"/>
      <c r="AC14" s="31"/>
      <c r="AD14" s="34">
        <f>IF(COUNT(S14:AC14)=0,0,SUMPRODUCT({5000,1000,500,100,75,50,20,10,5,2,1}, S14:AC14))</f>
        <v>1010</v>
      </c>
      <c r="AE14" s="33">
        <v>202504</v>
      </c>
      <c r="AF14" s="24">
        <f>IF(AND(COUNT(C14:E14)=0,COUNT(G14:I14)=0,COUNT(K14:M14)=0,COUNT(O14:Q14)=0,COUNT(S14:AC14)=0,AE14=""),"",(IF(COUNT(C14:E14)=0,0,SUMPRODUCT({5000,1000,500},C14:E14))+IF(COUNT(G14:I14)=0,0,SUMPRODUCT({5000,1000,500},G14:I14))+IF(COUNT(K14:M14)=0,0,SUMPRODUCT({5000,1000,500},K14:M14))+IF(COUNT(O14:Q14)=0,0,SUMPRODUCT({5000,1000,500},O14:Q14))+AD14)-N(AE14))</f>
        <v>6</v>
      </c>
      <c r="AG14" s="35" t="str">
        <f t="shared" si="0"/>
        <v>Excess</v>
      </c>
      <c r="AH14" s="38"/>
      <c r="AI14" s="36">
        <f>215481.28+41514.76</f>
        <v>256996.04</v>
      </c>
      <c r="AJ14" s="37">
        <f>41514.76+117134.1+98347.18</f>
        <v>256996.04</v>
      </c>
      <c r="AK14" s="26">
        <f t="shared" si="1"/>
        <v>0</v>
      </c>
      <c r="AL14" s="25" t="str">
        <f t="shared" si="2"/>
        <v>Matched</v>
      </c>
      <c r="AM14" s="38"/>
    </row>
    <row r="15" spans="1:39" ht="12.75" customHeight="1" x14ac:dyDescent="0.25">
      <c r="A15" s="31">
        <v>68475</v>
      </c>
      <c r="B15" s="32" t="str">
        <f>IF(A15="","",VLOOKUP(A15,'Employee Database'!A:B,2,FALSE))</f>
        <v>M Azeem</v>
      </c>
      <c r="C15" s="31"/>
      <c r="D15" s="31"/>
      <c r="E15" s="31"/>
      <c r="F15" s="39">
        <f>IF(COUNT(C15:E15)=0,0,SUMPRODUCT({5000,1000,500},C15:E15))</f>
        <v>0</v>
      </c>
      <c r="G15" s="31">
        <v>11</v>
      </c>
      <c r="H15" s="31">
        <v>34</v>
      </c>
      <c r="I15" s="31">
        <v>19</v>
      </c>
      <c r="J15" s="39">
        <f>IF(COUNT(G15:I15)=0,0,SUMPRODUCT({5000,1000,500},G15:I15))</f>
        <v>98500</v>
      </c>
      <c r="K15" s="31" t="s">
        <v>310</v>
      </c>
      <c r="L15" s="31"/>
      <c r="M15" s="31"/>
      <c r="N15" s="39">
        <f>IF(COUNT(K15:M15)=0,0,SUMPRODUCT({5000,1000,500},K15:M15))</f>
        <v>0</v>
      </c>
      <c r="O15" s="31"/>
      <c r="P15" s="31"/>
      <c r="Q15" s="31"/>
      <c r="R15" s="39">
        <f>IF(COUNT(O15:Q15)=0,0,SUMPRODUCT({5000,1000,500},O15:Q15))</f>
        <v>0</v>
      </c>
      <c r="S15" s="31"/>
      <c r="T15" s="31"/>
      <c r="U15" s="31"/>
      <c r="V15" s="31"/>
      <c r="W15" s="31"/>
      <c r="X15" s="31">
        <v>81</v>
      </c>
      <c r="Y15" s="31"/>
      <c r="Z15" s="31">
        <v>45</v>
      </c>
      <c r="AA15" s="31"/>
      <c r="AB15" s="31"/>
      <c r="AC15" s="31"/>
      <c r="AD15" s="34">
        <f>IF(COUNT(S15:AC15)=0,0,SUMPRODUCT({5000,1000,500,100,75,50,20,10,5,2,1}, S15:AC15))</f>
        <v>4500</v>
      </c>
      <c r="AE15" s="33">
        <v>102923</v>
      </c>
      <c r="AF15" s="24">
        <f>IF(AND(COUNT(C15:E15)=0,COUNT(G15:I15)=0,COUNT(K15:M15)=0,COUNT(O15:Q15)=0,COUNT(S15:AC15)=0,AE15=""),"",(IF(COUNT(C15:E15)=0,0,SUMPRODUCT({5000,1000,500},C15:E15))+IF(COUNT(G15:I15)=0,0,SUMPRODUCT({5000,1000,500},G15:I15))+IF(COUNT(K15:M15)=0,0,SUMPRODUCT({5000,1000,500},K15:M15))+IF(COUNT(O15:Q15)=0,0,SUMPRODUCT({5000,1000,500},O15:Q15))+AD15)-N(AE15))</f>
        <v>77</v>
      </c>
      <c r="AG15" s="35" t="str">
        <f t="shared" si="0"/>
        <v>Excess</v>
      </c>
      <c r="AH15" s="38"/>
      <c r="AI15" s="36">
        <f>33345.02+96211.27</f>
        <v>129556.29000000001</v>
      </c>
      <c r="AJ15" s="37">
        <f>96211.27+33345.02</f>
        <v>129556.29000000001</v>
      </c>
      <c r="AK15" s="26">
        <f t="shared" si="1"/>
        <v>0</v>
      </c>
      <c r="AL15" s="25" t="str">
        <f t="shared" si="2"/>
        <v>Matched</v>
      </c>
      <c r="AM15" s="38"/>
    </row>
    <row r="16" spans="1:39" ht="12.75" customHeight="1" x14ac:dyDescent="0.25">
      <c r="A16" s="31">
        <v>71788</v>
      </c>
      <c r="B16" s="32" t="str">
        <f>IF(A16="","",VLOOKUP(A16,'Employee Database'!A:B,2,FALSE))</f>
        <v>Saaim</v>
      </c>
      <c r="C16" s="31"/>
      <c r="D16" s="31"/>
      <c r="E16" s="31"/>
      <c r="F16" s="39">
        <f>IF(COUNT(C16:E16)=0,0,SUMPRODUCT({5000,1000,500},C16:E16))</f>
        <v>0</v>
      </c>
      <c r="G16" s="31">
        <v>11</v>
      </c>
      <c r="H16" s="31">
        <v>190</v>
      </c>
      <c r="I16" s="31">
        <v>29</v>
      </c>
      <c r="J16" s="39">
        <f>IF(COUNT(G16:I16)=0,0,SUMPRODUCT({5000,1000,500},G16:I16))</f>
        <v>259500</v>
      </c>
      <c r="K16" s="31"/>
      <c r="L16" s="31"/>
      <c r="M16" s="31"/>
      <c r="N16" s="39">
        <f>IF(COUNT(K16:M16)=0,0,SUMPRODUCT({5000,1000,500},K16:M16))</f>
        <v>0</v>
      </c>
      <c r="O16" s="31"/>
      <c r="P16" s="31"/>
      <c r="Q16" s="31"/>
      <c r="R16" s="39">
        <f>IF(COUNT(O16:Q16)=0,0,SUMPRODUCT({5000,1000,500},O16:Q16))</f>
        <v>0</v>
      </c>
      <c r="S16" s="31"/>
      <c r="T16" s="31"/>
      <c r="U16" s="31"/>
      <c r="V16" s="31">
        <v>1</v>
      </c>
      <c r="W16" s="31"/>
      <c r="X16" s="31">
        <v>10</v>
      </c>
      <c r="Y16" s="31"/>
      <c r="Z16" s="31">
        <v>71</v>
      </c>
      <c r="AA16" s="31"/>
      <c r="AB16" s="31"/>
      <c r="AC16" s="31"/>
      <c r="AD16" s="34">
        <f>IF(COUNT(S16:AC16)=0,0,SUMPRODUCT({5000,1000,500,100,75,50,20,10,5,2,1}, S16:AC16))</f>
        <v>1310</v>
      </c>
      <c r="AE16" s="33">
        <v>260850</v>
      </c>
      <c r="AF16" s="24">
        <f>IF(AND(COUNT(C16:E16)=0,COUNT(G16:I16)=0,COUNT(K16:M16)=0,COUNT(O16:Q16)=0,COUNT(S16:AC16)=0,AE16=""),"",(IF(COUNT(C16:E16)=0,0,SUMPRODUCT({5000,1000,500},C16:E16))+IF(COUNT(G16:I16)=0,0,SUMPRODUCT({5000,1000,500},G16:I16))+IF(COUNT(K16:M16)=0,0,SUMPRODUCT({5000,1000,500},K16:M16))+IF(COUNT(O16:Q16)=0,0,SUMPRODUCT({5000,1000,500},O16:Q16))+AD16)-N(AE16))</f>
        <v>-40</v>
      </c>
      <c r="AG16" s="35" t="str">
        <f t="shared" si="0"/>
        <v>Short</v>
      </c>
      <c r="AH16" s="38"/>
      <c r="AI16" s="36">
        <f>430823.33+29204.62</f>
        <v>460027.95</v>
      </c>
      <c r="AJ16" s="37">
        <f>29204.62+430823.33</f>
        <v>460027.95</v>
      </c>
      <c r="AK16" s="26">
        <f t="shared" si="1"/>
        <v>0</v>
      </c>
      <c r="AL16" s="25" t="str">
        <f t="shared" si="2"/>
        <v>Matched</v>
      </c>
      <c r="AM16" s="38"/>
    </row>
    <row r="17" spans="1:39" ht="12.75" customHeight="1" x14ac:dyDescent="0.25">
      <c r="A17" s="31">
        <v>63599</v>
      </c>
      <c r="B17" s="32" t="str">
        <f>IF(A17="","",VLOOKUP(A17,'Employee Database'!A:B,2,FALSE))</f>
        <v>Hafsa</v>
      </c>
      <c r="C17" s="31"/>
      <c r="D17" s="31"/>
      <c r="E17" s="31"/>
      <c r="F17" s="39">
        <f>IF(COUNT(C17:E17)=0,0,SUMPRODUCT({5000,1000,500},C17:E17))</f>
        <v>0</v>
      </c>
      <c r="G17" s="31">
        <v>6</v>
      </c>
      <c r="H17" s="31">
        <v>38</v>
      </c>
      <c r="I17" s="31">
        <v>19</v>
      </c>
      <c r="J17" s="39">
        <f>IF(COUNT(G17:I17)=0,0,SUMPRODUCT({5000,1000,500},G17:I17))</f>
        <v>77500</v>
      </c>
      <c r="K17" s="31"/>
      <c r="L17" s="31"/>
      <c r="M17" s="31"/>
      <c r="N17" s="39">
        <f>IF(COUNT(K17:M17)=0,0,SUMPRODUCT({5000,1000,500},K17:M17))</f>
        <v>0</v>
      </c>
      <c r="O17" s="31"/>
      <c r="P17" s="31"/>
      <c r="Q17" s="31"/>
      <c r="R17" s="39">
        <f>IF(COUNT(O17:Q17)=0,0,SUMPRODUCT({5000,1000,500},O17:Q17))</f>
        <v>0</v>
      </c>
      <c r="S17" s="31"/>
      <c r="T17" s="31"/>
      <c r="U17" s="31"/>
      <c r="V17" s="31"/>
      <c r="W17" s="31"/>
      <c r="X17" s="31">
        <v>85</v>
      </c>
      <c r="Y17" s="31"/>
      <c r="Z17" s="31">
        <v>24</v>
      </c>
      <c r="AA17" s="31"/>
      <c r="AB17" s="31"/>
      <c r="AC17" s="31"/>
      <c r="AD17" s="34">
        <f>IF(COUNT(S17:AC17)=0,0,SUMPRODUCT({5000,1000,500,100,75,50,20,10,5,2,1}, S17:AC17))</f>
        <v>4490</v>
      </c>
      <c r="AE17" s="33">
        <v>82010</v>
      </c>
      <c r="AF17" s="24">
        <f>IF(AND(COUNT(C17:E17)=0,COUNT(G17:I17)=0,COUNT(K17:M17)=0,COUNT(O17:Q17)=0,COUNT(S17:AC17)=0,AE17=""),"",(IF(COUNT(C17:E17)=0,0,SUMPRODUCT({5000,1000,500},C17:E17))+IF(COUNT(G17:I17)=0,0,SUMPRODUCT({5000,1000,500},G17:I17))+IF(COUNT(K17:M17)=0,0,SUMPRODUCT({5000,1000,500},K17:M17))+IF(COUNT(O17:Q17)=0,0,SUMPRODUCT({5000,1000,500},O17:Q17))+AD17)-N(AE17))</f>
        <v>-20</v>
      </c>
      <c r="AG17" s="35" t="str">
        <f t="shared" si="0"/>
        <v>Short</v>
      </c>
      <c r="AH17" s="38"/>
      <c r="AI17" s="36">
        <f>10473.41+23746+107152.47</f>
        <v>141371.88</v>
      </c>
      <c r="AJ17" s="37">
        <f>107152.47+10473.41+23746</f>
        <v>141371.88</v>
      </c>
      <c r="AK17" s="26">
        <f t="shared" si="1"/>
        <v>0</v>
      </c>
      <c r="AL17" s="25" t="str">
        <f t="shared" si="2"/>
        <v>Matched</v>
      </c>
      <c r="AM17" s="38"/>
    </row>
    <row r="18" spans="1:39" ht="12.75" customHeight="1" x14ac:dyDescent="0.25">
      <c r="A18" s="31">
        <v>53893</v>
      </c>
      <c r="B18" s="32" t="str">
        <f>IF(A18="","",VLOOKUP(A18,'Employee Database'!A:B,2,FALSE))</f>
        <v>M Binyameen</v>
      </c>
      <c r="C18" s="31"/>
      <c r="D18" s="31"/>
      <c r="E18" s="31"/>
      <c r="F18" s="39">
        <f>IF(COUNT(C18:E18)=0,0,SUMPRODUCT({5000,1000,500},C18:E18))</f>
        <v>0</v>
      </c>
      <c r="G18" s="31">
        <v>4</v>
      </c>
      <c r="H18" s="31">
        <v>57</v>
      </c>
      <c r="I18" s="31">
        <v>6</v>
      </c>
      <c r="J18" s="39">
        <f>IF(COUNT(G18:I18)=0,0,SUMPRODUCT({5000,1000,500},G18:I18))</f>
        <v>80000</v>
      </c>
      <c r="K18" s="31"/>
      <c r="L18" s="31"/>
      <c r="M18" s="31"/>
      <c r="N18" s="39">
        <f>IF(COUNT(K18:M18)=0,0,SUMPRODUCT({5000,1000,500},K18:M18))</f>
        <v>0</v>
      </c>
      <c r="O18" s="31"/>
      <c r="P18" s="31"/>
      <c r="Q18" s="31"/>
      <c r="R18" s="39">
        <f>IF(COUNT(O18:Q18)=0,0,SUMPRODUCT({5000,1000,500},O18:Q18))</f>
        <v>0</v>
      </c>
      <c r="S18" s="31"/>
      <c r="T18" s="31"/>
      <c r="U18" s="31"/>
      <c r="V18" s="31"/>
      <c r="W18" s="31"/>
      <c r="X18" s="31">
        <v>110</v>
      </c>
      <c r="Y18" s="31"/>
      <c r="Z18" s="31">
        <v>35</v>
      </c>
      <c r="AA18" s="31"/>
      <c r="AB18" s="31"/>
      <c r="AC18" s="31"/>
      <c r="AD18" s="34">
        <f>IF(COUNT(S18:AC18)=0,0,SUMPRODUCT({5000,1000,500,100,75,50,20,10,5,2,1}, S18:AC18))</f>
        <v>5850</v>
      </c>
      <c r="AE18" s="33">
        <v>85782</v>
      </c>
      <c r="AF18" s="24">
        <f>IF(AND(COUNT(C18:E18)=0,COUNT(G18:I18)=0,COUNT(K18:M18)=0,COUNT(O18:Q18)=0,COUNT(S18:AC18)=0,AE18=""),"",(IF(COUNT(C18:E18)=0,0,SUMPRODUCT({5000,1000,500},C18:E18))+IF(COUNT(G18:I18)=0,0,SUMPRODUCT({5000,1000,500},G18:I18))+IF(COUNT(K18:M18)=0,0,SUMPRODUCT({5000,1000,500},K18:M18))+IF(COUNT(O18:Q18)=0,0,SUMPRODUCT({5000,1000,500},O18:Q18))+AD18)-N(AE18))</f>
        <v>68</v>
      </c>
      <c r="AG18" s="35" t="str">
        <f t="shared" si="0"/>
        <v>Excess</v>
      </c>
      <c r="AH18" s="38"/>
      <c r="AI18" s="36">
        <f>376939.99+13046</f>
        <v>389985.99</v>
      </c>
      <c r="AJ18" s="37">
        <f>84180.44+292759.55+13046</f>
        <v>389985.99</v>
      </c>
      <c r="AK18" s="26">
        <f t="shared" si="1"/>
        <v>0</v>
      </c>
      <c r="AL18" s="25" t="str">
        <f t="shared" si="2"/>
        <v>Matched</v>
      </c>
      <c r="AM18" s="38"/>
    </row>
    <row r="19" spans="1:39" ht="12.75" customHeight="1" x14ac:dyDescent="0.25">
      <c r="A19" s="31">
        <v>50524</v>
      </c>
      <c r="B19" s="32" t="str">
        <f>IF(A19="","",VLOOKUP(A19,'Employee Database'!A:B,2,FALSE))</f>
        <v>Allah Rakha</v>
      </c>
      <c r="C19" s="31"/>
      <c r="D19" s="31"/>
      <c r="E19" s="31"/>
      <c r="F19" s="39">
        <f>IF(COUNT(C19:E19)=0,0,SUMPRODUCT({5000,1000,500},C19:E19))</f>
        <v>0</v>
      </c>
      <c r="G19" s="31">
        <v>13</v>
      </c>
      <c r="H19" s="31">
        <v>83</v>
      </c>
      <c r="I19" s="31">
        <v>7</v>
      </c>
      <c r="J19" s="39">
        <f>IF(COUNT(G19:I19)=0,0,SUMPRODUCT({5000,1000,500},G19:I19))</f>
        <v>151500</v>
      </c>
      <c r="K19" s="31"/>
      <c r="L19" s="31"/>
      <c r="M19" s="31"/>
      <c r="N19" s="39">
        <f>IF(COUNT(K19:M19)=0,0,SUMPRODUCT({5000,1000,500},K19:M19))</f>
        <v>0</v>
      </c>
      <c r="O19" s="31"/>
      <c r="P19" s="31"/>
      <c r="Q19" s="31"/>
      <c r="R19" s="39">
        <f>IF(COUNT(O19:Q19)=0,0,SUMPRODUCT({5000,1000,500},O19:Q19))</f>
        <v>0</v>
      </c>
      <c r="S19" s="31"/>
      <c r="T19" s="31"/>
      <c r="U19" s="31"/>
      <c r="V19" s="31">
        <v>5</v>
      </c>
      <c r="W19" s="31"/>
      <c r="X19" s="31">
        <v>5</v>
      </c>
      <c r="Y19" s="31"/>
      <c r="Z19" s="31">
        <v>54</v>
      </c>
      <c r="AA19" s="31"/>
      <c r="AB19" s="31"/>
      <c r="AC19" s="31"/>
      <c r="AD19" s="34">
        <f>IF(COUNT(S19:AC19)=0,0,SUMPRODUCT({5000,1000,500,100,75,50,20,10,5,2,1}, S19:AC19))</f>
        <v>1290</v>
      </c>
      <c r="AE19" s="33">
        <v>152737</v>
      </c>
      <c r="AF19" s="24">
        <f>IF(AND(COUNT(C19:E19)=0,COUNT(G19:I19)=0,COUNT(K19:M19)=0,COUNT(O19:Q19)=0,COUNT(S19:AC19)=0,AE19=""),"",(IF(COUNT(C19:E19)=0,0,SUMPRODUCT({5000,1000,500},C19:E19))+IF(COUNT(G19:I19)=0,0,SUMPRODUCT({5000,1000,500},G19:I19))+IF(COUNT(K19:M19)=0,0,SUMPRODUCT({5000,1000,500},K19:M19))+IF(COUNT(O19:Q19)=0,0,SUMPRODUCT({5000,1000,500},O19:Q19))+AD19)-N(AE19))</f>
        <v>53</v>
      </c>
      <c r="AG19" s="35" t="str">
        <f t="shared" si="0"/>
        <v>Excess</v>
      </c>
      <c r="AH19" s="38"/>
      <c r="AI19" s="36">
        <v>379101.91</v>
      </c>
      <c r="AJ19" s="37">
        <f>53696.04+325405.87</f>
        <v>379101.91</v>
      </c>
      <c r="AK19" s="26">
        <f t="shared" si="1"/>
        <v>0</v>
      </c>
      <c r="AL19" s="25" t="str">
        <f t="shared" si="2"/>
        <v>Matched</v>
      </c>
      <c r="AM19" s="38"/>
    </row>
    <row r="20" spans="1:39" ht="12.75" customHeight="1" x14ac:dyDescent="0.25">
      <c r="A20" s="31">
        <v>63374</v>
      </c>
      <c r="B20" s="32" t="str">
        <f>IF(A20="","",VLOOKUP(A20,'Employee Database'!A:B,2,FALSE))</f>
        <v>Aftab Ali</v>
      </c>
      <c r="C20" s="31"/>
      <c r="D20" s="31"/>
      <c r="E20" s="31"/>
      <c r="F20" s="39">
        <f>IF(COUNT(C20:E20)=0,0,SUMPRODUCT({5000,1000,500},C20:E20))</f>
        <v>0</v>
      </c>
      <c r="G20" s="31">
        <v>18</v>
      </c>
      <c r="H20" s="31">
        <v>58</v>
      </c>
      <c r="I20" s="31">
        <v>5</v>
      </c>
      <c r="J20" s="39">
        <f>IF(COUNT(G20:I20)=0,0,SUMPRODUCT({5000,1000,500},G20:I20))</f>
        <v>150500</v>
      </c>
      <c r="K20" s="31"/>
      <c r="L20" s="31"/>
      <c r="M20" s="31"/>
      <c r="N20" s="39">
        <f>IF(COUNT(K20:M20)=0,0,SUMPRODUCT({5000,1000,500},K20:M20))</f>
        <v>0</v>
      </c>
      <c r="O20" s="31"/>
      <c r="P20" s="31"/>
      <c r="Q20" s="31"/>
      <c r="R20" s="39">
        <f>IF(COUNT(O20:Q20)=0,0,SUMPRODUCT({5000,1000,500},O20:Q20))</f>
        <v>0</v>
      </c>
      <c r="S20" s="31"/>
      <c r="T20" s="31"/>
      <c r="U20" s="31"/>
      <c r="V20" s="31">
        <v>2</v>
      </c>
      <c r="W20" s="31"/>
      <c r="X20" s="31">
        <v>60</v>
      </c>
      <c r="Y20" s="31"/>
      <c r="Z20" s="31">
        <v>50</v>
      </c>
      <c r="AA20" s="31"/>
      <c r="AB20" s="31"/>
      <c r="AC20" s="31"/>
      <c r="AD20" s="34">
        <f>IF(COUNT(S20:AC20)=0,0,SUMPRODUCT({5000,1000,500,100,75,50,20,10,5,2,1}, S20:AC20))</f>
        <v>3700</v>
      </c>
      <c r="AE20" s="33">
        <v>154188</v>
      </c>
      <c r="AF20" s="24">
        <f>IF(AND(COUNT(C20:E20)=0,COUNT(G20:I20)=0,COUNT(K20:M20)=0,COUNT(O20:Q20)=0,COUNT(S20:AC20)=0,AE20=""),"",(IF(COUNT(C20:E20)=0,0,SUMPRODUCT({5000,1000,500},C20:E20))+IF(COUNT(G20:I20)=0,0,SUMPRODUCT({5000,1000,500},G20:I20))+IF(COUNT(K20:M20)=0,0,SUMPRODUCT({5000,1000,500},K20:M20))+IF(COUNT(O20:Q20)=0,0,SUMPRODUCT({5000,1000,500},O20:Q20))+AD20)-N(AE20))</f>
        <v>12</v>
      </c>
      <c r="AG20" s="35" t="str">
        <f t="shared" si="0"/>
        <v>Excess</v>
      </c>
      <c r="AH20" s="38"/>
      <c r="AI20" s="36">
        <f>328896.05+54280.03</f>
        <v>383176.07999999996</v>
      </c>
      <c r="AJ20" s="37">
        <f>328896.05+54280.03</f>
        <v>383176.07999999996</v>
      </c>
      <c r="AK20" s="26">
        <f t="shared" si="1"/>
        <v>0</v>
      </c>
      <c r="AL20" s="25" t="str">
        <f t="shared" si="2"/>
        <v>Matched</v>
      </c>
      <c r="AM20" s="38"/>
    </row>
    <row r="21" spans="1:39" ht="12.75" customHeight="1" x14ac:dyDescent="0.25">
      <c r="A21" s="31">
        <v>77424</v>
      </c>
      <c r="B21" s="32" t="str">
        <f>IF(A21="","",VLOOKUP(A21,'Employee Database'!A:B,2,FALSE))</f>
        <v>M Husnain</v>
      </c>
      <c r="C21" s="31"/>
      <c r="D21" s="31"/>
      <c r="E21" s="31"/>
      <c r="F21" s="39">
        <f>IF(COUNT(C21:E21)=0,0,SUMPRODUCT({5000,1000,500},C21:E21))</f>
        <v>0</v>
      </c>
      <c r="G21" s="31">
        <v>25</v>
      </c>
      <c r="H21" s="31">
        <v>126</v>
      </c>
      <c r="I21" s="31">
        <v>21</v>
      </c>
      <c r="J21" s="39">
        <f>IF(COUNT(G21:I21)=0,0,SUMPRODUCT({5000,1000,500},G21:I21))</f>
        <v>261500</v>
      </c>
      <c r="K21" s="31"/>
      <c r="L21" s="31"/>
      <c r="M21" s="31"/>
      <c r="N21" s="39">
        <f>IF(COUNT(K21:M21)=0,0,SUMPRODUCT({5000,1000,500},K21:M21))</f>
        <v>0</v>
      </c>
      <c r="O21" s="31"/>
      <c r="P21" s="31"/>
      <c r="Q21" s="31"/>
      <c r="R21" s="39">
        <f>IF(COUNT(O21:Q21)=0,0,SUMPRODUCT({5000,1000,500},O21:Q21))</f>
        <v>0</v>
      </c>
      <c r="S21" s="31"/>
      <c r="T21" s="31"/>
      <c r="U21" s="31"/>
      <c r="V21" s="31">
        <v>13</v>
      </c>
      <c r="W21" s="31"/>
      <c r="X21" s="31">
        <v>71</v>
      </c>
      <c r="Y21" s="31"/>
      <c r="Z21" s="31">
        <v>56</v>
      </c>
      <c r="AA21" s="31"/>
      <c r="AB21" s="31"/>
      <c r="AC21" s="31"/>
      <c r="AD21" s="34">
        <f>IF(COUNT(S21:AC21)=0,0,SUMPRODUCT({5000,1000,500,100,75,50,20,10,5,2,1}, S21:AC21))</f>
        <v>5410</v>
      </c>
      <c r="AE21" s="33">
        <v>266856</v>
      </c>
      <c r="AF21" s="24">
        <f>IF(AND(COUNT(C21:E21)=0,COUNT(G21:I21)=0,COUNT(K21:M21)=0,COUNT(O21:Q21)=0,COUNT(S21:AC21)=0,AE21=""),"",(IF(COUNT(C21:E21)=0,0,SUMPRODUCT({5000,1000,500},C21:E21))+IF(COUNT(G21:I21)=0,0,SUMPRODUCT({5000,1000,500},G21:I21))+IF(COUNT(K21:M21)=0,0,SUMPRODUCT({5000,1000,500},K21:M21))+IF(COUNT(O21:Q21)=0,0,SUMPRODUCT({5000,1000,500},O21:Q21))+AD21)-N(AE21))</f>
        <v>54</v>
      </c>
      <c r="AG21" s="35" t="str">
        <f t="shared" si="0"/>
        <v>Excess</v>
      </c>
      <c r="AH21" s="38"/>
      <c r="AI21" s="36">
        <v>726527.43</v>
      </c>
      <c r="AJ21" s="37">
        <v>726527.43</v>
      </c>
      <c r="AK21" s="26">
        <f t="shared" si="1"/>
        <v>0</v>
      </c>
      <c r="AL21" s="25" t="str">
        <f t="shared" si="2"/>
        <v>Matched</v>
      </c>
      <c r="AM21" s="38"/>
    </row>
    <row r="22" spans="1:39" ht="12.75" customHeight="1" x14ac:dyDescent="0.25">
      <c r="A22" s="31">
        <v>67250</v>
      </c>
      <c r="B22" s="32" t="str">
        <f>IF(A22="","",VLOOKUP(A22,'Employee Database'!A:B,2,FALSE))</f>
        <v>M Fiaz</v>
      </c>
      <c r="C22" s="31"/>
      <c r="D22" s="31"/>
      <c r="E22" s="31"/>
      <c r="F22" s="39">
        <f>IF(COUNT(C22:E22)=0,0,SUMPRODUCT({5000,1000,500},C22:E22))</f>
        <v>0</v>
      </c>
      <c r="G22" s="31">
        <v>35</v>
      </c>
      <c r="H22" s="31">
        <v>160</v>
      </c>
      <c r="I22" s="31">
        <v>36</v>
      </c>
      <c r="J22" s="39">
        <f>IF(COUNT(G22:I22)=0,0,SUMPRODUCT({5000,1000,500},G22:I22))</f>
        <v>353000</v>
      </c>
      <c r="K22" s="31"/>
      <c r="L22" s="31"/>
      <c r="M22" s="31"/>
      <c r="N22" s="39">
        <f>IF(COUNT(K22:M22)=0,0,SUMPRODUCT({5000,1000,500},K22:M22))</f>
        <v>0</v>
      </c>
      <c r="O22" s="31"/>
      <c r="P22" s="31"/>
      <c r="Q22" s="31"/>
      <c r="R22" s="39">
        <f>IF(COUNT(O22:Q22)=0,0,SUMPRODUCT({5000,1000,500},O22:Q22))</f>
        <v>0</v>
      </c>
      <c r="S22" s="31"/>
      <c r="T22" s="31"/>
      <c r="U22" s="31"/>
      <c r="V22" s="31">
        <v>4</v>
      </c>
      <c r="W22" s="31"/>
      <c r="X22" s="31">
        <v>32</v>
      </c>
      <c r="Y22" s="31"/>
      <c r="Z22" s="31">
        <v>17</v>
      </c>
      <c r="AA22" s="31"/>
      <c r="AB22" s="31"/>
      <c r="AC22" s="31"/>
      <c r="AD22" s="34">
        <f>IF(COUNT(S22:AC22)=0,0,SUMPRODUCT({5000,1000,500,100,75,50,20,10,5,2,1}, S22:AC22))</f>
        <v>2170</v>
      </c>
      <c r="AE22" s="33">
        <v>355136</v>
      </c>
      <c r="AF22" s="24">
        <f>IF(AND(COUNT(C22:E22)=0,COUNT(G22:I22)=0,COUNT(K22:M22)=0,COUNT(O22:Q22)=0,COUNT(S22:AC22)=0,AE22=""),"",(IF(COUNT(C22:E22)=0,0,SUMPRODUCT({5000,1000,500},C22:E22))+IF(COUNT(G22:I22)=0,0,SUMPRODUCT({5000,1000,500},G22:I22))+IF(COUNT(K22:M22)=0,0,SUMPRODUCT({5000,1000,500},K22:M22))+IF(COUNT(O22:Q22)=0,0,SUMPRODUCT({5000,1000,500},O22:Q22))+AD22)-N(AE22))</f>
        <v>34</v>
      </c>
      <c r="AG22" s="35" t="str">
        <f t="shared" si="0"/>
        <v>Excess</v>
      </c>
      <c r="AH22" s="38"/>
      <c r="AI22" s="36">
        <v>714217.83</v>
      </c>
      <c r="AJ22" s="37">
        <v>714217.83</v>
      </c>
      <c r="AK22" s="26">
        <f t="shared" si="1"/>
        <v>0</v>
      </c>
      <c r="AL22" s="25" t="str">
        <f t="shared" si="2"/>
        <v>Matched</v>
      </c>
      <c r="AM22" s="38"/>
    </row>
    <row r="23" spans="1:39" ht="12.75" customHeight="1" x14ac:dyDescent="0.25">
      <c r="A23" s="31">
        <v>69728</v>
      </c>
      <c r="B23" s="32" t="str">
        <f>IF(A23="","",VLOOKUP(A23,'Employee Database'!A:B,2,FALSE))</f>
        <v>Hafiz Hafeez Ur Rehman</v>
      </c>
      <c r="C23" s="31"/>
      <c r="D23" s="31"/>
      <c r="E23" s="31"/>
      <c r="F23" s="39">
        <f>IF(COUNT(C23:E23)=0,0,SUMPRODUCT({5000,1000,500},C23:E23))</f>
        <v>0</v>
      </c>
      <c r="G23" s="31">
        <v>53</v>
      </c>
      <c r="H23" s="31">
        <v>175</v>
      </c>
      <c r="I23" s="31">
        <v>11</v>
      </c>
      <c r="J23" s="39">
        <f>IF(COUNT(G23:I23)=0,0,SUMPRODUCT({5000,1000,500},G23:I23))</f>
        <v>445500</v>
      </c>
      <c r="K23" s="31"/>
      <c r="L23" s="31"/>
      <c r="M23" s="31"/>
      <c r="N23" s="39">
        <f>IF(COUNT(K23:M23)=0,0,SUMPRODUCT({5000,1000,500},K23:M23))</f>
        <v>0</v>
      </c>
      <c r="O23" s="31"/>
      <c r="P23" s="31"/>
      <c r="Q23" s="31"/>
      <c r="R23" s="39">
        <f>IF(COUNT(O23:Q23)=0,0,SUMPRODUCT({5000,1000,500},O23:Q23))</f>
        <v>0</v>
      </c>
      <c r="S23" s="31"/>
      <c r="T23" s="31"/>
      <c r="U23" s="31"/>
      <c r="V23" s="31">
        <v>4</v>
      </c>
      <c r="W23" s="31"/>
      <c r="X23" s="31">
        <v>5</v>
      </c>
      <c r="Y23" s="31"/>
      <c r="Z23" s="31">
        <v>13</v>
      </c>
      <c r="AA23" s="31"/>
      <c r="AB23" s="31"/>
      <c r="AC23" s="31"/>
      <c r="AD23" s="34">
        <f>IF(COUNT(S23:AC23)=0,0,SUMPRODUCT({5000,1000,500,100,75,50,20,10,5,2,1}, S23:AC23))</f>
        <v>780</v>
      </c>
      <c r="AE23" s="33">
        <v>446255</v>
      </c>
      <c r="AF23" s="24">
        <f>IF(AND(COUNT(C23:E23)=0,COUNT(G23:I23)=0,COUNT(K23:M23)=0,COUNT(O23:Q23)=0,COUNT(S23:AC23)=0,AE23=""),"",(IF(COUNT(C23:E23)=0,0,SUMPRODUCT({5000,1000,500},C23:E23))+IF(COUNT(G23:I23)=0,0,SUMPRODUCT({5000,1000,500},G23:I23))+IF(COUNT(K23:M23)=0,0,SUMPRODUCT({5000,1000,500},K23:M23))+IF(COUNT(O23:Q23)=0,0,SUMPRODUCT({5000,1000,500},O23:Q23))+AD23)-N(AE23))</f>
        <v>25</v>
      </c>
      <c r="AG23" s="35" t="str">
        <f t="shared" si="0"/>
        <v>Excess</v>
      </c>
      <c r="AH23" s="38"/>
      <c r="AI23" s="36">
        <f>354273.76+316429.48</f>
        <v>670703.24</v>
      </c>
      <c r="AJ23" s="37">
        <f>316429.48+354273.76</f>
        <v>670703.24</v>
      </c>
      <c r="AK23" s="26">
        <f t="shared" si="1"/>
        <v>0</v>
      </c>
      <c r="AL23" s="25" t="str">
        <f t="shared" si="2"/>
        <v>Matched</v>
      </c>
      <c r="AM23" s="38"/>
    </row>
    <row r="24" spans="1:39" ht="12.75" customHeight="1" x14ac:dyDescent="0.25">
      <c r="A24" s="31">
        <v>61648</v>
      </c>
      <c r="B24" s="32" t="str">
        <f>IF(A24="","",VLOOKUP(A24,'Employee Database'!A:B,2,FALSE))</f>
        <v>Rizwan</v>
      </c>
      <c r="C24" s="31"/>
      <c r="D24" s="31"/>
      <c r="E24" s="31"/>
      <c r="F24" s="39">
        <f>IF(COUNT(C24:E24)=0,0,SUMPRODUCT({5000,1000,500},C24:E24))</f>
        <v>0</v>
      </c>
      <c r="G24" s="31">
        <v>48</v>
      </c>
      <c r="H24" s="31">
        <v>167</v>
      </c>
      <c r="I24" s="31">
        <v>1</v>
      </c>
      <c r="J24" s="39">
        <f>IF(COUNT(G24:I24)=0,0,SUMPRODUCT({5000,1000,500},G24:I24))</f>
        <v>407500</v>
      </c>
      <c r="K24" s="31"/>
      <c r="L24" s="31"/>
      <c r="M24" s="31"/>
      <c r="N24" s="39">
        <f>IF(COUNT(K24:M24)=0,0,SUMPRODUCT({5000,1000,500},K24:M24))</f>
        <v>0</v>
      </c>
      <c r="O24" s="31"/>
      <c r="P24" s="31"/>
      <c r="Q24" s="31"/>
      <c r="R24" s="39">
        <f>IF(COUNT(O24:Q24)=0,0,SUMPRODUCT({5000,1000,500},O24:Q24))</f>
        <v>0</v>
      </c>
      <c r="S24" s="31"/>
      <c r="T24" s="31"/>
      <c r="U24" s="31"/>
      <c r="V24" s="31">
        <v>5</v>
      </c>
      <c r="W24" s="31"/>
      <c r="X24" s="31">
        <v>167</v>
      </c>
      <c r="Y24" s="31">
        <v>2</v>
      </c>
      <c r="Z24" s="31">
        <v>629</v>
      </c>
      <c r="AA24" s="31"/>
      <c r="AB24" s="31"/>
      <c r="AC24" s="31"/>
      <c r="AD24" s="34">
        <f>IF(COUNT(S24:AC24)=0,0,SUMPRODUCT({5000,1000,500,100,75,50,20,10,5,2,1}, S24:AC24))</f>
        <v>15180</v>
      </c>
      <c r="AE24" s="33">
        <v>422692</v>
      </c>
      <c r="AF24" s="24">
        <f>IF(AND(COUNT(C24:E24)=0,COUNT(G24:I24)=0,COUNT(K24:M24)=0,COUNT(O24:Q24)=0,COUNT(S24:AC24)=0,AE24=""),"",(IF(COUNT(C24:E24)=0,0,SUMPRODUCT({5000,1000,500},C24:E24))+IF(COUNT(G24:I24)=0,0,SUMPRODUCT({5000,1000,500},G24:I24))+IF(COUNT(K24:M24)=0,0,SUMPRODUCT({5000,1000,500},K24:M24))+IF(COUNT(O24:Q24)=0,0,SUMPRODUCT({5000,1000,500},O24:Q24))+AD24)-N(AE24))</f>
        <v>-12</v>
      </c>
      <c r="AG24" s="35" t="str">
        <f t="shared" si="0"/>
        <v>Short</v>
      </c>
      <c r="AH24" s="38"/>
      <c r="AI24" s="36">
        <v>729702.81</v>
      </c>
      <c r="AJ24" s="37">
        <v>729702.81</v>
      </c>
      <c r="AK24" s="26">
        <f t="shared" si="1"/>
        <v>0</v>
      </c>
      <c r="AL24" s="25" t="str">
        <f t="shared" si="2"/>
        <v>Matched</v>
      </c>
      <c r="AM24" s="38"/>
    </row>
    <row r="25" spans="1:39" ht="12.75" customHeight="1" x14ac:dyDescent="0.25">
      <c r="A25" s="31">
        <v>75768</v>
      </c>
      <c r="B25" s="32" t="str">
        <f>IF(A25="","",VLOOKUP(A25,'Employee Database'!A:B,2,FALSE))</f>
        <v>Zuhaib</v>
      </c>
      <c r="C25" s="31"/>
      <c r="D25" s="31"/>
      <c r="E25" s="31"/>
      <c r="F25" s="39">
        <f>IF(COUNT(C25:E25)=0,0,SUMPRODUCT({5000,1000,500},C25:E25))</f>
        <v>0</v>
      </c>
      <c r="G25" s="31">
        <v>27</v>
      </c>
      <c r="H25" s="31">
        <v>107</v>
      </c>
      <c r="I25" s="31">
        <v>29</v>
      </c>
      <c r="J25" s="39">
        <f>IF(COUNT(G25:I25)=0,0,SUMPRODUCT({5000,1000,500},G25:I25))</f>
        <v>256500</v>
      </c>
      <c r="K25" s="31"/>
      <c r="L25" s="31"/>
      <c r="M25" s="31"/>
      <c r="N25" s="39">
        <f>IF(COUNT(K25:M25)=0,0,SUMPRODUCT({5000,1000,500},K25:M25))</f>
        <v>0</v>
      </c>
      <c r="O25" s="31"/>
      <c r="P25" s="31"/>
      <c r="Q25" s="31"/>
      <c r="R25" s="39">
        <f>IF(COUNT(O25:Q25)=0,0,SUMPRODUCT({5000,1000,500},O25:Q25))</f>
        <v>0</v>
      </c>
      <c r="S25" s="31"/>
      <c r="T25" s="31"/>
      <c r="U25" s="31"/>
      <c r="V25" s="31">
        <v>13</v>
      </c>
      <c r="W25" s="31"/>
      <c r="X25" s="31">
        <v>5</v>
      </c>
      <c r="Y25" s="31"/>
      <c r="Z25" s="31">
        <v>46</v>
      </c>
      <c r="AA25" s="31"/>
      <c r="AB25" s="31"/>
      <c r="AC25" s="31"/>
      <c r="AD25" s="34">
        <f>IF(COUNT(S25:AC25)=0,0,SUMPRODUCT({5000,1000,500,100,75,50,20,10,5,2,1}, S25:AC25))</f>
        <v>2010</v>
      </c>
      <c r="AE25" s="33">
        <v>258471</v>
      </c>
      <c r="AF25" s="24">
        <f>IF(AND(COUNT(C25:E25)=0,COUNT(G25:I25)=0,COUNT(K25:M25)=0,COUNT(O25:Q25)=0,COUNT(S25:AC25)=0,AE25=""),"",(IF(COUNT(C25:E25)=0,0,SUMPRODUCT({5000,1000,500},C25:E25))+IF(COUNT(G25:I25)=0,0,SUMPRODUCT({5000,1000,500},G25:I25))+IF(COUNT(K25:M25)=0,0,SUMPRODUCT({5000,1000,500},K25:M25))+IF(COUNT(O25:Q25)=0,0,SUMPRODUCT({5000,1000,500},O25:Q25))+AD25)-N(AE25))</f>
        <v>39</v>
      </c>
      <c r="AG25" s="35" t="str">
        <f t="shared" si="0"/>
        <v>Excess</v>
      </c>
      <c r="AH25" s="38"/>
      <c r="AI25" s="36">
        <f>67827.95+673635.92+4580.89</f>
        <v>746044.76</v>
      </c>
      <c r="AJ25" s="37">
        <f>673635.92+67827.95+4580.89</f>
        <v>746044.76</v>
      </c>
      <c r="AK25" s="26">
        <f t="shared" si="1"/>
        <v>0</v>
      </c>
      <c r="AL25" s="25" t="str">
        <f t="shared" si="2"/>
        <v>Matched</v>
      </c>
      <c r="AM25" s="38"/>
    </row>
    <row r="26" spans="1:39" ht="12.75" customHeight="1" x14ac:dyDescent="0.25">
      <c r="A26" s="31"/>
      <c r="B26" s="32" t="str">
        <f>IF(A26="","",VLOOKUP(A26,'Employee Database'!A:B,2,FALSE))</f>
        <v/>
      </c>
      <c r="C26" s="31"/>
      <c r="D26" s="31"/>
      <c r="E26" s="31"/>
      <c r="F26" s="39">
        <f>IF(COUNT(C26:E26)=0,0,SUMPRODUCT({5000,1000,500},C26:E26))</f>
        <v>0</v>
      </c>
      <c r="G26" s="31"/>
      <c r="H26" s="31"/>
      <c r="I26" s="31"/>
      <c r="J26" s="39">
        <f>IF(COUNT(G26:I26)=0,0,SUMPRODUCT({5000,1000,500},G26:I26))</f>
        <v>0</v>
      </c>
      <c r="K26" s="31"/>
      <c r="L26" s="31"/>
      <c r="M26" s="31"/>
      <c r="N26" s="39">
        <f>IF(COUNT(K26:M26)=0,0,SUMPRODUCT({5000,1000,500},K26:M26))</f>
        <v>0</v>
      </c>
      <c r="O26" s="31"/>
      <c r="P26" s="31"/>
      <c r="Q26" s="31"/>
      <c r="R26" s="39">
        <f>IF(COUNT(O26:Q26)=0,0,SUMPRODUCT({5000,1000,500},O26:Q26))</f>
        <v>0</v>
      </c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4">
        <f>IF(COUNT(S26:AC26)=0,0,SUMPRODUCT({5000,1000,500,100,75,50,20,10,5,2,1}, S26:AC26))</f>
        <v>0</v>
      </c>
      <c r="AE26" s="33"/>
      <c r="AF26" s="24" t="str">
        <f>IF(AND(COUNT(C26:E26)=0,COUNT(G26:I26)=0,COUNT(K26:M26)=0,COUNT(O26:Q26)=0,COUNT(S26:AC26)=0,AE26=""),"",(IF(COUNT(C26:E26)=0,0,SUMPRODUCT({5000,1000,500},C26:E26))+IF(COUNT(G26:I26)=0,0,SUMPRODUCT({5000,1000,500},G26:I26))+IF(COUNT(K26:M26)=0,0,SUMPRODUCT({5000,1000,500},K26:M26))+IF(COUNT(O26:Q26)=0,0,SUMPRODUCT({5000,1000,500},O26:Q26))+AD26)-N(AE26))</f>
        <v/>
      </c>
      <c r="AG26" s="35" t="str">
        <f t="shared" si="0"/>
        <v/>
      </c>
      <c r="AH26" s="38"/>
      <c r="AI26" s="36"/>
      <c r="AJ26" s="37"/>
      <c r="AK26" s="26" t="str">
        <f t="shared" si="1"/>
        <v/>
      </c>
      <c r="AL26" s="25" t="str">
        <f t="shared" si="2"/>
        <v/>
      </c>
      <c r="AM26" s="38"/>
    </row>
    <row r="27" spans="1:39" ht="12.75" customHeight="1" x14ac:dyDescent="0.25">
      <c r="A27" s="31"/>
      <c r="B27" s="32" t="str">
        <f>IF(A27="","",VLOOKUP(A27,'Employee Database'!A:B,2,FALSE))</f>
        <v/>
      </c>
      <c r="C27" s="31"/>
      <c r="D27" s="31"/>
      <c r="E27" s="31"/>
      <c r="F27" s="39">
        <f>IF(COUNT(C27:E27)=0,0,SUMPRODUCT({5000,1000,500},C27:E27))</f>
        <v>0</v>
      </c>
      <c r="G27" s="31"/>
      <c r="H27" s="31"/>
      <c r="I27" s="31"/>
      <c r="J27" s="39">
        <f>IF(COUNT(G27:I27)=0,0,SUMPRODUCT({5000,1000,500},G27:I27))</f>
        <v>0</v>
      </c>
      <c r="K27" s="31"/>
      <c r="L27" s="31"/>
      <c r="M27" s="31"/>
      <c r="N27" s="39">
        <f>IF(COUNT(K27:M27)=0,0,SUMPRODUCT({5000,1000,500},K27:M27))</f>
        <v>0</v>
      </c>
      <c r="O27" s="31"/>
      <c r="P27" s="31"/>
      <c r="Q27" s="31"/>
      <c r="R27" s="39">
        <f>IF(COUNT(O27:Q27)=0,0,SUMPRODUCT({5000,1000,500},O27:Q27))</f>
        <v>0</v>
      </c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4">
        <f>IF(COUNT(S27:AC27)=0,0,SUMPRODUCT({5000,1000,500,100,75,50,20,10,5,2,1}, S27:AC27))</f>
        <v>0</v>
      </c>
      <c r="AE27" s="33"/>
      <c r="AF27" s="24" t="str">
        <f>IF(AND(COUNT(C27:E27)=0,COUNT(G27:I27)=0,COUNT(K27:M27)=0,COUNT(O27:Q27)=0,COUNT(S27:AC27)=0,AE27=""),"",(IF(COUNT(C27:E27)=0,0,SUMPRODUCT({5000,1000,500},C27:E27))+IF(COUNT(G27:I27)=0,0,SUMPRODUCT({5000,1000,500},G27:I27))+IF(COUNT(K27:M27)=0,0,SUMPRODUCT({5000,1000,500},K27:M27))+IF(COUNT(O27:Q27)=0,0,SUMPRODUCT({5000,1000,500},O27:Q27))+AD27)-N(AE27))</f>
        <v/>
      </c>
      <c r="AG27" s="35" t="str">
        <f t="shared" si="0"/>
        <v/>
      </c>
      <c r="AH27" s="38"/>
      <c r="AI27" s="36"/>
      <c r="AJ27" s="37"/>
      <c r="AK27" s="26" t="str">
        <f t="shared" si="1"/>
        <v/>
      </c>
      <c r="AL27" s="25" t="str">
        <f t="shared" si="2"/>
        <v/>
      </c>
      <c r="AM27" s="38"/>
    </row>
    <row r="28" spans="1:39" ht="12.75" customHeight="1" x14ac:dyDescent="0.25">
      <c r="A28" s="31"/>
      <c r="B28" s="32" t="str">
        <f>IF(A28="","",VLOOKUP(A28,'Employee Database'!A:B,2,FALSE))</f>
        <v/>
      </c>
      <c r="C28" s="31"/>
      <c r="D28" s="31"/>
      <c r="E28" s="31"/>
      <c r="F28" s="39">
        <f>IF(COUNT(C28:E28)=0,0,SUMPRODUCT({5000,1000,500},C28:E28))</f>
        <v>0</v>
      </c>
      <c r="G28" s="31"/>
      <c r="H28" s="31"/>
      <c r="I28" s="31"/>
      <c r="J28" s="39">
        <f>IF(COUNT(G28:I28)=0,0,SUMPRODUCT({5000,1000,500},G28:I28))</f>
        <v>0</v>
      </c>
      <c r="K28" s="31"/>
      <c r="L28" s="31"/>
      <c r="M28" s="31"/>
      <c r="N28" s="39">
        <f>IF(COUNT(K28:M28)=0,0,SUMPRODUCT({5000,1000,500},K28:M28))</f>
        <v>0</v>
      </c>
      <c r="O28" s="31"/>
      <c r="P28" s="31"/>
      <c r="Q28" s="31"/>
      <c r="R28" s="39">
        <f>IF(COUNT(O28:Q28)=0,0,SUMPRODUCT({5000,1000,500},O28:Q28))</f>
        <v>0</v>
      </c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4">
        <f>IF(COUNT(S28:AC28)=0,0,SUMPRODUCT({5000,1000,500,100,75,50,20,10,5,2,1}, S28:AC28))</f>
        <v>0</v>
      </c>
      <c r="AE28" s="33"/>
      <c r="AF28" s="24" t="str">
        <f>IF(AND(COUNT(C28:E28)=0,COUNT(G28:I28)=0,COUNT(K28:M28)=0,COUNT(O28:Q28)=0,COUNT(S28:AC28)=0,AE28=""),"",(IF(COUNT(C28:E28)=0,0,SUMPRODUCT({5000,1000,500},C28:E28))+IF(COUNT(G28:I28)=0,0,SUMPRODUCT({5000,1000,500},G28:I28))+IF(COUNT(K28:M28)=0,0,SUMPRODUCT({5000,1000,500},K28:M28))+IF(COUNT(O28:Q28)=0,0,SUMPRODUCT({5000,1000,500},O28:Q28))+AD28)-N(AE28))</f>
        <v/>
      </c>
      <c r="AG28" s="35" t="str">
        <f t="shared" si="0"/>
        <v/>
      </c>
      <c r="AH28" s="38"/>
      <c r="AI28" s="36"/>
      <c r="AJ28" s="37"/>
      <c r="AK28" s="26" t="str">
        <f t="shared" si="1"/>
        <v/>
      </c>
      <c r="AL28" s="25" t="str">
        <f t="shared" si="2"/>
        <v/>
      </c>
      <c r="AM28" s="38"/>
    </row>
    <row r="29" spans="1:39" ht="12.75" customHeight="1" x14ac:dyDescent="0.25">
      <c r="A29" s="31"/>
      <c r="B29" s="32" t="str">
        <f>IF(A29="","",VLOOKUP(A29,'Employee Database'!A:B,2,FALSE))</f>
        <v/>
      </c>
      <c r="C29" s="31"/>
      <c r="D29" s="31"/>
      <c r="E29" s="31"/>
      <c r="F29" s="39">
        <f>IF(COUNT(C29:E29)=0,0,SUMPRODUCT({5000,1000,500},C29:E29))</f>
        <v>0</v>
      </c>
      <c r="G29" s="31"/>
      <c r="H29" s="31"/>
      <c r="I29" s="31"/>
      <c r="J29" s="39">
        <f>IF(COUNT(G29:I29)=0,0,SUMPRODUCT({5000,1000,500},G29:I29))</f>
        <v>0</v>
      </c>
      <c r="K29" s="31"/>
      <c r="L29" s="31"/>
      <c r="M29" s="31"/>
      <c r="N29" s="39">
        <f>IF(COUNT(K29:M29)=0,0,SUMPRODUCT({5000,1000,500},K29:M29))</f>
        <v>0</v>
      </c>
      <c r="O29" s="31"/>
      <c r="P29" s="31"/>
      <c r="Q29" s="31"/>
      <c r="R29" s="39">
        <f>IF(COUNT(O29:Q29)=0,0,SUMPRODUCT({5000,1000,500},O29:Q29))</f>
        <v>0</v>
      </c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4">
        <f>IF(COUNT(S29:AC29)=0,0,SUMPRODUCT({5000,1000,500,100,75,50,20,10,5,2,1}, S29:AC29))</f>
        <v>0</v>
      </c>
      <c r="AE29" s="33"/>
      <c r="AF29" s="24" t="str">
        <f>IF(AND(COUNT(C29:E29)=0,COUNT(G29:I29)=0,COUNT(K29:M29)=0,COUNT(O29:Q29)=0,COUNT(S29:AC29)=0,AE29=""),"",(IF(COUNT(C29:E29)=0,0,SUMPRODUCT({5000,1000,500},C29:E29))+IF(COUNT(G29:I29)=0,0,SUMPRODUCT({5000,1000,500},G29:I29))+IF(COUNT(K29:M29)=0,0,SUMPRODUCT({5000,1000,500},K29:M29))+IF(COUNT(O29:Q29)=0,0,SUMPRODUCT({5000,1000,500},O29:Q29))+AD29)-N(AE29))</f>
        <v/>
      </c>
      <c r="AG29" s="35" t="str">
        <f t="shared" si="0"/>
        <v/>
      </c>
      <c r="AH29" s="38"/>
      <c r="AI29" s="36"/>
      <c r="AJ29" s="37"/>
      <c r="AK29" s="26" t="str">
        <f t="shared" si="1"/>
        <v/>
      </c>
      <c r="AL29" s="25" t="str">
        <f t="shared" si="2"/>
        <v/>
      </c>
      <c r="AM29" s="38"/>
    </row>
    <row r="30" spans="1:39" ht="12.75" customHeight="1" x14ac:dyDescent="0.25">
      <c r="A30" s="31"/>
      <c r="B30" s="32" t="str">
        <f>IF(A30="","",VLOOKUP(A30,'Employee Database'!A:B,2,FALSE))</f>
        <v/>
      </c>
      <c r="C30" s="31"/>
      <c r="D30" s="31"/>
      <c r="E30" s="31"/>
      <c r="F30" s="39">
        <f>IF(COUNT(C30:E30)=0,0,SUMPRODUCT({5000,1000,500},C30:E30))</f>
        <v>0</v>
      </c>
      <c r="G30" s="31"/>
      <c r="H30" s="31"/>
      <c r="I30" s="31"/>
      <c r="J30" s="39">
        <f>IF(COUNT(G30:I30)=0,0,SUMPRODUCT({5000,1000,500},G30:I30))</f>
        <v>0</v>
      </c>
      <c r="K30" s="31"/>
      <c r="L30" s="31"/>
      <c r="M30" s="31"/>
      <c r="N30" s="39">
        <f>IF(COUNT(K30:M30)=0,0,SUMPRODUCT({5000,1000,500},K30:M30))</f>
        <v>0</v>
      </c>
      <c r="O30" s="31"/>
      <c r="P30" s="31"/>
      <c r="Q30" s="31"/>
      <c r="R30" s="39">
        <f>IF(COUNT(O30:Q30)=0,0,SUMPRODUCT({5000,1000,500},O30:Q30))</f>
        <v>0</v>
      </c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4">
        <f>IF(COUNT(S30:AC30)=0,0,SUMPRODUCT({5000,1000,500,100,75,50,20,10,5,2,1}, S30:AC30))</f>
        <v>0</v>
      </c>
      <c r="AE30" s="33"/>
      <c r="AF30" s="24" t="str">
        <f>IF(AND(COUNT(C30:E30)=0,COUNT(G30:I30)=0,COUNT(K30:M30)=0,COUNT(O30:Q30)=0,COUNT(S30:AC30)=0,AE30=""),"",(IF(COUNT(C30:E30)=0,0,SUMPRODUCT({5000,1000,500},C30:E30))+IF(COUNT(G30:I30)=0,0,SUMPRODUCT({5000,1000,500},G30:I30))+IF(COUNT(K30:M30)=0,0,SUMPRODUCT({5000,1000,500},K30:M30))+IF(COUNT(O30:Q30)=0,0,SUMPRODUCT({5000,1000,500},O30:Q30))+AD30)-N(AE30))</f>
        <v/>
      </c>
      <c r="AG30" s="35" t="str">
        <f t="shared" si="0"/>
        <v/>
      </c>
      <c r="AH30" s="38"/>
      <c r="AI30" s="36"/>
      <c r="AJ30" s="37"/>
      <c r="AK30" s="26" t="str">
        <f t="shared" si="1"/>
        <v/>
      </c>
      <c r="AL30" s="25" t="str">
        <f t="shared" si="2"/>
        <v/>
      </c>
      <c r="AM30" s="38"/>
    </row>
    <row r="31" spans="1:39" ht="12.75" customHeight="1" x14ac:dyDescent="0.25">
      <c r="A31" s="31"/>
      <c r="B31" s="32" t="str">
        <f>IF(A31="","",VLOOKUP(A31,'Employee Database'!A:B,2,FALSE))</f>
        <v/>
      </c>
      <c r="C31" s="31"/>
      <c r="D31" s="31"/>
      <c r="E31" s="31"/>
      <c r="F31" s="39">
        <f>IF(COUNT(C31:E31)=0,0,SUMPRODUCT({5000,1000,500},C31:E31))</f>
        <v>0</v>
      </c>
      <c r="G31" s="31"/>
      <c r="H31" s="31"/>
      <c r="I31" s="31"/>
      <c r="J31" s="39">
        <f>IF(COUNT(G31:I31)=0,0,SUMPRODUCT({5000,1000,500},G31:I31))</f>
        <v>0</v>
      </c>
      <c r="K31" s="31"/>
      <c r="L31" s="31"/>
      <c r="M31" s="31"/>
      <c r="N31" s="39">
        <f>IF(COUNT(K31:M31)=0,0,SUMPRODUCT({5000,1000,500},K31:M31))</f>
        <v>0</v>
      </c>
      <c r="O31" s="31"/>
      <c r="P31" s="31"/>
      <c r="Q31" s="31"/>
      <c r="R31" s="39">
        <f>IF(COUNT(O31:Q31)=0,0,SUMPRODUCT({5000,1000,500},O31:Q31))</f>
        <v>0</v>
      </c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4">
        <f>IF(COUNT(S31:AC31)=0,0,SUMPRODUCT({5000,1000,500,100,75,50,20,10,5,2,1}, S31:AC31))</f>
        <v>0</v>
      </c>
      <c r="AE31" s="33"/>
      <c r="AF31" s="24" t="str">
        <f>IF(AND(COUNT(C31:E31)=0,COUNT(G31:I31)=0,COUNT(K31:M31)=0,COUNT(O31:Q31)=0,COUNT(S31:AC31)=0,AE31=""),"",(IF(COUNT(C31:E31)=0,0,SUMPRODUCT({5000,1000,500},C31:E31))+IF(COUNT(G31:I31)=0,0,SUMPRODUCT({5000,1000,500},G31:I31))+IF(COUNT(K31:M31)=0,0,SUMPRODUCT({5000,1000,500},K31:M31))+IF(COUNT(O31:Q31)=0,0,SUMPRODUCT({5000,1000,500},O31:Q31))+AD31)-N(AE31))</f>
        <v/>
      </c>
      <c r="AG31" s="35" t="str">
        <f t="shared" si="0"/>
        <v/>
      </c>
      <c r="AH31" s="38"/>
      <c r="AI31" s="36"/>
      <c r="AJ31" s="37"/>
      <c r="AK31" s="26" t="str">
        <f t="shared" si="1"/>
        <v/>
      </c>
      <c r="AL31" s="25" t="str">
        <f t="shared" si="2"/>
        <v/>
      </c>
      <c r="AM31" s="38"/>
    </row>
    <row r="32" spans="1:39" ht="12.75" customHeight="1" x14ac:dyDescent="0.25">
      <c r="A32" s="31"/>
      <c r="B32" s="32" t="str">
        <f>IF(A32="","",VLOOKUP(A32,'Employee Database'!A:B,2,FALSE))</f>
        <v/>
      </c>
      <c r="C32" s="31"/>
      <c r="D32" s="31"/>
      <c r="E32" s="31"/>
      <c r="F32" s="39">
        <f>IF(COUNT(C32:E32)=0,0,SUMPRODUCT({5000,1000,500},C32:E32))</f>
        <v>0</v>
      </c>
      <c r="G32" s="31"/>
      <c r="H32" s="31"/>
      <c r="I32" s="31"/>
      <c r="J32" s="39">
        <f>IF(COUNT(G32:I32)=0,0,SUMPRODUCT({5000,1000,500},G32:I32))</f>
        <v>0</v>
      </c>
      <c r="K32" s="31"/>
      <c r="L32" s="31"/>
      <c r="M32" s="31"/>
      <c r="N32" s="39">
        <f>IF(COUNT(K32:M32)=0,0,SUMPRODUCT({5000,1000,500},K32:M32))</f>
        <v>0</v>
      </c>
      <c r="O32" s="31"/>
      <c r="P32" s="31"/>
      <c r="Q32" s="31"/>
      <c r="R32" s="39">
        <f>IF(COUNT(O32:Q32)=0,0,SUMPRODUCT({5000,1000,500},O32:Q32))</f>
        <v>0</v>
      </c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4">
        <f>IF(COUNT(S32:AC32)=0,0,SUMPRODUCT({5000,1000,500,100,75,50,20,10,5,2,1}, S32:AC32))</f>
        <v>0</v>
      </c>
      <c r="AE32" s="33"/>
      <c r="AF32" s="24" t="str">
        <f>IF(AND(COUNT(C32:E32)=0,COUNT(G32:I32)=0,COUNT(K32:M32)=0,COUNT(O32:Q32)=0,COUNT(S32:AC32)=0,AE32=""),"",(IF(COUNT(C32:E32)=0,0,SUMPRODUCT({5000,1000,500},C32:E32))+IF(COUNT(G32:I32)=0,0,SUMPRODUCT({5000,1000,500},G32:I32))+IF(COUNT(K32:M32)=0,0,SUMPRODUCT({5000,1000,500},K32:M32))+IF(COUNT(O32:Q32)=0,0,SUMPRODUCT({5000,1000,500},O32:Q32))+AD32)-N(AE32))</f>
        <v/>
      </c>
      <c r="AG32" s="35" t="str">
        <f t="shared" si="0"/>
        <v/>
      </c>
      <c r="AH32" s="38"/>
      <c r="AI32" s="36"/>
      <c r="AJ32" s="37"/>
      <c r="AK32" s="26" t="str">
        <f t="shared" si="1"/>
        <v/>
      </c>
      <c r="AL32" s="25" t="str">
        <f t="shared" si="2"/>
        <v/>
      </c>
      <c r="AM32" s="38"/>
    </row>
    <row r="33" spans="1:39" ht="12.75" customHeight="1" x14ac:dyDescent="0.25">
      <c r="A33" s="31"/>
      <c r="B33" s="32" t="str">
        <f>IF(A33="","",VLOOKUP(A33,'Employee Database'!A:B,2,FALSE))</f>
        <v/>
      </c>
      <c r="C33" s="31"/>
      <c r="D33" s="31"/>
      <c r="E33" s="31"/>
      <c r="F33" s="39">
        <f>IF(COUNT(C33:E33)=0,0,SUMPRODUCT({5000,1000,500},C33:E33))</f>
        <v>0</v>
      </c>
      <c r="G33" s="31"/>
      <c r="H33" s="31"/>
      <c r="I33" s="31"/>
      <c r="J33" s="39">
        <f>IF(COUNT(G33:I33)=0,0,SUMPRODUCT({5000,1000,500},G33:I33))</f>
        <v>0</v>
      </c>
      <c r="K33" s="31"/>
      <c r="L33" s="31"/>
      <c r="M33" s="31"/>
      <c r="N33" s="39">
        <f>IF(COUNT(K33:M33)=0,0,SUMPRODUCT({5000,1000,500},K33:M33))</f>
        <v>0</v>
      </c>
      <c r="O33" s="31"/>
      <c r="P33" s="31"/>
      <c r="Q33" s="31"/>
      <c r="R33" s="39">
        <f>IF(COUNT(O33:Q33)=0,0,SUMPRODUCT({5000,1000,500},O33:Q33))</f>
        <v>0</v>
      </c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4">
        <f>IF(COUNT(S33:AC33)=0,0,SUMPRODUCT({5000,1000,500,100,75,50,20,10,5,2,1}, S33:AC33))</f>
        <v>0</v>
      </c>
      <c r="AE33" s="33"/>
      <c r="AF33" s="24" t="str">
        <f>IF(AND(COUNT(C33:E33)=0,COUNT(G33:I33)=0,COUNT(K33:M33)=0,COUNT(O33:Q33)=0,COUNT(S33:AC33)=0,AE33=""),"",(IF(COUNT(C33:E33)=0,0,SUMPRODUCT({5000,1000,500},C33:E33))+IF(COUNT(G33:I33)=0,0,SUMPRODUCT({5000,1000,500},G33:I33))+IF(COUNT(K33:M33)=0,0,SUMPRODUCT({5000,1000,500},K33:M33))+IF(COUNT(O33:Q33)=0,0,SUMPRODUCT({5000,1000,500},O33:Q33))+AD33)-N(AE33))</f>
        <v/>
      </c>
      <c r="AG33" s="35" t="str">
        <f t="shared" si="0"/>
        <v/>
      </c>
      <c r="AH33" s="38"/>
      <c r="AI33" s="36"/>
      <c r="AJ33" s="37"/>
      <c r="AK33" s="26" t="str">
        <f t="shared" si="1"/>
        <v/>
      </c>
      <c r="AL33" s="25" t="str">
        <f t="shared" si="2"/>
        <v/>
      </c>
      <c r="AM33" s="38"/>
    </row>
    <row r="34" spans="1:39" ht="12.75" customHeight="1" x14ac:dyDescent="0.25">
      <c r="A34" s="31"/>
      <c r="B34" s="32" t="str">
        <f>IF(A34="","",VLOOKUP(A34,'Employee Database'!A:B,2,FALSE))</f>
        <v/>
      </c>
      <c r="C34" s="31"/>
      <c r="D34" s="31"/>
      <c r="E34" s="31"/>
      <c r="F34" s="39">
        <f>IF(COUNT(C34:E34)=0,0,SUMPRODUCT({5000,1000,500},C34:E34))</f>
        <v>0</v>
      </c>
      <c r="G34" s="31"/>
      <c r="H34" s="31"/>
      <c r="I34" s="31"/>
      <c r="J34" s="39">
        <f>IF(COUNT(G34:I34)=0,0,SUMPRODUCT({5000,1000,500},G34:I34))</f>
        <v>0</v>
      </c>
      <c r="K34" s="31"/>
      <c r="L34" s="31"/>
      <c r="M34" s="31"/>
      <c r="N34" s="39">
        <f>IF(COUNT(K34:M34)=0,0,SUMPRODUCT({5000,1000,500},K34:M34))</f>
        <v>0</v>
      </c>
      <c r="O34" s="31"/>
      <c r="P34" s="31"/>
      <c r="Q34" s="31"/>
      <c r="R34" s="39">
        <f>IF(COUNT(O34:Q34)=0,0,SUMPRODUCT({5000,1000,500},O34:Q34))</f>
        <v>0</v>
      </c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4">
        <f>IF(COUNT(S34:AC34)=0,0,SUMPRODUCT({5000,1000,500,100,75,50,20,10,5,2,1}, S34:AC34))</f>
        <v>0</v>
      </c>
      <c r="AE34" s="33"/>
      <c r="AF34" s="24" t="str">
        <f>IF(AND(COUNT(C34:E34)=0,COUNT(G34:I34)=0,COUNT(K34:M34)=0,COUNT(O34:Q34)=0,COUNT(S34:AC34)=0,AE34=""),"",(IF(COUNT(C34:E34)=0,0,SUMPRODUCT({5000,1000,500},C34:E34))+IF(COUNT(G34:I34)=0,0,SUMPRODUCT({5000,1000,500},G34:I34))+IF(COUNT(K34:M34)=0,0,SUMPRODUCT({5000,1000,500},K34:M34))+IF(COUNT(O34:Q34)=0,0,SUMPRODUCT({5000,1000,500},O34:Q34))+AD34)-N(AE34))</f>
        <v/>
      </c>
      <c r="AG34" s="35" t="str">
        <f t="shared" si="0"/>
        <v/>
      </c>
      <c r="AH34" s="38"/>
      <c r="AI34" s="36"/>
      <c r="AJ34" s="37"/>
      <c r="AK34" s="26"/>
      <c r="AL34" s="25"/>
      <c r="AM34" s="38"/>
    </row>
    <row r="35" spans="1:39" ht="22.5" customHeight="1" x14ac:dyDescent="0.25">
      <c r="A35" s="27" t="s">
        <v>24</v>
      </c>
      <c r="B35" s="27" t="s">
        <v>24</v>
      </c>
      <c r="C35" s="28">
        <f t="shared" ref="C35:AF35" si="3">SUM(C5:C34)</f>
        <v>190</v>
      </c>
      <c r="D35" s="28">
        <f t="shared" si="3"/>
        <v>586</v>
      </c>
      <c r="E35" s="28">
        <f t="shared" si="3"/>
        <v>131</v>
      </c>
      <c r="F35" s="40">
        <f t="shared" si="3"/>
        <v>1601500</v>
      </c>
      <c r="G35" s="28">
        <f t="shared" si="3"/>
        <v>310</v>
      </c>
      <c r="H35" s="28">
        <f t="shared" si="3"/>
        <v>1292</v>
      </c>
      <c r="I35" s="28">
        <f t="shared" si="3"/>
        <v>210</v>
      </c>
      <c r="J35" s="40">
        <f t="shared" si="3"/>
        <v>2947000</v>
      </c>
      <c r="K35" s="28">
        <f t="shared" si="3"/>
        <v>0</v>
      </c>
      <c r="L35" s="28">
        <f t="shared" si="3"/>
        <v>0</v>
      </c>
      <c r="M35" s="28">
        <f t="shared" si="3"/>
        <v>0</v>
      </c>
      <c r="N35" s="40">
        <f t="shared" si="3"/>
        <v>0</v>
      </c>
      <c r="O35" s="28">
        <f t="shared" si="3"/>
        <v>0</v>
      </c>
      <c r="P35" s="28">
        <f t="shared" si="3"/>
        <v>0</v>
      </c>
      <c r="Q35" s="28">
        <f t="shared" si="3"/>
        <v>0</v>
      </c>
      <c r="R35" s="40">
        <f t="shared" si="3"/>
        <v>0</v>
      </c>
      <c r="S35" s="28">
        <f t="shared" si="3"/>
        <v>0</v>
      </c>
      <c r="T35" s="28">
        <f t="shared" si="3"/>
        <v>0</v>
      </c>
      <c r="U35" s="28">
        <f t="shared" si="3"/>
        <v>0</v>
      </c>
      <c r="V35" s="28">
        <f t="shared" si="3"/>
        <v>62</v>
      </c>
      <c r="W35" s="28">
        <f t="shared" si="3"/>
        <v>0</v>
      </c>
      <c r="X35" s="28">
        <f t="shared" si="3"/>
        <v>886</v>
      </c>
      <c r="Y35" s="28">
        <f t="shared" si="3"/>
        <v>3</v>
      </c>
      <c r="Z35" s="28">
        <f t="shared" si="3"/>
        <v>1540</v>
      </c>
      <c r="AA35" s="28">
        <f t="shared" si="3"/>
        <v>0</v>
      </c>
      <c r="AB35" s="28">
        <f t="shared" si="3"/>
        <v>0</v>
      </c>
      <c r="AC35" s="28">
        <f t="shared" si="3"/>
        <v>1</v>
      </c>
      <c r="AD35" s="40">
        <f t="shared" si="3"/>
        <v>65961</v>
      </c>
      <c r="AE35" s="41">
        <f t="shared" si="3"/>
        <v>4614094</v>
      </c>
      <c r="AF35" s="29">
        <f t="shared" si="3"/>
        <v>367</v>
      </c>
      <c r="AG35" s="27" t="s">
        <v>24</v>
      </c>
      <c r="AH35" s="27" t="s">
        <v>24</v>
      </c>
      <c r="AI35" s="28">
        <f>SUM(AI5:AI34)</f>
        <v>9111417.1500000004</v>
      </c>
      <c r="AJ35" s="28">
        <f>SUM(AJ5:AJ34)</f>
        <v>9111417.1500000004</v>
      </c>
      <c r="AK35" s="28">
        <f>SUM(AK5:AK34)</f>
        <v>3.637978807091713E-12</v>
      </c>
      <c r="AL35" s="28">
        <f>AJ35+AE35</f>
        <v>13725511.15</v>
      </c>
      <c r="AM35" s="28">
        <f>SUM(AM5:AM34)</f>
        <v>0</v>
      </c>
    </row>
  </sheetData>
  <sheetProtection algorithmName="SHA-512" hashValue="clMvnNUH2QUw5oPuA5hixyQS8uhAm/yK46fPQWlgCMMobiREX1wGOI1zY1QLbTstM6qkJ/LJlBl9UJu+x57drw==" saltValue="0qtdzFFLu5/lNogpEADQSQ==" spinCount="100000" sheet="1" objects="1" scenarios="1"/>
  <mergeCells count="9">
    <mergeCell ref="S3:AC3"/>
    <mergeCell ref="AD3:AG3"/>
    <mergeCell ref="AH3:AM3"/>
    <mergeCell ref="A1:B1"/>
    <mergeCell ref="A3:B3"/>
    <mergeCell ref="C3:F3"/>
    <mergeCell ref="G3:J3"/>
    <mergeCell ref="K3:N3"/>
    <mergeCell ref="O3:R3"/>
  </mergeCells>
  <conditionalFormatting sqref="A5">
    <cfRule type="duplicateValues" dxfId="114" priority="3"/>
    <cfRule type="duplicateValues" dxfId="113" priority="4"/>
  </conditionalFormatting>
  <conditionalFormatting sqref="A6">
    <cfRule type="duplicateValues" dxfId="112" priority="5"/>
    <cfRule type="duplicateValues" dxfId="111" priority="6"/>
  </conditionalFormatting>
  <conditionalFormatting sqref="A7:A34">
    <cfRule type="duplicateValues" dxfId="110" priority="1"/>
    <cfRule type="duplicateValues" dxfId="109" priority="2"/>
  </conditionalFormatting>
  <conditionalFormatting sqref="A35">
    <cfRule type="duplicateValues" dxfId="108" priority="7"/>
  </conditionalFormatting>
  <dataValidations disablePrompts="1" count="1">
    <dataValidation type="list" allowBlank="1" showInputMessage="1" showErrorMessage="1" sqref="A1:B1" xr:uid="{00000000-0002-0000-1100-000000000000}">
      <formula1>Locations</formula1>
    </dataValidation>
  </dataValidations>
  <pageMargins left="0.75" right="0.75" top="1" bottom="1" header="0.5" footer="0.5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>
    <tabColor rgb="FFFF0000"/>
  </sheetPr>
  <dimension ref="A1:AM35"/>
  <sheetViews>
    <sheetView showGridLines="0" topLeftCell="A7" zoomScale="85" zoomScaleNormal="85" workbookViewId="0">
      <pane xSplit="2" topLeftCell="U1" activePane="topRight" state="frozen"/>
      <selection activeCell="A4" sqref="A4"/>
      <selection pane="topRight" activeCell="Y35" sqref="Y35"/>
    </sheetView>
  </sheetViews>
  <sheetFormatPr defaultRowHeight="15" x14ac:dyDescent="0.25"/>
  <cols>
    <col min="1" max="1" width="11.85546875" customWidth="1"/>
    <col min="2" max="2" width="20.5703125" customWidth="1"/>
    <col min="6" max="6" width="14.42578125" bestFit="1" customWidth="1"/>
    <col min="10" max="10" width="14.42578125" bestFit="1" customWidth="1"/>
    <col min="14" max="14" width="14.42578125" bestFit="1" customWidth="1"/>
    <col min="18" max="18" width="14.42578125" bestFit="1" customWidth="1"/>
    <col min="30" max="31" width="18" customWidth="1"/>
    <col min="32" max="32" width="20" customWidth="1"/>
    <col min="33" max="33" width="14" customWidth="1"/>
    <col min="35" max="35" width="18" customWidth="1"/>
    <col min="36" max="36" width="22" customWidth="1"/>
    <col min="37" max="37" width="16" customWidth="1"/>
    <col min="38" max="38" width="14" customWidth="1"/>
  </cols>
  <sheetData>
    <row r="1" spans="1:39" ht="43.5" customHeight="1" x14ac:dyDescent="0.25">
      <c r="A1" s="48" t="s">
        <v>306</v>
      </c>
      <c r="B1" s="48"/>
    </row>
    <row r="2" spans="1:39" ht="13.5" customHeight="1" x14ac:dyDescent="0.25">
      <c r="A2" s="30">
        <f>'16'!A2+1</f>
        <v>46220</v>
      </c>
    </row>
    <row r="3" spans="1:39" ht="24" customHeight="1" x14ac:dyDescent="0.25">
      <c r="A3" s="49" t="s">
        <v>0</v>
      </c>
      <c r="B3" s="49"/>
      <c r="C3" s="49" t="s">
        <v>93</v>
      </c>
      <c r="D3" s="50"/>
      <c r="E3" s="50"/>
      <c r="F3" s="50"/>
      <c r="G3" s="49" t="s">
        <v>94</v>
      </c>
      <c r="H3" s="50"/>
      <c r="I3" s="50"/>
      <c r="J3" s="50"/>
      <c r="K3" s="49" t="s">
        <v>95</v>
      </c>
      <c r="L3" s="50"/>
      <c r="M3" s="50"/>
      <c r="N3" s="50"/>
      <c r="O3" s="49" t="s">
        <v>96</v>
      </c>
      <c r="P3" s="50"/>
      <c r="Q3" s="50"/>
      <c r="R3" s="50"/>
      <c r="S3" s="45" t="s">
        <v>1</v>
      </c>
      <c r="T3" s="46"/>
      <c r="U3" s="46"/>
      <c r="V3" s="46"/>
      <c r="W3" s="46"/>
      <c r="X3" s="46"/>
      <c r="Y3" s="46"/>
      <c r="Z3" s="46"/>
      <c r="AA3" s="46"/>
      <c r="AB3" s="46"/>
      <c r="AC3" s="46"/>
      <c r="AD3" s="47" t="s">
        <v>97</v>
      </c>
      <c r="AE3" s="46"/>
      <c r="AF3" s="46"/>
      <c r="AG3" s="46"/>
      <c r="AH3" s="47" t="s">
        <v>98</v>
      </c>
      <c r="AI3" s="46"/>
      <c r="AJ3" s="46"/>
      <c r="AK3" s="46"/>
      <c r="AL3" s="46"/>
      <c r="AM3" s="46"/>
    </row>
    <row r="4" spans="1:39" ht="27.95" customHeight="1" x14ac:dyDescent="0.25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92</v>
      </c>
      <c r="G4" s="1" t="s">
        <v>5</v>
      </c>
      <c r="H4" s="1" t="s">
        <v>6</v>
      </c>
      <c r="I4" s="1" t="s">
        <v>7</v>
      </c>
      <c r="J4" s="1" t="s">
        <v>92</v>
      </c>
      <c r="K4" s="1" t="s">
        <v>5</v>
      </c>
      <c r="L4" s="1" t="s">
        <v>6</v>
      </c>
      <c r="M4" s="1" t="s">
        <v>7</v>
      </c>
      <c r="N4" s="1" t="s">
        <v>92</v>
      </c>
      <c r="O4" s="1" t="s">
        <v>5</v>
      </c>
      <c r="P4" s="1" t="s">
        <v>6</v>
      </c>
      <c r="Q4" s="1" t="s">
        <v>7</v>
      </c>
      <c r="R4" s="1" t="s">
        <v>92</v>
      </c>
      <c r="S4" s="1" t="s">
        <v>5</v>
      </c>
      <c r="T4" s="1" t="s">
        <v>6</v>
      </c>
      <c r="U4" s="1" t="s">
        <v>7</v>
      </c>
      <c r="V4" s="1" t="s">
        <v>8</v>
      </c>
      <c r="W4" s="1" t="s">
        <v>9</v>
      </c>
      <c r="X4" s="1" t="s">
        <v>10</v>
      </c>
      <c r="Y4" s="1" t="s">
        <v>11</v>
      </c>
      <c r="Z4" s="1" t="s">
        <v>12</v>
      </c>
      <c r="AA4" s="1" t="s">
        <v>13</v>
      </c>
      <c r="AB4" s="1" t="s">
        <v>14</v>
      </c>
      <c r="AC4" s="1" t="s">
        <v>15</v>
      </c>
      <c r="AD4" s="1" t="s">
        <v>16</v>
      </c>
      <c r="AE4" s="1" t="s">
        <v>17</v>
      </c>
      <c r="AF4" s="1" t="s">
        <v>18</v>
      </c>
      <c r="AG4" s="1" t="s">
        <v>19</v>
      </c>
      <c r="AH4" s="1" t="s">
        <v>20</v>
      </c>
      <c r="AI4" s="4" t="s">
        <v>99</v>
      </c>
      <c r="AJ4" s="1" t="s">
        <v>21</v>
      </c>
      <c r="AK4" s="1" t="s">
        <v>22</v>
      </c>
      <c r="AL4" s="1" t="s">
        <v>23</v>
      </c>
      <c r="AM4" s="4" t="s">
        <v>100</v>
      </c>
    </row>
    <row r="5" spans="1:39" ht="12.75" customHeight="1" x14ac:dyDescent="0.25">
      <c r="A5" s="31">
        <v>68107</v>
      </c>
      <c r="B5" s="32" t="str">
        <f>IF(A5="","",VLOOKUP(A5,'Employee Database'!A:B,2,FALSE))</f>
        <v>M Harris</v>
      </c>
      <c r="C5" s="31">
        <v>8</v>
      </c>
      <c r="D5" s="31">
        <v>86</v>
      </c>
      <c r="E5" s="31">
        <v>16</v>
      </c>
      <c r="F5" s="39">
        <f>IF(COUNT(C5:E5)=0,0,SUMPRODUCT({5000,1000,500},C5:E5))</f>
        <v>134000</v>
      </c>
      <c r="G5" s="31"/>
      <c r="H5" s="31"/>
      <c r="I5" s="31"/>
      <c r="J5" s="39">
        <f>IF(COUNT(G5:I5)=0,0,SUMPRODUCT({5000,1000,500},G5:I5))</f>
        <v>0</v>
      </c>
      <c r="K5" s="31"/>
      <c r="L5" s="31"/>
      <c r="M5" s="31"/>
      <c r="N5" s="39">
        <f>IF(COUNT(K5:M5)=0,0,SUMPRODUCT({5000,1000,500},K5:M5))</f>
        <v>0</v>
      </c>
      <c r="O5" s="31"/>
      <c r="P5" s="31"/>
      <c r="Q5" s="31"/>
      <c r="R5" s="39">
        <f>IF(COUNT(O5:Q5)=0,0,SUMPRODUCT({5000,1000,500},O5:Q5))</f>
        <v>0</v>
      </c>
      <c r="S5" s="31"/>
      <c r="T5" s="31"/>
      <c r="U5" s="31"/>
      <c r="V5" s="31"/>
      <c r="W5" s="31"/>
      <c r="X5" s="31">
        <v>74</v>
      </c>
      <c r="Y5" s="31"/>
      <c r="Z5" s="31">
        <v>56</v>
      </c>
      <c r="AA5" s="31"/>
      <c r="AB5" s="31"/>
      <c r="AC5" s="31">
        <v>3</v>
      </c>
      <c r="AD5" s="34">
        <f>IF(COUNT(S5:AC5)=0,0,SUMPRODUCT({5000,1000,500,100,75,50,20,10,5,2,1}, S5:AC5))</f>
        <v>4263</v>
      </c>
      <c r="AE5" s="33">
        <v>138225</v>
      </c>
      <c r="AF5" s="24">
        <f>IF(AND(COUNT(C5:E5)=0,COUNT(G5:I5)=0,COUNT(K5:M5)=0,COUNT(O5:Q5)=0,COUNT(S5:AC5)=0,AE5=""),"",(IF(COUNT(C5:E5)=0,0,SUMPRODUCT({5000,1000,500},C5:E5))+IF(COUNT(G5:I5)=0,0,SUMPRODUCT({5000,1000,500},G5:I5))+IF(COUNT(K5:M5)=0,0,SUMPRODUCT({5000,1000,500},K5:M5))+IF(COUNT(O5:Q5)=0,0,SUMPRODUCT({5000,1000,500},O5:Q5))+AD5)-N(AE5))</f>
        <v>38</v>
      </c>
      <c r="AG5" s="35" t="str">
        <f t="shared" ref="AG5:AG34" si="0">IF(AF5="","",IF(AF5&gt;0,"Excess",IF(AF5&lt;0,"Short","Balanced")))</f>
        <v>Excess</v>
      </c>
      <c r="AH5" s="38"/>
      <c r="AI5" s="36">
        <v>402652.54</v>
      </c>
      <c r="AJ5" s="37">
        <f>273134.73+100566.81+28951</f>
        <v>402652.54</v>
      </c>
      <c r="AK5" s="26">
        <f t="shared" ref="AK5:AK33" si="1">IF(AND(AI5="",AJ5=""),"",N(AI5)-N(AJ5))</f>
        <v>0</v>
      </c>
      <c r="AL5" s="25" t="str">
        <f t="shared" ref="AL5:AL33" si="2">IF(AK5="","",IF(AK5&gt;0,"POS Excess",IF(AK5&lt;0,"Bank Short","Matched")))</f>
        <v>Matched</v>
      </c>
      <c r="AM5" s="38"/>
    </row>
    <row r="6" spans="1:39" ht="12.75" customHeight="1" x14ac:dyDescent="0.25">
      <c r="A6" s="31">
        <v>72873</v>
      </c>
      <c r="B6" s="32" t="str">
        <f>IF(A6="","",VLOOKUP(A6,'Employee Database'!A:B,2,FALSE))</f>
        <v>M Shajee</v>
      </c>
      <c r="C6" s="31">
        <v>17</v>
      </c>
      <c r="D6" s="31">
        <v>99</v>
      </c>
      <c r="E6" s="31">
        <v>26</v>
      </c>
      <c r="F6" s="39">
        <f>IF(COUNT(C6:E6)=0,0,SUMPRODUCT({5000,1000,500},C6:E6))</f>
        <v>197000</v>
      </c>
      <c r="G6" s="31"/>
      <c r="H6" s="31"/>
      <c r="I6" s="31"/>
      <c r="J6" s="39">
        <f>IF(COUNT(G6:I6)=0,0,SUMPRODUCT({5000,1000,500},G6:I6))</f>
        <v>0</v>
      </c>
      <c r="K6" s="31"/>
      <c r="L6" s="31"/>
      <c r="M6" s="31"/>
      <c r="N6" s="39">
        <f>IF(COUNT(K6:M6)=0,0,SUMPRODUCT({5000,1000,500},K6:M6))</f>
        <v>0</v>
      </c>
      <c r="O6" s="31"/>
      <c r="P6" s="31"/>
      <c r="Q6" s="31"/>
      <c r="R6" s="39">
        <f>IF(COUNT(O6:Q6)=0,0,SUMPRODUCT({5000,1000,500},O6:Q6))</f>
        <v>0</v>
      </c>
      <c r="S6" s="31"/>
      <c r="T6" s="31"/>
      <c r="U6" s="31"/>
      <c r="V6" s="31"/>
      <c r="W6" s="31"/>
      <c r="X6" s="31"/>
      <c r="Y6" s="31">
        <v>3</v>
      </c>
      <c r="Z6" s="31">
        <v>2</v>
      </c>
      <c r="AA6" s="31"/>
      <c r="AB6" s="31"/>
      <c r="AC6" s="31"/>
      <c r="AD6" s="34">
        <f>IF(COUNT(S6:AC6)=0,0,SUMPRODUCT({5000,1000,500,100,75,50,20,10,5,2,1}, S6:AC6))</f>
        <v>80</v>
      </c>
      <c r="AE6" s="33">
        <v>197128</v>
      </c>
      <c r="AF6" s="24">
        <f>IF(AND(COUNT(C6:E6)=0,COUNT(G6:I6)=0,COUNT(K6:M6)=0,COUNT(O6:Q6)=0,COUNT(S6:AC6)=0,AE6=""),"",(IF(COUNT(C6:E6)=0,0,SUMPRODUCT({5000,1000,500},C6:E6))+IF(COUNT(G6:I6)=0,0,SUMPRODUCT({5000,1000,500},G6:I6))+IF(COUNT(K6:M6)=0,0,SUMPRODUCT({5000,1000,500},K6:M6))+IF(COUNT(O6:Q6)=0,0,SUMPRODUCT({5000,1000,500},O6:Q6))+AD6)-N(AE6))</f>
        <v>-48</v>
      </c>
      <c r="AG6" s="35" t="str">
        <f t="shared" si="0"/>
        <v>Short</v>
      </c>
      <c r="AH6" s="38"/>
      <c r="AI6" s="36">
        <v>308877</v>
      </c>
      <c r="AJ6" s="37">
        <f>178628+130248+1</f>
        <v>308877</v>
      </c>
      <c r="AK6" s="26">
        <f t="shared" si="1"/>
        <v>0</v>
      </c>
      <c r="AL6" s="25" t="str">
        <f t="shared" si="2"/>
        <v>Matched</v>
      </c>
      <c r="AM6" s="38"/>
    </row>
    <row r="7" spans="1:39" ht="12.75" customHeight="1" x14ac:dyDescent="0.25">
      <c r="A7" s="31">
        <v>73196</v>
      </c>
      <c r="B7" s="32" t="str">
        <f>IF(A7="","",VLOOKUP(A7,'Employee Database'!A:B,2,FALSE))</f>
        <v>Asma</v>
      </c>
      <c r="C7" s="31">
        <v>2</v>
      </c>
      <c r="D7" s="31">
        <v>28</v>
      </c>
      <c r="E7" s="31">
        <v>17</v>
      </c>
      <c r="F7" s="39">
        <f>IF(COUNT(C7:E7)=0,0,SUMPRODUCT({5000,1000,500},C7:E7))</f>
        <v>46500</v>
      </c>
      <c r="G7" s="31"/>
      <c r="H7" s="31"/>
      <c r="I7" s="31"/>
      <c r="J7" s="39">
        <f>IF(COUNT(G7:I7)=0,0,SUMPRODUCT({5000,1000,500},G7:I7))</f>
        <v>0</v>
      </c>
      <c r="K7" s="31"/>
      <c r="L7" s="31"/>
      <c r="M7" s="31"/>
      <c r="N7" s="39">
        <f>IF(COUNT(K7:M7)=0,0,SUMPRODUCT({5000,1000,500},K7:M7))</f>
        <v>0</v>
      </c>
      <c r="O7" s="31"/>
      <c r="P7" s="31"/>
      <c r="Q7" s="31"/>
      <c r="R7" s="39">
        <f>IF(COUNT(O7:Q7)=0,0,SUMPRODUCT({5000,1000,500},O7:Q7))</f>
        <v>0</v>
      </c>
      <c r="S7" s="31"/>
      <c r="T7" s="31"/>
      <c r="U7" s="31"/>
      <c r="V7" s="31">
        <v>1</v>
      </c>
      <c r="W7" s="31"/>
      <c r="X7" s="31">
        <v>10</v>
      </c>
      <c r="Y7" s="31"/>
      <c r="Z7" s="31">
        <v>21</v>
      </c>
      <c r="AA7" s="31"/>
      <c r="AB7" s="31"/>
      <c r="AC7" s="31"/>
      <c r="AD7" s="34">
        <f>IF(COUNT(S7:AC7)=0,0,SUMPRODUCT({5000,1000,500,100,75,50,20,10,5,2,1}, S7:AC7))</f>
        <v>810</v>
      </c>
      <c r="AE7" s="33">
        <v>47267</v>
      </c>
      <c r="AF7" s="24">
        <f>IF(AND(COUNT(C7:E7)=0,COUNT(G7:I7)=0,COUNT(K7:M7)=0,COUNT(O7:Q7)=0,COUNT(S7:AC7)=0,AE7=""),"",(IF(COUNT(C7:E7)=0,0,SUMPRODUCT({5000,1000,500},C7:E7))+IF(COUNT(G7:I7)=0,0,SUMPRODUCT({5000,1000,500},G7:I7))+IF(COUNT(K7:M7)=0,0,SUMPRODUCT({5000,1000,500},K7:M7))+IF(COUNT(O7:Q7)=0,0,SUMPRODUCT({5000,1000,500},O7:Q7))+AD7)-N(AE7))</f>
        <v>43</v>
      </c>
      <c r="AG7" s="35" t="str">
        <f t="shared" si="0"/>
        <v>Excess</v>
      </c>
      <c r="AH7" s="38"/>
      <c r="AI7" s="36">
        <v>29278</v>
      </c>
      <c r="AJ7" s="37">
        <v>29278</v>
      </c>
      <c r="AK7" s="26">
        <f t="shared" si="1"/>
        <v>0</v>
      </c>
      <c r="AL7" s="25" t="str">
        <f t="shared" si="2"/>
        <v>Matched</v>
      </c>
      <c r="AM7" s="38"/>
    </row>
    <row r="8" spans="1:39" ht="12.75" customHeight="1" x14ac:dyDescent="0.25">
      <c r="A8" s="31">
        <v>67249</v>
      </c>
      <c r="B8" s="32" t="str">
        <f>IF(A8="","",VLOOKUP(A8,'Employee Database'!A:B,2,FALSE))</f>
        <v>Hanan Javaid</v>
      </c>
      <c r="C8" s="31">
        <v>31</v>
      </c>
      <c r="D8" s="31">
        <v>70</v>
      </c>
      <c r="E8" s="31">
        <v>16</v>
      </c>
      <c r="F8" s="39">
        <f>IF(COUNT(C8:E8)=0,0,SUMPRODUCT({5000,1000,500},C8:E8))</f>
        <v>233000</v>
      </c>
      <c r="G8" s="31"/>
      <c r="H8" s="31"/>
      <c r="I8" s="31"/>
      <c r="J8" s="39">
        <f>IF(COUNT(G8:I8)=0,0,SUMPRODUCT({5000,1000,500},G8:I8))</f>
        <v>0</v>
      </c>
      <c r="K8" s="31"/>
      <c r="L8" s="31"/>
      <c r="M8" s="31"/>
      <c r="N8" s="39">
        <f>IF(COUNT(K8:M8)=0,0,SUMPRODUCT({5000,1000,500},K8:M8))</f>
        <v>0</v>
      </c>
      <c r="O8" s="31"/>
      <c r="P8" s="31"/>
      <c r="Q8" s="31"/>
      <c r="R8" s="39">
        <f>IF(COUNT(O8:Q8)=0,0,SUMPRODUCT({5000,1000,500},O8:Q8))</f>
        <v>0</v>
      </c>
      <c r="S8" s="31"/>
      <c r="T8" s="31"/>
      <c r="U8" s="31"/>
      <c r="V8" s="31">
        <v>1</v>
      </c>
      <c r="W8" s="31"/>
      <c r="X8" s="31">
        <v>49</v>
      </c>
      <c r="Y8" s="31"/>
      <c r="Z8" s="31">
        <v>43</v>
      </c>
      <c r="AA8" s="31"/>
      <c r="AB8" s="31"/>
      <c r="AC8" s="31"/>
      <c r="AD8" s="34">
        <f>IF(COUNT(S8:AC8)=0,0,SUMPRODUCT({5000,1000,500,100,75,50,20,10,5,2,1}, S8:AC8))</f>
        <v>2980</v>
      </c>
      <c r="AE8" s="33">
        <v>235968</v>
      </c>
      <c r="AF8" s="24">
        <f>IF(AND(COUNT(C8:E8)=0,COUNT(G8:I8)=0,COUNT(K8:M8)=0,COUNT(O8:Q8)=0,COUNT(S8:AC8)=0,AE8=""),"",(IF(COUNT(C8:E8)=0,0,SUMPRODUCT({5000,1000,500},C8:E8))+IF(COUNT(G8:I8)=0,0,SUMPRODUCT({5000,1000,500},G8:I8))+IF(COUNT(K8:M8)=0,0,SUMPRODUCT({5000,1000,500},K8:M8))+IF(COUNT(O8:Q8)=0,0,SUMPRODUCT({5000,1000,500},O8:Q8))+AD8)-N(AE8))</f>
        <v>12</v>
      </c>
      <c r="AG8" s="35" t="str">
        <f t="shared" si="0"/>
        <v>Excess</v>
      </c>
      <c r="AH8" s="38"/>
      <c r="AI8" s="36">
        <v>415623</v>
      </c>
      <c r="AJ8" s="37">
        <v>415623</v>
      </c>
      <c r="AK8" s="26">
        <f t="shared" si="1"/>
        <v>0</v>
      </c>
      <c r="AL8" s="25" t="str">
        <f t="shared" si="2"/>
        <v>Matched</v>
      </c>
      <c r="AM8" s="38"/>
    </row>
    <row r="9" spans="1:39" ht="12.75" customHeight="1" x14ac:dyDescent="0.25">
      <c r="A9" s="31">
        <v>65299</v>
      </c>
      <c r="B9" s="32" t="str">
        <f>IF(A9="","",VLOOKUP(A9,'Employee Database'!A:B,2,FALSE))</f>
        <v>M Faisal</v>
      </c>
      <c r="C9" s="31">
        <v>4</v>
      </c>
      <c r="D9" s="31">
        <v>26</v>
      </c>
      <c r="E9" s="31">
        <v>6</v>
      </c>
      <c r="F9" s="39">
        <f>IF(COUNT(C9:E9)=0,0,SUMPRODUCT({5000,1000,500},C9:E9))</f>
        <v>49000</v>
      </c>
      <c r="G9" s="31"/>
      <c r="H9" s="31"/>
      <c r="I9" s="31"/>
      <c r="J9" s="39">
        <f>IF(COUNT(G9:I9)=0,0,SUMPRODUCT({5000,1000,500},G9:I9))</f>
        <v>0</v>
      </c>
      <c r="K9" s="31"/>
      <c r="L9" s="31"/>
      <c r="M9" s="31"/>
      <c r="N9" s="39">
        <f>IF(COUNT(K9:M9)=0,0,SUMPRODUCT({5000,1000,500},K9:M9))</f>
        <v>0</v>
      </c>
      <c r="O9" s="31"/>
      <c r="P9" s="31"/>
      <c r="Q9" s="31"/>
      <c r="R9" s="39">
        <f>IF(COUNT(O9:Q9)=0,0,SUMPRODUCT({5000,1000,500},O9:Q9))</f>
        <v>0</v>
      </c>
      <c r="S9" s="31"/>
      <c r="T9" s="31"/>
      <c r="U9" s="31"/>
      <c r="V9" s="31">
        <v>2</v>
      </c>
      <c r="W9" s="31"/>
      <c r="X9" s="31">
        <v>35</v>
      </c>
      <c r="Y9" s="31">
        <v>1</v>
      </c>
      <c r="Z9" s="31">
        <v>86</v>
      </c>
      <c r="AA9" s="31"/>
      <c r="AB9" s="31"/>
      <c r="AC9" s="31"/>
      <c r="AD9" s="34">
        <f>IF(COUNT(S9:AC9)=0,0,SUMPRODUCT({5000,1000,500,100,75,50,20,10,5,2,1}, S9:AC9))</f>
        <v>2830</v>
      </c>
      <c r="AE9" s="33">
        <v>51830</v>
      </c>
      <c r="AF9" s="24">
        <f>IF(AND(COUNT(C9:E9)=0,COUNT(G9:I9)=0,COUNT(K9:M9)=0,COUNT(O9:Q9)=0,COUNT(S9:AC9)=0,AE9=""),"",(IF(COUNT(C9:E9)=0,0,SUMPRODUCT({5000,1000,500},C9:E9))+IF(COUNT(G9:I9)=0,0,SUMPRODUCT({5000,1000,500},G9:I9))+IF(COUNT(K9:M9)=0,0,SUMPRODUCT({5000,1000,500},K9:M9))+IF(COUNT(O9:Q9)=0,0,SUMPRODUCT({5000,1000,500},O9:Q9))+AD9)-N(AE9))</f>
        <v>0</v>
      </c>
      <c r="AG9" s="35" t="str">
        <f t="shared" si="0"/>
        <v>Balanced</v>
      </c>
      <c r="AH9" s="38"/>
      <c r="AI9" s="36">
        <f>19359+38072</f>
        <v>57431</v>
      </c>
      <c r="AJ9" s="37">
        <f>38072+19359</f>
        <v>57431</v>
      </c>
      <c r="AK9" s="26">
        <f t="shared" si="1"/>
        <v>0</v>
      </c>
      <c r="AL9" s="25" t="str">
        <f t="shared" si="2"/>
        <v>Matched</v>
      </c>
      <c r="AM9" s="38"/>
    </row>
    <row r="10" spans="1:39" ht="12.75" customHeight="1" x14ac:dyDescent="0.25">
      <c r="A10" s="31">
        <v>58112</v>
      </c>
      <c r="B10" s="32" t="str">
        <f>IF(A10="","",VLOOKUP(A10,'Employee Database'!A:B,2,FALSE))</f>
        <v>Shama</v>
      </c>
      <c r="C10" s="31">
        <v>23</v>
      </c>
      <c r="D10" s="31">
        <v>54</v>
      </c>
      <c r="E10" s="31">
        <v>36</v>
      </c>
      <c r="F10" s="39">
        <f>IF(COUNT(C10:E10)=0,0,SUMPRODUCT({5000,1000,500},C10:E10))</f>
        <v>187000</v>
      </c>
      <c r="G10" s="31"/>
      <c r="H10" s="31"/>
      <c r="I10" s="31"/>
      <c r="J10" s="39">
        <f>IF(COUNT(G10:I10)=0,0,SUMPRODUCT({5000,1000,500},G10:I10))</f>
        <v>0</v>
      </c>
      <c r="K10" s="31"/>
      <c r="L10" s="31"/>
      <c r="M10" s="31"/>
      <c r="N10" s="39">
        <f>IF(COUNT(K10:M10)=0,0,SUMPRODUCT({5000,1000,500},K10:M10))</f>
        <v>0</v>
      </c>
      <c r="O10" s="31"/>
      <c r="P10" s="31"/>
      <c r="Q10" s="31"/>
      <c r="R10" s="39">
        <f>IF(COUNT(O10:Q10)=0,0,SUMPRODUCT({5000,1000,500},O10:Q10))</f>
        <v>0</v>
      </c>
      <c r="S10" s="31"/>
      <c r="T10" s="31"/>
      <c r="U10" s="31"/>
      <c r="V10" s="31"/>
      <c r="W10" s="31"/>
      <c r="X10" s="31">
        <v>11</v>
      </c>
      <c r="Y10" s="31"/>
      <c r="Z10" s="31">
        <v>38</v>
      </c>
      <c r="AA10" s="31"/>
      <c r="AB10" s="31"/>
      <c r="AC10" s="31"/>
      <c r="AD10" s="34">
        <f>IF(COUNT(S10:AC10)=0,0,SUMPRODUCT({5000,1000,500,100,75,50,20,10,5,2,1}, S10:AC10))</f>
        <v>930</v>
      </c>
      <c r="AE10" s="33">
        <v>187929</v>
      </c>
      <c r="AF10" s="24">
        <f>IF(AND(COUNT(C10:E10)=0,COUNT(G10:I10)=0,COUNT(K10:M10)=0,COUNT(O10:Q10)=0,COUNT(S10:AC10)=0,AE10=""),"",(IF(COUNT(C10:E10)=0,0,SUMPRODUCT({5000,1000,500},C10:E10))+IF(COUNT(G10:I10)=0,0,SUMPRODUCT({5000,1000,500},G10:I10))+IF(COUNT(K10:M10)=0,0,SUMPRODUCT({5000,1000,500},K10:M10))+IF(COUNT(O10:Q10)=0,0,SUMPRODUCT({5000,1000,500},O10:Q10))+AD10)-N(AE10))</f>
        <v>1</v>
      </c>
      <c r="AG10" s="35" t="str">
        <f t="shared" si="0"/>
        <v>Excess</v>
      </c>
      <c r="AH10" s="38"/>
      <c r="AI10" s="36">
        <v>382246</v>
      </c>
      <c r="AJ10" s="37">
        <v>382246</v>
      </c>
      <c r="AK10" s="26">
        <f t="shared" si="1"/>
        <v>0</v>
      </c>
      <c r="AL10" s="25" t="str">
        <f t="shared" si="2"/>
        <v>Matched</v>
      </c>
      <c r="AM10" s="38"/>
    </row>
    <row r="11" spans="1:39" ht="12.75" customHeight="1" x14ac:dyDescent="0.25">
      <c r="A11" s="31">
        <v>56189</v>
      </c>
      <c r="B11" s="32" t="str">
        <f>IF(A11="","",VLOOKUP(A11,'Employee Database'!A:B,2,FALSE))</f>
        <v>Iffat Sultan</v>
      </c>
      <c r="C11" s="31">
        <v>35</v>
      </c>
      <c r="D11" s="31">
        <v>79</v>
      </c>
      <c r="E11" s="31">
        <v>53</v>
      </c>
      <c r="F11" s="39">
        <f>IF(COUNT(C11:E11)=0,0,SUMPRODUCT({5000,1000,500},C11:E11))</f>
        <v>280500</v>
      </c>
      <c r="G11" s="31"/>
      <c r="H11" s="31"/>
      <c r="I11" s="31"/>
      <c r="J11" s="39">
        <f>IF(COUNT(G11:I11)=0,0,SUMPRODUCT({5000,1000,500},G11:I11))</f>
        <v>0</v>
      </c>
      <c r="K11" s="31"/>
      <c r="L11" s="31"/>
      <c r="M11" s="31"/>
      <c r="N11" s="39">
        <f>IF(COUNT(K11:M11)=0,0,SUMPRODUCT({5000,1000,500},K11:M11))</f>
        <v>0</v>
      </c>
      <c r="O11" s="31"/>
      <c r="P11" s="31"/>
      <c r="Q11" s="31"/>
      <c r="R11" s="39">
        <f>IF(COUNT(O11:Q11)=0,0,SUMPRODUCT({5000,1000,500},O11:Q11))</f>
        <v>0</v>
      </c>
      <c r="S11" s="31"/>
      <c r="T11" s="31"/>
      <c r="U11" s="31"/>
      <c r="V11" s="31">
        <v>1</v>
      </c>
      <c r="W11" s="31"/>
      <c r="X11" s="31">
        <v>20</v>
      </c>
      <c r="Y11" s="31"/>
      <c r="Z11" s="31">
        <v>31</v>
      </c>
      <c r="AA11" s="31"/>
      <c r="AB11" s="31"/>
      <c r="AC11" s="31"/>
      <c r="AD11" s="34">
        <f>IF(COUNT(S11:AC11)=0,0,SUMPRODUCT({5000,1000,500,100,75,50,20,10,5,2,1}, S11:AC11))</f>
        <v>1410</v>
      </c>
      <c r="AE11" s="33">
        <v>281942</v>
      </c>
      <c r="AF11" s="24">
        <f>IF(AND(COUNT(C11:E11)=0,COUNT(G11:I11)=0,COUNT(K11:M11)=0,COUNT(O11:Q11)=0,COUNT(S11:AC11)=0,AE11=""),"",(IF(COUNT(C11:E11)=0,0,SUMPRODUCT({5000,1000,500},C11:E11))+IF(COUNT(G11:I11)=0,0,SUMPRODUCT({5000,1000,500},G11:I11))+IF(COUNT(K11:M11)=0,0,SUMPRODUCT({5000,1000,500},K11:M11))+IF(COUNT(O11:Q11)=0,0,SUMPRODUCT({5000,1000,500},O11:Q11))+AD11)-N(AE11))</f>
        <v>-32</v>
      </c>
      <c r="AG11" s="35" t="str">
        <f t="shared" si="0"/>
        <v>Short</v>
      </c>
      <c r="AH11" s="38"/>
      <c r="AI11" s="36">
        <v>557024</v>
      </c>
      <c r="AJ11" s="37">
        <v>557024</v>
      </c>
      <c r="AK11" s="26">
        <f t="shared" si="1"/>
        <v>0</v>
      </c>
      <c r="AL11" s="25" t="str">
        <f t="shared" si="2"/>
        <v>Matched</v>
      </c>
      <c r="AM11" s="38"/>
    </row>
    <row r="12" spans="1:39" ht="12.75" customHeight="1" x14ac:dyDescent="0.25">
      <c r="A12" s="31">
        <v>71205</v>
      </c>
      <c r="B12" s="32" t="str">
        <f>IF(A12="","",VLOOKUP(A12,'Employee Database'!A:B,2,FALSE))</f>
        <v>M Yaqoob</v>
      </c>
      <c r="C12" s="31">
        <v>19</v>
      </c>
      <c r="D12" s="31">
        <v>30</v>
      </c>
      <c r="E12" s="31">
        <v>9</v>
      </c>
      <c r="F12" s="39">
        <f>IF(COUNT(C12:E12)=0,0,SUMPRODUCT({5000,1000,500},C12:E12))</f>
        <v>129500</v>
      </c>
      <c r="G12" s="31"/>
      <c r="H12" s="31"/>
      <c r="I12" s="31"/>
      <c r="J12" s="39">
        <f>IF(COUNT(G12:I12)=0,0,SUMPRODUCT({5000,1000,500},G12:I12))</f>
        <v>0</v>
      </c>
      <c r="K12" s="31"/>
      <c r="L12" s="31"/>
      <c r="M12" s="31"/>
      <c r="N12" s="39">
        <f>IF(COUNT(K12:M12)=0,0,SUMPRODUCT({5000,1000,500},K12:M12))</f>
        <v>0</v>
      </c>
      <c r="O12" s="31"/>
      <c r="P12" s="31"/>
      <c r="Q12" s="31"/>
      <c r="R12" s="39">
        <f>IF(COUNT(O12:Q12)=0,0,SUMPRODUCT({5000,1000,500},O12:Q12))</f>
        <v>0</v>
      </c>
      <c r="S12" s="31"/>
      <c r="T12" s="31"/>
      <c r="U12" s="31"/>
      <c r="V12" s="31">
        <v>1</v>
      </c>
      <c r="W12" s="31"/>
      <c r="X12" s="31">
        <v>42</v>
      </c>
      <c r="Y12" s="31"/>
      <c r="Z12" s="31">
        <v>31</v>
      </c>
      <c r="AA12" s="31"/>
      <c r="AB12" s="31"/>
      <c r="AC12" s="31"/>
      <c r="AD12" s="34">
        <f>IF(COUNT(S12:AC12)=0,0,SUMPRODUCT({5000,1000,500,100,75,50,20,10,5,2,1}, S12:AC12))</f>
        <v>2510</v>
      </c>
      <c r="AE12" s="33">
        <v>131962</v>
      </c>
      <c r="AF12" s="24">
        <f>IF(AND(COUNT(C12:E12)=0,COUNT(G12:I12)=0,COUNT(K12:M12)=0,COUNT(O12:Q12)=0,COUNT(S12:AC12)=0,AE12=""),"",(IF(COUNT(C12:E12)=0,0,SUMPRODUCT({5000,1000,500},C12:E12))+IF(COUNT(G12:I12)=0,0,SUMPRODUCT({5000,1000,500},G12:I12))+IF(COUNT(K12:M12)=0,0,SUMPRODUCT({5000,1000,500},K12:M12))+IF(COUNT(O12:Q12)=0,0,SUMPRODUCT({5000,1000,500},O12:Q12))+AD12)-N(AE12))</f>
        <v>48</v>
      </c>
      <c r="AG12" s="35" t="str">
        <f t="shared" si="0"/>
        <v>Excess</v>
      </c>
      <c r="AH12" s="38"/>
      <c r="AI12" s="36">
        <v>334974</v>
      </c>
      <c r="AJ12" s="37">
        <f>195986+138988</f>
        <v>334974</v>
      </c>
      <c r="AK12" s="26">
        <f t="shared" si="1"/>
        <v>0</v>
      </c>
      <c r="AL12" s="25" t="str">
        <f t="shared" si="2"/>
        <v>Matched</v>
      </c>
      <c r="AM12" s="38"/>
    </row>
    <row r="13" spans="1:39" ht="12.75" customHeight="1" x14ac:dyDescent="0.25">
      <c r="A13" s="31">
        <v>63854</v>
      </c>
      <c r="B13" s="32" t="str">
        <f>IF(A13="","",VLOOKUP(A13,'Employee Database'!A:B,2,FALSE))</f>
        <v>Maham</v>
      </c>
      <c r="C13" s="31">
        <v>42</v>
      </c>
      <c r="D13" s="31">
        <v>88</v>
      </c>
      <c r="E13" s="31">
        <v>29</v>
      </c>
      <c r="F13" s="39">
        <f>IF(COUNT(C13:E13)=0,0,SUMPRODUCT({5000,1000,500},C13:E13))</f>
        <v>312500</v>
      </c>
      <c r="G13" s="31"/>
      <c r="H13" s="31"/>
      <c r="I13" s="31"/>
      <c r="J13" s="39">
        <f>IF(COUNT(G13:I13)=0,0,SUMPRODUCT({5000,1000,500},G13:I13))</f>
        <v>0</v>
      </c>
      <c r="K13" s="31"/>
      <c r="L13" s="31"/>
      <c r="M13" s="31"/>
      <c r="N13" s="39">
        <f>IF(COUNT(K13:M13)=0,0,SUMPRODUCT({5000,1000,500},K13:M13))</f>
        <v>0</v>
      </c>
      <c r="O13" s="31"/>
      <c r="P13" s="31"/>
      <c r="Q13" s="31"/>
      <c r="R13" s="39">
        <f>IF(COUNT(O13:Q13)=0,0,SUMPRODUCT({5000,1000,500},O13:Q13))</f>
        <v>0</v>
      </c>
      <c r="S13" s="31"/>
      <c r="T13" s="31"/>
      <c r="U13" s="31"/>
      <c r="V13" s="31"/>
      <c r="W13" s="31"/>
      <c r="X13" s="31">
        <v>3</v>
      </c>
      <c r="Y13" s="31"/>
      <c r="Z13" s="31">
        <v>33</v>
      </c>
      <c r="AA13" s="31"/>
      <c r="AB13" s="31"/>
      <c r="AC13" s="31"/>
      <c r="AD13" s="34">
        <f>IF(COUNT(S13:AC13)=0,0,SUMPRODUCT({5000,1000,500,100,75,50,20,10,5,2,1}, S13:AC13))</f>
        <v>480</v>
      </c>
      <c r="AE13" s="33">
        <v>312979</v>
      </c>
      <c r="AF13" s="24">
        <f>IF(AND(COUNT(C13:E13)=0,COUNT(G13:I13)=0,COUNT(K13:M13)=0,COUNT(O13:Q13)=0,COUNT(S13:AC13)=0,AE13=""),"",(IF(COUNT(C13:E13)=0,0,SUMPRODUCT({5000,1000,500},C13:E13))+IF(COUNT(G13:I13)=0,0,SUMPRODUCT({5000,1000,500},G13:I13))+IF(COUNT(K13:M13)=0,0,SUMPRODUCT({5000,1000,500},K13:M13))+IF(COUNT(O13:Q13)=0,0,SUMPRODUCT({5000,1000,500},O13:Q13))+AD13)-N(AE13))</f>
        <v>1</v>
      </c>
      <c r="AG13" s="35" t="str">
        <f t="shared" si="0"/>
        <v>Excess</v>
      </c>
      <c r="AH13" s="38"/>
      <c r="AI13" s="36">
        <f>528131+4156</f>
        <v>532287</v>
      </c>
      <c r="AJ13" s="37">
        <f>528131+4156</f>
        <v>532287</v>
      </c>
      <c r="AK13" s="26">
        <f t="shared" si="1"/>
        <v>0</v>
      </c>
      <c r="AL13" s="25" t="str">
        <f t="shared" si="2"/>
        <v>Matched</v>
      </c>
      <c r="AM13" s="38"/>
    </row>
    <row r="14" spans="1:39" ht="12.75" customHeight="1" x14ac:dyDescent="0.25">
      <c r="A14" s="31">
        <v>57653</v>
      </c>
      <c r="B14" s="32" t="str">
        <f>IF(A14="","",VLOOKUP(A14,'Employee Database'!A:B,2,FALSE))</f>
        <v>Amanat ali</v>
      </c>
      <c r="C14" s="31">
        <v>20</v>
      </c>
      <c r="D14" s="31">
        <v>82</v>
      </c>
      <c r="E14" s="31">
        <v>4</v>
      </c>
      <c r="F14" s="39">
        <f>IF(COUNT(C14:E14)=0,0,SUMPRODUCT({5000,1000,500},C14:E14))</f>
        <v>184000</v>
      </c>
      <c r="G14" s="31"/>
      <c r="H14" s="31"/>
      <c r="I14" s="31"/>
      <c r="J14" s="39">
        <f>IF(COUNT(G14:I14)=0,0,SUMPRODUCT({5000,1000,500},G14:I14))</f>
        <v>0</v>
      </c>
      <c r="K14" s="31"/>
      <c r="L14" s="31"/>
      <c r="M14" s="31"/>
      <c r="N14" s="39">
        <f>IF(COUNT(K14:M14)=0,0,SUMPRODUCT({5000,1000,500},K14:M14))</f>
        <v>0</v>
      </c>
      <c r="O14" s="31"/>
      <c r="P14" s="31"/>
      <c r="Q14" s="31"/>
      <c r="R14" s="39">
        <f>IF(COUNT(O14:Q14)=0,0,SUMPRODUCT({5000,1000,500},O14:Q14))</f>
        <v>0</v>
      </c>
      <c r="S14" s="31"/>
      <c r="T14" s="31"/>
      <c r="U14" s="31"/>
      <c r="V14" s="31">
        <v>31</v>
      </c>
      <c r="W14" s="31"/>
      <c r="X14" s="31">
        <v>16</v>
      </c>
      <c r="Y14" s="31">
        <v>2</v>
      </c>
      <c r="Z14" s="31">
        <v>56</v>
      </c>
      <c r="AA14" s="31"/>
      <c r="AB14" s="31"/>
      <c r="AC14" s="31"/>
      <c r="AD14" s="34">
        <f>IF(COUNT(S14:AC14)=0,0,SUMPRODUCT({5000,1000,500,100,75,50,20,10,5,2,1}, S14:AC14))</f>
        <v>4500</v>
      </c>
      <c r="AE14" s="33">
        <v>188475</v>
      </c>
      <c r="AF14" s="24">
        <f>IF(AND(COUNT(C14:E14)=0,COUNT(G14:I14)=0,COUNT(K14:M14)=0,COUNT(O14:Q14)=0,COUNT(S14:AC14)=0,AE14=""),"",(IF(COUNT(C14:E14)=0,0,SUMPRODUCT({5000,1000,500},C14:E14))+IF(COUNT(G14:I14)=0,0,SUMPRODUCT({5000,1000,500},G14:I14))+IF(COUNT(K14:M14)=0,0,SUMPRODUCT({5000,1000,500},K14:M14))+IF(COUNT(O14:Q14)=0,0,SUMPRODUCT({5000,1000,500},O14:Q14))+AD14)-N(AE14))</f>
        <v>25</v>
      </c>
      <c r="AG14" s="35" t="str">
        <f t="shared" si="0"/>
        <v>Excess</v>
      </c>
      <c r="AH14" s="38"/>
      <c r="AI14" s="36">
        <v>397704</v>
      </c>
      <c r="AJ14" s="37">
        <f>49480+348224</f>
        <v>397704</v>
      </c>
      <c r="AK14" s="26">
        <f t="shared" si="1"/>
        <v>0</v>
      </c>
      <c r="AL14" s="25" t="str">
        <f t="shared" si="2"/>
        <v>Matched</v>
      </c>
      <c r="AM14" s="38"/>
    </row>
    <row r="15" spans="1:39" ht="12.75" customHeight="1" x14ac:dyDescent="0.25">
      <c r="A15" s="31">
        <v>75768</v>
      </c>
      <c r="B15" s="32" t="str">
        <f>IF(A15="","",VLOOKUP(A15,'Employee Database'!A:B,2,FALSE))</f>
        <v>Zuhaib</v>
      </c>
      <c r="C15" s="31"/>
      <c r="D15" s="31"/>
      <c r="E15" s="31"/>
      <c r="F15" s="39">
        <f>IF(COUNT(C15:E15)=0,0,SUMPRODUCT({5000,1000,500},C15:E15))</f>
        <v>0</v>
      </c>
      <c r="G15" s="31">
        <v>15</v>
      </c>
      <c r="H15" s="31">
        <v>28</v>
      </c>
      <c r="I15" s="31">
        <v>33</v>
      </c>
      <c r="J15" s="39">
        <f>IF(COUNT(G15:I15)=0,0,SUMPRODUCT({5000,1000,500},G15:I15))</f>
        <v>119500</v>
      </c>
      <c r="K15" s="31"/>
      <c r="L15" s="31"/>
      <c r="M15" s="31"/>
      <c r="N15" s="39">
        <f>IF(COUNT(K15:M15)=0,0,SUMPRODUCT({5000,1000,500},K15:M15))</f>
        <v>0</v>
      </c>
      <c r="O15" s="31"/>
      <c r="P15" s="31"/>
      <c r="Q15" s="31"/>
      <c r="R15" s="39">
        <f>IF(COUNT(O15:Q15)=0,0,SUMPRODUCT({5000,1000,500},O15:Q15))</f>
        <v>0</v>
      </c>
      <c r="S15" s="31"/>
      <c r="T15" s="31"/>
      <c r="U15" s="31"/>
      <c r="V15" s="31"/>
      <c r="W15" s="31"/>
      <c r="X15" s="31">
        <v>44</v>
      </c>
      <c r="Y15" s="31">
        <v>1</v>
      </c>
      <c r="Z15" s="31">
        <v>40</v>
      </c>
      <c r="AA15" s="31"/>
      <c r="AB15" s="31"/>
      <c r="AC15" s="31"/>
      <c r="AD15" s="34">
        <f>IF(COUNT(S15:AC15)=0,0,SUMPRODUCT({5000,1000,500,100,75,50,20,10,5,2,1}, S15:AC15))</f>
        <v>2620</v>
      </c>
      <c r="AE15" s="33">
        <v>122073</v>
      </c>
      <c r="AF15" s="24">
        <f>IF(AND(COUNT(C15:E15)=0,COUNT(G15:I15)=0,COUNT(K15:M15)=0,COUNT(O15:Q15)=0,COUNT(S15:AC15)=0,AE15=""),"",(IF(COUNT(C15:E15)=0,0,SUMPRODUCT({5000,1000,500},C15:E15))+IF(COUNT(G15:I15)=0,0,SUMPRODUCT({5000,1000,500},G15:I15))+IF(COUNT(K15:M15)=0,0,SUMPRODUCT({5000,1000,500},K15:M15))+IF(COUNT(O15:Q15)=0,0,SUMPRODUCT({5000,1000,500},O15:Q15))+AD15)-N(AE15))</f>
        <v>47</v>
      </c>
      <c r="AG15" s="35" t="str">
        <f t="shared" si="0"/>
        <v>Excess</v>
      </c>
      <c r="AH15" s="38"/>
      <c r="AI15" s="36">
        <f>166667.97+17817.08</f>
        <v>184485.05</v>
      </c>
      <c r="AJ15" s="37">
        <f>166667.97+17817.08</f>
        <v>184485.05</v>
      </c>
      <c r="AK15" s="26">
        <f t="shared" si="1"/>
        <v>0</v>
      </c>
      <c r="AL15" s="25" t="str">
        <f t="shared" si="2"/>
        <v>Matched</v>
      </c>
      <c r="AM15" s="38"/>
    </row>
    <row r="16" spans="1:39" ht="12.75" customHeight="1" x14ac:dyDescent="0.25">
      <c r="A16" s="31">
        <v>79593</v>
      </c>
      <c r="B16" s="32" t="str">
        <f>IF(A16="","",VLOOKUP(A16,'Employee Database'!A:B,2,FALSE))</f>
        <v>Amir</v>
      </c>
      <c r="C16" s="31"/>
      <c r="D16" s="31"/>
      <c r="E16" s="31"/>
      <c r="F16" s="39">
        <f>IF(COUNT(C16:E16)=0,0,SUMPRODUCT({5000,1000,500},C16:E16))</f>
        <v>0</v>
      </c>
      <c r="G16" s="31">
        <v>69</v>
      </c>
      <c r="H16" s="31">
        <v>104</v>
      </c>
      <c r="I16" s="31">
        <v>24</v>
      </c>
      <c r="J16" s="39">
        <f>IF(COUNT(G16:I16)=0,0,SUMPRODUCT({5000,1000,500},G16:I16))</f>
        <v>461000</v>
      </c>
      <c r="K16" s="31"/>
      <c r="L16" s="31"/>
      <c r="M16" s="31"/>
      <c r="N16" s="39">
        <f>IF(COUNT(K16:M16)=0,0,SUMPRODUCT({5000,1000,500},K16:M16))</f>
        <v>0</v>
      </c>
      <c r="O16" s="31"/>
      <c r="P16" s="31"/>
      <c r="Q16" s="31"/>
      <c r="R16" s="39">
        <f>IF(COUNT(O16:Q16)=0,0,SUMPRODUCT({5000,1000,500},O16:Q16))</f>
        <v>0</v>
      </c>
      <c r="S16" s="31"/>
      <c r="T16" s="31"/>
      <c r="U16" s="31"/>
      <c r="V16" s="31">
        <v>2</v>
      </c>
      <c r="W16" s="31"/>
      <c r="X16" s="31">
        <v>205</v>
      </c>
      <c r="Y16" s="31"/>
      <c r="Z16" s="31">
        <v>440</v>
      </c>
      <c r="AA16" s="31"/>
      <c r="AB16" s="31"/>
      <c r="AC16" s="31"/>
      <c r="AD16" s="34">
        <f>IF(COUNT(S16:AC16)=0,0,SUMPRODUCT({5000,1000,500,100,75,50,20,10,5,2,1}, S16:AC16))</f>
        <v>14850</v>
      </c>
      <c r="AE16" s="33">
        <v>475825</v>
      </c>
      <c r="AF16" s="24">
        <f>IF(AND(COUNT(C16:E16)=0,COUNT(G16:I16)=0,COUNT(K16:M16)=0,COUNT(O16:Q16)=0,COUNT(S16:AC16)=0,AE16=""),"",(IF(COUNT(C16:E16)=0,0,SUMPRODUCT({5000,1000,500},C16:E16))+IF(COUNT(G16:I16)=0,0,SUMPRODUCT({5000,1000,500},G16:I16))+IF(COUNT(K16:M16)=0,0,SUMPRODUCT({5000,1000,500},K16:M16))+IF(COUNT(O16:Q16)=0,0,SUMPRODUCT({5000,1000,500},O16:Q16))+AD16)-N(AE16))</f>
        <v>25</v>
      </c>
      <c r="AG16" s="35" t="str">
        <f t="shared" si="0"/>
        <v>Excess</v>
      </c>
      <c r="AH16" s="38"/>
      <c r="AI16" s="36">
        <v>647795.43999999994</v>
      </c>
      <c r="AJ16" s="37">
        <f>111582.67+536212.77</f>
        <v>647795.44000000006</v>
      </c>
      <c r="AK16" s="26">
        <f t="shared" si="1"/>
        <v>-1.1641532182693481E-10</v>
      </c>
      <c r="AL16" s="25" t="str">
        <f t="shared" si="2"/>
        <v>Bank Short</v>
      </c>
      <c r="AM16" s="38"/>
    </row>
    <row r="17" spans="1:39" ht="12.75" customHeight="1" x14ac:dyDescent="0.25">
      <c r="A17" s="31">
        <v>61648</v>
      </c>
      <c r="B17" s="32" t="str">
        <f>IF(A17="","",VLOOKUP(A17,'Employee Database'!A:B,2,FALSE))</f>
        <v>Rizwan</v>
      </c>
      <c r="C17" s="31"/>
      <c r="D17" s="31"/>
      <c r="E17" s="31"/>
      <c r="F17" s="39">
        <f>IF(COUNT(C17:E17)=0,0,SUMPRODUCT({5000,1000,500},C17:E17))</f>
        <v>0</v>
      </c>
      <c r="G17" s="31">
        <v>7</v>
      </c>
      <c r="H17" s="31">
        <v>20</v>
      </c>
      <c r="I17" s="31">
        <v>16</v>
      </c>
      <c r="J17" s="39">
        <f>IF(COUNT(G17:I17)=0,0,SUMPRODUCT({5000,1000,500},G17:I17))</f>
        <v>63000</v>
      </c>
      <c r="K17" s="31"/>
      <c r="L17" s="31"/>
      <c r="M17" s="31"/>
      <c r="N17" s="39">
        <f>IF(COUNT(K17:M17)=0,0,SUMPRODUCT({5000,1000,500},K17:M17))</f>
        <v>0</v>
      </c>
      <c r="O17" s="31"/>
      <c r="P17" s="31"/>
      <c r="Q17" s="31"/>
      <c r="R17" s="39">
        <f>IF(COUNT(O17:Q17)=0,0,SUMPRODUCT({5000,1000,500},O17:Q17))</f>
        <v>0</v>
      </c>
      <c r="S17" s="31"/>
      <c r="T17" s="31"/>
      <c r="U17" s="31"/>
      <c r="V17" s="31"/>
      <c r="W17" s="31"/>
      <c r="X17" s="31"/>
      <c r="Y17" s="31"/>
      <c r="Z17" s="31">
        <v>2</v>
      </c>
      <c r="AA17" s="31"/>
      <c r="AB17" s="31"/>
      <c r="AC17" s="31"/>
      <c r="AD17" s="34">
        <f>IF(COUNT(S17:AC17)=0,0,SUMPRODUCT({5000,1000,500,100,75,50,20,10,5,2,1}, S17:AC17))</f>
        <v>20</v>
      </c>
      <c r="AE17" s="33">
        <v>63020</v>
      </c>
      <c r="AF17" s="24">
        <f>IF(AND(COUNT(C17:E17)=0,COUNT(G17:I17)=0,COUNT(K17:M17)=0,COUNT(O17:Q17)=0,COUNT(S17:AC17)=0,AE17=""),"",(IF(COUNT(C17:E17)=0,0,SUMPRODUCT({5000,1000,500},C17:E17))+IF(COUNT(G17:I17)=0,0,SUMPRODUCT({5000,1000,500},G17:I17))+IF(COUNT(K17:M17)=0,0,SUMPRODUCT({5000,1000,500},K17:M17))+IF(COUNT(O17:Q17)=0,0,SUMPRODUCT({5000,1000,500},O17:Q17))+AD17)-N(AE17))</f>
        <v>0</v>
      </c>
      <c r="AG17" s="35" t="str">
        <f t="shared" si="0"/>
        <v>Balanced</v>
      </c>
      <c r="AH17" s="38"/>
      <c r="AI17" s="36">
        <v>34811.61</v>
      </c>
      <c r="AJ17" s="37">
        <v>34811.61</v>
      </c>
      <c r="AK17" s="26">
        <f t="shared" si="1"/>
        <v>0</v>
      </c>
      <c r="AL17" s="25" t="str">
        <f t="shared" si="2"/>
        <v>Matched</v>
      </c>
      <c r="AM17" s="38"/>
    </row>
    <row r="18" spans="1:39" ht="12.75" customHeight="1" x14ac:dyDescent="0.25">
      <c r="A18" s="31">
        <v>50134</v>
      </c>
      <c r="B18" s="32" t="str">
        <f>IF(A18="","",VLOOKUP(A18,'Employee Database'!A:B,2,FALSE))</f>
        <v>Asif Abbas</v>
      </c>
      <c r="C18" s="31"/>
      <c r="D18" s="31"/>
      <c r="E18" s="31"/>
      <c r="F18" s="39">
        <f>IF(COUNT(C18:E18)=0,0,SUMPRODUCT({5000,1000,500},C18:E18))</f>
        <v>0</v>
      </c>
      <c r="G18" s="31">
        <v>38</v>
      </c>
      <c r="H18" s="31">
        <v>81</v>
      </c>
      <c r="I18" s="31">
        <v>36</v>
      </c>
      <c r="J18" s="39">
        <f>IF(COUNT(G18:I18)=0,0,SUMPRODUCT({5000,1000,500},G18:I18))</f>
        <v>289000</v>
      </c>
      <c r="K18" s="31"/>
      <c r="L18" s="31"/>
      <c r="M18" s="31"/>
      <c r="N18" s="39">
        <f>IF(COUNT(K18:M18)=0,0,SUMPRODUCT({5000,1000,500},K18:M18))</f>
        <v>0</v>
      </c>
      <c r="O18" s="31"/>
      <c r="P18" s="31"/>
      <c r="Q18" s="31"/>
      <c r="R18" s="39">
        <f>IF(COUNT(O18:Q18)=0,0,SUMPRODUCT({5000,1000,500},O18:Q18))</f>
        <v>0</v>
      </c>
      <c r="S18" s="31"/>
      <c r="T18" s="31"/>
      <c r="U18" s="31"/>
      <c r="V18" s="31">
        <v>4</v>
      </c>
      <c r="W18" s="31"/>
      <c r="X18" s="31">
        <v>70</v>
      </c>
      <c r="Y18" s="31">
        <v>2</v>
      </c>
      <c r="Z18" s="31">
        <v>49</v>
      </c>
      <c r="AA18" s="31"/>
      <c r="AB18" s="31"/>
      <c r="AC18" s="31"/>
      <c r="AD18" s="34">
        <f>IF(COUNT(S18:AC18)=0,0,SUMPRODUCT({5000,1000,500,100,75,50,20,10,5,2,1}, S18:AC18))</f>
        <v>4430</v>
      </c>
      <c r="AE18" s="33">
        <v>293440</v>
      </c>
      <c r="AF18" s="24">
        <f>IF(AND(COUNT(C18:E18)=0,COUNT(G18:I18)=0,COUNT(K18:M18)=0,COUNT(O18:Q18)=0,COUNT(S18:AC18)=0,AE18=""),"",(IF(COUNT(C18:E18)=0,0,SUMPRODUCT({5000,1000,500},C18:E18))+IF(COUNT(G18:I18)=0,0,SUMPRODUCT({5000,1000,500},G18:I18))+IF(COUNT(K18:M18)=0,0,SUMPRODUCT({5000,1000,500},K18:M18))+IF(COUNT(O18:Q18)=0,0,SUMPRODUCT({5000,1000,500},O18:Q18))+AD18)-N(AE18))</f>
        <v>-10</v>
      </c>
      <c r="AG18" s="35" t="str">
        <f t="shared" si="0"/>
        <v>Short</v>
      </c>
      <c r="AH18" s="38"/>
      <c r="AI18" s="36">
        <v>822827.91</v>
      </c>
      <c r="AJ18" s="37">
        <v>822827.91</v>
      </c>
      <c r="AK18" s="26">
        <f t="shared" si="1"/>
        <v>0</v>
      </c>
      <c r="AL18" s="25" t="str">
        <f t="shared" si="2"/>
        <v>Matched</v>
      </c>
      <c r="AM18" s="38"/>
    </row>
    <row r="19" spans="1:39" ht="12.75" customHeight="1" x14ac:dyDescent="0.25">
      <c r="A19" s="31">
        <v>67250</v>
      </c>
      <c r="B19" s="32" t="str">
        <f>IF(A19="","",VLOOKUP(A19,'Employee Database'!A:B,2,FALSE))</f>
        <v>M Fiaz</v>
      </c>
      <c r="C19" s="31"/>
      <c r="D19" s="31"/>
      <c r="E19" s="31"/>
      <c r="F19" s="39">
        <f>IF(COUNT(C19:E19)=0,0,SUMPRODUCT({5000,1000,500},C19:E19))</f>
        <v>0</v>
      </c>
      <c r="G19" s="31">
        <v>19</v>
      </c>
      <c r="H19" s="31">
        <v>79</v>
      </c>
      <c r="I19" s="31">
        <v>8</v>
      </c>
      <c r="J19" s="39">
        <f>IF(COUNT(G19:I19)=0,0,SUMPRODUCT({5000,1000,500},G19:I19))</f>
        <v>178000</v>
      </c>
      <c r="K19" s="31"/>
      <c r="L19" s="31"/>
      <c r="M19" s="31"/>
      <c r="N19" s="39">
        <f>IF(COUNT(K19:M19)=0,0,SUMPRODUCT({5000,1000,500},K19:M19))</f>
        <v>0</v>
      </c>
      <c r="O19" s="31"/>
      <c r="P19" s="31"/>
      <c r="Q19" s="31"/>
      <c r="R19" s="39">
        <f>IF(COUNT(O19:Q19)=0,0,SUMPRODUCT({5000,1000,500},O19:Q19))</f>
        <v>0</v>
      </c>
      <c r="S19" s="31"/>
      <c r="T19" s="31"/>
      <c r="U19" s="31"/>
      <c r="V19" s="31">
        <v>3</v>
      </c>
      <c r="W19" s="31"/>
      <c r="X19" s="31">
        <v>37</v>
      </c>
      <c r="Y19" s="31">
        <v>1</v>
      </c>
      <c r="Z19" s="31">
        <v>47</v>
      </c>
      <c r="AA19" s="31"/>
      <c r="AB19" s="31"/>
      <c r="AC19" s="31"/>
      <c r="AD19" s="34">
        <f>IF(COUNT(S19:AC19)=0,0,SUMPRODUCT({5000,1000,500,100,75,50,20,10,5,2,1}, S19:AC19))</f>
        <v>2640</v>
      </c>
      <c r="AE19" s="33">
        <v>180652</v>
      </c>
      <c r="AF19" s="24">
        <f>IF(AND(COUNT(C19:E19)=0,COUNT(G19:I19)=0,COUNT(K19:M19)=0,COUNT(O19:Q19)=0,COUNT(S19:AC19)=0,AE19=""),"",(IF(COUNT(C19:E19)=0,0,SUMPRODUCT({5000,1000,500},C19:E19))+IF(COUNT(G19:I19)=0,0,SUMPRODUCT({5000,1000,500},G19:I19))+IF(COUNT(K19:M19)=0,0,SUMPRODUCT({5000,1000,500},K19:M19))+IF(COUNT(O19:Q19)=0,0,SUMPRODUCT({5000,1000,500},O19:Q19))+AD19)-N(AE19))</f>
        <v>-12</v>
      </c>
      <c r="AG19" s="35" t="str">
        <f t="shared" si="0"/>
        <v>Short</v>
      </c>
      <c r="AH19" s="38"/>
      <c r="AI19" s="36">
        <f>505598.43+168704.62</f>
        <v>674303.05</v>
      </c>
      <c r="AJ19" s="37">
        <f>168704.62+505598.43</f>
        <v>674303.05</v>
      </c>
      <c r="AK19" s="26">
        <f t="shared" si="1"/>
        <v>0</v>
      </c>
      <c r="AL19" s="25" t="str">
        <f t="shared" si="2"/>
        <v>Matched</v>
      </c>
      <c r="AM19" s="38"/>
    </row>
    <row r="20" spans="1:39" ht="12.75" customHeight="1" x14ac:dyDescent="0.25">
      <c r="A20" s="31">
        <v>78242</v>
      </c>
      <c r="B20" s="32" t="str">
        <f>IF(A20="","",VLOOKUP(A20,'Employee Database'!A:B,2,FALSE))</f>
        <v>Hamad Mughal</v>
      </c>
      <c r="C20" s="31"/>
      <c r="D20" s="31"/>
      <c r="E20" s="31"/>
      <c r="F20" s="39">
        <f>IF(COUNT(C20:E20)=0,0,SUMPRODUCT({5000,1000,500},C20:E20))</f>
        <v>0</v>
      </c>
      <c r="G20" s="31">
        <v>28</v>
      </c>
      <c r="H20" s="31">
        <v>146</v>
      </c>
      <c r="I20" s="31">
        <v>0</v>
      </c>
      <c r="J20" s="39">
        <f>IF(COUNT(G20:I20)=0,0,SUMPRODUCT({5000,1000,500},G20:I20))</f>
        <v>286000</v>
      </c>
      <c r="K20" s="31"/>
      <c r="L20" s="31"/>
      <c r="M20" s="31"/>
      <c r="N20" s="39">
        <f>IF(COUNT(K20:M20)=0,0,SUMPRODUCT({5000,1000,500},K20:M20))</f>
        <v>0</v>
      </c>
      <c r="O20" s="31"/>
      <c r="P20" s="31"/>
      <c r="Q20" s="31"/>
      <c r="R20" s="39">
        <f>IF(COUNT(O20:Q20)=0,0,SUMPRODUCT({5000,1000,500},O20:Q20))</f>
        <v>0</v>
      </c>
      <c r="S20" s="31"/>
      <c r="T20" s="31"/>
      <c r="U20" s="31"/>
      <c r="V20" s="31">
        <v>1</v>
      </c>
      <c r="W20" s="31"/>
      <c r="X20" s="31">
        <v>5</v>
      </c>
      <c r="Y20" s="31">
        <v>1</v>
      </c>
      <c r="Z20" s="31">
        <v>36</v>
      </c>
      <c r="AA20" s="31"/>
      <c r="AB20" s="31"/>
      <c r="AC20" s="31"/>
      <c r="AD20" s="34">
        <f>IF(COUNT(S20:AC20)=0,0,SUMPRODUCT({5000,1000,500,100,75,50,20,10,5,2,1}, S20:AC20))</f>
        <v>730</v>
      </c>
      <c r="AE20" s="33">
        <v>286677</v>
      </c>
      <c r="AF20" s="24">
        <f>IF(AND(COUNT(C20:E20)=0,COUNT(G20:I20)=0,COUNT(K20:M20)=0,COUNT(O20:Q20)=0,COUNT(S20:AC20)=0,AE20=""),"",(IF(COUNT(C20:E20)=0,0,SUMPRODUCT({5000,1000,500},C20:E20))+IF(COUNT(G20:I20)=0,0,SUMPRODUCT({5000,1000,500},G20:I20))+IF(COUNT(K20:M20)=0,0,SUMPRODUCT({5000,1000,500},K20:M20))+IF(COUNT(O20:Q20)=0,0,SUMPRODUCT({5000,1000,500},O20:Q20))+AD20)-N(AE20))</f>
        <v>53</v>
      </c>
      <c r="AG20" s="35" t="str">
        <f t="shared" si="0"/>
        <v>Excess</v>
      </c>
      <c r="AH20" s="38"/>
      <c r="AI20" s="36">
        <v>440491.79</v>
      </c>
      <c r="AJ20" s="37">
        <v>440491.79</v>
      </c>
      <c r="AK20" s="26">
        <f t="shared" si="1"/>
        <v>0</v>
      </c>
      <c r="AL20" s="25" t="str">
        <f t="shared" si="2"/>
        <v>Matched</v>
      </c>
      <c r="AM20" s="38"/>
    </row>
    <row r="21" spans="1:39" ht="12.75" customHeight="1" x14ac:dyDescent="0.25">
      <c r="A21" s="31">
        <v>69728</v>
      </c>
      <c r="B21" s="32" t="str">
        <f>IF(A21="","",VLOOKUP(A21,'Employee Database'!A:B,2,FALSE))</f>
        <v>Hafiz Hafeez Ur Rehman</v>
      </c>
      <c r="C21" s="31"/>
      <c r="D21" s="31"/>
      <c r="E21" s="31"/>
      <c r="F21" s="39">
        <f>IF(COUNT(C21:E21)=0,0,SUMPRODUCT({5000,1000,500},C21:E21))</f>
        <v>0</v>
      </c>
      <c r="G21" s="31">
        <v>63</v>
      </c>
      <c r="H21" s="31">
        <v>101</v>
      </c>
      <c r="I21" s="31">
        <v>8</v>
      </c>
      <c r="J21" s="39">
        <f>IF(COUNT(G21:I21)=0,0,SUMPRODUCT({5000,1000,500},G21:I21))</f>
        <v>420000</v>
      </c>
      <c r="K21" s="31"/>
      <c r="L21" s="31"/>
      <c r="M21" s="31"/>
      <c r="N21" s="39">
        <f>IF(COUNT(K21:M21)=0,0,SUMPRODUCT({5000,1000,500},K21:M21))</f>
        <v>0</v>
      </c>
      <c r="O21" s="31"/>
      <c r="P21" s="31"/>
      <c r="Q21" s="31"/>
      <c r="R21" s="39">
        <f>IF(COUNT(O21:Q21)=0,0,SUMPRODUCT({5000,1000,500},O21:Q21))</f>
        <v>0</v>
      </c>
      <c r="S21" s="31"/>
      <c r="T21" s="31"/>
      <c r="U21" s="31"/>
      <c r="V21" s="31">
        <v>3</v>
      </c>
      <c r="W21" s="31"/>
      <c r="X21" s="31">
        <v>48</v>
      </c>
      <c r="Y21" s="31"/>
      <c r="Z21" s="31">
        <v>4</v>
      </c>
      <c r="AA21" s="31"/>
      <c r="AB21" s="31"/>
      <c r="AC21" s="31"/>
      <c r="AD21" s="34">
        <f>IF(COUNT(S21:AC21)=0,0,SUMPRODUCT({5000,1000,500,100,75,50,20,10,5,2,1}, S21:AC21))</f>
        <v>2740</v>
      </c>
      <c r="AE21" s="33">
        <v>422738</v>
      </c>
      <c r="AF21" s="24">
        <f>IF(AND(COUNT(C21:E21)=0,COUNT(G21:I21)=0,COUNT(K21:M21)=0,COUNT(O21:Q21)=0,COUNT(S21:AC21)=0,AE21=""),"",(IF(COUNT(C21:E21)=0,0,SUMPRODUCT({5000,1000,500},C21:E21))+IF(COUNT(G21:I21)=0,0,SUMPRODUCT({5000,1000,500},G21:I21))+IF(COUNT(K21:M21)=0,0,SUMPRODUCT({5000,1000,500},K21:M21))+IF(COUNT(O21:Q21)=0,0,SUMPRODUCT({5000,1000,500},O21:Q21))+AD21)-N(AE21))</f>
        <v>2</v>
      </c>
      <c r="AG21" s="35" t="str">
        <f t="shared" si="0"/>
        <v>Excess</v>
      </c>
      <c r="AH21" s="38"/>
      <c r="AI21" s="36">
        <v>485587.66</v>
      </c>
      <c r="AJ21" s="37">
        <v>485587.66</v>
      </c>
      <c r="AK21" s="26">
        <f t="shared" si="1"/>
        <v>0</v>
      </c>
      <c r="AL21" s="25" t="str">
        <f t="shared" si="2"/>
        <v>Matched</v>
      </c>
      <c r="AM21" s="38"/>
    </row>
    <row r="22" spans="1:39" ht="12.75" customHeight="1" x14ac:dyDescent="0.25">
      <c r="A22" s="31">
        <v>71788</v>
      </c>
      <c r="B22" s="32" t="str">
        <f>IF(A22="","",VLOOKUP(A22,'Employee Database'!A:B,2,FALSE))</f>
        <v>Saaim</v>
      </c>
      <c r="C22" s="31"/>
      <c r="D22" s="31"/>
      <c r="E22" s="31"/>
      <c r="F22" s="39">
        <f>IF(COUNT(C22:E22)=0,0,SUMPRODUCT({5000,1000,500},C22:E22))</f>
        <v>0</v>
      </c>
      <c r="G22" s="31">
        <v>44</v>
      </c>
      <c r="H22" s="31">
        <v>103</v>
      </c>
      <c r="I22" s="31">
        <v>9</v>
      </c>
      <c r="J22" s="39">
        <f>IF(COUNT(G22:I22)=0,0,SUMPRODUCT({5000,1000,500},G22:I22))</f>
        <v>327500</v>
      </c>
      <c r="K22" s="31"/>
      <c r="L22" s="31"/>
      <c r="M22" s="31"/>
      <c r="N22" s="39">
        <f>IF(COUNT(K22:M22)=0,0,SUMPRODUCT({5000,1000,500},K22:M22))</f>
        <v>0</v>
      </c>
      <c r="O22" s="31"/>
      <c r="P22" s="31"/>
      <c r="Q22" s="31"/>
      <c r="R22" s="39">
        <f>IF(COUNT(O22:Q22)=0,0,SUMPRODUCT({5000,1000,500},O22:Q22))</f>
        <v>0</v>
      </c>
      <c r="S22" s="31"/>
      <c r="T22" s="31"/>
      <c r="U22" s="31"/>
      <c r="V22" s="31">
        <v>1</v>
      </c>
      <c r="W22" s="31"/>
      <c r="X22" s="31">
        <v>16</v>
      </c>
      <c r="Y22" s="31"/>
      <c r="Z22" s="31">
        <v>37</v>
      </c>
      <c r="AA22" s="31"/>
      <c r="AB22" s="31"/>
      <c r="AC22" s="31"/>
      <c r="AD22" s="34">
        <f>IF(COUNT(S22:AC22)=0,0,SUMPRODUCT({5000,1000,500,100,75,50,20,10,5,2,1}, S22:AC22))</f>
        <v>1270</v>
      </c>
      <c r="AE22" s="33">
        <v>328719</v>
      </c>
      <c r="AF22" s="24">
        <f>IF(AND(COUNT(C22:E22)=0,COUNT(G22:I22)=0,COUNT(K22:M22)=0,COUNT(O22:Q22)=0,COUNT(S22:AC22)=0,AE22=""),"",(IF(COUNT(C22:E22)=0,0,SUMPRODUCT({5000,1000,500},C22:E22))+IF(COUNT(G22:I22)=0,0,SUMPRODUCT({5000,1000,500},G22:I22))+IF(COUNT(K22:M22)=0,0,SUMPRODUCT({5000,1000,500},K22:M22))+IF(COUNT(O22:Q22)=0,0,SUMPRODUCT({5000,1000,500},O22:Q22))+AD22)-N(AE22))</f>
        <v>51</v>
      </c>
      <c r="AG22" s="35" t="str">
        <f t="shared" si="0"/>
        <v>Excess</v>
      </c>
      <c r="AH22" s="38"/>
      <c r="AI22" s="36">
        <f>4454.36+793358.93</f>
        <v>797813.29</v>
      </c>
      <c r="AJ22" s="37">
        <f>4454.36+793358.93</f>
        <v>797813.29</v>
      </c>
      <c r="AK22" s="26">
        <f t="shared" si="1"/>
        <v>0</v>
      </c>
      <c r="AL22" s="25" t="str">
        <f t="shared" si="2"/>
        <v>Matched</v>
      </c>
      <c r="AM22" s="38"/>
    </row>
    <row r="23" spans="1:39" ht="12.75" customHeight="1" x14ac:dyDescent="0.25">
      <c r="A23" s="31">
        <v>63599</v>
      </c>
      <c r="B23" s="32" t="str">
        <f>IF(A23="","",VLOOKUP(A23,'Employee Database'!A:B,2,FALSE))</f>
        <v>Hafsa</v>
      </c>
      <c r="C23" s="31"/>
      <c r="D23" s="31"/>
      <c r="E23" s="31"/>
      <c r="F23" s="39">
        <f>IF(COUNT(C23:E23)=0,0,SUMPRODUCT({5000,1000,500},C23:E23))</f>
        <v>0</v>
      </c>
      <c r="G23" s="31">
        <v>4</v>
      </c>
      <c r="H23" s="31">
        <v>35</v>
      </c>
      <c r="I23" s="31">
        <v>3</v>
      </c>
      <c r="J23" s="39">
        <f>IF(COUNT(G23:I23)=0,0,SUMPRODUCT({5000,1000,500},G23:I23))</f>
        <v>56500</v>
      </c>
      <c r="K23" s="31"/>
      <c r="L23" s="31"/>
      <c r="M23" s="31"/>
      <c r="N23" s="39">
        <f>IF(COUNT(K23:M23)=0,0,SUMPRODUCT({5000,1000,500},K23:M23))</f>
        <v>0</v>
      </c>
      <c r="O23" s="31"/>
      <c r="P23" s="31"/>
      <c r="Q23" s="31"/>
      <c r="R23" s="39">
        <f>IF(COUNT(O23:Q23)=0,0,SUMPRODUCT({5000,1000,500},O23:Q23))</f>
        <v>0</v>
      </c>
      <c r="S23" s="31"/>
      <c r="T23" s="31"/>
      <c r="U23" s="31"/>
      <c r="V23" s="31">
        <v>2</v>
      </c>
      <c r="W23" s="31"/>
      <c r="X23" s="31">
        <v>29</v>
      </c>
      <c r="Y23" s="31"/>
      <c r="Z23" s="31">
        <v>96</v>
      </c>
      <c r="AA23" s="31"/>
      <c r="AB23" s="31"/>
      <c r="AC23" s="31"/>
      <c r="AD23" s="34">
        <f>IF(COUNT(S23:AC23)=0,0,SUMPRODUCT({5000,1000,500,100,75,50,20,10,5,2,1}, S23:AC23))</f>
        <v>2610</v>
      </c>
      <c r="AE23" s="33">
        <v>59090</v>
      </c>
      <c r="AF23" s="24">
        <f>IF(AND(COUNT(C23:E23)=0,COUNT(G23:I23)=0,COUNT(K23:M23)=0,COUNT(O23:Q23)=0,COUNT(S23:AC23)=0,AE23=""),"",(IF(COUNT(C23:E23)=0,0,SUMPRODUCT({5000,1000,500},C23:E23))+IF(COUNT(G23:I23)=0,0,SUMPRODUCT({5000,1000,500},G23:I23))+IF(COUNT(K23:M23)=0,0,SUMPRODUCT({5000,1000,500},K23:M23))+IF(COUNT(O23:Q23)=0,0,SUMPRODUCT({5000,1000,500},O23:Q23))+AD23)-N(AE23))</f>
        <v>20</v>
      </c>
      <c r="AG23" s="35" t="str">
        <f t="shared" si="0"/>
        <v>Excess</v>
      </c>
      <c r="AH23" s="38"/>
      <c r="AI23" s="36">
        <v>61595.9</v>
      </c>
      <c r="AJ23" s="37">
        <v>61595.9</v>
      </c>
      <c r="AK23" s="26">
        <f t="shared" si="1"/>
        <v>0</v>
      </c>
      <c r="AL23" s="25" t="str">
        <f t="shared" si="2"/>
        <v>Matched</v>
      </c>
      <c r="AM23" s="38"/>
    </row>
    <row r="24" spans="1:39" ht="12.75" customHeight="1" x14ac:dyDescent="0.25">
      <c r="A24" s="31">
        <v>69213</v>
      </c>
      <c r="B24" s="32" t="str">
        <f>IF(A24="","",VLOOKUP(A24,'Employee Database'!A:B,2,FALSE))</f>
        <v>Muhammad Shahbaz</v>
      </c>
      <c r="C24" s="31"/>
      <c r="D24" s="31"/>
      <c r="E24" s="31"/>
      <c r="F24" s="39">
        <f>IF(COUNT(C24:E24)=0,0,SUMPRODUCT({5000,1000,500},C24:E24))</f>
        <v>0</v>
      </c>
      <c r="G24" s="31">
        <v>31</v>
      </c>
      <c r="H24" s="31">
        <v>39</v>
      </c>
      <c r="I24" s="31">
        <v>29</v>
      </c>
      <c r="J24" s="39">
        <f>IF(COUNT(G24:I24)=0,0,SUMPRODUCT({5000,1000,500},G24:I24))</f>
        <v>208500</v>
      </c>
      <c r="K24" s="31"/>
      <c r="L24" s="31"/>
      <c r="M24" s="31"/>
      <c r="N24" s="39">
        <f>IF(COUNT(K24:M24)=0,0,SUMPRODUCT({5000,1000,500},K24:M24))</f>
        <v>0</v>
      </c>
      <c r="O24" s="31"/>
      <c r="P24" s="31"/>
      <c r="Q24" s="31"/>
      <c r="R24" s="39">
        <f>IF(COUNT(O24:Q24)=0,0,SUMPRODUCT({5000,1000,500},O24:Q24))</f>
        <v>0</v>
      </c>
      <c r="S24" s="31"/>
      <c r="T24" s="31"/>
      <c r="U24" s="31"/>
      <c r="V24" s="31"/>
      <c r="W24" s="31"/>
      <c r="X24" s="31">
        <v>18</v>
      </c>
      <c r="Y24" s="31"/>
      <c r="Z24" s="31">
        <v>61</v>
      </c>
      <c r="AA24" s="31"/>
      <c r="AB24" s="31"/>
      <c r="AC24" s="31"/>
      <c r="AD24" s="34">
        <f>IF(COUNT(S24:AC24)=0,0,SUMPRODUCT({5000,1000,500,100,75,50,20,10,5,2,1}, S24:AC24))</f>
        <v>1510</v>
      </c>
      <c r="AE24" s="33">
        <v>210007</v>
      </c>
      <c r="AF24" s="24">
        <f>IF(AND(COUNT(C24:E24)=0,COUNT(G24:I24)=0,COUNT(K24:M24)=0,COUNT(O24:Q24)=0,COUNT(S24:AC24)=0,AE24=""),"",(IF(COUNT(C24:E24)=0,0,SUMPRODUCT({5000,1000,500},C24:E24))+IF(COUNT(G24:I24)=0,0,SUMPRODUCT({5000,1000,500},G24:I24))+IF(COUNT(K24:M24)=0,0,SUMPRODUCT({5000,1000,500},K24:M24))+IF(COUNT(O24:Q24)=0,0,SUMPRODUCT({5000,1000,500},O24:Q24))+AD24)-N(AE24))</f>
        <v>3</v>
      </c>
      <c r="AG24" s="35" t="str">
        <f t="shared" si="0"/>
        <v>Excess</v>
      </c>
      <c r="AH24" s="38"/>
      <c r="AI24" s="36">
        <v>347715.43</v>
      </c>
      <c r="AJ24" s="37">
        <v>347715.43</v>
      </c>
      <c r="AK24" s="26">
        <f t="shared" si="1"/>
        <v>0</v>
      </c>
      <c r="AL24" s="25" t="str">
        <f t="shared" si="2"/>
        <v>Matched</v>
      </c>
      <c r="AM24" s="38"/>
    </row>
    <row r="25" spans="1:39" ht="12.75" customHeight="1" x14ac:dyDescent="0.25">
      <c r="A25" s="31">
        <v>50524</v>
      </c>
      <c r="B25" s="32" t="str">
        <f>IF(A25="","",VLOOKUP(A25,'Employee Database'!A:B,2,FALSE))</f>
        <v>Allah Rakha</v>
      </c>
      <c r="C25" s="31"/>
      <c r="D25" s="31"/>
      <c r="E25" s="31"/>
      <c r="F25" s="39">
        <f>IF(COUNT(C25:E25)=0,0,SUMPRODUCT({5000,1000,500},C25:E25))</f>
        <v>0</v>
      </c>
      <c r="G25" s="31">
        <v>24</v>
      </c>
      <c r="H25" s="31">
        <v>106</v>
      </c>
      <c r="I25" s="31">
        <v>30</v>
      </c>
      <c r="J25" s="39">
        <f>IF(COUNT(G25:I25)=0,0,SUMPRODUCT({5000,1000,500},G25:I25))</f>
        <v>241000</v>
      </c>
      <c r="K25" s="31"/>
      <c r="L25" s="31"/>
      <c r="M25" s="31"/>
      <c r="N25" s="39">
        <f>IF(COUNT(K25:M25)=0,0,SUMPRODUCT({5000,1000,500},K25:M25))</f>
        <v>0</v>
      </c>
      <c r="O25" s="31"/>
      <c r="P25" s="31"/>
      <c r="Q25" s="31"/>
      <c r="R25" s="39">
        <f>IF(COUNT(O25:Q25)=0,0,SUMPRODUCT({5000,1000,500},O25:Q25))</f>
        <v>0</v>
      </c>
      <c r="S25" s="31"/>
      <c r="T25" s="31"/>
      <c r="U25" s="31"/>
      <c r="V25" s="31">
        <v>1</v>
      </c>
      <c r="W25" s="31"/>
      <c r="X25" s="31">
        <v>41</v>
      </c>
      <c r="Y25" s="31"/>
      <c r="Z25" s="31">
        <v>51</v>
      </c>
      <c r="AA25" s="31"/>
      <c r="AB25" s="31"/>
      <c r="AC25" s="31"/>
      <c r="AD25" s="34">
        <f>IF(COUNT(S25:AC25)=0,0,SUMPRODUCT({5000,1000,500,100,75,50,20,10,5,2,1}, S25:AC25))</f>
        <v>2660</v>
      </c>
      <c r="AE25" s="33">
        <v>243719</v>
      </c>
      <c r="AF25" s="24">
        <f>IF(AND(COUNT(C25:E25)=0,COUNT(G25:I25)=0,COUNT(K25:M25)=0,COUNT(O25:Q25)=0,COUNT(S25:AC25)=0,AE25=""),"",(IF(COUNT(C25:E25)=0,0,SUMPRODUCT({5000,1000,500},C25:E25))+IF(COUNT(G25:I25)=0,0,SUMPRODUCT({5000,1000,500},G25:I25))+IF(COUNT(K25:M25)=0,0,SUMPRODUCT({5000,1000,500},K25:M25))+IF(COUNT(O25:Q25)=0,0,SUMPRODUCT({5000,1000,500},O25:Q25))+AD25)-N(AE25))</f>
        <v>-59</v>
      </c>
      <c r="AG25" s="35" t="str">
        <f t="shared" si="0"/>
        <v>Short</v>
      </c>
      <c r="AH25" s="38"/>
      <c r="AI25" s="36">
        <v>468301.71</v>
      </c>
      <c r="AJ25" s="37">
        <f>39509.96+428791.75</f>
        <v>468301.71</v>
      </c>
      <c r="AK25" s="26">
        <f t="shared" si="1"/>
        <v>0</v>
      </c>
      <c r="AL25" s="25" t="str">
        <f t="shared" si="2"/>
        <v>Matched</v>
      </c>
      <c r="AM25" s="38"/>
    </row>
    <row r="26" spans="1:39" ht="12.75" customHeight="1" x14ac:dyDescent="0.25">
      <c r="A26" s="31">
        <v>67799</v>
      </c>
      <c r="B26" s="32" t="str">
        <f>IF(A26="","",VLOOKUP(A26,'Employee Database'!A:B,2,FALSE))</f>
        <v>Hassan Raza</v>
      </c>
      <c r="C26" s="31"/>
      <c r="D26" s="31"/>
      <c r="E26" s="31"/>
      <c r="F26" s="39">
        <f>IF(COUNT(C26:E26)=0,0,SUMPRODUCT({5000,1000,500},C26:E26))</f>
        <v>0</v>
      </c>
      <c r="G26" s="31">
        <v>25</v>
      </c>
      <c r="H26" s="31">
        <v>161</v>
      </c>
      <c r="I26" s="31">
        <v>18</v>
      </c>
      <c r="J26" s="39">
        <f>IF(COUNT(G26:I26)=0,0,SUMPRODUCT({5000,1000,500},G26:I26))</f>
        <v>295000</v>
      </c>
      <c r="K26" s="31"/>
      <c r="L26" s="31"/>
      <c r="M26" s="31"/>
      <c r="N26" s="39">
        <f>IF(COUNT(K26:M26)=0,0,SUMPRODUCT({5000,1000,500},K26:M26))</f>
        <v>0</v>
      </c>
      <c r="O26" s="31"/>
      <c r="P26" s="31"/>
      <c r="Q26" s="31"/>
      <c r="R26" s="39">
        <f>IF(COUNT(O26:Q26)=0,0,SUMPRODUCT({5000,1000,500},O26:Q26))</f>
        <v>0</v>
      </c>
      <c r="S26" s="31"/>
      <c r="T26" s="31"/>
      <c r="U26" s="31"/>
      <c r="V26" s="31">
        <v>2</v>
      </c>
      <c r="W26" s="31"/>
      <c r="X26" s="31">
        <v>16</v>
      </c>
      <c r="Y26" s="31"/>
      <c r="Z26" s="31">
        <v>18</v>
      </c>
      <c r="AA26" s="31"/>
      <c r="AB26" s="31"/>
      <c r="AC26" s="31"/>
      <c r="AD26" s="34">
        <f>IF(COUNT(S26:AC26)=0,0,SUMPRODUCT({5000,1000,500,100,75,50,20,10,5,2,1}, S26:AC26))</f>
        <v>1180</v>
      </c>
      <c r="AE26" s="33">
        <v>296141</v>
      </c>
      <c r="AF26" s="24">
        <f>IF(AND(COUNT(C26:E26)=0,COUNT(G26:I26)=0,COUNT(K26:M26)=0,COUNT(O26:Q26)=0,COUNT(S26:AC26)=0,AE26=""),"",(IF(COUNT(C26:E26)=0,0,SUMPRODUCT({5000,1000,500},C26:E26))+IF(COUNT(G26:I26)=0,0,SUMPRODUCT({5000,1000,500},G26:I26))+IF(COUNT(K26:M26)=0,0,SUMPRODUCT({5000,1000,500},K26:M26))+IF(COUNT(O26:Q26)=0,0,SUMPRODUCT({5000,1000,500},O26:Q26))+AD26)-N(AE26))</f>
        <v>39</v>
      </c>
      <c r="AG26" s="35" t="str">
        <f t="shared" si="0"/>
        <v>Excess</v>
      </c>
      <c r="AH26" s="38"/>
      <c r="AI26" s="36">
        <v>289553.65000000002</v>
      </c>
      <c r="AJ26" s="37">
        <f>43882.45+245671.2</f>
        <v>289553.65000000002</v>
      </c>
      <c r="AK26" s="26">
        <f t="shared" si="1"/>
        <v>0</v>
      </c>
      <c r="AL26" s="25" t="str">
        <f t="shared" si="2"/>
        <v>Matched</v>
      </c>
      <c r="AM26" s="38"/>
    </row>
    <row r="27" spans="1:39" ht="12.75" customHeight="1" x14ac:dyDescent="0.25">
      <c r="A27" s="31">
        <v>53893</v>
      </c>
      <c r="B27" s="32" t="str">
        <f>IF(A27="","",VLOOKUP(A27,'Employee Database'!A:B,2,FALSE))</f>
        <v>M Binyameen</v>
      </c>
      <c r="C27" s="31"/>
      <c r="D27" s="31"/>
      <c r="E27" s="31"/>
      <c r="F27" s="39">
        <f>IF(COUNT(C27:E27)=0,0,SUMPRODUCT({5000,1000,500},C27:E27))</f>
        <v>0</v>
      </c>
      <c r="G27" s="31">
        <v>34</v>
      </c>
      <c r="H27" s="31">
        <v>98</v>
      </c>
      <c r="I27" s="31">
        <v>15</v>
      </c>
      <c r="J27" s="39">
        <f>IF(COUNT(G27:I27)=0,0,SUMPRODUCT({5000,1000,500},G27:I27))</f>
        <v>275500</v>
      </c>
      <c r="K27" s="31"/>
      <c r="L27" s="31"/>
      <c r="M27" s="31"/>
      <c r="N27" s="39">
        <f>IF(COUNT(K27:M27)=0,0,SUMPRODUCT({5000,1000,500},K27:M27))</f>
        <v>0</v>
      </c>
      <c r="O27" s="31"/>
      <c r="P27" s="31"/>
      <c r="Q27" s="31"/>
      <c r="R27" s="39">
        <f>IF(COUNT(O27:Q27)=0,0,SUMPRODUCT({5000,1000,500},O27:Q27))</f>
        <v>0</v>
      </c>
      <c r="S27" s="31"/>
      <c r="T27" s="31"/>
      <c r="U27" s="31"/>
      <c r="V27" s="31">
        <v>6</v>
      </c>
      <c r="W27" s="31"/>
      <c r="X27" s="31">
        <v>31</v>
      </c>
      <c r="Y27" s="31">
        <v>1</v>
      </c>
      <c r="Z27" s="31">
        <v>41</v>
      </c>
      <c r="AA27" s="31"/>
      <c r="AB27" s="31"/>
      <c r="AC27" s="31"/>
      <c r="AD27" s="34">
        <f>IF(COUNT(S27:AC27)=0,0,SUMPRODUCT({5000,1000,500,100,75,50,20,10,5,2,1}, S27:AC27))</f>
        <v>2580</v>
      </c>
      <c r="AE27" s="33">
        <v>278075</v>
      </c>
      <c r="AF27" s="24">
        <f>IF(AND(COUNT(C27:E27)=0,COUNT(G27:I27)=0,COUNT(K27:M27)=0,COUNT(O27:Q27)=0,COUNT(S27:AC27)=0,AE27=""),"",(IF(COUNT(C27:E27)=0,0,SUMPRODUCT({5000,1000,500},C27:E27))+IF(COUNT(G27:I27)=0,0,SUMPRODUCT({5000,1000,500},G27:I27))+IF(COUNT(K27:M27)=0,0,SUMPRODUCT({5000,1000,500},K27:M27))+IF(COUNT(O27:Q27)=0,0,SUMPRODUCT({5000,1000,500},O27:Q27))+AD27)-N(AE27))</f>
        <v>5</v>
      </c>
      <c r="AG27" s="35" t="str">
        <f t="shared" si="0"/>
        <v>Excess</v>
      </c>
      <c r="AH27" s="38"/>
      <c r="AI27" s="36">
        <f>295985.96+201184.29</f>
        <v>497170.25</v>
      </c>
      <c r="AJ27" s="37">
        <f>295985.96+201184.29</f>
        <v>497170.25</v>
      </c>
      <c r="AK27" s="26">
        <f t="shared" si="1"/>
        <v>0</v>
      </c>
      <c r="AL27" s="25" t="str">
        <f t="shared" si="2"/>
        <v>Matched</v>
      </c>
      <c r="AM27" s="38"/>
    </row>
    <row r="28" spans="1:39" ht="12.75" customHeight="1" x14ac:dyDescent="0.25">
      <c r="A28" s="31">
        <v>68475</v>
      </c>
      <c r="B28" s="32" t="str">
        <f>IF(A28="","",VLOOKUP(A28,'Employee Database'!A:B,2,FALSE))</f>
        <v>M Azeem</v>
      </c>
      <c r="C28" s="31"/>
      <c r="D28" s="31"/>
      <c r="E28" s="31"/>
      <c r="F28" s="39">
        <f>IF(COUNT(C28:E28)=0,0,SUMPRODUCT({5000,1000,500},C28:E28))</f>
        <v>0</v>
      </c>
      <c r="G28" s="31">
        <v>17</v>
      </c>
      <c r="H28" s="31">
        <v>77</v>
      </c>
      <c r="I28" s="31">
        <v>19</v>
      </c>
      <c r="J28" s="39">
        <f>IF(COUNT(G28:I28)=0,0,SUMPRODUCT({5000,1000,500},G28:I28))</f>
        <v>171500</v>
      </c>
      <c r="K28" s="31"/>
      <c r="L28" s="31"/>
      <c r="M28" s="31"/>
      <c r="N28" s="39">
        <f>IF(COUNT(K28:M28)=0,0,SUMPRODUCT({5000,1000,500},K28:M28))</f>
        <v>0</v>
      </c>
      <c r="O28" s="31"/>
      <c r="P28" s="31"/>
      <c r="Q28" s="31"/>
      <c r="R28" s="39">
        <f>IF(COUNT(O28:Q28)=0,0,SUMPRODUCT({5000,1000,500},O28:Q28))</f>
        <v>0</v>
      </c>
      <c r="S28" s="31"/>
      <c r="T28" s="31"/>
      <c r="U28" s="31"/>
      <c r="V28" s="31"/>
      <c r="W28" s="31"/>
      <c r="X28" s="31">
        <v>22</v>
      </c>
      <c r="Y28" s="31"/>
      <c r="Z28" s="31">
        <v>43</v>
      </c>
      <c r="AA28" s="31"/>
      <c r="AB28" s="31"/>
      <c r="AC28" s="31"/>
      <c r="AD28" s="34">
        <f>IF(COUNT(S28:AC28)=0,0,SUMPRODUCT({5000,1000,500,100,75,50,20,10,5,2,1}, S28:AC28))</f>
        <v>1530</v>
      </c>
      <c r="AE28" s="33">
        <v>173070</v>
      </c>
      <c r="AF28" s="24">
        <f>IF(AND(COUNT(C28:E28)=0,COUNT(G28:I28)=0,COUNT(K28:M28)=0,COUNT(O28:Q28)=0,COUNT(S28:AC28)=0,AE28=""),"",(IF(COUNT(C28:E28)=0,0,SUMPRODUCT({5000,1000,500},C28:E28))+IF(COUNT(G28:I28)=0,0,SUMPRODUCT({5000,1000,500},G28:I28))+IF(COUNT(K28:M28)=0,0,SUMPRODUCT({5000,1000,500},K28:M28))+IF(COUNT(O28:Q28)=0,0,SUMPRODUCT({5000,1000,500},O28:Q28))+AD28)-N(AE28))</f>
        <v>-40</v>
      </c>
      <c r="AG28" s="35" t="str">
        <f t="shared" si="0"/>
        <v>Short</v>
      </c>
      <c r="AH28" s="38"/>
      <c r="AI28" s="36">
        <f>156912.28+353649.21</f>
        <v>510561.49</v>
      </c>
      <c r="AJ28" s="37">
        <f>353649.21+156912.28</f>
        <v>510561.49</v>
      </c>
      <c r="AK28" s="26">
        <f t="shared" si="1"/>
        <v>0</v>
      </c>
      <c r="AL28" s="25" t="str">
        <f t="shared" si="2"/>
        <v>Matched</v>
      </c>
      <c r="AM28" s="38"/>
    </row>
    <row r="29" spans="1:39" ht="12.75" customHeight="1" x14ac:dyDescent="0.25">
      <c r="A29" s="31">
        <v>50313</v>
      </c>
      <c r="B29" s="32" t="str">
        <f>IF(A29="","",VLOOKUP(A29,'Employee Database'!A:B,2,FALSE))</f>
        <v>Waseem Raza</v>
      </c>
      <c r="C29" s="31"/>
      <c r="D29" s="31"/>
      <c r="E29" s="31"/>
      <c r="F29" s="39">
        <f>IF(COUNT(C29:E29)=0,0,SUMPRODUCT({5000,1000,500},C29:E29))</f>
        <v>0</v>
      </c>
      <c r="G29" s="31"/>
      <c r="H29" s="31">
        <v>4</v>
      </c>
      <c r="I29" s="31">
        <v>4</v>
      </c>
      <c r="J29" s="39">
        <f>IF(COUNT(G29:I29)=0,0,SUMPRODUCT({5000,1000,500},G29:I29))</f>
        <v>6000</v>
      </c>
      <c r="K29" s="31"/>
      <c r="L29" s="31"/>
      <c r="M29" s="31"/>
      <c r="N29" s="39">
        <f>IF(COUNT(K29:M29)=0,0,SUMPRODUCT({5000,1000,500},K29:M29))</f>
        <v>0</v>
      </c>
      <c r="O29" s="31"/>
      <c r="P29" s="31"/>
      <c r="Q29" s="31"/>
      <c r="R29" s="39">
        <f>IF(COUNT(O29:Q29)=0,0,SUMPRODUCT({5000,1000,500},O29:Q29))</f>
        <v>0</v>
      </c>
      <c r="S29" s="31"/>
      <c r="T29" s="31"/>
      <c r="U29" s="31"/>
      <c r="V29" s="31">
        <v>1</v>
      </c>
      <c r="W29" s="31"/>
      <c r="X29" s="31">
        <v>5</v>
      </c>
      <c r="Y29" s="31"/>
      <c r="Z29" s="31">
        <v>3</v>
      </c>
      <c r="AA29" s="31"/>
      <c r="AB29" s="31"/>
      <c r="AC29" s="31"/>
      <c r="AD29" s="34">
        <f>IF(COUNT(S29:AC29)=0,0,SUMPRODUCT({5000,1000,500,100,75,50,20,10,5,2,1}, S29:AC29))</f>
        <v>380</v>
      </c>
      <c r="AE29" s="33">
        <v>6381</v>
      </c>
      <c r="AF29" s="24">
        <f>IF(AND(COUNT(C29:E29)=0,COUNT(G29:I29)=0,COUNT(K29:M29)=0,COUNT(O29:Q29)=0,COUNT(S29:AC29)=0,AE29=""),"",(IF(COUNT(C29:E29)=0,0,SUMPRODUCT({5000,1000,500},C29:E29))+IF(COUNT(G29:I29)=0,0,SUMPRODUCT({5000,1000,500},G29:I29))+IF(COUNT(K29:M29)=0,0,SUMPRODUCT({5000,1000,500},K29:M29))+IF(COUNT(O29:Q29)=0,0,SUMPRODUCT({5000,1000,500},O29:Q29))+AD29)-N(AE29))</f>
        <v>-1</v>
      </c>
      <c r="AG29" s="35" t="str">
        <f t="shared" si="0"/>
        <v>Short</v>
      </c>
      <c r="AH29" s="38"/>
      <c r="AI29" s="36"/>
      <c r="AJ29" s="37"/>
      <c r="AK29" s="26" t="str">
        <f t="shared" si="1"/>
        <v/>
      </c>
      <c r="AL29" s="25" t="str">
        <f t="shared" si="2"/>
        <v/>
      </c>
      <c r="AM29" s="38"/>
    </row>
    <row r="30" spans="1:39" ht="12.75" customHeight="1" x14ac:dyDescent="0.25">
      <c r="A30" s="31"/>
      <c r="B30" s="32" t="str">
        <f>IF(A30="","",VLOOKUP(A30,'Employee Database'!A:B,2,FALSE))</f>
        <v/>
      </c>
      <c r="C30" s="31"/>
      <c r="D30" s="31"/>
      <c r="E30" s="31"/>
      <c r="F30" s="39">
        <f>IF(COUNT(C30:E30)=0,0,SUMPRODUCT({5000,1000,500},C30:E30))</f>
        <v>0</v>
      </c>
      <c r="G30" s="31"/>
      <c r="H30" s="31"/>
      <c r="I30" s="31"/>
      <c r="J30" s="39">
        <f>IF(COUNT(G30:I30)=0,0,SUMPRODUCT({5000,1000,500},G30:I30))</f>
        <v>0</v>
      </c>
      <c r="K30" s="31"/>
      <c r="L30" s="31"/>
      <c r="M30" s="31"/>
      <c r="N30" s="39">
        <f>IF(COUNT(K30:M30)=0,0,SUMPRODUCT({5000,1000,500},K30:M30))</f>
        <v>0</v>
      </c>
      <c r="O30" s="31"/>
      <c r="P30" s="31"/>
      <c r="Q30" s="31"/>
      <c r="R30" s="39">
        <f>IF(COUNT(O30:Q30)=0,0,SUMPRODUCT({5000,1000,500},O30:Q30))</f>
        <v>0</v>
      </c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4">
        <f>IF(COUNT(S30:AC30)=0,0,SUMPRODUCT({5000,1000,500,100,75,50,20,10,5,2,1}, S30:AC30))</f>
        <v>0</v>
      </c>
      <c r="AE30" s="33"/>
      <c r="AF30" s="24" t="str">
        <f>IF(AND(COUNT(C30:E30)=0,COUNT(G30:I30)=0,COUNT(K30:M30)=0,COUNT(O30:Q30)=0,COUNT(S30:AC30)=0,AE30=""),"",(IF(COUNT(C30:E30)=0,0,SUMPRODUCT({5000,1000,500},C30:E30))+IF(COUNT(G30:I30)=0,0,SUMPRODUCT({5000,1000,500},G30:I30))+IF(COUNT(K30:M30)=0,0,SUMPRODUCT({5000,1000,500},K30:M30))+IF(COUNT(O30:Q30)=0,0,SUMPRODUCT({5000,1000,500},O30:Q30))+AD30)-N(AE30))</f>
        <v/>
      </c>
      <c r="AG30" s="35" t="str">
        <f t="shared" si="0"/>
        <v/>
      </c>
      <c r="AH30" s="38"/>
      <c r="AI30" s="36"/>
      <c r="AJ30" s="37"/>
      <c r="AK30" s="26" t="str">
        <f t="shared" si="1"/>
        <v/>
      </c>
      <c r="AL30" s="25" t="str">
        <f t="shared" si="2"/>
        <v/>
      </c>
      <c r="AM30" s="38"/>
    </row>
    <row r="31" spans="1:39" ht="12.75" customHeight="1" x14ac:dyDescent="0.25">
      <c r="A31" s="31"/>
      <c r="B31" s="32" t="str">
        <f>IF(A31="","",VLOOKUP(A31,'Employee Database'!A:B,2,FALSE))</f>
        <v/>
      </c>
      <c r="C31" s="31"/>
      <c r="D31" s="31"/>
      <c r="E31" s="31"/>
      <c r="F31" s="39">
        <f>IF(COUNT(C31:E31)=0,0,SUMPRODUCT({5000,1000,500},C31:E31))</f>
        <v>0</v>
      </c>
      <c r="G31" s="31"/>
      <c r="H31" s="31"/>
      <c r="I31" s="31"/>
      <c r="J31" s="39">
        <f>IF(COUNT(G31:I31)=0,0,SUMPRODUCT({5000,1000,500},G31:I31))</f>
        <v>0</v>
      </c>
      <c r="K31" s="31"/>
      <c r="L31" s="31"/>
      <c r="M31" s="31"/>
      <c r="N31" s="39">
        <f>IF(COUNT(K31:M31)=0,0,SUMPRODUCT({5000,1000,500},K31:M31))</f>
        <v>0</v>
      </c>
      <c r="O31" s="31"/>
      <c r="P31" s="31"/>
      <c r="Q31" s="31"/>
      <c r="R31" s="39">
        <f>IF(COUNT(O31:Q31)=0,0,SUMPRODUCT({5000,1000,500},O31:Q31))</f>
        <v>0</v>
      </c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4">
        <f>IF(COUNT(S31:AC31)=0,0,SUMPRODUCT({5000,1000,500,100,75,50,20,10,5,2,1}, S31:AC31))</f>
        <v>0</v>
      </c>
      <c r="AE31" s="33"/>
      <c r="AF31" s="24" t="str">
        <f>IF(AND(COUNT(C31:E31)=0,COUNT(G31:I31)=0,COUNT(K31:M31)=0,COUNT(O31:Q31)=0,COUNT(S31:AC31)=0,AE31=""),"",(IF(COUNT(C31:E31)=0,0,SUMPRODUCT({5000,1000,500},C31:E31))+IF(COUNT(G31:I31)=0,0,SUMPRODUCT({5000,1000,500},G31:I31))+IF(COUNT(K31:M31)=0,0,SUMPRODUCT({5000,1000,500},K31:M31))+IF(COUNT(O31:Q31)=0,0,SUMPRODUCT({5000,1000,500},O31:Q31))+AD31)-N(AE31))</f>
        <v/>
      </c>
      <c r="AG31" s="35" t="str">
        <f t="shared" si="0"/>
        <v/>
      </c>
      <c r="AH31" s="38"/>
      <c r="AI31" s="36"/>
      <c r="AJ31" s="37"/>
      <c r="AK31" s="26" t="str">
        <f t="shared" si="1"/>
        <v/>
      </c>
      <c r="AL31" s="25" t="str">
        <f t="shared" si="2"/>
        <v/>
      </c>
      <c r="AM31" s="38"/>
    </row>
    <row r="32" spans="1:39" ht="12.75" customHeight="1" x14ac:dyDescent="0.25">
      <c r="A32" s="31"/>
      <c r="B32" s="32" t="str">
        <f>IF(A32="","",VLOOKUP(A32,'Employee Database'!A:B,2,FALSE))</f>
        <v/>
      </c>
      <c r="C32" s="31"/>
      <c r="D32" s="31"/>
      <c r="E32" s="31"/>
      <c r="F32" s="39">
        <f>IF(COUNT(C32:E32)=0,0,SUMPRODUCT({5000,1000,500},C32:E32))</f>
        <v>0</v>
      </c>
      <c r="G32" s="31"/>
      <c r="H32" s="31"/>
      <c r="I32" s="31"/>
      <c r="J32" s="39">
        <f>IF(COUNT(G32:I32)=0,0,SUMPRODUCT({5000,1000,500},G32:I32))</f>
        <v>0</v>
      </c>
      <c r="K32" s="31"/>
      <c r="L32" s="31"/>
      <c r="M32" s="31"/>
      <c r="N32" s="39">
        <f>IF(COUNT(K32:M32)=0,0,SUMPRODUCT({5000,1000,500},K32:M32))</f>
        <v>0</v>
      </c>
      <c r="O32" s="31"/>
      <c r="P32" s="31"/>
      <c r="Q32" s="31"/>
      <c r="R32" s="39">
        <f>IF(COUNT(O32:Q32)=0,0,SUMPRODUCT({5000,1000,500},O32:Q32))</f>
        <v>0</v>
      </c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4">
        <f>IF(COUNT(S32:AC32)=0,0,SUMPRODUCT({5000,1000,500,100,75,50,20,10,5,2,1}, S32:AC32))</f>
        <v>0</v>
      </c>
      <c r="AE32" s="33"/>
      <c r="AF32" s="24" t="str">
        <f>IF(AND(COUNT(C32:E32)=0,COUNT(G32:I32)=0,COUNT(K32:M32)=0,COUNT(O32:Q32)=0,COUNT(S32:AC32)=0,AE32=""),"",(IF(COUNT(C32:E32)=0,0,SUMPRODUCT({5000,1000,500},C32:E32))+IF(COUNT(G32:I32)=0,0,SUMPRODUCT({5000,1000,500},G32:I32))+IF(COUNT(K32:M32)=0,0,SUMPRODUCT({5000,1000,500},K32:M32))+IF(COUNT(O32:Q32)=0,0,SUMPRODUCT({5000,1000,500},O32:Q32))+AD32)-N(AE32))</f>
        <v/>
      </c>
      <c r="AG32" s="35" t="str">
        <f t="shared" si="0"/>
        <v/>
      </c>
      <c r="AH32" s="38"/>
      <c r="AI32" s="36"/>
      <c r="AJ32" s="37"/>
      <c r="AK32" s="26" t="str">
        <f t="shared" si="1"/>
        <v/>
      </c>
      <c r="AL32" s="25" t="str">
        <f t="shared" si="2"/>
        <v/>
      </c>
      <c r="AM32" s="38"/>
    </row>
    <row r="33" spans="1:39" ht="12.75" customHeight="1" x14ac:dyDescent="0.25">
      <c r="A33" s="31"/>
      <c r="B33" s="32" t="str">
        <f>IF(A33="","",VLOOKUP(A33,'Employee Database'!A:B,2,FALSE))</f>
        <v/>
      </c>
      <c r="C33" s="31"/>
      <c r="D33" s="31"/>
      <c r="E33" s="31"/>
      <c r="F33" s="39">
        <f>IF(COUNT(C33:E33)=0,0,SUMPRODUCT({5000,1000,500},C33:E33))</f>
        <v>0</v>
      </c>
      <c r="G33" s="31"/>
      <c r="H33" s="31"/>
      <c r="I33" s="31"/>
      <c r="J33" s="39">
        <f>IF(COUNT(G33:I33)=0,0,SUMPRODUCT({5000,1000,500},G33:I33))</f>
        <v>0</v>
      </c>
      <c r="K33" s="31"/>
      <c r="L33" s="31"/>
      <c r="M33" s="31"/>
      <c r="N33" s="39">
        <f>IF(COUNT(K33:M33)=0,0,SUMPRODUCT({5000,1000,500},K33:M33))</f>
        <v>0</v>
      </c>
      <c r="O33" s="31"/>
      <c r="P33" s="31"/>
      <c r="Q33" s="31"/>
      <c r="R33" s="39">
        <f>IF(COUNT(O33:Q33)=0,0,SUMPRODUCT({5000,1000,500},O33:Q33))</f>
        <v>0</v>
      </c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4">
        <f>IF(COUNT(S33:AC33)=0,0,SUMPRODUCT({5000,1000,500,100,75,50,20,10,5,2,1}, S33:AC33))</f>
        <v>0</v>
      </c>
      <c r="AE33" s="33"/>
      <c r="AF33" s="24" t="str">
        <f>IF(AND(COUNT(C33:E33)=0,COUNT(G33:I33)=0,COUNT(K33:M33)=0,COUNT(O33:Q33)=0,COUNT(S33:AC33)=0,AE33=""),"",(IF(COUNT(C33:E33)=0,0,SUMPRODUCT({5000,1000,500},C33:E33))+IF(COUNT(G33:I33)=0,0,SUMPRODUCT({5000,1000,500},G33:I33))+IF(COUNT(K33:M33)=0,0,SUMPRODUCT({5000,1000,500},K33:M33))+IF(COUNT(O33:Q33)=0,0,SUMPRODUCT({5000,1000,500},O33:Q33))+AD33)-N(AE33))</f>
        <v/>
      </c>
      <c r="AG33" s="35" t="str">
        <f t="shared" si="0"/>
        <v/>
      </c>
      <c r="AH33" s="38"/>
      <c r="AI33" s="36"/>
      <c r="AJ33" s="37"/>
      <c r="AK33" s="26" t="str">
        <f t="shared" si="1"/>
        <v/>
      </c>
      <c r="AL33" s="25" t="str">
        <f t="shared" si="2"/>
        <v/>
      </c>
      <c r="AM33" s="38"/>
    </row>
    <row r="34" spans="1:39" ht="12.75" customHeight="1" x14ac:dyDescent="0.25">
      <c r="A34" s="31"/>
      <c r="B34" s="32" t="str">
        <f>IF(A34="","",VLOOKUP(A34,'Employee Database'!A:B,2,FALSE))</f>
        <v/>
      </c>
      <c r="C34" s="31"/>
      <c r="D34" s="31"/>
      <c r="E34" s="31"/>
      <c r="F34" s="39">
        <f>IF(COUNT(C34:E34)=0,0,SUMPRODUCT({5000,1000,500},C34:E34))</f>
        <v>0</v>
      </c>
      <c r="G34" s="31"/>
      <c r="H34" s="31"/>
      <c r="I34" s="31"/>
      <c r="J34" s="39">
        <f>IF(COUNT(G34:I34)=0,0,SUMPRODUCT({5000,1000,500},G34:I34))</f>
        <v>0</v>
      </c>
      <c r="K34" s="31"/>
      <c r="L34" s="31"/>
      <c r="M34" s="31"/>
      <c r="N34" s="39">
        <f>IF(COUNT(K34:M34)=0,0,SUMPRODUCT({5000,1000,500},K34:M34))</f>
        <v>0</v>
      </c>
      <c r="O34" s="31"/>
      <c r="P34" s="31"/>
      <c r="Q34" s="31"/>
      <c r="R34" s="39">
        <f>IF(COUNT(O34:Q34)=0,0,SUMPRODUCT({5000,1000,500},O34:Q34))</f>
        <v>0</v>
      </c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4">
        <f>IF(COUNT(S34:AC34)=0,0,SUMPRODUCT({5000,1000,500,100,75,50,20,10,5,2,1}, S34:AC34))</f>
        <v>0</v>
      </c>
      <c r="AE34" s="33"/>
      <c r="AF34" s="24" t="str">
        <f>IF(AND(COUNT(C34:E34)=0,COUNT(G34:I34)=0,COUNT(K34:M34)=0,COUNT(O34:Q34)=0,COUNT(S34:AC34)=0,AE34=""),"",(IF(COUNT(C34:E34)=0,0,SUMPRODUCT({5000,1000,500},C34:E34))+IF(COUNT(G34:I34)=0,0,SUMPRODUCT({5000,1000,500},G34:I34))+IF(COUNT(K34:M34)=0,0,SUMPRODUCT({5000,1000,500},K34:M34))+IF(COUNT(O34:Q34)=0,0,SUMPRODUCT({5000,1000,500},O34:Q34))+AD34)-N(AE34))</f>
        <v/>
      </c>
      <c r="AG34" s="35" t="str">
        <f t="shared" si="0"/>
        <v/>
      </c>
      <c r="AH34" s="38"/>
      <c r="AI34" s="36"/>
      <c r="AJ34" s="37"/>
      <c r="AK34" s="26"/>
      <c r="AL34" s="25"/>
      <c r="AM34" s="38"/>
    </row>
    <row r="35" spans="1:39" ht="22.5" customHeight="1" x14ac:dyDescent="0.25">
      <c r="A35" s="27" t="s">
        <v>24</v>
      </c>
      <c r="B35" s="27" t="s">
        <v>24</v>
      </c>
      <c r="C35" s="28">
        <f t="shared" ref="C35:AF35" si="3">SUM(C5:C34)</f>
        <v>201</v>
      </c>
      <c r="D35" s="28">
        <f t="shared" si="3"/>
        <v>642</v>
      </c>
      <c r="E35" s="28">
        <f t="shared" si="3"/>
        <v>212</v>
      </c>
      <c r="F35" s="40">
        <f t="shared" si="3"/>
        <v>1753000</v>
      </c>
      <c r="G35" s="28">
        <f t="shared" si="3"/>
        <v>418</v>
      </c>
      <c r="H35" s="28">
        <f t="shared" si="3"/>
        <v>1182</v>
      </c>
      <c r="I35" s="28">
        <f t="shared" si="3"/>
        <v>252</v>
      </c>
      <c r="J35" s="40">
        <f t="shared" si="3"/>
        <v>3398000</v>
      </c>
      <c r="K35" s="28">
        <f t="shared" si="3"/>
        <v>0</v>
      </c>
      <c r="L35" s="28">
        <f t="shared" si="3"/>
        <v>0</v>
      </c>
      <c r="M35" s="28">
        <f t="shared" si="3"/>
        <v>0</v>
      </c>
      <c r="N35" s="40">
        <f t="shared" si="3"/>
        <v>0</v>
      </c>
      <c r="O35" s="28">
        <f t="shared" si="3"/>
        <v>0</v>
      </c>
      <c r="P35" s="28">
        <f t="shared" si="3"/>
        <v>0</v>
      </c>
      <c r="Q35" s="28">
        <f t="shared" si="3"/>
        <v>0</v>
      </c>
      <c r="R35" s="40">
        <f t="shared" si="3"/>
        <v>0</v>
      </c>
      <c r="S35" s="28">
        <f t="shared" si="3"/>
        <v>0</v>
      </c>
      <c r="T35" s="28">
        <f t="shared" si="3"/>
        <v>0</v>
      </c>
      <c r="U35" s="28">
        <f t="shared" si="3"/>
        <v>0</v>
      </c>
      <c r="V35" s="28">
        <f t="shared" si="3"/>
        <v>63</v>
      </c>
      <c r="W35" s="28">
        <f t="shared" si="3"/>
        <v>0</v>
      </c>
      <c r="X35" s="28">
        <f t="shared" si="3"/>
        <v>847</v>
      </c>
      <c r="Y35" s="28">
        <f t="shared" si="3"/>
        <v>12</v>
      </c>
      <c r="Z35" s="28">
        <f t="shared" si="3"/>
        <v>1365</v>
      </c>
      <c r="AA35" s="28">
        <f t="shared" si="3"/>
        <v>0</v>
      </c>
      <c r="AB35" s="28">
        <f t="shared" si="3"/>
        <v>0</v>
      </c>
      <c r="AC35" s="28">
        <f t="shared" si="3"/>
        <v>3</v>
      </c>
      <c r="AD35" s="40">
        <f t="shared" si="3"/>
        <v>62543</v>
      </c>
      <c r="AE35" s="41">
        <f t="shared" si="3"/>
        <v>5213332</v>
      </c>
      <c r="AF35" s="29">
        <f t="shared" si="3"/>
        <v>211</v>
      </c>
      <c r="AG35" s="27" t="s">
        <v>24</v>
      </c>
      <c r="AH35" s="27" t="s">
        <v>24</v>
      </c>
      <c r="AI35" s="28">
        <f>SUM(AI5:AI34)</f>
        <v>9681110.7699999996</v>
      </c>
      <c r="AJ35" s="28">
        <f>SUM(AJ5:AJ34)</f>
        <v>9681110.7700000014</v>
      </c>
      <c r="AK35" s="28">
        <f>SUM(AK5:AK34)</f>
        <v>-1.1641532182693481E-10</v>
      </c>
      <c r="AL35" s="28">
        <f>AJ35+AE35</f>
        <v>14894442.770000001</v>
      </c>
      <c r="AM35" s="28">
        <f>SUM(AM5:AM34)</f>
        <v>0</v>
      </c>
    </row>
  </sheetData>
  <sheetProtection algorithmName="SHA-512" hashValue="Ql811WIT/Prapj6/Qpu5i797Hoq3udTt23LjZueZJDJ8wrjJxZ4lHnYberBvKBlWcdH8wvYqhQ4UjHts/GXi3A==" saltValue="gswHtkO2A//IFpFzW2la+Q==" spinCount="100000" sheet="1" objects="1" scenarios="1"/>
  <mergeCells count="9">
    <mergeCell ref="S3:AC3"/>
    <mergeCell ref="AD3:AG3"/>
    <mergeCell ref="AH3:AM3"/>
    <mergeCell ref="A1:B1"/>
    <mergeCell ref="A3:B3"/>
    <mergeCell ref="C3:F3"/>
    <mergeCell ref="G3:J3"/>
    <mergeCell ref="K3:N3"/>
    <mergeCell ref="O3:R3"/>
  </mergeCells>
  <conditionalFormatting sqref="A5">
    <cfRule type="duplicateValues" dxfId="107" priority="3"/>
    <cfRule type="duplicateValues" dxfId="106" priority="4"/>
  </conditionalFormatting>
  <conditionalFormatting sqref="A6">
    <cfRule type="duplicateValues" dxfId="105" priority="5"/>
    <cfRule type="duplicateValues" dxfId="104" priority="6"/>
  </conditionalFormatting>
  <conditionalFormatting sqref="A7:A34">
    <cfRule type="duplicateValues" dxfId="103" priority="1"/>
    <cfRule type="duplicateValues" dxfId="102" priority="2"/>
  </conditionalFormatting>
  <conditionalFormatting sqref="A35">
    <cfRule type="duplicateValues" dxfId="101" priority="7"/>
  </conditionalFormatting>
  <dataValidations count="1">
    <dataValidation type="list" allowBlank="1" showInputMessage="1" showErrorMessage="1" sqref="A1:B1" xr:uid="{00000000-0002-0000-1200-000000000000}">
      <formula1>Locations</formula1>
    </dataValidation>
  </dataValidations>
  <pageMargins left="0.75" right="0.75" top="1" bottom="1" header="0.5" footer="0.5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>
    <tabColor rgb="FFFF0000"/>
  </sheetPr>
  <dimension ref="A1:AM35"/>
  <sheetViews>
    <sheetView showGridLines="0" topLeftCell="A5" zoomScale="85" zoomScaleNormal="85" workbookViewId="0">
      <pane xSplit="2" topLeftCell="AA1" activePane="topRight" state="frozen"/>
      <selection activeCell="A4" sqref="A4"/>
      <selection pane="topRight" activeCell="AJ18" sqref="AJ18"/>
    </sheetView>
  </sheetViews>
  <sheetFormatPr defaultRowHeight="15" x14ac:dyDescent="0.25"/>
  <cols>
    <col min="1" max="1" width="11.85546875" customWidth="1"/>
    <col min="2" max="2" width="20.5703125" customWidth="1"/>
    <col min="6" max="6" width="14.42578125" bestFit="1" customWidth="1"/>
    <col min="10" max="10" width="14.42578125" bestFit="1" customWidth="1"/>
    <col min="14" max="14" width="14.42578125" bestFit="1" customWidth="1"/>
    <col min="18" max="18" width="14.42578125" bestFit="1" customWidth="1"/>
    <col min="30" max="31" width="18" customWidth="1"/>
    <col min="32" max="32" width="20" customWidth="1"/>
    <col min="33" max="33" width="14" customWidth="1"/>
    <col min="35" max="35" width="18" customWidth="1"/>
    <col min="36" max="36" width="22" customWidth="1"/>
    <col min="37" max="37" width="16" customWidth="1"/>
    <col min="38" max="38" width="14" customWidth="1"/>
  </cols>
  <sheetData>
    <row r="1" spans="1:39" ht="43.5" customHeight="1" x14ac:dyDescent="0.25">
      <c r="A1" s="48" t="s">
        <v>306</v>
      </c>
      <c r="B1" s="48"/>
    </row>
    <row r="2" spans="1:39" ht="13.5" customHeight="1" x14ac:dyDescent="0.25">
      <c r="A2" s="30">
        <f>'17'!A2+1</f>
        <v>46221</v>
      </c>
    </row>
    <row r="3" spans="1:39" ht="24" customHeight="1" x14ac:dyDescent="0.25">
      <c r="A3" s="49" t="s">
        <v>0</v>
      </c>
      <c r="B3" s="49"/>
      <c r="C3" s="49" t="s">
        <v>93</v>
      </c>
      <c r="D3" s="50"/>
      <c r="E3" s="50"/>
      <c r="F3" s="50"/>
      <c r="G3" s="49" t="s">
        <v>94</v>
      </c>
      <c r="H3" s="50"/>
      <c r="I3" s="50"/>
      <c r="J3" s="50"/>
      <c r="K3" s="49" t="s">
        <v>95</v>
      </c>
      <c r="L3" s="50"/>
      <c r="M3" s="50"/>
      <c r="N3" s="50"/>
      <c r="O3" s="49" t="s">
        <v>96</v>
      </c>
      <c r="P3" s="50"/>
      <c r="Q3" s="50"/>
      <c r="R3" s="50"/>
      <c r="S3" s="45" t="s">
        <v>1</v>
      </c>
      <c r="T3" s="46"/>
      <c r="U3" s="46"/>
      <c r="V3" s="46"/>
      <c r="W3" s="46"/>
      <c r="X3" s="46"/>
      <c r="Y3" s="46"/>
      <c r="Z3" s="46"/>
      <c r="AA3" s="46"/>
      <c r="AB3" s="46"/>
      <c r="AC3" s="46"/>
      <c r="AD3" s="47" t="s">
        <v>97</v>
      </c>
      <c r="AE3" s="46"/>
      <c r="AF3" s="46"/>
      <c r="AG3" s="46"/>
      <c r="AH3" s="47" t="s">
        <v>98</v>
      </c>
      <c r="AI3" s="46"/>
      <c r="AJ3" s="46"/>
      <c r="AK3" s="46"/>
      <c r="AL3" s="46"/>
      <c r="AM3" s="46"/>
    </row>
    <row r="4" spans="1:39" ht="27.95" customHeight="1" x14ac:dyDescent="0.25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92</v>
      </c>
      <c r="G4" s="1" t="s">
        <v>5</v>
      </c>
      <c r="H4" s="1" t="s">
        <v>6</v>
      </c>
      <c r="I4" s="1" t="s">
        <v>7</v>
      </c>
      <c r="J4" s="1" t="s">
        <v>92</v>
      </c>
      <c r="K4" s="1" t="s">
        <v>5</v>
      </c>
      <c r="L4" s="1" t="s">
        <v>6</v>
      </c>
      <c r="M4" s="1" t="s">
        <v>7</v>
      </c>
      <c r="N4" s="1" t="s">
        <v>92</v>
      </c>
      <c r="O4" s="1" t="s">
        <v>5</v>
      </c>
      <c r="P4" s="1" t="s">
        <v>6</v>
      </c>
      <c r="Q4" s="1" t="s">
        <v>7</v>
      </c>
      <c r="R4" s="1" t="s">
        <v>92</v>
      </c>
      <c r="S4" s="1" t="s">
        <v>5</v>
      </c>
      <c r="T4" s="1" t="s">
        <v>6</v>
      </c>
      <c r="U4" s="1" t="s">
        <v>7</v>
      </c>
      <c r="V4" s="1" t="s">
        <v>8</v>
      </c>
      <c r="W4" s="1" t="s">
        <v>9</v>
      </c>
      <c r="X4" s="1" t="s">
        <v>10</v>
      </c>
      <c r="Y4" s="1" t="s">
        <v>11</v>
      </c>
      <c r="Z4" s="1" t="s">
        <v>12</v>
      </c>
      <c r="AA4" s="1" t="s">
        <v>13</v>
      </c>
      <c r="AB4" s="1" t="s">
        <v>14</v>
      </c>
      <c r="AC4" s="1" t="s">
        <v>15</v>
      </c>
      <c r="AD4" s="1" t="s">
        <v>16</v>
      </c>
      <c r="AE4" s="1" t="s">
        <v>17</v>
      </c>
      <c r="AF4" s="1" t="s">
        <v>18</v>
      </c>
      <c r="AG4" s="1" t="s">
        <v>19</v>
      </c>
      <c r="AH4" s="1" t="s">
        <v>20</v>
      </c>
      <c r="AI4" s="4" t="s">
        <v>99</v>
      </c>
      <c r="AJ4" s="1" t="s">
        <v>21</v>
      </c>
      <c r="AK4" s="1" t="s">
        <v>22</v>
      </c>
      <c r="AL4" s="1" t="s">
        <v>23</v>
      </c>
      <c r="AM4" s="4" t="s">
        <v>100</v>
      </c>
    </row>
    <row r="5" spans="1:39" ht="12.75" customHeight="1" x14ac:dyDescent="0.25">
      <c r="A5" s="31">
        <v>63854</v>
      </c>
      <c r="B5" s="32" t="str">
        <f>IF(A5="","",VLOOKUP(A5,'Employee Database'!A:B,2,FALSE))</f>
        <v>Maham</v>
      </c>
      <c r="C5" s="31">
        <v>25</v>
      </c>
      <c r="D5" s="31">
        <v>79</v>
      </c>
      <c r="E5" s="31">
        <v>1</v>
      </c>
      <c r="F5" s="39">
        <f>IF(COUNT(C5:E5)=0,0,SUMPRODUCT({5000,1000,500},C5:E5))</f>
        <v>204500</v>
      </c>
      <c r="G5" s="31"/>
      <c r="H5" s="31"/>
      <c r="I5" s="31"/>
      <c r="J5" s="39">
        <f>IF(COUNT(G5:I5)=0,0,SUMPRODUCT({5000,1000,500},G5:I5))</f>
        <v>0</v>
      </c>
      <c r="K5" s="31"/>
      <c r="L5" s="31"/>
      <c r="M5" s="31"/>
      <c r="N5" s="39">
        <f>IF(COUNT(K5:M5)=0,0,SUMPRODUCT({5000,1000,500},K5:M5))</f>
        <v>0</v>
      </c>
      <c r="O5" s="31"/>
      <c r="P5" s="31"/>
      <c r="Q5" s="31"/>
      <c r="R5" s="39">
        <f>IF(COUNT(O5:Q5)=0,0,SUMPRODUCT({5000,1000,500},O5:Q5))</f>
        <v>0</v>
      </c>
      <c r="S5" s="31"/>
      <c r="T5" s="31"/>
      <c r="U5" s="31"/>
      <c r="V5" s="31"/>
      <c r="W5" s="31"/>
      <c r="X5" s="31">
        <v>50</v>
      </c>
      <c r="Y5" s="31"/>
      <c r="Z5" s="31">
        <v>25</v>
      </c>
      <c r="AA5" s="31">
        <v>1</v>
      </c>
      <c r="AB5" s="31">
        <v>1</v>
      </c>
      <c r="AC5" s="31"/>
      <c r="AD5" s="34">
        <f>IF(COUNT(S5:AC5)=0,0,SUMPRODUCT({5000,1000,500,100,75,50,20,10,5,2,1}, S5:AC5))</f>
        <v>2757</v>
      </c>
      <c r="AE5" s="33">
        <v>207250</v>
      </c>
      <c r="AF5" s="24">
        <f>IF(AND(COUNT(C5:E5)=0,COUNT(G5:I5)=0,COUNT(K5:M5)=0,COUNT(O5:Q5)=0,COUNT(S5:AC5)=0,AE5=""),"",(IF(COUNT(C5:E5)=0,0,SUMPRODUCT({5000,1000,500},C5:E5))+IF(COUNT(G5:I5)=0,0,SUMPRODUCT({5000,1000,500},G5:I5))+IF(COUNT(K5:M5)=0,0,SUMPRODUCT({5000,1000,500},K5:M5))+IF(COUNT(O5:Q5)=0,0,SUMPRODUCT({5000,1000,500},O5:Q5))+AD5)-N(AE5))</f>
        <v>7</v>
      </c>
      <c r="AG5" s="35" t="str">
        <f t="shared" ref="AG5:AG34" si="0">IF(AF5="","",IF(AF5&gt;0,"Excess",IF(AF5&lt;0,"Short","Balanced")))</f>
        <v>Excess</v>
      </c>
      <c r="AH5" s="38"/>
      <c r="AI5" s="36">
        <v>1059009</v>
      </c>
      <c r="AJ5" s="37">
        <f>445323+613686</f>
        <v>1059009</v>
      </c>
      <c r="AK5" s="26">
        <f t="shared" ref="AK5:AK18" si="1">IF(AND(AI5="",AJ5=""),"",N(AI5)-N(AJ5))</f>
        <v>0</v>
      </c>
      <c r="AL5" s="25" t="str">
        <f t="shared" ref="AL5:AL18" si="2">IF(AK5="","",IF(AK5&gt;0,"POS Excess",IF(AK5&lt;0,"Bank Short","Matched")))</f>
        <v>Matched</v>
      </c>
      <c r="AM5" s="38"/>
    </row>
    <row r="6" spans="1:39" ht="12.75" customHeight="1" x14ac:dyDescent="0.25">
      <c r="A6" s="31">
        <v>67249</v>
      </c>
      <c r="B6" s="32" t="str">
        <f>IF(A6="","",VLOOKUP(A6,'Employee Database'!A:B,2,FALSE))</f>
        <v>Hanan Javaid</v>
      </c>
      <c r="C6" s="31">
        <v>41</v>
      </c>
      <c r="D6" s="31">
        <v>63</v>
      </c>
      <c r="E6" s="31">
        <v>2</v>
      </c>
      <c r="F6" s="39">
        <f>IF(COUNT(C6:E6)=0,0,SUMPRODUCT({5000,1000,500},C6:E6))</f>
        <v>269000</v>
      </c>
      <c r="G6" s="31"/>
      <c r="H6" s="31"/>
      <c r="I6" s="31"/>
      <c r="J6" s="39">
        <f>IF(COUNT(G6:I6)=0,0,SUMPRODUCT({5000,1000,500},G6:I6))</f>
        <v>0</v>
      </c>
      <c r="K6" s="31"/>
      <c r="L6" s="31"/>
      <c r="M6" s="31"/>
      <c r="N6" s="39">
        <f>IF(COUNT(K6:M6)=0,0,SUMPRODUCT({5000,1000,500},K6:M6))</f>
        <v>0</v>
      </c>
      <c r="O6" s="31"/>
      <c r="P6" s="31"/>
      <c r="Q6" s="31"/>
      <c r="R6" s="39">
        <f>IF(COUNT(O6:Q6)=0,0,SUMPRODUCT({5000,1000,500},O6:Q6))</f>
        <v>0</v>
      </c>
      <c r="S6" s="31"/>
      <c r="T6" s="31"/>
      <c r="U6" s="31"/>
      <c r="V6" s="31">
        <v>1</v>
      </c>
      <c r="W6" s="31"/>
      <c r="X6" s="31">
        <v>111</v>
      </c>
      <c r="Y6" s="31"/>
      <c r="Z6" s="31">
        <v>40</v>
      </c>
      <c r="AA6" s="31"/>
      <c r="AB6" s="31"/>
      <c r="AC6" s="31"/>
      <c r="AD6" s="34">
        <f>IF(COUNT(S6:AC6)=0,0,SUMPRODUCT({5000,1000,500,100,75,50,20,10,5,2,1}, S6:AC6))</f>
        <v>6050</v>
      </c>
      <c r="AE6" s="33">
        <v>275046</v>
      </c>
      <c r="AF6" s="24">
        <f>IF(AND(COUNT(C6:E6)=0,COUNT(G6:I6)=0,COUNT(K6:M6)=0,COUNT(O6:Q6)=0,COUNT(S6:AC6)=0,AE6=""),"",(IF(COUNT(C6:E6)=0,0,SUMPRODUCT({5000,1000,500},C6:E6))+IF(COUNT(G6:I6)=0,0,SUMPRODUCT({5000,1000,500},G6:I6))+IF(COUNT(K6:M6)=0,0,SUMPRODUCT({5000,1000,500},K6:M6))+IF(COUNT(O6:Q6)=0,0,SUMPRODUCT({5000,1000,500},O6:Q6))+AD6)-N(AE6))</f>
        <v>4</v>
      </c>
      <c r="AG6" s="35" t="str">
        <f t="shared" si="0"/>
        <v>Excess</v>
      </c>
      <c r="AH6" s="38"/>
      <c r="AI6" s="36">
        <v>592062</v>
      </c>
      <c r="AJ6" s="37">
        <f>258614+333448</f>
        <v>592062</v>
      </c>
      <c r="AK6" s="26">
        <f t="shared" si="1"/>
        <v>0</v>
      </c>
      <c r="AL6" s="25" t="str">
        <f t="shared" si="2"/>
        <v>Matched</v>
      </c>
      <c r="AM6" s="38"/>
    </row>
    <row r="7" spans="1:39" ht="12.75" customHeight="1" x14ac:dyDescent="0.25">
      <c r="A7" s="31">
        <v>65299</v>
      </c>
      <c r="B7" s="32" t="str">
        <f>IF(A7="","",VLOOKUP(A7,'Employee Database'!A:B,2,FALSE))</f>
        <v>M Faisal</v>
      </c>
      <c r="C7" s="31">
        <v>3</v>
      </c>
      <c r="D7" s="31">
        <v>32</v>
      </c>
      <c r="E7" s="31">
        <v>9</v>
      </c>
      <c r="F7" s="39">
        <f>IF(COUNT(C7:E7)=0,0,SUMPRODUCT({5000,1000,500},C7:E7))</f>
        <v>51500</v>
      </c>
      <c r="G7" s="31"/>
      <c r="H7" s="31"/>
      <c r="I7" s="31"/>
      <c r="J7" s="39">
        <f>IF(COUNT(G7:I7)=0,0,SUMPRODUCT({5000,1000,500},G7:I7))</f>
        <v>0</v>
      </c>
      <c r="K7" s="31"/>
      <c r="L7" s="31"/>
      <c r="M7" s="31"/>
      <c r="N7" s="39">
        <f>IF(COUNT(K7:M7)=0,0,SUMPRODUCT({5000,1000,500},K7:M7))</f>
        <v>0</v>
      </c>
      <c r="O7" s="31"/>
      <c r="P7" s="31"/>
      <c r="Q7" s="31"/>
      <c r="R7" s="39">
        <f>IF(COUNT(O7:Q7)=0,0,SUMPRODUCT({5000,1000,500},O7:Q7))</f>
        <v>0</v>
      </c>
      <c r="S7" s="31"/>
      <c r="T7" s="31"/>
      <c r="U7" s="31"/>
      <c r="V7" s="31">
        <v>1</v>
      </c>
      <c r="W7" s="31"/>
      <c r="X7" s="31">
        <v>21</v>
      </c>
      <c r="Y7" s="31">
        <v>1</v>
      </c>
      <c r="Z7" s="31">
        <v>49</v>
      </c>
      <c r="AA7" s="31"/>
      <c r="AB7" s="31"/>
      <c r="AC7" s="31"/>
      <c r="AD7" s="34">
        <f>IF(COUNT(S7:AC7)=0,0,SUMPRODUCT({5000,1000,500,100,75,50,20,10,5,2,1}, S7:AC7))</f>
        <v>1660</v>
      </c>
      <c r="AE7" s="33">
        <v>53151</v>
      </c>
      <c r="AF7" s="24">
        <f>IF(AND(COUNT(C7:E7)=0,COUNT(G7:I7)=0,COUNT(K7:M7)=0,COUNT(O7:Q7)=0,COUNT(S7:AC7)=0,AE7=""),"",(IF(COUNT(C7:E7)=0,0,SUMPRODUCT({5000,1000,500},C7:E7))+IF(COUNT(G7:I7)=0,0,SUMPRODUCT({5000,1000,500},G7:I7))+IF(COUNT(K7:M7)=0,0,SUMPRODUCT({5000,1000,500},K7:M7))+IF(COUNT(O7:Q7)=0,0,SUMPRODUCT({5000,1000,500},O7:Q7))+AD7)-N(AE7))</f>
        <v>9</v>
      </c>
      <c r="AG7" s="35" t="str">
        <f t="shared" si="0"/>
        <v>Excess</v>
      </c>
      <c r="AH7" s="38"/>
      <c r="AI7" s="36">
        <v>34463</v>
      </c>
      <c r="AJ7" s="37">
        <f>10919+23543+1</f>
        <v>34463</v>
      </c>
      <c r="AK7" s="26">
        <f t="shared" si="1"/>
        <v>0</v>
      </c>
      <c r="AL7" s="25" t="str">
        <f t="shared" si="2"/>
        <v>Matched</v>
      </c>
      <c r="AM7" s="38"/>
    </row>
    <row r="8" spans="1:39" ht="12.75" customHeight="1" x14ac:dyDescent="0.25">
      <c r="A8" s="31">
        <v>68107</v>
      </c>
      <c r="B8" s="32" t="str">
        <f>IF(A8="","",VLOOKUP(A8,'Employee Database'!A:B,2,FALSE))</f>
        <v>M Harris</v>
      </c>
      <c r="C8" s="31">
        <v>36</v>
      </c>
      <c r="D8" s="31">
        <v>45</v>
      </c>
      <c r="E8" s="31">
        <v>74</v>
      </c>
      <c r="F8" s="39">
        <f>IF(COUNT(C8:E8)=0,0,SUMPRODUCT({5000,1000,500},C8:E8))</f>
        <v>262000</v>
      </c>
      <c r="G8" s="31"/>
      <c r="H8" s="31"/>
      <c r="I8" s="31"/>
      <c r="J8" s="39">
        <f>IF(COUNT(G8:I8)=0,0,SUMPRODUCT({5000,1000,500},G8:I8))</f>
        <v>0</v>
      </c>
      <c r="K8" s="31"/>
      <c r="L8" s="31"/>
      <c r="M8" s="31"/>
      <c r="N8" s="39">
        <f>IF(COUNT(K8:M8)=0,0,SUMPRODUCT({5000,1000,500},K8:M8))</f>
        <v>0</v>
      </c>
      <c r="O8" s="31"/>
      <c r="P8" s="31"/>
      <c r="Q8" s="31"/>
      <c r="R8" s="39">
        <f>IF(COUNT(O8:Q8)=0,0,SUMPRODUCT({5000,1000,500},O8:Q8))</f>
        <v>0</v>
      </c>
      <c r="S8" s="31"/>
      <c r="T8" s="31"/>
      <c r="U8" s="31"/>
      <c r="V8" s="31"/>
      <c r="W8" s="31"/>
      <c r="X8" s="31">
        <v>14</v>
      </c>
      <c r="Y8" s="31"/>
      <c r="Z8" s="31">
        <v>52</v>
      </c>
      <c r="AA8" s="31"/>
      <c r="AB8" s="31"/>
      <c r="AC8" s="31"/>
      <c r="AD8" s="34">
        <f>IF(COUNT(S8:AC8)=0,0,SUMPRODUCT({5000,1000,500,100,75,50,20,10,5,2,1}, S8:AC8))</f>
        <v>1220</v>
      </c>
      <c r="AE8" s="33">
        <v>263216</v>
      </c>
      <c r="AF8" s="24">
        <f>IF(AND(COUNT(C8:E8)=0,COUNT(G8:I8)=0,COUNT(K8:M8)=0,COUNT(O8:Q8)=0,COUNT(S8:AC8)=0,AE8=""),"",(IF(COUNT(C8:E8)=0,0,SUMPRODUCT({5000,1000,500},C8:E8))+IF(COUNT(G8:I8)=0,0,SUMPRODUCT({5000,1000,500},G8:I8))+IF(COUNT(K8:M8)=0,0,SUMPRODUCT({5000,1000,500},K8:M8))+IF(COUNT(O8:Q8)=0,0,SUMPRODUCT({5000,1000,500},O8:Q8))+AD8)-N(AE8))</f>
        <v>4</v>
      </c>
      <c r="AG8" s="35" t="str">
        <f t="shared" si="0"/>
        <v>Excess</v>
      </c>
      <c r="AH8" s="38"/>
      <c r="AI8" s="36">
        <f>891027</f>
        <v>891027</v>
      </c>
      <c r="AJ8" s="37">
        <f>481399+409627+1</f>
        <v>891027</v>
      </c>
      <c r="AK8" s="26">
        <f t="shared" si="1"/>
        <v>0</v>
      </c>
      <c r="AL8" s="25" t="str">
        <f t="shared" si="2"/>
        <v>Matched</v>
      </c>
      <c r="AM8" s="38"/>
    </row>
    <row r="9" spans="1:39" ht="12.75" customHeight="1" x14ac:dyDescent="0.25">
      <c r="A9" s="31">
        <v>58112</v>
      </c>
      <c r="B9" s="32" t="str">
        <f>IF(A9="","",VLOOKUP(A9,'Employee Database'!A:B,2,FALSE))</f>
        <v>Shama</v>
      </c>
      <c r="C9" s="31">
        <v>28</v>
      </c>
      <c r="D9" s="31">
        <v>81</v>
      </c>
      <c r="E9" s="31">
        <v>31</v>
      </c>
      <c r="F9" s="39">
        <f>IF(COUNT(C9:E9)=0,0,SUMPRODUCT({5000,1000,500},C9:E9))</f>
        <v>236500</v>
      </c>
      <c r="G9" s="31"/>
      <c r="H9" s="31"/>
      <c r="I9" s="31"/>
      <c r="J9" s="39">
        <f>IF(COUNT(G9:I9)=0,0,SUMPRODUCT({5000,1000,500},G9:I9))</f>
        <v>0</v>
      </c>
      <c r="K9" s="31"/>
      <c r="L9" s="31"/>
      <c r="M9" s="31"/>
      <c r="N9" s="39">
        <f>IF(COUNT(K9:M9)=0,0,SUMPRODUCT({5000,1000,500},K9:M9))</f>
        <v>0</v>
      </c>
      <c r="O9" s="31"/>
      <c r="P9" s="31"/>
      <c r="Q9" s="31"/>
      <c r="R9" s="39">
        <f>IF(COUNT(O9:Q9)=0,0,SUMPRODUCT({5000,1000,500},O9:Q9))</f>
        <v>0</v>
      </c>
      <c r="S9" s="31"/>
      <c r="T9" s="31"/>
      <c r="U9" s="31"/>
      <c r="V9" s="31">
        <v>27</v>
      </c>
      <c r="W9" s="31"/>
      <c r="X9" s="31">
        <v>31</v>
      </c>
      <c r="Y9" s="31"/>
      <c r="Z9" s="31">
        <v>29</v>
      </c>
      <c r="AA9" s="31"/>
      <c r="AB9" s="31"/>
      <c r="AC9" s="31"/>
      <c r="AD9" s="34">
        <f>IF(COUNT(S9:AC9)=0,0,SUMPRODUCT({5000,1000,500,100,75,50,20,10,5,2,1}, S9:AC9))</f>
        <v>4540</v>
      </c>
      <c r="AE9" s="33">
        <v>241108</v>
      </c>
      <c r="AF9" s="24">
        <f>IF(AND(COUNT(C9:E9)=0,COUNT(G9:I9)=0,COUNT(K9:M9)=0,COUNT(O9:Q9)=0,COUNT(S9:AC9)=0,AE9=""),"",(IF(COUNT(C9:E9)=0,0,SUMPRODUCT({5000,1000,500},C9:E9))+IF(COUNT(G9:I9)=0,0,SUMPRODUCT({5000,1000,500},G9:I9))+IF(COUNT(K9:M9)=0,0,SUMPRODUCT({5000,1000,500},K9:M9))+IF(COUNT(O9:Q9)=0,0,SUMPRODUCT({5000,1000,500},O9:Q9))+AD9)-N(AE9))</f>
        <v>-68</v>
      </c>
      <c r="AG9" s="35" t="str">
        <f t="shared" si="0"/>
        <v>Short</v>
      </c>
      <c r="AH9" s="38"/>
      <c r="AI9" s="36">
        <v>473146</v>
      </c>
      <c r="AJ9" s="37">
        <f>61661+411484+1</f>
        <v>473146</v>
      </c>
      <c r="AK9" s="26">
        <f t="shared" si="1"/>
        <v>0</v>
      </c>
      <c r="AL9" s="25" t="str">
        <f t="shared" si="2"/>
        <v>Matched</v>
      </c>
      <c r="AM9" s="38"/>
    </row>
    <row r="10" spans="1:39" ht="12.75" customHeight="1" x14ac:dyDescent="0.25">
      <c r="A10" s="31">
        <v>59257</v>
      </c>
      <c r="B10" s="32" t="str">
        <f>IF(A10="","",VLOOKUP(A10,'Employee Database'!A:B,2,FALSE))</f>
        <v>Saddiqa Maryam</v>
      </c>
      <c r="C10" s="31">
        <v>23</v>
      </c>
      <c r="D10" s="31">
        <v>83</v>
      </c>
      <c r="E10" s="31">
        <v>10</v>
      </c>
      <c r="F10" s="39">
        <f>IF(COUNT(C10:E10)=0,0,SUMPRODUCT({5000,1000,500},C10:E10))</f>
        <v>203000</v>
      </c>
      <c r="G10" s="31"/>
      <c r="H10" s="31"/>
      <c r="I10" s="31"/>
      <c r="J10" s="39">
        <f>IF(COUNT(G10:I10)=0,0,SUMPRODUCT({5000,1000,500},G10:I10))</f>
        <v>0</v>
      </c>
      <c r="K10" s="31"/>
      <c r="L10" s="31"/>
      <c r="M10" s="31"/>
      <c r="N10" s="39">
        <f>IF(COUNT(K10:M10)=0,0,SUMPRODUCT({5000,1000,500},K10:M10))</f>
        <v>0</v>
      </c>
      <c r="O10" s="31"/>
      <c r="P10" s="31"/>
      <c r="Q10" s="31"/>
      <c r="R10" s="39">
        <f>IF(COUNT(O10:Q10)=0,0,SUMPRODUCT({5000,1000,500},O10:Q10))</f>
        <v>0</v>
      </c>
      <c r="S10" s="31"/>
      <c r="T10" s="31"/>
      <c r="U10" s="31"/>
      <c r="V10" s="31">
        <v>4</v>
      </c>
      <c r="W10" s="31"/>
      <c r="X10" s="31">
        <v>5</v>
      </c>
      <c r="Y10" s="31">
        <v>2</v>
      </c>
      <c r="Z10" s="31">
        <v>40</v>
      </c>
      <c r="AA10" s="31"/>
      <c r="AB10" s="31"/>
      <c r="AC10" s="31"/>
      <c r="AD10" s="34">
        <f>IF(COUNT(S10:AC10)=0,0,SUMPRODUCT({5000,1000,500,100,75,50,20,10,5,2,1}, S10:AC10))</f>
        <v>1090</v>
      </c>
      <c r="AE10" s="33">
        <v>204247</v>
      </c>
      <c r="AF10" s="24">
        <f>IF(AND(COUNT(C10:E10)=0,COUNT(G10:I10)=0,COUNT(K10:M10)=0,COUNT(O10:Q10)=0,COUNT(S10:AC10)=0,AE10=""),"",(IF(COUNT(C10:E10)=0,0,SUMPRODUCT({5000,1000,500},C10:E10))+IF(COUNT(G10:I10)=0,0,SUMPRODUCT({5000,1000,500},G10:I10))+IF(COUNT(K10:M10)=0,0,SUMPRODUCT({5000,1000,500},K10:M10))+IF(COUNT(O10:Q10)=0,0,SUMPRODUCT({5000,1000,500},O10:Q10))+AD10)-N(AE10))</f>
        <v>-157</v>
      </c>
      <c r="AG10" s="35" t="str">
        <f t="shared" si="0"/>
        <v>Short</v>
      </c>
      <c r="AH10" s="38"/>
      <c r="AI10" s="36">
        <v>299170</v>
      </c>
      <c r="AJ10" s="37">
        <f>161602+137568</f>
        <v>299170</v>
      </c>
      <c r="AK10" s="26">
        <f t="shared" si="1"/>
        <v>0</v>
      </c>
      <c r="AL10" s="25" t="str">
        <f t="shared" si="2"/>
        <v>Matched</v>
      </c>
      <c r="AM10" s="38"/>
    </row>
    <row r="11" spans="1:39" ht="12.75" customHeight="1" x14ac:dyDescent="0.25">
      <c r="A11" s="31">
        <v>73196</v>
      </c>
      <c r="B11" s="32" t="str">
        <f>IF(A11="","",VLOOKUP(A11,'Employee Database'!A:B,2,FALSE))</f>
        <v>Asma</v>
      </c>
      <c r="C11" s="31">
        <v>57</v>
      </c>
      <c r="D11" s="31">
        <v>157</v>
      </c>
      <c r="E11" s="31">
        <v>20</v>
      </c>
      <c r="F11" s="39">
        <f>IF(COUNT(C11:E11)=0,0,SUMPRODUCT({5000,1000,500},C11:E11))</f>
        <v>452000</v>
      </c>
      <c r="G11" s="31"/>
      <c r="H11" s="31"/>
      <c r="I11" s="31"/>
      <c r="J11" s="39">
        <f>IF(COUNT(G11:I11)=0,0,SUMPRODUCT({5000,1000,500},G11:I11))</f>
        <v>0</v>
      </c>
      <c r="K11" s="31"/>
      <c r="L11" s="31"/>
      <c r="M11" s="31"/>
      <c r="N11" s="39">
        <f>IF(COUNT(K11:M11)=0,0,SUMPRODUCT({5000,1000,500},K11:M11))</f>
        <v>0</v>
      </c>
      <c r="O11" s="31"/>
      <c r="P11" s="31"/>
      <c r="Q11" s="31"/>
      <c r="R11" s="39">
        <f>IF(COUNT(O11:Q11)=0,0,SUMPRODUCT({5000,1000,500},O11:Q11))</f>
        <v>0</v>
      </c>
      <c r="S11" s="31"/>
      <c r="T11" s="31"/>
      <c r="U11" s="31"/>
      <c r="V11" s="31"/>
      <c r="W11" s="31"/>
      <c r="X11" s="31">
        <v>48</v>
      </c>
      <c r="Y11" s="31"/>
      <c r="Z11" s="31">
        <v>15</v>
      </c>
      <c r="AA11" s="31"/>
      <c r="AB11" s="31"/>
      <c r="AC11" s="31"/>
      <c r="AD11" s="34">
        <f>IF(COUNT(S11:AC11)=0,0,SUMPRODUCT({5000,1000,500,100,75,50,20,10,5,2,1}, S11:AC11))</f>
        <v>2550</v>
      </c>
      <c r="AE11" s="33">
        <v>454565</v>
      </c>
      <c r="AF11" s="24">
        <f>IF(AND(COUNT(C11:E11)=0,COUNT(G11:I11)=0,COUNT(K11:M11)=0,COUNT(O11:Q11)=0,COUNT(S11:AC11)=0,AE11=""),"",(IF(COUNT(C11:E11)=0,0,SUMPRODUCT({5000,1000,500},C11:E11))+IF(COUNT(G11:I11)=0,0,SUMPRODUCT({5000,1000,500},G11:I11))+IF(COUNT(K11:M11)=0,0,SUMPRODUCT({5000,1000,500},K11:M11))+IF(COUNT(O11:Q11)=0,0,SUMPRODUCT({5000,1000,500},O11:Q11))+AD11)-N(AE11))</f>
        <v>-15</v>
      </c>
      <c r="AG11" s="35" t="str">
        <f t="shared" si="0"/>
        <v>Short</v>
      </c>
      <c r="AH11" s="38"/>
      <c r="AI11" s="36">
        <v>654767</v>
      </c>
      <c r="AJ11" s="37">
        <f>242090+412676+1</f>
        <v>654767</v>
      </c>
      <c r="AK11" s="26">
        <f t="shared" si="1"/>
        <v>0</v>
      </c>
      <c r="AL11" s="25" t="str">
        <f t="shared" si="2"/>
        <v>Matched</v>
      </c>
      <c r="AM11" s="38"/>
    </row>
    <row r="12" spans="1:39" ht="12.75" customHeight="1" x14ac:dyDescent="0.25">
      <c r="A12" s="31">
        <v>77423</v>
      </c>
      <c r="B12" s="32" t="str">
        <f>IF(A12="","",VLOOKUP(A12,'Employee Database'!A:B,2,FALSE))</f>
        <v>Shoaib Akhtar</v>
      </c>
      <c r="C12" s="31">
        <v>15</v>
      </c>
      <c r="D12" s="31">
        <v>24</v>
      </c>
      <c r="E12" s="31">
        <v>4</v>
      </c>
      <c r="F12" s="39">
        <f>IF(COUNT(C12:E12)=0,0,SUMPRODUCT({5000,1000,500},C12:E12))</f>
        <v>101000</v>
      </c>
      <c r="G12" s="31"/>
      <c r="H12" s="31"/>
      <c r="I12" s="31"/>
      <c r="J12" s="39">
        <f>IF(COUNT(G12:I12)=0,0,SUMPRODUCT({5000,1000,500},G12:I12))</f>
        <v>0</v>
      </c>
      <c r="K12" s="31"/>
      <c r="L12" s="31"/>
      <c r="M12" s="31"/>
      <c r="N12" s="39">
        <f>IF(COUNT(K12:M12)=0,0,SUMPRODUCT({5000,1000,500},K12:M12))</f>
        <v>0</v>
      </c>
      <c r="O12" s="31"/>
      <c r="P12" s="31"/>
      <c r="Q12" s="31"/>
      <c r="R12" s="39">
        <f>IF(COUNT(O12:Q12)=0,0,SUMPRODUCT({5000,1000,500},O12:Q12))</f>
        <v>0</v>
      </c>
      <c r="S12" s="31"/>
      <c r="T12" s="31"/>
      <c r="U12" s="31"/>
      <c r="V12" s="31">
        <v>1</v>
      </c>
      <c r="W12" s="31"/>
      <c r="X12" s="31">
        <v>55</v>
      </c>
      <c r="Y12" s="31"/>
      <c r="Z12" s="31">
        <v>67</v>
      </c>
      <c r="AA12" s="31"/>
      <c r="AB12" s="31"/>
      <c r="AC12" s="31"/>
      <c r="AD12" s="34">
        <f>IF(COUNT(S12:AC12)=0,0,SUMPRODUCT({5000,1000,500,100,75,50,20,10,5,2,1}, S12:AC12))</f>
        <v>3520</v>
      </c>
      <c r="AE12" s="33">
        <v>104481</v>
      </c>
      <c r="AF12" s="24">
        <f>IF(AND(COUNT(C12:E12)=0,COUNT(G12:I12)=0,COUNT(K12:M12)=0,COUNT(O12:Q12)=0,COUNT(S12:AC12)=0,AE12=""),"",(IF(COUNT(C12:E12)=0,0,SUMPRODUCT({5000,1000,500},C12:E12))+IF(COUNT(G12:I12)=0,0,SUMPRODUCT({5000,1000,500},G12:I12))+IF(COUNT(K12:M12)=0,0,SUMPRODUCT({5000,1000,500},K12:M12))+IF(COUNT(O12:Q12)=0,0,SUMPRODUCT({5000,1000,500},O12:Q12))+AD12)-N(AE12))</f>
        <v>39</v>
      </c>
      <c r="AG12" s="35" t="str">
        <f t="shared" si="0"/>
        <v>Excess</v>
      </c>
      <c r="AH12" s="38"/>
      <c r="AI12" s="36">
        <f>7433+297544</f>
        <v>304977</v>
      </c>
      <c r="AJ12" s="37">
        <f>297544+7433</f>
        <v>304977</v>
      </c>
      <c r="AK12" s="26">
        <f t="shared" si="1"/>
        <v>0</v>
      </c>
      <c r="AL12" s="25" t="str">
        <f t="shared" si="2"/>
        <v>Matched</v>
      </c>
      <c r="AM12" s="38"/>
    </row>
    <row r="13" spans="1:39" ht="12.75" customHeight="1" x14ac:dyDescent="0.25">
      <c r="A13" s="31">
        <v>72873</v>
      </c>
      <c r="B13" s="32" t="str">
        <f>IF(A13="","",VLOOKUP(A13,'Employee Database'!A:B,2,FALSE))</f>
        <v>M Shajee</v>
      </c>
      <c r="C13" s="31">
        <v>10</v>
      </c>
      <c r="D13" s="31">
        <v>63</v>
      </c>
      <c r="E13" s="31">
        <v>29</v>
      </c>
      <c r="F13" s="39">
        <f>IF(COUNT(C13:E13)=0,0,SUMPRODUCT({5000,1000,500},C13:E13))</f>
        <v>127500</v>
      </c>
      <c r="G13" s="31"/>
      <c r="H13" s="31"/>
      <c r="I13" s="31"/>
      <c r="J13" s="39">
        <f>IF(COUNT(G13:I13)=0,0,SUMPRODUCT({5000,1000,500},G13:I13))</f>
        <v>0</v>
      </c>
      <c r="K13" s="31"/>
      <c r="L13" s="31"/>
      <c r="M13" s="31"/>
      <c r="N13" s="39">
        <f>IF(COUNT(K13:M13)=0,0,SUMPRODUCT({5000,1000,500},K13:M13))</f>
        <v>0</v>
      </c>
      <c r="O13" s="31"/>
      <c r="P13" s="31"/>
      <c r="Q13" s="31"/>
      <c r="R13" s="39">
        <f>IF(COUNT(O13:Q13)=0,0,SUMPRODUCT({5000,1000,500},O13:Q13))</f>
        <v>0</v>
      </c>
      <c r="S13" s="31"/>
      <c r="T13" s="31"/>
      <c r="U13" s="31"/>
      <c r="V13" s="31"/>
      <c r="W13" s="31"/>
      <c r="X13" s="31">
        <v>65</v>
      </c>
      <c r="Y13" s="31">
        <v>3</v>
      </c>
      <c r="Z13" s="31">
        <v>82</v>
      </c>
      <c r="AA13" s="31"/>
      <c r="AB13" s="31"/>
      <c r="AC13" s="31"/>
      <c r="AD13" s="34">
        <f>IF(COUNT(S13:AC13)=0,0,SUMPRODUCT({5000,1000,500,100,75,50,20,10,5,2,1}, S13:AC13))</f>
        <v>4130</v>
      </c>
      <c r="AE13" s="33">
        <v>131650</v>
      </c>
      <c r="AF13" s="24">
        <f>IF(AND(COUNT(C13:E13)=0,COUNT(G13:I13)=0,COUNT(K13:M13)=0,COUNT(O13:Q13)=0,COUNT(S13:AC13)=0,AE13=""),"",(IF(COUNT(C13:E13)=0,0,SUMPRODUCT({5000,1000,500},C13:E13))+IF(COUNT(G13:I13)=0,0,SUMPRODUCT({5000,1000,500},G13:I13))+IF(COUNT(K13:M13)=0,0,SUMPRODUCT({5000,1000,500},K13:M13))+IF(COUNT(O13:Q13)=0,0,SUMPRODUCT({5000,1000,500},O13:Q13))+AD13)-N(AE13))</f>
        <v>-20</v>
      </c>
      <c r="AG13" s="35" t="str">
        <f t="shared" si="0"/>
        <v>Short</v>
      </c>
      <c r="AH13" s="38"/>
      <c r="AI13" s="36">
        <v>296153</v>
      </c>
      <c r="AJ13" s="37">
        <v>296153</v>
      </c>
      <c r="AK13" s="26">
        <f t="shared" si="1"/>
        <v>0</v>
      </c>
      <c r="AL13" s="25" t="str">
        <f t="shared" si="2"/>
        <v>Matched</v>
      </c>
      <c r="AM13" s="38"/>
    </row>
    <row r="14" spans="1:39" ht="12.75" customHeight="1" x14ac:dyDescent="0.25">
      <c r="A14" s="31">
        <v>56189</v>
      </c>
      <c r="B14" s="32" t="str">
        <f>IF(A14="","",VLOOKUP(A14,'Employee Database'!A:B,2,FALSE))</f>
        <v>Iffat Sultan</v>
      </c>
      <c r="C14" s="31">
        <v>32</v>
      </c>
      <c r="D14" s="31">
        <v>96</v>
      </c>
      <c r="E14" s="31">
        <v>13</v>
      </c>
      <c r="F14" s="39">
        <f>IF(COUNT(C14:E14)=0,0,SUMPRODUCT({5000,1000,500},C14:E14))</f>
        <v>262500</v>
      </c>
      <c r="G14" s="31"/>
      <c r="H14" s="31"/>
      <c r="I14" s="31"/>
      <c r="J14" s="39">
        <f>IF(COUNT(G14:I14)=0,0,SUMPRODUCT({5000,1000,500},G14:I14))</f>
        <v>0</v>
      </c>
      <c r="K14" s="31"/>
      <c r="L14" s="31"/>
      <c r="M14" s="31"/>
      <c r="N14" s="39">
        <f>IF(COUNT(K14:M14)=0,0,SUMPRODUCT({5000,1000,500},K14:M14))</f>
        <v>0</v>
      </c>
      <c r="O14" s="31"/>
      <c r="P14" s="31"/>
      <c r="Q14" s="31"/>
      <c r="R14" s="39">
        <f>IF(COUNT(O14:Q14)=0,0,SUMPRODUCT({5000,1000,500},O14:Q14))</f>
        <v>0</v>
      </c>
      <c r="S14" s="31"/>
      <c r="T14" s="31"/>
      <c r="U14" s="31"/>
      <c r="V14" s="31">
        <v>1</v>
      </c>
      <c r="W14" s="31"/>
      <c r="X14" s="31">
        <v>30</v>
      </c>
      <c r="Y14" s="31"/>
      <c r="Z14" s="31">
        <v>49</v>
      </c>
      <c r="AA14" s="31"/>
      <c r="AB14" s="31"/>
      <c r="AC14" s="31"/>
      <c r="AD14" s="34">
        <f>IF(COUNT(S14:AC14)=0,0,SUMPRODUCT({5000,1000,500,100,75,50,20,10,5,2,1}, S14:AC14))</f>
        <v>2090</v>
      </c>
      <c r="AE14" s="33">
        <v>264542</v>
      </c>
      <c r="AF14" s="24">
        <f>IF(AND(COUNT(C14:E14)=0,COUNT(G14:I14)=0,COUNT(K14:M14)=0,COUNT(O14:Q14)=0,COUNT(S14:AC14)=0,AE14=""),"",(IF(COUNT(C14:E14)=0,0,SUMPRODUCT({5000,1000,500},C14:E14))+IF(COUNT(G14:I14)=0,0,SUMPRODUCT({5000,1000,500},G14:I14))+IF(COUNT(K14:M14)=0,0,SUMPRODUCT({5000,1000,500},K14:M14))+IF(COUNT(O14:Q14)=0,0,SUMPRODUCT({5000,1000,500},O14:Q14))+AD14)-N(AE14))</f>
        <v>48</v>
      </c>
      <c r="AG14" s="35" t="str">
        <f t="shared" si="0"/>
        <v>Excess</v>
      </c>
      <c r="AH14" s="38"/>
      <c r="AI14" s="36">
        <f>327578+496549</f>
        <v>824127</v>
      </c>
      <c r="AJ14" s="37">
        <f>496549+327578</f>
        <v>824127</v>
      </c>
      <c r="AK14" s="26">
        <f t="shared" si="1"/>
        <v>0</v>
      </c>
      <c r="AL14" s="25" t="str">
        <f t="shared" si="2"/>
        <v>Matched</v>
      </c>
      <c r="AM14" s="38"/>
    </row>
    <row r="15" spans="1:39" ht="12.75" customHeight="1" x14ac:dyDescent="0.25">
      <c r="A15" s="31">
        <v>69213</v>
      </c>
      <c r="B15" s="32" t="str">
        <f>IF(A15="","",VLOOKUP(A15,'Employee Database'!A:B,2,FALSE))</f>
        <v>Muhammad Shahbaz</v>
      </c>
      <c r="C15" s="31"/>
      <c r="D15" s="31"/>
      <c r="E15" s="31"/>
      <c r="F15" s="39">
        <f>IF(COUNT(C15:E15)=0,0,SUMPRODUCT({5000,1000,500},C15:E15))</f>
        <v>0</v>
      </c>
      <c r="G15" s="31">
        <v>35</v>
      </c>
      <c r="H15" s="31">
        <v>42</v>
      </c>
      <c r="I15" s="31"/>
      <c r="J15" s="39">
        <f>IF(COUNT(G15:I15)=0,0,SUMPRODUCT({5000,1000,500},G15:I15))</f>
        <v>217000</v>
      </c>
      <c r="K15" s="31"/>
      <c r="L15" s="31"/>
      <c r="M15" s="31"/>
      <c r="N15" s="39">
        <f>IF(COUNT(K15:M15)=0,0,SUMPRODUCT({5000,1000,500},K15:M15))</f>
        <v>0</v>
      </c>
      <c r="O15" s="31"/>
      <c r="P15" s="31"/>
      <c r="Q15" s="31"/>
      <c r="R15" s="39">
        <f>IF(COUNT(O15:Q15)=0,0,SUMPRODUCT({5000,1000,500},O15:Q15))</f>
        <v>0</v>
      </c>
      <c r="S15" s="31"/>
      <c r="T15" s="31"/>
      <c r="U15" s="31"/>
      <c r="V15" s="31">
        <v>6</v>
      </c>
      <c r="W15" s="31"/>
      <c r="X15" s="31">
        <v>56</v>
      </c>
      <c r="Y15" s="31"/>
      <c r="Z15" s="31">
        <v>77</v>
      </c>
      <c r="AA15" s="31"/>
      <c r="AB15" s="31"/>
      <c r="AC15" s="31"/>
      <c r="AD15" s="34">
        <f>IF(COUNT(S15:AC15)=0,0,SUMPRODUCT({5000,1000,500,100,75,50,20,10,5,2,1}, S15:AC15))</f>
        <v>4170</v>
      </c>
      <c r="AE15" s="33">
        <v>221117</v>
      </c>
      <c r="AF15" s="24">
        <f>IF(AND(COUNT(C15:E15)=0,COUNT(G15:I15)=0,COUNT(K15:M15)=0,COUNT(O15:Q15)=0,COUNT(S15:AC15)=0,AE15=""),"",(IF(COUNT(C15:E15)=0,0,SUMPRODUCT({5000,1000,500},C15:E15))+IF(COUNT(G15:I15)=0,0,SUMPRODUCT({5000,1000,500},G15:I15))+IF(COUNT(K15:M15)=0,0,SUMPRODUCT({5000,1000,500},K15:M15))+IF(COUNT(O15:Q15)=0,0,SUMPRODUCT({5000,1000,500},O15:Q15))+AD15)-N(AE15))</f>
        <v>53</v>
      </c>
      <c r="AG15" s="35" t="str">
        <f t="shared" si="0"/>
        <v>Excess</v>
      </c>
      <c r="AH15" s="38"/>
      <c r="AI15" s="36">
        <v>339414</v>
      </c>
      <c r="AJ15" s="37">
        <v>339414</v>
      </c>
      <c r="AK15" s="26">
        <f t="shared" si="1"/>
        <v>0</v>
      </c>
      <c r="AL15" s="25" t="str">
        <f t="shared" si="2"/>
        <v>Matched</v>
      </c>
      <c r="AM15" s="38"/>
    </row>
    <row r="16" spans="1:39" ht="12.75" customHeight="1" x14ac:dyDescent="0.25">
      <c r="A16" s="31">
        <v>79593</v>
      </c>
      <c r="B16" s="32" t="str">
        <f>IF(A16="","",VLOOKUP(A16,'Employee Database'!A:B,2,FALSE))</f>
        <v>Amir</v>
      </c>
      <c r="C16" s="31"/>
      <c r="D16" s="31"/>
      <c r="E16" s="31"/>
      <c r="F16" s="39">
        <f>IF(COUNT(C16:E16)=0,0,SUMPRODUCT({5000,1000,500},C16:E16))</f>
        <v>0</v>
      </c>
      <c r="G16" s="31">
        <v>35</v>
      </c>
      <c r="H16" s="31">
        <v>45</v>
      </c>
      <c r="I16" s="31">
        <v>6</v>
      </c>
      <c r="J16" s="39">
        <f>IF(COUNT(G16:I16)=0,0,SUMPRODUCT({5000,1000,500},G16:I16))</f>
        <v>223000</v>
      </c>
      <c r="K16" s="31"/>
      <c r="L16" s="31"/>
      <c r="M16" s="31"/>
      <c r="N16" s="39">
        <f>IF(COUNT(K16:M16)=0,0,SUMPRODUCT({5000,1000,500},K16:M16))</f>
        <v>0</v>
      </c>
      <c r="O16" s="31"/>
      <c r="P16" s="31"/>
      <c r="Q16" s="31"/>
      <c r="R16" s="39">
        <f>IF(COUNT(O16:Q16)=0,0,SUMPRODUCT({5000,1000,500},O16:Q16))</f>
        <v>0</v>
      </c>
      <c r="S16" s="31"/>
      <c r="T16" s="31"/>
      <c r="U16" s="31"/>
      <c r="V16" s="31">
        <v>3</v>
      </c>
      <c r="W16" s="31"/>
      <c r="X16" s="31">
        <v>28</v>
      </c>
      <c r="Y16" s="31">
        <v>1</v>
      </c>
      <c r="Z16" s="31">
        <v>34</v>
      </c>
      <c r="AA16" s="31"/>
      <c r="AB16" s="31"/>
      <c r="AC16" s="31"/>
      <c r="AD16" s="34">
        <f>IF(COUNT(S16:AC16)=0,0,SUMPRODUCT({5000,1000,500,100,75,50,20,10,5,2,1}, S16:AC16))</f>
        <v>2060</v>
      </c>
      <c r="AE16" s="33">
        <v>225024</v>
      </c>
      <c r="AF16" s="24">
        <f>IF(AND(COUNT(C16:E16)=0,COUNT(G16:I16)=0,COUNT(K16:M16)=0,COUNT(O16:Q16)=0,COUNT(S16:AC16)=0,AE16=""),"",(IF(COUNT(C16:E16)=0,0,SUMPRODUCT({5000,1000,500},C16:E16))+IF(COUNT(G16:I16)=0,0,SUMPRODUCT({5000,1000,500},G16:I16))+IF(COUNT(K16:M16)=0,0,SUMPRODUCT({5000,1000,500},K16:M16))+IF(COUNT(O16:Q16)=0,0,SUMPRODUCT({5000,1000,500},O16:Q16))+AD16)-N(AE16))</f>
        <v>36</v>
      </c>
      <c r="AG16" s="35" t="str">
        <f t="shared" si="0"/>
        <v>Excess</v>
      </c>
      <c r="AH16" s="38"/>
      <c r="AI16" s="36">
        <v>678988</v>
      </c>
      <c r="AJ16" s="37">
        <f>477455+201533</f>
        <v>678988</v>
      </c>
      <c r="AK16" s="26">
        <f t="shared" si="1"/>
        <v>0</v>
      </c>
      <c r="AL16" s="25" t="str">
        <f t="shared" si="2"/>
        <v>Matched</v>
      </c>
      <c r="AM16" s="38"/>
    </row>
    <row r="17" spans="1:39" ht="12.75" customHeight="1" x14ac:dyDescent="0.25">
      <c r="A17" s="31">
        <v>67250</v>
      </c>
      <c r="B17" s="32" t="str">
        <f>IF(A17="","",VLOOKUP(A17,'Employee Database'!A:B,2,FALSE))</f>
        <v>M Fiaz</v>
      </c>
      <c r="C17" s="31"/>
      <c r="D17" s="31"/>
      <c r="E17" s="31"/>
      <c r="F17" s="39">
        <f>IF(COUNT(C17:E17)=0,0,SUMPRODUCT({5000,1000,500},C17:E17))</f>
        <v>0</v>
      </c>
      <c r="G17" s="31">
        <v>42</v>
      </c>
      <c r="H17" s="31">
        <v>80</v>
      </c>
      <c r="I17" s="31">
        <v>5</v>
      </c>
      <c r="J17" s="39">
        <f>IF(COUNT(G17:I17)=0,0,SUMPRODUCT({5000,1000,500},G17:I17))</f>
        <v>292500</v>
      </c>
      <c r="K17" s="31"/>
      <c r="L17" s="31"/>
      <c r="M17" s="31"/>
      <c r="N17" s="39">
        <f>IF(COUNT(K17:M17)=0,0,SUMPRODUCT({5000,1000,500},K17:M17))</f>
        <v>0</v>
      </c>
      <c r="O17" s="31"/>
      <c r="P17" s="31"/>
      <c r="Q17" s="31"/>
      <c r="R17" s="39">
        <f>IF(COUNT(O17:Q17)=0,0,SUMPRODUCT({5000,1000,500},O17:Q17))</f>
        <v>0</v>
      </c>
      <c r="S17" s="31"/>
      <c r="T17" s="31"/>
      <c r="U17" s="31"/>
      <c r="V17" s="31">
        <v>1</v>
      </c>
      <c r="W17" s="31"/>
      <c r="X17" s="31">
        <v>27</v>
      </c>
      <c r="Y17" s="31">
        <v>1</v>
      </c>
      <c r="Z17" s="31">
        <v>59</v>
      </c>
      <c r="AA17" s="31"/>
      <c r="AB17" s="31"/>
      <c r="AC17" s="31"/>
      <c r="AD17" s="34">
        <f>IF(COUNT(S17:AC17)=0,0,SUMPRODUCT({5000,1000,500,100,75,50,20,10,5,2,1}, S17:AC17))</f>
        <v>2060</v>
      </c>
      <c r="AE17" s="33">
        <v>294546</v>
      </c>
      <c r="AF17" s="24">
        <f>IF(AND(COUNT(C17:E17)=0,COUNT(G17:I17)=0,COUNT(K17:M17)=0,COUNT(O17:Q17)=0,COUNT(S17:AC17)=0,AE17=""),"",(IF(COUNT(C17:E17)=0,0,SUMPRODUCT({5000,1000,500},C17:E17))+IF(COUNT(G17:I17)=0,0,SUMPRODUCT({5000,1000,500},G17:I17))+IF(COUNT(K17:M17)=0,0,SUMPRODUCT({5000,1000,500},K17:M17))+IF(COUNT(O17:Q17)=0,0,SUMPRODUCT({5000,1000,500},O17:Q17))+AD17)-N(AE17))</f>
        <v>14</v>
      </c>
      <c r="AG17" s="35" t="str">
        <f t="shared" si="0"/>
        <v>Excess</v>
      </c>
      <c r="AH17" s="38"/>
      <c r="AI17" s="36">
        <f>185936+435175</f>
        <v>621111</v>
      </c>
      <c r="AJ17" s="37">
        <f>24330+410844+185936+1</f>
        <v>621111</v>
      </c>
      <c r="AK17" s="26">
        <f t="shared" si="1"/>
        <v>0</v>
      </c>
      <c r="AL17" s="25" t="str">
        <f t="shared" si="2"/>
        <v>Matched</v>
      </c>
      <c r="AM17" s="38"/>
    </row>
    <row r="18" spans="1:39" ht="12.75" customHeight="1" x14ac:dyDescent="0.25">
      <c r="A18" s="31">
        <v>63599</v>
      </c>
      <c r="B18" s="32" t="str">
        <f>IF(A18="","",VLOOKUP(A18,'Employee Database'!A:B,2,FALSE))</f>
        <v>Hafsa</v>
      </c>
      <c r="C18" s="31"/>
      <c r="D18" s="31"/>
      <c r="E18" s="31"/>
      <c r="F18" s="39">
        <f>IF(COUNT(C18:E18)=0,0,SUMPRODUCT({5000,1000,500},C18:E18))</f>
        <v>0</v>
      </c>
      <c r="G18" s="31">
        <v>49</v>
      </c>
      <c r="H18" s="31">
        <v>92</v>
      </c>
      <c r="I18" s="31">
        <v>35</v>
      </c>
      <c r="J18" s="39">
        <f>IF(COUNT(G18:I18)=0,0,SUMPRODUCT({5000,1000,500},G18:I18))</f>
        <v>354500</v>
      </c>
      <c r="K18" s="31"/>
      <c r="L18" s="31"/>
      <c r="M18" s="31"/>
      <c r="N18" s="39">
        <f>IF(COUNT(K18:M18)=0,0,SUMPRODUCT({5000,1000,500},K18:M18))</f>
        <v>0</v>
      </c>
      <c r="O18" s="31"/>
      <c r="P18" s="31"/>
      <c r="Q18" s="31"/>
      <c r="R18" s="39">
        <f>IF(COUNT(O18:Q18)=0,0,SUMPRODUCT({5000,1000,500},O18:Q18))</f>
        <v>0</v>
      </c>
      <c r="S18" s="31"/>
      <c r="T18" s="31"/>
      <c r="U18" s="31"/>
      <c r="V18" s="31"/>
      <c r="W18" s="31"/>
      <c r="X18" s="31">
        <v>6</v>
      </c>
      <c r="Y18" s="31"/>
      <c r="Z18" s="31">
        <v>60</v>
      </c>
      <c r="AA18" s="31"/>
      <c r="AB18" s="31"/>
      <c r="AC18" s="31"/>
      <c r="AD18" s="34">
        <f>IF(COUNT(S18:AC18)=0,0,SUMPRODUCT({5000,1000,500,100,75,50,20,10,5,2,1}, S18:AC18))</f>
        <v>900</v>
      </c>
      <c r="AE18" s="33">
        <v>355344</v>
      </c>
      <c r="AF18" s="24">
        <f>IF(AND(COUNT(C18:E18)=0,COUNT(G18:I18)=0,COUNT(K18:M18)=0,COUNT(O18:Q18)=0,COUNT(S18:AC18)=0,AE18=""),"",(IF(COUNT(C18:E18)=0,0,SUMPRODUCT({5000,1000,500},C18:E18))+IF(COUNT(G18:I18)=0,0,SUMPRODUCT({5000,1000,500},G18:I18))+IF(COUNT(K18:M18)=0,0,SUMPRODUCT({5000,1000,500},K18:M18))+IF(COUNT(O18:Q18)=0,0,SUMPRODUCT({5000,1000,500},O18:Q18))+AD18)-N(AE18))</f>
        <v>56</v>
      </c>
      <c r="AG18" s="35" t="str">
        <f t="shared" si="0"/>
        <v>Excess</v>
      </c>
      <c r="AH18" s="38"/>
      <c r="AI18" s="36">
        <v>182144</v>
      </c>
      <c r="AJ18" s="37">
        <v>182144</v>
      </c>
      <c r="AK18" s="26">
        <f t="shared" si="1"/>
        <v>0</v>
      </c>
      <c r="AL18" s="25" t="str">
        <f t="shared" si="2"/>
        <v>Matched</v>
      </c>
      <c r="AM18" s="38"/>
    </row>
    <row r="19" spans="1:39" ht="12.75" customHeight="1" x14ac:dyDescent="0.25">
      <c r="A19" s="31">
        <v>50524</v>
      </c>
      <c r="B19" s="32" t="str">
        <f>IF(A19="","",VLOOKUP(A19,'Employee Database'!A:B,2,FALSE))</f>
        <v>Allah Rakha</v>
      </c>
      <c r="C19" s="31"/>
      <c r="D19" s="31"/>
      <c r="E19" s="31"/>
      <c r="F19" s="39">
        <f>IF(COUNT(C19:E19)=0,0,SUMPRODUCT({5000,1000,500},C19:E19))</f>
        <v>0</v>
      </c>
      <c r="G19" s="31">
        <v>24</v>
      </c>
      <c r="H19" s="31">
        <v>84</v>
      </c>
      <c r="I19" s="31">
        <v>19</v>
      </c>
      <c r="J19" s="39">
        <f>IF(COUNT(G19:I19)=0,0,SUMPRODUCT({5000,1000,500},G19:I19))</f>
        <v>213500</v>
      </c>
      <c r="K19" s="31"/>
      <c r="L19" s="31"/>
      <c r="M19" s="31"/>
      <c r="N19" s="39">
        <f>IF(COUNT(K19:M19)=0,0,SUMPRODUCT({5000,1000,500},K19:M19))</f>
        <v>0</v>
      </c>
      <c r="O19" s="31"/>
      <c r="P19" s="31"/>
      <c r="Q19" s="31"/>
      <c r="R19" s="39">
        <f>IF(COUNT(O19:Q19)=0,0,SUMPRODUCT({5000,1000,500},O19:Q19))</f>
        <v>0</v>
      </c>
      <c r="S19" s="31"/>
      <c r="T19" s="31"/>
      <c r="U19" s="31"/>
      <c r="V19" s="31">
        <v>3</v>
      </c>
      <c r="W19" s="31"/>
      <c r="X19" s="31">
        <v>12</v>
      </c>
      <c r="Y19" s="31"/>
      <c r="Z19" s="31">
        <v>46</v>
      </c>
      <c r="AA19" s="31"/>
      <c r="AB19" s="31"/>
      <c r="AC19" s="31"/>
      <c r="AD19" s="34">
        <f>IF(COUNT(S19:AC19)=0,0,SUMPRODUCT({5000,1000,500,100,75,50,20,10,5,2,1}, S19:AC19))</f>
        <v>1360</v>
      </c>
      <c r="AE19" s="33">
        <v>214842</v>
      </c>
      <c r="AF19" s="24">
        <f>IF(AND(COUNT(C19:E19)=0,COUNT(G19:I19)=0,COUNT(K19:M19)=0,COUNT(O19:Q19)=0,COUNT(S19:AC19)=0,AE19=""),"",(IF(COUNT(C19:E19)=0,0,SUMPRODUCT({5000,1000,500},C19:E19))+IF(COUNT(G19:I19)=0,0,SUMPRODUCT({5000,1000,500},G19:I19))+IF(COUNT(K19:M19)=0,0,SUMPRODUCT({5000,1000,500},K19:M19))+IF(COUNT(O19:Q19)=0,0,SUMPRODUCT({5000,1000,500},O19:Q19))+AD19)-N(AE19))</f>
        <v>18</v>
      </c>
      <c r="AG19" s="35" t="str">
        <f t="shared" si="0"/>
        <v>Excess</v>
      </c>
      <c r="AH19" s="38"/>
      <c r="AI19" s="36">
        <f>85925+63798</f>
        <v>149723</v>
      </c>
      <c r="AJ19" s="37">
        <f>85925+63798</f>
        <v>149723</v>
      </c>
      <c r="AK19" s="26"/>
      <c r="AL19" s="25"/>
      <c r="AM19" s="38"/>
    </row>
    <row r="20" spans="1:39" ht="12.75" customHeight="1" x14ac:dyDescent="0.25">
      <c r="A20" s="31">
        <v>71788</v>
      </c>
      <c r="B20" s="32" t="str">
        <f>IF(A20="","",VLOOKUP(A20,'Employee Database'!A:B,2,FALSE))</f>
        <v>Saaim</v>
      </c>
      <c r="C20" s="31"/>
      <c r="D20" s="31"/>
      <c r="E20" s="31"/>
      <c r="F20" s="39">
        <f>IF(COUNT(C20:E20)=0,0,SUMPRODUCT({5000,1000,500},C20:E20))</f>
        <v>0</v>
      </c>
      <c r="G20" s="31">
        <v>27</v>
      </c>
      <c r="H20" s="31">
        <v>95</v>
      </c>
      <c r="I20" s="31">
        <v>28</v>
      </c>
      <c r="J20" s="39">
        <f>IF(COUNT(G20:I20)=0,0,SUMPRODUCT({5000,1000,500},G20:I20))</f>
        <v>244000</v>
      </c>
      <c r="K20" s="31"/>
      <c r="L20" s="31"/>
      <c r="M20" s="31"/>
      <c r="N20" s="39">
        <f>IF(COUNT(K20:M20)=0,0,SUMPRODUCT({5000,1000,500},K20:M20))</f>
        <v>0</v>
      </c>
      <c r="O20" s="31"/>
      <c r="P20" s="31"/>
      <c r="Q20" s="31"/>
      <c r="R20" s="39">
        <f>IF(COUNT(O20:Q20)=0,0,SUMPRODUCT({5000,1000,500},O20:Q20))</f>
        <v>0</v>
      </c>
      <c r="S20" s="31"/>
      <c r="T20" s="31"/>
      <c r="U20" s="31"/>
      <c r="V20" s="31">
        <v>4</v>
      </c>
      <c r="W20" s="31"/>
      <c r="X20" s="31">
        <v>4</v>
      </c>
      <c r="Y20" s="31"/>
      <c r="Z20" s="31">
        <v>33</v>
      </c>
      <c r="AA20" s="31"/>
      <c r="AB20" s="31"/>
      <c r="AC20" s="31"/>
      <c r="AD20" s="34">
        <f>IF(COUNT(S20:AC20)=0,0,SUMPRODUCT({5000,1000,500,100,75,50,20,10,5,2,1}, S20:AC20))</f>
        <v>930</v>
      </c>
      <c r="AE20" s="33">
        <v>244913</v>
      </c>
      <c r="AF20" s="24">
        <f>IF(AND(COUNT(C20:E20)=0,COUNT(G20:I20)=0,COUNT(K20:M20)=0,COUNT(O20:Q20)=0,COUNT(S20:AC20)=0,AE20=""),"",(IF(COUNT(C20:E20)=0,0,SUMPRODUCT({5000,1000,500},C20:E20))+IF(COUNT(G20:I20)=0,0,SUMPRODUCT({5000,1000,500},G20:I20))+IF(COUNT(K20:M20)=0,0,SUMPRODUCT({5000,1000,500},K20:M20))+IF(COUNT(O20:Q20)=0,0,SUMPRODUCT({5000,1000,500},O20:Q20))+AD20)-N(AE20))</f>
        <v>17</v>
      </c>
      <c r="AG20" s="35" t="str">
        <f t="shared" si="0"/>
        <v>Excess</v>
      </c>
      <c r="AH20" s="38"/>
      <c r="AI20" s="36">
        <f>16853+156259</f>
        <v>173112</v>
      </c>
      <c r="AJ20" s="37">
        <f>16853+156259</f>
        <v>173112</v>
      </c>
      <c r="AK20" s="26"/>
      <c r="AL20" s="25"/>
      <c r="AM20" s="38"/>
    </row>
    <row r="21" spans="1:39" ht="12.75" customHeight="1" x14ac:dyDescent="0.25">
      <c r="A21" s="31">
        <v>68475</v>
      </c>
      <c r="B21" s="32" t="str">
        <f>IF(A21="","",VLOOKUP(A21,'Employee Database'!A:B,2,FALSE))</f>
        <v>M Azeem</v>
      </c>
      <c r="C21" s="31"/>
      <c r="D21" s="31"/>
      <c r="E21" s="31"/>
      <c r="F21" s="39">
        <f>IF(COUNT(C21:E21)=0,0,SUMPRODUCT({5000,1000,500},C21:E21))</f>
        <v>0</v>
      </c>
      <c r="G21" s="31">
        <v>34</v>
      </c>
      <c r="H21" s="31">
        <v>120</v>
      </c>
      <c r="I21" s="31">
        <v>112</v>
      </c>
      <c r="J21" s="39">
        <f>IF(COUNT(G21:I21)=0,0,SUMPRODUCT({5000,1000,500},G21:I21))</f>
        <v>346000</v>
      </c>
      <c r="K21" s="31"/>
      <c r="L21" s="31"/>
      <c r="M21" s="31"/>
      <c r="N21" s="39">
        <f>IF(COUNT(K21:M21)=0,0,SUMPRODUCT({5000,1000,500},K21:M21))</f>
        <v>0</v>
      </c>
      <c r="O21" s="31"/>
      <c r="P21" s="31"/>
      <c r="Q21" s="31"/>
      <c r="R21" s="39">
        <f>IF(COUNT(O21:Q21)=0,0,SUMPRODUCT({5000,1000,500},O21:Q21))</f>
        <v>0</v>
      </c>
      <c r="S21" s="31"/>
      <c r="T21" s="31"/>
      <c r="U21" s="31"/>
      <c r="V21" s="31">
        <v>2</v>
      </c>
      <c r="W21" s="31"/>
      <c r="X21" s="31">
        <v>8</v>
      </c>
      <c r="Y21" s="31"/>
      <c r="Z21" s="31">
        <v>16</v>
      </c>
      <c r="AA21" s="31"/>
      <c r="AB21" s="31"/>
      <c r="AC21" s="31"/>
      <c r="AD21" s="34">
        <f>IF(COUNT(S21:AC21)=0,0,SUMPRODUCT({5000,1000,500,100,75,50,20,10,5,2,1}, S21:AC21))</f>
        <v>760</v>
      </c>
      <c r="AE21" s="33">
        <v>346761</v>
      </c>
      <c r="AF21" s="24">
        <f>IF(AND(COUNT(C21:E21)=0,COUNT(G21:I21)=0,COUNT(K21:M21)=0,COUNT(O21:Q21)=0,COUNT(S21:AC21)=0,AE21=""),"",(IF(COUNT(C21:E21)=0,0,SUMPRODUCT({5000,1000,500},C21:E21))+IF(COUNT(G21:I21)=0,0,SUMPRODUCT({5000,1000,500},G21:I21))+IF(COUNT(K21:M21)=0,0,SUMPRODUCT({5000,1000,500},K21:M21))+IF(COUNT(O21:Q21)=0,0,SUMPRODUCT({5000,1000,500},O21:Q21))+AD21)-N(AE21))</f>
        <v>-1</v>
      </c>
      <c r="AG21" s="35" t="str">
        <f t="shared" si="0"/>
        <v>Short</v>
      </c>
      <c r="AH21" s="38"/>
      <c r="AI21" s="36">
        <f>225946+300998</f>
        <v>526944</v>
      </c>
      <c r="AJ21" s="37">
        <f>225946+300998</f>
        <v>526944</v>
      </c>
      <c r="AK21" s="26"/>
      <c r="AL21" s="25"/>
      <c r="AM21" s="38"/>
    </row>
    <row r="22" spans="1:39" ht="12.75" customHeight="1" x14ac:dyDescent="0.25">
      <c r="A22" s="31">
        <v>67799</v>
      </c>
      <c r="B22" s="32" t="str">
        <f>IF(A22="","",VLOOKUP(A22,'Employee Database'!A:B,2,FALSE))</f>
        <v>Hassan Raza</v>
      </c>
      <c r="C22" s="31"/>
      <c r="D22" s="31"/>
      <c r="E22" s="31"/>
      <c r="F22" s="39">
        <f>IF(COUNT(C22:E22)=0,0,SUMPRODUCT({5000,1000,500},C22:E22))</f>
        <v>0</v>
      </c>
      <c r="G22" s="31">
        <v>49</v>
      </c>
      <c r="H22" s="31">
        <v>168</v>
      </c>
      <c r="I22" s="31">
        <v>55</v>
      </c>
      <c r="J22" s="39">
        <f>IF(COUNT(G22:I22)=0,0,SUMPRODUCT({5000,1000,500},G22:I22))</f>
        <v>440500</v>
      </c>
      <c r="K22" s="31"/>
      <c r="L22" s="31"/>
      <c r="M22" s="31"/>
      <c r="N22" s="39">
        <f>IF(COUNT(K22:M22)=0,0,SUMPRODUCT({5000,1000,500},K22:M22))</f>
        <v>0</v>
      </c>
      <c r="O22" s="31"/>
      <c r="P22" s="31"/>
      <c r="Q22" s="31"/>
      <c r="R22" s="39">
        <f>IF(COUNT(O22:Q22)=0,0,SUMPRODUCT({5000,1000,500},O22:Q22))</f>
        <v>0</v>
      </c>
      <c r="S22" s="31"/>
      <c r="T22" s="31"/>
      <c r="U22" s="31"/>
      <c r="V22" s="31"/>
      <c r="W22" s="31"/>
      <c r="X22" s="31">
        <v>48</v>
      </c>
      <c r="Y22" s="31"/>
      <c r="Z22" s="31">
        <v>275</v>
      </c>
      <c r="AA22" s="31"/>
      <c r="AB22" s="31"/>
      <c r="AC22" s="31"/>
      <c r="AD22" s="34">
        <f>IF(COUNT(S22:AC22)=0,0,SUMPRODUCT({5000,1000,500,100,75,50,20,10,5,2,1}, S22:AC22))</f>
        <v>5150</v>
      </c>
      <c r="AE22" s="33">
        <v>445841</v>
      </c>
      <c r="AF22" s="24">
        <f>IF(AND(COUNT(C22:E22)=0,COUNT(G22:I22)=0,COUNT(K22:M22)=0,COUNT(O22:Q22)=0,COUNT(S22:AC22)=0,AE22=""),"",(IF(COUNT(C22:E22)=0,0,SUMPRODUCT({5000,1000,500},C22:E22))+IF(COUNT(G22:I22)=0,0,SUMPRODUCT({5000,1000,500},G22:I22))+IF(COUNT(K22:M22)=0,0,SUMPRODUCT({5000,1000,500},K22:M22))+IF(COUNT(O22:Q22)=0,0,SUMPRODUCT({5000,1000,500},O22:Q22))+AD22)-N(AE22))</f>
        <v>-191</v>
      </c>
      <c r="AG22" s="35" t="str">
        <f t="shared" si="0"/>
        <v>Short</v>
      </c>
      <c r="AH22" s="38"/>
      <c r="AI22" s="36">
        <v>652943</v>
      </c>
      <c r="AJ22" s="37">
        <f>126759+71146+455037+1</f>
        <v>652943</v>
      </c>
      <c r="AK22" s="26"/>
      <c r="AL22" s="25"/>
      <c r="AM22" s="38"/>
    </row>
    <row r="23" spans="1:39" ht="12.75" customHeight="1" x14ac:dyDescent="0.25">
      <c r="A23" s="31">
        <v>50313</v>
      </c>
      <c r="B23" s="32" t="str">
        <f>IF(A23="","",VLOOKUP(A23,'Employee Database'!A:B,2,FALSE))</f>
        <v>Waseem Raza</v>
      </c>
      <c r="C23" s="31"/>
      <c r="D23" s="31"/>
      <c r="E23" s="31"/>
      <c r="F23" s="39">
        <f>IF(COUNT(C23:E23)=0,0,SUMPRODUCT({5000,1000,500},C23:E23))</f>
        <v>0</v>
      </c>
      <c r="G23" s="31"/>
      <c r="H23" s="31">
        <v>1</v>
      </c>
      <c r="I23" s="31">
        <v>1</v>
      </c>
      <c r="J23" s="39">
        <f>IF(COUNT(G23:I23)=0,0,SUMPRODUCT({5000,1000,500},G23:I23))</f>
        <v>1500</v>
      </c>
      <c r="K23" s="31"/>
      <c r="L23" s="31"/>
      <c r="M23" s="31"/>
      <c r="N23" s="39">
        <f>IF(COUNT(K23:M23)=0,0,SUMPRODUCT({5000,1000,500},K23:M23))</f>
        <v>0</v>
      </c>
      <c r="O23" s="31"/>
      <c r="P23" s="31"/>
      <c r="Q23" s="31"/>
      <c r="R23" s="39">
        <f>IF(COUNT(O23:Q23)=0,0,SUMPRODUCT({5000,1000,500},O23:Q23))</f>
        <v>0</v>
      </c>
      <c r="S23" s="31"/>
      <c r="T23" s="31"/>
      <c r="U23" s="31"/>
      <c r="V23" s="31">
        <v>2</v>
      </c>
      <c r="W23" s="31"/>
      <c r="X23" s="31">
        <v>5</v>
      </c>
      <c r="Y23" s="31"/>
      <c r="Z23" s="31">
        <v>2</v>
      </c>
      <c r="AA23" s="31"/>
      <c r="AB23" s="31"/>
      <c r="AC23" s="31"/>
      <c r="AD23" s="34">
        <f>IF(COUNT(S23:AC23)=0,0,SUMPRODUCT({5000,1000,500,100,75,50,20,10,5,2,1}, S23:AC23))</f>
        <v>470</v>
      </c>
      <c r="AE23" s="33">
        <v>1967</v>
      </c>
      <c r="AF23" s="24">
        <f>IF(AND(COUNT(C23:E23)=0,COUNT(G23:I23)=0,COUNT(K23:M23)=0,COUNT(O23:Q23)=0,COUNT(S23:AC23)=0,AE23=""),"",(IF(COUNT(C23:E23)=0,0,SUMPRODUCT({5000,1000,500},C23:E23))+IF(COUNT(G23:I23)=0,0,SUMPRODUCT({5000,1000,500},G23:I23))+IF(COUNT(K23:M23)=0,0,SUMPRODUCT({5000,1000,500},K23:M23))+IF(COUNT(O23:Q23)=0,0,SUMPRODUCT({5000,1000,500},O23:Q23))+AD23)-N(AE23))</f>
        <v>3</v>
      </c>
      <c r="AG23" s="35" t="str">
        <f t="shared" si="0"/>
        <v>Excess</v>
      </c>
      <c r="AH23" s="38"/>
      <c r="AI23" s="36"/>
      <c r="AJ23" s="37"/>
      <c r="AK23" s="26"/>
      <c r="AL23" s="25"/>
      <c r="AM23" s="38"/>
    </row>
    <row r="24" spans="1:39" ht="12.75" customHeight="1" x14ac:dyDescent="0.25">
      <c r="A24" s="31">
        <v>77424</v>
      </c>
      <c r="B24" s="32" t="str">
        <f>IF(A24="","",VLOOKUP(A24,'Employee Database'!A:B,2,FALSE))</f>
        <v>M Husnain</v>
      </c>
      <c r="C24" s="31"/>
      <c r="D24" s="31"/>
      <c r="E24" s="31"/>
      <c r="F24" s="39">
        <f>IF(COUNT(C24:E24)=0,0,SUMPRODUCT({5000,1000,500},C24:E24))</f>
        <v>0</v>
      </c>
      <c r="G24" s="31">
        <v>13</v>
      </c>
      <c r="H24" s="31">
        <v>26</v>
      </c>
      <c r="I24" s="31">
        <v>16</v>
      </c>
      <c r="J24" s="39">
        <f>IF(COUNT(G24:I24)=0,0,SUMPRODUCT({5000,1000,500},G24:I24))</f>
        <v>99000</v>
      </c>
      <c r="K24" s="31"/>
      <c r="L24" s="31"/>
      <c r="M24" s="31"/>
      <c r="N24" s="39">
        <f>IF(COUNT(K24:M24)=0,0,SUMPRODUCT({5000,1000,500},K24:M24))</f>
        <v>0</v>
      </c>
      <c r="O24" s="31"/>
      <c r="P24" s="31"/>
      <c r="Q24" s="31"/>
      <c r="R24" s="39">
        <f>IF(COUNT(O24:Q24)=0,0,SUMPRODUCT({5000,1000,500},O24:Q24))</f>
        <v>0</v>
      </c>
      <c r="S24" s="31"/>
      <c r="T24" s="31"/>
      <c r="U24" s="31"/>
      <c r="V24" s="31">
        <v>33</v>
      </c>
      <c r="W24" s="31"/>
      <c r="X24" s="31">
        <v>4</v>
      </c>
      <c r="Y24" s="31">
        <v>1</v>
      </c>
      <c r="Z24" s="31">
        <v>33</v>
      </c>
      <c r="AA24" s="31"/>
      <c r="AB24" s="31"/>
      <c r="AC24" s="31"/>
      <c r="AD24" s="34">
        <f>IF(COUNT(S24:AC24)=0,0,SUMPRODUCT({5000,1000,500,100,75,50,20,10,5,2,1}, S24:AC24))</f>
        <v>3850</v>
      </c>
      <c r="AE24" s="33">
        <v>102840</v>
      </c>
      <c r="AF24" s="24">
        <f>IF(AND(COUNT(C24:E24)=0,COUNT(G24:I24)=0,COUNT(K24:M24)=0,COUNT(O24:Q24)=0,COUNT(S24:AC24)=0,AE24=""),"",(IF(COUNT(C24:E24)=0,0,SUMPRODUCT({5000,1000,500},C24:E24))+IF(COUNT(G24:I24)=0,0,SUMPRODUCT({5000,1000,500},G24:I24))+IF(COUNT(K24:M24)=0,0,SUMPRODUCT({5000,1000,500},K24:M24))+IF(COUNT(O24:Q24)=0,0,SUMPRODUCT({5000,1000,500},O24:Q24))+AD24)-N(AE24))</f>
        <v>10</v>
      </c>
      <c r="AG24" s="35" t="str">
        <f t="shared" si="0"/>
        <v>Excess</v>
      </c>
      <c r="AH24" s="38"/>
      <c r="AI24" s="36">
        <f>141972+16027</f>
        <v>157999</v>
      </c>
      <c r="AJ24" s="37">
        <f>141972+16027</f>
        <v>157999</v>
      </c>
      <c r="AK24" s="26"/>
      <c r="AL24" s="25"/>
      <c r="AM24" s="38"/>
    </row>
    <row r="25" spans="1:39" ht="12.75" customHeight="1" x14ac:dyDescent="0.25">
      <c r="A25" s="31">
        <v>61648</v>
      </c>
      <c r="B25" s="32" t="str">
        <f>IF(A25="","",VLOOKUP(A25,'Employee Database'!A:B,2,FALSE))</f>
        <v>Rizwan</v>
      </c>
      <c r="C25" s="31"/>
      <c r="D25" s="31"/>
      <c r="E25" s="31"/>
      <c r="F25" s="39">
        <f>IF(COUNT(C25:E25)=0,0,SUMPRODUCT({5000,1000,500},C25:E25))</f>
        <v>0</v>
      </c>
      <c r="G25" s="31">
        <v>73</v>
      </c>
      <c r="H25" s="31">
        <v>117</v>
      </c>
      <c r="I25" s="31">
        <v>18</v>
      </c>
      <c r="J25" s="39">
        <f>IF(COUNT(G25:I25)=0,0,SUMPRODUCT({5000,1000,500},G25:I25))</f>
        <v>491000</v>
      </c>
      <c r="K25" s="31"/>
      <c r="L25" s="31"/>
      <c r="M25" s="31"/>
      <c r="N25" s="39">
        <f>IF(COUNT(K25:M25)=0,0,SUMPRODUCT({5000,1000,500},K25:M25))</f>
        <v>0</v>
      </c>
      <c r="O25" s="31"/>
      <c r="P25" s="31"/>
      <c r="Q25" s="31"/>
      <c r="R25" s="39">
        <f>IF(COUNT(O25:Q25)=0,0,SUMPRODUCT({5000,1000,500},O25:Q25))</f>
        <v>0</v>
      </c>
      <c r="S25" s="31"/>
      <c r="T25" s="31"/>
      <c r="U25" s="31"/>
      <c r="V25" s="31"/>
      <c r="W25" s="31"/>
      <c r="X25" s="31">
        <v>14</v>
      </c>
      <c r="Y25" s="31"/>
      <c r="Z25" s="31">
        <v>14</v>
      </c>
      <c r="AA25" s="31"/>
      <c r="AB25" s="31"/>
      <c r="AC25" s="31"/>
      <c r="AD25" s="34">
        <f>IF(COUNT(S25:AC25)=0,0,SUMPRODUCT({5000,1000,500,100,75,50,20,10,5,2,1}, S25:AC25))</f>
        <v>840</v>
      </c>
      <c r="AE25" s="33">
        <v>491799</v>
      </c>
      <c r="AF25" s="24">
        <f>IF(AND(COUNT(C25:E25)=0,COUNT(G25:I25)=0,COUNT(K25:M25)=0,COUNT(O25:Q25)=0,COUNT(S25:AC25)=0,AE25=""),"",(IF(COUNT(C25:E25)=0,0,SUMPRODUCT({5000,1000,500},C25:E25))+IF(COUNT(G25:I25)=0,0,SUMPRODUCT({5000,1000,500},G25:I25))+IF(COUNT(K25:M25)=0,0,SUMPRODUCT({5000,1000,500},K25:M25))+IF(COUNT(O25:Q25)=0,0,SUMPRODUCT({5000,1000,500},O25:Q25))+AD25)-N(AE25))</f>
        <v>41</v>
      </c>
      <c r="AG25" s="35" t="str">
        <f t="shared" si="0"/>
        <v>Excess</v>
      </c>
      <c r="AH25" s="38"/>
      <c r="AI25" s="36">
        <v>665888</v>
      </c>
      <c r="AJ25" s="37">
        <f>118329+547559</f>
        <v>665888</v>
      </c>
      <c r="AK25" s="26"/>
      <c r="AL25" s="25"/>
      <c r="AM25" s="38"/>
    </row>
    <row r="26" spans="1:39" ht="12.75" customHeight="1" x14ac:dyDescent="0.25">
      <c r="A26" s="31">
        <v>69728</v>
      </c>
      <c r="B26" s="32" t="str">
        <f>IF(A26="","",VLOOKUP(A26,'Employee Database'!A:B,2,FALSE))</f>
        <v>Hafiz Hafeez Ur Rehman</v>
      </c>
      <c r="C26" s="31"/>
      <c r="D26" s="31"/>
      <c r="E26" s="31"/>
      <c r="F26" s="39">
        <f>IF(COUNT(C26:E26)=0,0,SUMPRODUCT({5000,1000,500},C26:E26))</f>
        <v>0</v>
      </c>
      <c r="G26" s="31">
        <v>13</v>
      </c>
      <c r="H26" s="31">
        <v>17</v>
      </c>
      <c r="I26" s="31">
        <v>14</v>
      </c>
      <c r="J26" s="39">
        <f>IF(COUNT(G26:I26)=0,0,SUMPRODUCT({5000,1000,500},G26:I26))</f>
        <v>89000</v>
      </c>
      <c r="K26" s="31"/>
      <c r="L26" s="31"/>
      <c r="M26" s="31"/>
      <c r="N26" s="39">
        <f>IF(COUNT(K26:M26)=0,0,SUMPRODUCT({5000,1000,500},K26:M26))</f>
        <v>0</v>
      </c>
      <c r="O26" s="31"/>
      <c r="P26" s="31"/>
      <c r="Q26" s="31"/>
      <c r="R26" s="39">
        <f>IF(COUNT(O26:Q26)=0,0,SUMPRODUCT({5000,1000,500},O26:Q26))</f>
        <v>0</v>
      </c>
      <c r="S26" s="31"/>
      <c r="T26" s="31"/>
      <c r="U26" s="31"/>
      <c r="V26" s="31">
        <v>1</v>
      </c>
      <c r="W26" s="31"/>
      <c r="X26" s="31">
        <v>50</v>
      </c>
      <c r="Y26" s="31"/>
      <c r="Z26" s="31">
        <v>74</v>
      </c>
      <c r="AA26" s="31"/>
      <c r="AB26" s="31"/>
      <c r="AC26" s="31"/>
      <c r="AD26" s="34">
        <f>IF(COUNT(S26:AC26)=0,0,SUMPRODUCT({5000,1000,500,100,75,50,20,10,5,2,1}, S26:AC26))</f>
        <v>3340</v>
      </c>
      <c r="AE26" s="33">
        <v>92332</v>
      </c>
      <c r="AF26" s="24">
        <f>IF(AND(COUNT(C26:E26)=0,COUNT(G26:I26)=0,COUNT(K26:M26)=0,COUNT(O26:Q26)=0,COUNT(S26:AC26)=0,AE26=""),"",(IF(COUNT(C26:E26)=0,0,SUMPRODUCT({5000,1000,500},C26:E26))+IF(COUNT(G26:I26)=0,0,SUMPRODUCT({5000,1000,500},G26:I26))+IF(COUNT(K26:M26)=0,0,SUMPRODUCT({5000,1000,500},K26:M26))+IF(COUNT(O26:Q26)=0,0,SUMPRODUCT({5000,1000,500},O26:Q26))+AD26)-N(AE26))</f>
        <v>8</v>
      </c>
      <c r="AG26" s="35" t="str">
        <f t="shared" si="0"/>
        <v>Excess</v>
      </c>
      <c r="AH26" s="38"/>
      <c r="AI26" s="36">
        <v>210307</v>
      </c>
      <c r="AJ26" s="37">
        <v>210307</v>
      </c>
      <c r="AK26" s="26"/>
      <c r="AL26" s="25"/>
      <c r="AM26" s="38"/>
    </row>
    <row r="27" spans="1:39" ht="12.75" customHeight="1" x14ac:dyDescent="0.25">
      <c r="A27" s="31">
        <v>55417</v>
      </c>
      <c r="B27" s="32" t="str">
        <f>IF(A27="","",VLOOKUP(A27,'Employee Database'!A:B,2,FALSE))</f>
        <v>M Imran</v>
      </c>
      <c r="C27" s="31"/>
      <c r="D27" s="31"/>
      <c r="E27" s="31"/>
      <c r="F27" s="39">
        <f>IF(COUNT(C27:E27)=0,0,SUMPRODUCT({5000,1000,500},C27:E27))</f>
        <v>0</v>
      </c>
      <c r="G27" s="31">
        <v>18</v>
      </c>
      <c r="H27" s="31">
        <v>45</v>
      </c>
      <c r="I27" s="31">
        <v>26</v>
      </c>
      <c r="J27" s="39">
        <f>IF(COUNT(G27:I27)=0,0,SUMPRODUCT({5000,1000,500},G27:I27))</f>
        <v>148000</v>
      </c>
      <c r="K27" s="31"/>
      <c r="L27" s="31"/>
      <c r="M27" s="31"/>
      <c r="N27" s="39">
        <f>IF(COUNT(K27:M27)=0,0,SUMPRODUCT({5000,1000,500},K27:M27))</f>
        <v>0</v>
      </c>
      <c r="O27" s="31"/>
      <c r="P27" s="31"/>
      <c r="Q27" s="31"/>
      <c r="R27" s="39">
        <f>IF(COUNT(O27:Q27)=0,0,SUMPRODUCT({5000,1000,500},O27:Q27))</f>
        <v>0</v>
      </c>
      <c r="S27" s="31"/>
      <c r="T27" s="31"/>
      <c r="U27" s="31"/>
      <c r="V27" s="31">
        <v>10</v>
      </c>
      <c r="W27" s="31"/>
      <c r="X27" s="31">
        <v>35</v>
      </c>
      <c r="Y27" s="31"/>
      <c r="Z27" s="31">
        <v>24</v>
      </c>
      <c r="AA27" s="31"/>
      <c r="AB27" s="31"/>
      <c r="AC27" s="31"/>
      <c r="AD27" s="34">
        <f>IF(COUNT(S27:AC27)=0,0,SUMPRODUCT({5000,1000,500,100,75,50,20,10,5,2,1}, S27:AC27))</f>
        <v>2990</v>
      </c>
      <c r="AE27" s="33">
        <v>150942</v>
      </c>
      <c r="AF27" s="24">
        <f>IF(AND(COUNT(C27:E27)=0,COUNT(G27:I27)=0,COUNT(K27:M27)=0,COUNT(O27:Q27)=0,COUNT(S27:AC27)=0,AE27=""),"",(IF(COUNT(C27:E27)=0,0,SUMPRODUCT({5000,1000,500},C27:E27))+IF(COUNT(G27:I27)=0,0,SUMPRODUCT({5000,1000,500},G27:I27))+IF(COUNT(K27:M27)=0,0,SUMPRODUCT({5000,1000,500},K27:M27))+IF(COUNT(O27:Q27)=0,0,SUMPRODUCT({5000,1000,500},O27:Q27))+AD27)-N(AE27))</f>
        <v>48</v>
      </c>
      <c r="AG27" s="35" t="str">
        <f t="shared" si="0"/>
        <v>Excess</v>
      </c>
      <c r="AH27" s="38"/>
      <c r="AI27" s="36">
        <f>26178+212891+45410</f>
        <v>284479</v>
      </c>
      <c r="AJ27" s="37">
        <f>45410+212891+26178</f>
        <v>284479</v>
      </c>
      <c r="AK27" s="26"/>
      <c r="AL27" s="25"/>
      <c r="AM27" s="38"/>
    </row>
    <row r="28" spans="1:39" ht="12.75" customHeight="1" x14ac:dyDescent="0.25">
      <c r="A28" s="31">
        <v>50134</v>
      </c>
      <c r="B28" s="32" t="str">
        <f>IF(A28="","",VLOOKUP(A28,'Employee Database'!A:B,2,FALSE))</f>
        <v>Asif Abbas</v>
      </c>
      <c r="C28" s="31"/>
      <c r="D28" s="31"/>
      <c r="E28" s="31"/>
      <c r="F28" s="39">
        <f>IF(COUNT(C28:E28)=0,0,SUMPRODUCT({5000,1000,500},C28:E28))</f>
        <v>0</v>
      </c>
      <c r="G28" s="31">
        <v>32</v>
      </c>
      <c r="H28" s="31">
        <v>66</v>
      </c>
      <c r="I28" s="31">
        <v>7</v>
      </c>
      <c r="J28" s="39">
        <f>IF(COUNT(G28:I28)=0,0,SUMPRODUCT({5000,1000,500},G28:I28))</f>
        <v>229500</v>
      </c>
      <c r="K28" s="31"/>
      <c r="L28" s="31"/>
      <c r="M28" s="31"/>
      <c r="N28" s="39">
        <f>IF(COUNT(K28:M28)=0,0,SUMPRODUCT({5000,1000,500},K28:M28))</f>
        <v>0</v>
      </c>
      <c r="O28" s="31"/>
      <c r="P28" s="31"/>
      <c r="Q28" s="31"/>
      <c r="R28" s="39">
        <f>IF(COUNT(O28:Q28)=0,0,SUMPRODUCT({5000,1000,500},O28:Q28))</f>
        <v>0</v>
      </c>
      <c r="S28" s="31"/>
      <c r="T28" s="31"/>
      <c r="U28" s="31"/>
      <c r="V28" s="31">
        <v>2</v>
      </c>
      <c r="W28" s="31"/>
      <c r="X28" s="31">
        <v>3</v>
      </c>
      <c r="Y28" s="31"/>
      <c r="Z28" s="31">
        <v>48</v>
      </c>
      <c r="AA28" s="31"/>
      <c r="AB28" s="31"/>
      <c r="AC28" s="31"/>
      <c r="AD28" s="34">
        <f>IF(COUNT(S28:AC28)=0,0,SUMPRODUCT({5000,1000,500,100,75,50,20,10,5,2,1}, S28:AC28))</f>
        <v>830</v>
      </c>
      <c r="AE28" s="33">
        <v>230324</v>
      </c>
      <c r="AF28" s="24">
        <f>IF(AND(COUNT(C28:E28)=0,COUNT(G28:I28)=0,COUNT(K28:M28)=0,COUNT(O28:Q28)=0,COUNT(S28:AC28)=0,AE28=""),"",(IF(COUNT(C28:E28)=0,0,SUMPRODUCT({5000,1000,500},C28:E28))+IF(COUNT(G28:I28)=0,0,SUMPRODUCT({5000,1000,500},G28:I28))+IF(COUNT(K28:M28)=0,0,SUMPRODUCT({5000,1000,500},K28:M28))+IF(COUNT(O28:Q28)=0,0,SUMPRODUCT({5000,1000,500},O28:Q28))+AD28)-N(AE28))</f>
        <v>6</v>
      </c>
      <c r="AG28" s="35" t="str">
        <f t="shared" si="0"/>
        <v>Excess</v>
      </c>
      <c r="AH28" s="38"/>
      <c r="AI28" s="36">
        <f>280651+335788</f>
        <v>616439</v>
      </c>
      <c r="AJ28" s="37">
        <f>280651+225782+79850+30156</f>
        <v>616439</v>
      </c>
      <c r="AK28" s="26"/>
      <c r="AL28" s="25"/>
      <c r="AM28" s="38"/>
    </row>
    <row r="29" spans="1:39" ht="12.75" customHeight="1" x14ac:dyDescent="0.25">
      <c r="A29" s="31">
        <v>63374</v>
      </c>
      <c r="B29" s="32" t="str">
        <f>IF(A29="","",VLOOKUP(A29,'Employee Database'!A:B,2,FALSE))</f>
        <v>Aftab Ali</v>
      </c>
      <c r="C29" s="31"/>
      <c r="D29" s="31"/>
      <c r="E29" s="31"/>
      <c r="F29" s="39">
        <f>IF(COUNT(C29:E29)=0,0,SUMPRODUCT({5000,1000,500},C29:E29))</f>
        <v>0</v>
      </c>
      <c r="G29" s="31">
        <v>30</v>
      </c>
      <c r="H29" s="31">
        <v>152</v>
      </c>
      <c r="I29" s="31">
        <v>32</v>
      </c>
      <c r="J29" s="39">
        <f>IF(COUNT(G29:I29)=0,0,SUMPRODUCT({5000,1000,500},G29:I29))</f>
        <v>318000</v>
      </c>
      <c r="K29" s="31"/>
      <c r="L29" s="31"/>
      <c r="M29" s="31"/>
      <c r="N29" s="39">
        <f>IF(COUNT(K29:M29)=0,0,SUMPRODUCT({5000,1000,500},K29:M29))</f>
        <v>0</v>
      </c>
      <c r="O29" s="31"/>
      <c r="P29" s="31"/>
      <c r="Q29" s="31"/>
      <c r="R29" s="39">
        <f>IF(COUNT(O29:Q29)=0,0,SUMPRODUCT({5000,1000,500},O29:Q29))</f>
        <v>0</v>
      </c>
      <c r="S29" s="31"/>
      <c r="T29" s="31"/>
      <c r="U29" s="31"/>
      <c r="V29" s="31">
        <v>5</v>
      </c>
      <c r="W29" s="31"/>
      <c r="X29" s="31">
        <v>69</v>
      </c>
      <c r="Y29" s="31"/>
      <c r="Z29" s="31">
        <v>71</v>
      </c>
      <c r="AA29" s="31"/>
      <c r="AB29" s="31"/>
      <c r="AC29" s="31"/>
      <c r="AD29" s="34">
        <f>IF(COUNT(S29:AC29)=0,0,SUMPRODUCT({5000,1000,500,100,75,50,20,10,5,2,1}, S29:AC29))</f>
        <v>4660</v>
      </c>
      <c r="AE29" s="33">
        <v>322587</v>
      </c>
      <c r="AF29" s="24">
        <f>IF(AND(COUNT(C29:E29)=0,COUNT(G29:I29)=0,COUNT(K29:M29)=0,COUNT(O29:Q29)=0,COUNT(S29:AC29)=0,AE29=""),"",(IF(COUNT(C29:E29)=0,0,SUMPRODUCT({5000,1000,500},C29:E29))+IF(COUNT(G29:I29)=0,0,SUMPRODUCT({5000,1000,500},G29:I29))+IF(COUNT(K29:M29)=0,0,SUMPRODUCT({5000,1000,500},K29:M29))+IF(COUNT(O29:Q29)=0,0,SUMPRODUCT({5000,1000,500},O29:Q29))+AD29)-N(AE29))</f>
        <v>73</v>
      </c>
      <c r="AG29" s="35" t="str">
        <f t="shared" si="0"/>
        <v>Excess</v>
      </c>
      <c r="AH29" s="38"/>
      <c r="AI29" s="36">
        <f>965694</f>
        <v>965694</v>
      </c>
      <c r="AJ29" s="37">
        <v>965694</v>
      </c>
      <c r="AK29" s="26"/>
      <c r="AL29" s="25"/>
      <c r="AM29" s="38"/>
    </row>
    <row r="30" spans="1:39" ht="12.75" customHeight="1" x14ac:dyDescent="0.25">
      <c r="A30" s="31"/>
      <c r="B30" s="32" t="str">
        <f>IF(A30="","",VLOOKUP(A30,'Employee Database'!A:B,2,FALSE))</f>
        <v/>
      </c>
      <c r="C30" s="31"/>
      <c r="D30" s="31"/>
      <c r="E30" s="31"/>
      <c r="F30" s="39">
        <f>IF(COUNT(C30:E30)=0,0,SUMPRODUCT({5000,1000,500},C30:E30))</f>
        <v>0</v>
      </c>
      <c r="G30" s="31"/>
      <c r="H30" s="31"/>
      <c r="I30" s="31"/>
      <c r="J30" s="39">
        <f>IF(COUNT(G30:I30)=0,0,SUMPRODUCT({5000,1000,500},G30:I30))</f>
        <v>0</v>
      </c>
      <c r="K30" s="31"/>
      <c r="L30" s="31"/>
      <c r="M30" s="31"/>
      <c r="N30" s="39">
        <f>IF(COUNT(K30:M30)=0,0,SUMPRODUCT({5000,1000,500},K30:M30))</f>
        <v>0</v>
      </c>
      <c r="O30" s="31"/>
      <c r="P30" s="31"/>
      <c r="Q30" s="31"/>
      <c r="R30" s="39">
        <f>IF(COUNT(O30:Q30)=0,0,SUMPRODUCT({5000,1000,500},O30:Q30))</f>
        <v>0</v>
      </c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4">
        <f>IF(COUNT(S30:AC30)=0,0,SUMPRODUCT({5000,1000,500,100,75,50,20,10,5,2,1}, S30:AC30))</f>
        <v>0</v>
      </c>
      <c r="AE30" s="33"/>
      <c r="AF30" s="24" t="str">
        <f>IF(AND(COUNT(C30:E30)=0,COUNT(G30:I30)=0,COUNT(K30:M30)=0,COUNT(O30:Q30)=0,COUNT(S30:AC30)=0,AE30=""),"",(IF(COUNT(C30:E30)=0,0,SUMPRODUCT({5000,1000,500},C30:E30))+IF(COUNT(G30:I30)=0,0,SUMPRODUCT({5000,1000,500},G30:I30))+IF(COUNT(K30:M30)=0,0,SUMPRODUCT({5000,1000,500},K30:M30))+IF(COUNT(O30:Q30)=0,0,SUMPRODUCT({5000,1000,500},O30:Q30))+AD30)-N(AE30))</f>
        <v/>
      </c>
      <c r="AG30" s="35" t="str">
        <f t="shared" si="0"/>
        <v/>
      </c>
      <c r="AH30" s="38"/>
      <c r="AI30" s="36"/>
      <c r="AJ30" s="37"/>
      <c r="AK30" s="26"/>
      <c r="AL30" s="25"/>
      <c r="AM30" s="38"/>
    </row>
    <row r="31" spans="1:39" ht="12.75" customHeight="1" x14ac:dyDescent="0.25">
      <c r="A31" s="31"/>
      <c r="B31" s="32" t="str">
        <f>IF(A31="","",VLOOKUP(A31,'Employee Database'!A:B,2,FALSE))</f>
        <v/>
      </c>
      <c r="C31" s="31"/>
      <c r="D31" s="31"/>
      <c r="E31" s="31"/>
      <c r="F31" s="39">
        <f>IF(COUNT(C31:E31)=0,0,SUMPRODUCT({5000,1000,500},C31:E31))</f>
        <v>0</v>
      </c>
      <c r="G31" s="31"/>
      <c r="H31" s="31"/>
      <c r="I31" s="31"/>
      <c r="J31" s="39">
        <f>IF(COUNT(G31:I31)=0,0,SUMPRODUCT({5000,1000,500},G31:I31))</f>
        <v>0</v>
      </c>
      <c r="K31" s="31"/>
      <c r="L31" s="31"/>
      <c r="M31" s="31"/>
      <c r="N31" s="39">
        <f>IF(COUNT(K31:M31)=0,0,SUMPRODUCT({5000,1000,500},K31:M31))</f>
        <v>0</v>
      </c>
      <c r="O31" s="31"/>
      <c r="P31" s="31"/>
      <c r="Q31" s="31"/>
      <c r="R31" s="39">
        <f>IF(COUNT(O31:Q31)=0,0,SUMPRODUCT({5000,1000,500},O31:Q31))</f>
        <v>0</v>
      </c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4">
        <f>IF(COUNT(S31:AC31)=0,0,SUMPRODUCT({5000,1000,500,100,75,50,20,10,5,2,1}, S31:AC31))</f>
        <v>0</v>
      </c>
      <c r="AE31" s="33"/>
      <c r="AF31" s="24" t="str">
        <f>IF(AND(COUNT(C31:E31)=0,COUNT(G31:I31)=0,COUNT(K31:M31)=0,COUNT(O31:Q31)=0,COUNT(S31:AC31)=0,AE31=""),"",(IF(COUNT(C31:E31)=0,0,SUMPRODUCT({5000,1000,500},C31:E31))+IF(COUNT(G31:I31)=0,0,SUMPRODUCT({5000,1000,500},G31:I31))+IF(COUNT(K31:M31)=0,0,SUMPRODUCT({5000,1000,500},K31:M31))+IF(COUNT(O31:Q31)=0,0,SUMPRODUCT({5000,1000,500},O31:Q31))+AD31)-N(AE31))</f>
        <v/>
      </c>
      <c r="AG31" s="35" t="str">
        <f t="shared" si="0"/>
        <v/>
      </c>
      <c r="AH31" s="38"/>
      <c r="AI31" s="36"/>
      <c r="AJ31" s="37"/>
      <c r="AK31" s="26"/>
      <c r="AL31" s="25"/>
      <c r="AM31" s="38"/>
    </row>
    <row r="32" spans="1:39" ht="12.75" customHeight="1" x14ac:dyDescent="0.25">
      <c r="A32" s="31"/>
      <c r="B32" s="32" t="str">
        <f>IF(A32="","",VLOOKUP(A32,'Employee Database'!A:B,2,FALSE))</f>
        <v/>
      </c>
      <c r="C32" s="31"/>
      <c r="D32" s="31"/>
      <c r="E32" s="31"/>
      <c r="F32" s="39">
        <f>IF(COUNT(C32:E32)=0,0,SUMPRODUCT({5000,1000,500},C32:E32))</f>
        <v>0</v>
      </c>
      <c r="G32" s="31"/>
      <c r="H32" s="31"/>
      <c r="I32" s="31"/>
      <c r="J32" s="39">
        <f>IF(COUNT(G32:I32)=0,0,SUMPRODUCT({5000,1000,500},G32:I32))</f>
        <v>0</v>
      </c>
      <c r="K32" s="31"/>
      <c r="L32" s="31"/>
      <c r="M32" s="31"/>
      <c r="N32" s="39">
        <f>IF(COUNT(K32:M32)=0,0,SUMPRODUCT({5000,1000,500},K32:M32))</f>
        <v>0</v>
      </c>
      <c r="O32" s="31"/>
      <c r="P32" s="31"/>
      <c r="Q32" s="31"/>
      <c r="R32" s="39">
        <f>IF(COUNT(O32:Q32)=0,0,SUMPRODUCT({5000,1000,500},O32:Q32))</f>
        <v>0</v>
      </c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4">
        <f>IF(COUNT(S32:AC32)=0,0,SUMPRODUCT({5000,1000,500,100,75,50,20,10,5,2,1}, S32:AC32))</f>
        <v>0</v>
      </c>
      <c r="AE32" s="33"/>
      <c r="AF32" s="24" t="str">
        <f>IF(AND(COUNT(C32:E32)=0,COUNT(G32:I32)=0,COUNT(K32:M32)=0,COUNT(O32:Q32)=0,COUNT(S32:AC32)=0,AE32=""),"",(IF(COUNT(C32:E32)=0,0,SUMPRODUCT({5000,1000,500},C32:E32))+IF(COUNT(G32:I32)=0,0,SUMPRODUCT({5000,1000,500},G32:I32))+IF(COUNT(K32:M32)=0,0,SUMPRODUCT({5000,1000,500},K32:M32))+IF(COUNT(O32:Q32)=0,0,SUMPRODUCT({5000,1000,500},O32:Q32))+AD32)-N(AE32))</f>
        <v/>
      </c>
      <c r="AG32" s="35" t="str">
        <f t="shared" si="0"/>
        <v/>
      </c>
      <c r="AH32" s="38"/>
      <c r="AI32" s="36"/>
      <c r="AJ32" s="37"/>
      <c r="AK32" s="26"/>
      <c r="AL32" s="25"/>
      <c r="AM32" s="38"/>
    </row>
    <row r="33" spans="1:39" ht="12.75" customHeight="1" x14ac:dyDescent="0.25">
      <c r="A33" s="31"/>
      <c r="B33" s="32" t="str">
        <f>IF(A33="","",VLOOKUP(A33,'Employee Database'!A:B,2,FALSE))</f>
        <v/>
      </c>
      <c r="C33" s="31"/>
      <c r="D33" s="31"/>
      <c r="E33" s="31"/>
      <c r="F33" s="39">
        <f>IF(COUNT(C33:E33)=0,0,SUMPRODUCT({5000,1000,500},C33:E33))</f>
        <v>0</v>
      </c>
      <c r="G33" s="31"/>
      <c r="H33" s="31"/>
      <c r="I33" s="31"/>
      <c r="J33" s="39">
        <f>IF(COUNT(G33:I33)=0,0,SUMPRODUCT({5000,1000,500},G33:I33))</f>
        <v>0</v>
      </c>
      <c r="K33" s="31"/>
      <c r="L33" s="31"/>
      <c r="M33" s="31"/>
      <c r="N33" s="39">
        <f>IF(COUNT(K33:M33)=0,0,SUMPRODUCT({5000,1000,500},K33:M33))</f>
        <v>0</v>
      </c>
      <c r="O33" s="31"/>
      <c r="P33" s="31"/>
      <c r="Q33" s="31"/>
      <c r="R33" s="39">
        <f>IF(COUNT(O33:Q33)=0,0,SUMPRODUCT({5000,1000,500},O33:Q33))</f>
        <v>0</v>
      </c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4">
        <f>IF(COUNT(S33:AC33)=0,0,SUMPRODUCT({5000,1000,500,100,75,50,20,10,5,2,1}, S33:AC33))</f>
        <v>0</v>
      </c>
      <c r="AE33" s="33"/>
      <c r="AF33" s="24" t="str">
        <f>IF(AND(COUNT(C33:E33)=0,COUNT(G33:I33)=0,COUNT(K33:M33)=0,COUNT(O33:Q33)=0,COUNT(S33:AC33)=0,AE33=""),"",(IF(COUNT(C33:E33)=0,0,SUMPRODUCT({5000,1000,500},C33:E33))+IF(COUNT(G33:I33)=0,0,SUMPRODUCT({5000,1000,500},G33:I33))+IF(COUNT(K33:M33)=0,0,SUMPRODUCT({5000,1000,500},K33:M33))+IF(COUNT(O33:Q33)=0,0,SUMPRODUCT({5000,1000,500},O33:Q33))+AD33)-N(AE33))</f>
        <v/>
      </c>
      <c r="AG33" s="35" t="str">
        <f t="shared" si="0"/>
        <v/>
      </c>
      <c r="AH33" s="38"/>
      <c r="AI33" s="36"/>
      <c r="AJ33" s="37"/>
      <c r="AK33" s="26"/>
      <c r="AL33" s="25"/>
      <c r="AM33" s="38"/>
    </row>
    <row r="34" spans="1:39" ht="12.75" customHeight="1" x14ac:dyDescent="0.25">
      <c r="A34" s="31"/>
      <c r="B34" s="32" t="str">
        <f>IF(A34="","",VLOOKUP(A34,'Employee Database'!A:B,2,FALSE))</f>
        <v/>
      </c>
      <c r="C34" s="31"/>
      <c r="D34" s="31"/>
      <c r="E34" s="31"/>
      <c r="F34" s="39">
        <f>IF(COUNT(C34:E34)=0,0,SUMPRODUCT({5000,1000,500},C34:E34))</f>
        <v>0</v>
      </c>
      <c r="G34" s="31"/>
      <c r="H34" s="31"/>
      <c r="I34" s="31"/>
      <c r="J34" s="39">
        <f>IF(COUNT(G34:I34)=0,0,SUMPRODUCT({5000,1000,500},G34:I34))</f>
        <v>0</v>
      </c>
      <c r="K34" s="31"/>
      <c r="L34" s="31"/>
      <c r="M34" s="31"/>
      <c r="N34" s="39">
        <f>IF(COUNT(K34:M34)=0,0,SUMPRODUCT({5000,1000,500},K34:M34))</f>
        <v>0</v>
      </c>
      <c r="O34" s="31"/>
      <c r="P34" s="31"/>
      <c r="Q34" s="31"/>
      <c r="R34" s="39">
        <f>IF(COUNT(O34:Q34)=0,0,SUMPRODUCT({5000,1000,500},O34:Q34))</f>
        <v>0</v>
      </c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4">
        <f>IF(COUNT(S34:AC34)=0,0,SUMPRODUCT({5000,1000,500,100,75,50,20,10,5,2,1}, S34:AC34))</f>
        <v>0</v>
      </c>
      <c r="AE34" s="33"/>
      <c r="AF34" s="24" t="str">
        <f>IF(AND(COUNT(C34:E34)=0,COUNT(G34:I34)=0,COUNT(K34:M34)=0,COUNT(O34:Q34)=0,COUNT(S34:AC34)=0,AE34=""),"",(IF(COUNT(C34:E34)=0,0,SUMPRODUCT({5000,1000,500},C34:E34))+IF(COUNT(G34:I34)=0,0,SUMPRODUCT({5000,1000,500},G34:I34))+IF(COUNT(K34:M34)=0,0,SUMPRODUCT({5000,1000,500},K34:M34))+IF(COUNT(O34:Q34)=0,0,SUMPRODUCT({5000,1000,500},O34:Q34))+AD34)-N(AE34))</f>
        <v/>
      </c>
      <c r="AG34" s="35" t="str">
        <f t="shared" si="0"/>
        <v/>
      </c>
      <c r="AH34" s="38"/>
      <c r="AI34" s="36"/>
      <c r="AJ34" s="37"/>
      <c r="AK34" s="26"/>
      <c r="AL34" s="25"/>
      <c r="AM34" s="38"/>
    </row>
    <row r="35" spans="1:39" ht="22.5" customHeight="1" x14ac:dyDescent="0.25">
      <c r="A35" s="27" t="s">
        <v>24</v>
      </c>
      <c r="B35" s="27" t="s">
        <v>24</v>
      </c>
      <c r="C35" s="28">
        <f t="shared" ref="C35:AF35" si="3">SUM(C5:C34)</f>
        <v>270</v>
      </c>
      <c r="D35" s="28">
        <f t="shared" si="3"/>
        <v>723</v>
      </c>
      <c r="E35" s="28">
        <f t="shared" si="3"/>
        <v>193</v>
      </c>
      <c r="F35" s="40">
        <f t="shared" si="3"/>
        <v>2169500</v>
      </c>
      <c r="G35" s="28">
        <f t="shared" si="3"/>
        <v>474</v>
      </c>
      <c r="H35" s="28">
        <f t="shared" si="3"/>
        <v>1150</v>
      </c>
      <c r="I35" s="28">
        <f t="shared" si="3"/>
        <v>374</v>
      </c>
      <c r="J35" s="40">
        <f t="shared" si="3"/>
        <v>3707000</v>
      </c>
      <c r="K35" s="28">
        <f t="shared" si="3"/>
        <v>0</v>
      </c>
      <c r="L35" s="28">
        <f t="shared" si="3"/>
        <v>0</v>
      </c>
      <c r="M35" s="28">
        <f t="shared" si="3"/>
        <v>0</v>
      </c>
      <c r="N35" s="40">
        <f t="shared" si="3"/>
        <v>0</v>
      </c>
      <c r="O35" s="28">
        <f t="shared" si="3"/>
        <v>0</v>
      </c>
      <c r="P35" s="28">
        <f t="shared" si="3"/>
        <v>0</v>
      </c>
      <c r="Q35" s="28">
        <f t="shared" si="3"/>
        <v>0</v>
      </c>
      <c r="R35" s="40">
        <f t="shared" si="3"/>
        <v>0</v>
      </c>
      <c r="S35" s="28">
        <f t="shared" si="3"/>
        <v>0</v>
      </c>
      <c r="T35" s="28">
        <f t="shared" si="3"/>
        <v>0</v>
      </c>
      <c r="U35" s="28">
        <f t="shared" si="3"/>
        <v>0</v>
      </c>
      <c r="V35" s="28">
        <f t="shared" si="3"/>
        <v>107</v>
      </c>
      <c r="W35" s="28">
        <f t="shared" si="3"/>
        <v>0</v>
      </c>
      <c r="X35" s="28">
        <f t="shared" si="3"/>
        <v>799</v>
      </c>
      <c r="Y35" s="28">
        <f t="shared" si="3"/>
        <v>9</v>
      </c>
      <c r="Z35" s="28">
        <f t="shared" si="3"/>
        <v>1314</v>
      </c>
      <c r="AA35" s="28">
        <f t="shared" si="3"/>
        <v>1</v>
      </c>
      <c r="AB35" s="28">
        <f t="shared" si="3"/>
        <v>1</v>
      </c>
      <c r="AC35" s="28">
        <f t="shared" si="3"/>
        <v>0</v>
      </c>
      <c r="AD35" s="40">
        <f t="shared" si="3"/>
        <v>63977</v>
      </c>
      <c r="AE35" s="41">
        <f t="shared" si="3"/>
        <v>5940435</v>
      </c>
      <c r="AF35" s="29">
        <f t="shared" si="3"/>
        <v>42</v>
      </c>
      <c r="AG35" s="27" t="s">
        <v>24</v>
      </c>
      <c r="AH35" s="27" t="s">
        <v>24</v>
      </c>
      <c r="AI35" s="28">
        <f>SUM(AI5:AI34)</f>
        <v>11654086</v>
      </c>
      <c r="AJ35" s="28">
        <f>SUM(AJ5:AJ34)</f>
        <v>11654086</v>
      </c>
      <c r="AK35" s="28">
        <f>SUM(AK5:AK34)</f>
        <v>0</v>
      </c>
      <c r="AL35" s="28">
        <f>AJ35+AE35</f>
        <v>17594521</v>
      </c>
      <c r="AM35" s="28">
        <f>SUM(AM5:AM34)</f>
        <v>0</v>
      </c>
    </row>
  </sheetData>
  <sheetProtection algorithmName="SHA-512" hashValue="43RAXrn3ve29dV5LuLfcoRxHNJDdgSdRyWQEtEzK/LM9hGJAEfBJYgRiu/wkqL8S0KF94IcaYJg/sN7Mt4ftYQ==" saltValue="G1uTr5aho+KgKhzRNtViqw==" spinCount="100000" sheet="1" objects="1" scenarios="1"/>
  <mergeCells count="9">
    <mergeCell ref="S3:AC3"/>
    <mergeCell ref="AD3:AG3"/>
    <mergeCell ref="AH3:AM3"/>
    <mergeCell ref="A1:B1"/>
    <mergeCell ref="A3:B3"/>
    <mergeCell ref="C3:F3"/>
    <mergeCell ref="G3:J3"/>
    <mergeCell ref="K3:N3"/>
    <mergeCell ref="O3:R3"/>
  </mergeCells>
  <conditionalFormatting sqref="A5">
    <cfRule type="duplicateValues" dxfId="100" priority="3"/>
    <cfRule type="duplicateValues" dxfId="99" priority="4"/>
  </conditionalFormatting>
  <conditionalFormatting sqref="A6">
    <cfRule type="duplicateValues" dxfId="98" priority="5"/>
    <cfRule type="duplicateValues" dxfId="97" priority="6"/>
  </conditionalFormatting>
  <conditionalFormatting sqref="A7:A34">
    <cfRule type="duplicateValues" dxfId="96" priority="1"/>
    <cfRule type="duplicateValues" dxfId="95" priority="2"/>
  </conditionalFormatting>
  <conditionalFormatting sqref="A35">
    <cfRule type="duplicateValues" dxfId="94" priority="7"/>
  </conditionalFormatting>
  <dataValidations disablePrompts="1" count="1">
    <dataValidation type="list" allowBlank="1" showInputMessage="1" showErrorMessage="1" sqref="A1:B1" xr:uid="{00000000-0002-0000-1300-000000000000}">
      <formula1>Locations</formula1>
    </dataValidation>
  </dataValidations>
  <pageMargins left="0.75" right="0.75" top="1" bottom="1" header="0.5" footer="0.5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>
    <tabColor rgb="FFFF0000"/>
  </sheetPr>
  <dimension ref="A1:AM35"/>
  <sheetViews>
    <sheetView showGridLines="0" topLeftCell="A5" zoomScale="85" zoomScaleNormal="85" workbookViewId="0">
      <pane xSplit="2" topLeftCell="AA1" activePane="topRight" state="frozen"/>
      <selection activeCell="A4" sqref="A4"/>
      <selection pane="topRight" activeCell="AJ27" sqref="AJ27"/>
    </sheetView>
  </sheetViews>
  <sheetFormatPr defaultRowHeight="15" x14ac:dyDescent="0.25"/>
  <cols>
    <col min="1" max="1" width="11.85546875" customWidth="1"/>
    <col min="2" max="2" width="20.5703125" customWidth="1"/>
    <col min="6" max="6" width="14.42578125" bestFit="1" customWidth="1"/>
    <col min="10" max="10" width="14.42578125" bestFit="1" customWidth="1"/>
    <col min="14" max="14" width="14.42578125" bestFit="1" customWidth="1"/>
    <col min="18" max="18" width="14.42578125" bestFit="1" customWidth="1"/>
    <col min="30" max="31" width="18" customWidth="1"/>
    <col min="32" max="32" width="20" customWidth="1"/>
    <col min="33" max="33" width="14" customWidth="1"/>
    <col min="35" max="35" width="18" customWidth="1"/>
    <col min="36" max="36" width="22" customWidth="1"/>
    <col min="37" max="37" width="16" customWidth="1"/>
    <col min="38" max="38" width="14" customWidth="1"/>
  </cols>
  <sheetData>
    <row r="1" spans="1:39" ht="43.5" customHeight="1" x14ac:dyDescent="0.25">
      <c r="A1" s="48" t="s">
        <v>306</v>
      </c>
      <c r="B1" s="48"/>
    </row>
    <row r="2" spans="1:39" ht="13.5" customHeight="1" x14ac:dyDescent="0.25">
      <c r="A2" s="30">
        <f>'18'!A2+1</f>
        <v>46222</v>
      </c>
    </row>
    <row r="3" spans="1:39" ht="24" customHeight="1" x14ac:dyDescent="0.25">
      <c r="A3" s="49" t="s">
        <v>0</v>
      </c>
      <c r="B3" s="49"/>
      <c r="C3" s="49" t="s">
        <v>93</v>
      </c>
      <c r="D3" s="50"/>
      <c r="E3" s="50"/>
      <c r="F3" s="50"/>
      <c r="G3" s="49" t="s">
        <v>94</v>
      </c>
      <c r="H3" s="50"/>
      <c r="I3" s="50"/>
      <c r="J3" s="50"/>
      <c r="K3" s="49" t="s">
        <v>95</v>
      </c>
      <c r="L3" s="50"/>
      <c r="M3" s="50"/>
      <c r="N3" s="50"/>
      <c r="O3" s="49" t="s">
        <v>96</v>
      </c>
      <c r="P3" s="50"/>
      <c r="Q3" s="50"/>
      <c r="R3" s="50"/>
      <c r="S3" s="45" t="s">
        <v>1</v>
      </c>
      <c r="T3" s="46"/>
      <c r="U3" s="46"/>
      <c r="V3" s="46"/>
      <c r="W3" s="46"/>
      <c r="X3" s="46"/>
      <c r="Y3" s="46"/>
      <c r="Z3" s="46"/>
      <c r="AA3" s="46"/>
      <c r="AB3" s="46"/>
      <c r="AC3" s="46"/>
      <c r="AD3" s="47" t="s">
        <v>97</v>
      </c>
      <c r="AE3" s="46"/>
      <c r="AF3" s="46"/>
      <c r="AG3" s="46"/>
      <c r="AH3" s="47" t="s">
        <v>98</v>
      </c>
      <c r="AI3" s="46"/>
      <c r="AJ3" s="46"/>
      <c r="AK3" s="46"/>
      <c r="AL3" s="46"/>
      <c r="AM3" s="46"/>
    </row>
    <row r="4" spans="1:39" ht="27.95" customHeight="1" x14ac:dyDescent="0.25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92</v>
      </c>
      <c r="G4" s="1" t="s">
        <v>5</v>
      </c>
      <c r="H4" s="1" t="s">
        <v>6</v>
      </c>
      <c r="I4" s="1" t="s">
        <v>7</v>
      </c>
      <c r="J4" s="1" t="s">
        <v>92</v>
      </c>
      <c r="K4" s="1" t="s">
        <v>5</v>
      </c>
      <c r="L4" s="1" t="s">
        <v>6</v>
      </c>
      <c r="M4" s="1" t="s">
        <v>7</v>
      </c>
      <c r="N4" s="1" t="s">
        <v>92</v>
      </c>
      <c r="O4" s="1" t="s">
        <v>5</v>
      </c>
      <c r="P4" s="1" t="s">
        <v>6</v>
      </c>
      <c r="Q4" s="1" t="s">
        <v>7</v>
      </c>
      <c r="R4" s="1" t="s">
        <v>92</v>
      </c>
      <c r="S4" s="1" t="s">
        <v>5</v>
      </c>
      <c r="T4" s="1" t="s">
        <v>6</v>
      </c>
      <c r="U4" s="1" t="s">
        <v>7</v>
      </c>
      <c r="V4" s="1" t="s">
        <v>8</v>
      </c>
      <c r="W4" s="1" t="s">
        <v>9</v>
      </c>
      <c r="X4" s="1" t="s">
        <v>10</v>
      </c>
      <c r="Y4" s="1" t="s">
        <v>11</v>
      </c>
      <c r="Z4" s="1" t="s">
        <v>12</v>
      </c>
      <c r="AA4" s="1" t="s">
        <v>13</v>
      </c>
      <c r="AB4" s="1" t="s">
        <v>14</v>
      </c>
      <c r="AC4" s="1" t="s">
        <v>15</v>
      </c>
      <c r="AD4" s="1" t="s">
        <v>16</v>
      </c>
      <c r="AE4" s="1" t="s">
        <v>17</v>
      </c>
      <c r="AF4" s="1" t="s">
        <v>18</v>
      </c>
      <c r="AG4" s="1" t="s">
        <v>19</v>
      </c>
      <c r="AH4" s="1" t="s">
        <v>20</v>
      </c>
      <c r="AI4" s="4" t="s">
        <v>99</v>
      </c>
      <c r="AJ4" s="1" t="s">
        <v>21</v>
      </c>
      <c r="AK4" s="1" t="s">
        <v>22</v>
      </c>
      <c r="AL4" s="1" t="s">
        <v>23</v>
      </c>
      <c r="AM4" s="4" t="s">
        <v>100</v>
      </c>
    </row>
    <row r="5" spans="1:39" ht="12.75" customHeight="1" x14ac:dyDescent="0.25">
      <c r="A5" s="31">
        <v>65299</v>
      </c>
      <c r="B5" s="32" t="str">
        <f>IF(A5="","",VLOOKUP(A5,'Employee Database'!A:B,2,FALSE))</f>
        <v>M Faisal</v>
      </c>
      <c r="C5" s="31">
        <v>7</v>
      </c>
      <c r="D5" s="31">
        <v>4</v>
      </c>
      <c r="E5" s="31">
        <v>5</v>
      </c>
      <c r="F5" s="39">
        <f>IF(COUNT(C5:E5)=0,0,SUMPRODUCT({5000,1000,500},C5:E5))</f>
        <v>41500</v>
      </c>
      <c r="G5" s="31"/>
      <c r="H5" s="31"/>
      <c r="I5" s="31"/>
      <c r="J5" s="39">
        <f>IF(COUNT(G5:I5)=0,0,SUMPRODUCT({5000,1000,500},G5:I5))</f>
        <v>0</v>
      </c>
      <c r="K5" s="31"/>
      <c r="L5" s="31"/>
      <c r="M5" s="31"/>
      <c r="N5" s="39">
        <f>IF(COUNT(K5:M5)=0,0,SUMPRODUCT({5000,1000,500},K5:M5))</f>
        <v>0</v>
      </c>
      <c r="O5" s="31"/>
      <c r="P5" s="31"/>
      <c r="Q5" s="31"/>
      <c r="R5" s="39">
        <f>IF(COUNT(O5:Q5)=0,0,SUMPRODUCT({5000,1000,500},O5:Q5))</f>
        <v>0</v>
      </c>
      <c r="S5" s="31"/>
      <c r="T5" s="31"/>
      <c r="U5" s="31"/>
      <c r="V5" s="31">
        <v>2</v>
      </c>
      <c r="W5" s="31"/>
      <c r="X5" s="31">
        <v>32</v>
      </c>
      <c r="Y5" s="31"/>
      <c r="Z5" s="31">
        <v>71</v>
      </c>
      <c r="AA5" s="31"/>
      <c r="AB5" s="31">
        <v>4</v>
      </c>
      <c r="AC5" s="31"/>
      <c r="AD5" s="34">
        <f>IF(COUNT(S5:AC5)=0,0,SUMPRODUCT({5000,1000,500,100,75,50,20,10,5,2,1}, S5:AC5))</f>
        <v>2518</v>
      </c>
      <c r="AE5" s="33">
        <v>44030</v>
      </c>
      <c r="AF5" s="24">
        <f>IF(AND(COUNT(C5:E5)=0,COUNT(G5:I5)=0,COUNT(K5:M5)=0,COUNT(O5:Q5)=0,COUNT(S5:AC5)=0,AE5=""),"",(IF(COUNT(C5:E5)=0,0,SUMPRODUCT({5000,1000,500},C5:E5))+IF(COUNT(G5:I5)=0,0,SUMPRODUCT({5000,1000,500},G5:I5))+IF(COUNT(K5:M5)=0,0,SUMPRODUCT({5000,1000,500},K5:M5))+IF(COUNT(O5:Q5)=0,0,SUMPRODUCT({5000,1000,500},O5:Q5))+AD5)-N(AE5))</f>
        <v>-12</v>
      </c>
      <c r="AG5" s="35" t="str">
        <f t="shared" ref="AG5:AG34" si="0">IF(AF5="","",IF(AF5&gt;0,"Excess",IF(AF5&lt;0,"Short","Balanced")))</f>
        <v>Short</v>
      </c>
      <c r="AH5" s="38"/>
      <c r="AI5" s="36">
        <f>212624+21323</f>
        <v>233947</v>
      </c>
      <c r="AJ5" s="37">
        <f>57546+21323+155077+1</f>
        <v>233947</v>
      </c>
      <c r="AK5" s="26">
        <f t="shared" ref="AK5:AK17" si="1">IF(AND(AI5="",AJ5=""),"",N(AI5)-N(AJ5))</f>
        <v>0</v>
      </c>
      <c r="AL5" s="25" t="str">
        <f t="shared" ref="AL5:AL17" si="2">IF(AK5="","",IF(AK5&gt;0,"POS Excess",IF(AK5&lt;0,"Bank Short","Matched")))</f>
        <v>Matched</v>
      </c>
      <c r="AM5" s="38"/>
    </row>
    <row r="6" spans="1:39" ht="12.75" customHeight="1" x14ac:dyDescent="0.25">
      <c r="A6" s="31">
        <v>77423</v>
      </c>
      <c r="B6" s="32" t="str">
        <f>IF(A6="","",VLOOKUP(A6,'Employee Database'!A:B,2,FALSE))</f>
        <v>Shoaib Akhtar</v>
      </c>
      <c r="C6" s="31">
        <v>79</v>
      </c>
      <c r="D6" s="31">
        <v>285</v>
      </c>
      <c r="E6" s="31">
        <v>35</v>
      </c>
      <c r="F6" s="39">
        <f>IF(COUNT(C6:E6)=0,0,SUMPRODUCT({5000,1000,500},C6:E6))</f>
        <v>697500</v>
      </c>
      <c r="G6" s="31"/>
      <c r="H6" s="31"/>
      <c r="I6" s="31"/>
      <c r="J6" s="39">
        <f>IF(COUNT(G6:I6)=0,0,SUMPRODUCT({5000,1000,500},G6:I6))</f>
        <v>0</v>
      </c>
      <c r="K6" s="31"/>
      <c r="L6" s="31"/>
      <c r="M6" s="31"/>
      <c r="N6" s="39">
        <f>IF(COUNT(K6:M6)=0,0,SUMPRODUCT({5000,1000,500},K6:M6))</f>
        <v>0</v>
      </c>
      <c r="O6" s="31"/>
      <c r="P6" s="31"/>
      <c r="Q6" s="31"/>
      <c r="R6" s="39">
        <f>IF(COUNT(O6:Q6)=0,0,SUMPRODUCT({5000,1000,500},O6:Q6))</f>
        <v>0</v>
      </c>
      <c r="S6" s="31"/>
      <c r="T6" s="31"/>
      <c r="U6" s="31"/>
      <c r="V6" s="31"/>
      <c r="W6" s="31"/>
      <c r="X6" s="31">
        <v>63</v>
      </c>
      <c r="Y6" s="31"/>
      <c r="Z6" s="31">
        <v>40</v>
      </c>
      <c r="AA6" s="31"/>
      <c r="AB6" s="31"/>
      <c r="AC6" s="31"/>
      <c r="AD6" s="34">
        <f>IF(COUNT(S6:AC6)=0,0,SUMPRODUCT({5000,1000,500,100,75,50,20,10,5,2,1}, S6:AC6))</f>
        <v>3550</v>
      </c>
      <c r="AE6" s="33">
        <v>701014</v>
      </c>
      <c r="AF6" s="24">
        <f>IF(AND(COUNT(C6:E6)=0,COUNT(G6:I6)=0,COUNT(K6:M6)=0,COUNT(O6:Q6)=0,COUNT(S6:AC6)=0,AE6=""),"",(IF(COUNT(C6:E6)=0,0,SUMPRODUCT({5000,1000,500},C6:E6))+IF(COUNT(G6:I6)=0,0,SUMPRODUCT({5000,1000,500},G6:I6))+IF(COUNT(K6:M6)=0,0,SUMPRODUCT({5000,1000,500},K6:M6))+IF(COUNT(O6:Q6)=0,0,SUMPRODUCT({5000,1000,500},O6:Q6))+AD6)-N(AE6))</f>
        <v>36</v>
      </c>
      <c r="AG6" s="35" t="str">
        <f t="shared" si="0"/>
        <v>Excess</v>
      </c>
      <c r="AH6" s="38"/>
      <c r="AI6" s="36">
        <f>720522</f>
        <v>720522</v>
      </c>
      <c r="AJ6" s="37">
        <f>346220+374301+1</f>
        <v>720522</v>
      </c>
      <c r="AK6" s="26">
        <f t="shared" si="1"/>
        <v>0</v>
      </c>
      <c r="AL6" s="25" t="str">
        <f t="shared" si="2"/>
        <v>Matched</v>
      </c>
      <c r="AM6" s="38"/>
    </row>
    <row r="7" spans="1:39" ht="12.75" customHeight="1" x14ac:dyDescent="0.25">
      <c r="A7" s="31">
        <v>67249</v>
      </c>
      <c r="B7" s="32" t="str">
        <f>IF(A7="","",VLOOKUP(A7,'Employee Database'!A:B,2,FALSE))</f>
        <v>Hanan Javaid</v>
      </c>
      <c r="C7" s="31">
        <v>37</v>
      </c>
      <c r="D7" s="31">
        <v>125</v>
      </c>
      <c r="E7" s="31">
        <v>15</v>
      </c>
      <c r="F7" s="39">
        <f>IF(COUNT(C7:E7)=0,0,SUMPRODUCT({5000,1000,500},C7:E7))</f>
        <v>317500</v>
      </c>
      <c r="G7" s="31"/>
      <c r="H7" s="31"/>
      <c r="I7" s="31"/>
      <c r="J7" s="39">
        <f>IF(COUNT(G7:I7)=0,0,SUMPRODUCT({5000,1000,500},G7:I7))</f>
        <v>0</v>
      </c>
      <c r="K7" s="31"/>
      <c r="L7" s="31"/>
      <c r="M7" s="31"/>
      <c r="N7" s="39">
        <f>IF(COUNT(K7:M7)=0,0,SUMPRODUCT({5000,1000,500},K7:M7))</f>
        <v>0</v>
      </c>
      <c r="O7" s="31"/>
      <c r="P7" s="31"/>
      <c r="Q7" s="31"/>
      <c r="R7" s="39">
        <f>IF(COUNT(O7:Q7)=0,0,SUMPRODUCT({5000,1000,500},O7:Q7))</f>
        <v>0</v>
      </c>
      <c r="S7" s="31"/>
      <c r="T7" s="31"/>
      <c r="U7" s="31"/>
      <c r="V7" s="31"/>
      <c r="W7" s="31"/>
      <c r="X7" s="31">
        <v>2</v>
      </c>
      <c r="Y7" s="31"/>
      <c r="Z7" s="31">
        <v>31</v>
      </c>
      <c r="AA7" s="31"/>
      <c r="AB7" s="31"/>
      <c r="AC7" s="31"/>
      <c r="AD7" s="34">
        <f>IF(COUNT(S7:AC7)=0,0,SUMPRODUCT({5000,1000,500,100,75,50,20,10,5,2,1}, S7:AC7))</f>
        <v>410</v>
      </c>
      <c r="AE7" s="33">
        <v>317958</v>
      </c>
      <c r="AF7" s="24">
        <f>IF(AND(COUNT(C7:E7)=0,COUNT(G7:I7)=0,COUNT(K7:M7)=0,COUNT(O7:Q7)=0,COUNT(S7:AC7)=0,AE7=""),"",(IF(COUNT(C7:E7)=0,0,SUMPRODUCT({5000,1000,500},C7:E7))+IF(COUNT(G7:I7)=0,0,SUMPRODUCT({5000,1000,500},G7:I7))+IF(COUNT(K7:M7)=0,0,SUMPRODUCT({5000,1000,500},K7:M7))+IF(COUNT(O7:Q7)=0,0,SUMPRODUCT({5000,1000,500},O7:Q7))+AD7)-N(AE7))</f>
        <v>-48</v>
      </c>
      <c r="AG7" s="35" t="str">
        <f t="shared" si="0"/>
        <v>Short</v>
      </c>
      <c r="AH7" s="38"/>
      <c r="AI7" s="36">
        <v>967736</v>
      </c>
      <c r="AJ7" s="37">
        <f>543400+424336</f>
        <v>967736</v>
      </c>
      <c r="AK7" s="26">
        <f t="shared" si="1"/>
        <v>0</v>
      </c>
      <c r="AL7" s="25" t="str">
        <f t="shared" si="2"/>
        <v>Matched</v>
      </c>
      <c r="AM7" s="38"/>
    </row>
    <row r="8" spans="1:39" ht="12.75" customHeight="1" x14ac:dyDescent="0.25">
      <c r="A8" s="31">
        <v>56189</v>
      </c>
      <c r="B8" s="32" t="str">
        <f>IF(A8="","",VLOOKUP(A8,'Employee Database'!A:B,2,FALSE))</f>
        <v>Iffat Sultan</v>
      </c>
      <c r="C8" s="31">
        <v>8</v>
      </c>
      <c r="D8" s="31">
        <v>30</v>
      </c>
      <c r="E8" s="31">
        <v>10</v>
      </c>
      <c r="F8" s="39">
        <f>IF(COUNT(C8:E8)=0,0,SUMPRODUCT({5000,1000,500},C8:E8))</f>
        <v>75000</v>
      </c>
      <c r="G8" s="31"/>
      <c r="H8" s="31"/>
      <c r="I8" s="31"/>
      <c r="J8" s="39">
        <f>IF(COUNT(G8:I8)=0,0,SUMPRODUCT({5000,1000,500},G8:I8))</f>
        <v>0</v>
      </c>
      <c r="K8" s="31"/>
      <c r="L8" s="31"/>
      <c r="M8" s="31"/>
      <c r="N8" s="39">
        <f>IF(COUNT(K8:M8)=0,0,SUMPRODUCT({5000,1000,500},K8:M8))</f>
        <v>0</v>
      </c>
      <c r="O8" s="31"/>
      <c r="P8" s="31"/>
      <c r="Q8" s="31"/>
      <c r="R8" s="39">
        <f>IF(COUNT(O8:Q8)=0,0,SUMPRODUCT({5000,1000,500},O8:Q8))</f>
        <v>0</v>
      </c>
      <c r="S8" s="31"/>
      <c r="T8" s="31"/>
      <c r="U8" s="31"/>
      <c r="V8" s="31">
        <v>3</v>
      </c>
      <c r="W8" s="31"/>
      <c r="X8" s="31"/>
      <c r="Y8" s="31"/>
      <c r="Z8" s="31">
        <v>7</v>
      </c>
      <c r="AA8" s="31"/>
      <c r="AB8" s="31"/>
      <c r="AC8" s="31"/>
      <c r="AD8" s="34">
        <f>IF(COUNT(S8:AC8)=0,0,SUMPRODUCT({5000,1000,500,100,75,50,20,10,5,2,1}, S8:AC8))</f>
        <v>370</v>
      </c>
      <c r="AE8" s="33">
        <v>75296</v>
      </c>
      <c r="AF8" s="24">
        <f>IF(AND(COUNT(C8:E8)=0,COUNT(G8:I8)=0,COUNT(K8:M8)=0,COUNT(O8:Q8)=0,COUNT(S8:AC8)=0,AE8=""),"",(IF(COUNT(C8:E8)=0,0,SUMPRODUCT({5000,1000,500},C8:E8))+IF(COUNT(G8:I8)=0,0,SUMPRODUCT({5000,1000,500},G8:I8))+IF(COUNT(K8:M8)=0,0,SUMPRODUCT({5000,1000,500},K8:M8))+IF(COUNT(O8:Q8)=0,0,SUMPRODUCT({5000,1000,500},O8:Q8))+AD8)-N(AE8))</f>
        <v>74</v>
      </c>
      <c r="AG8" s="35" t="str">
        <f t="shared" si="0"/>
        <v>Excess</v>
      </c>
      <c r="AH8" s="38"/>
      <c r="AI8" s="36">
        <v>56396</v>
      </c>
      <c r="AJ8" s="37">
        <f>26413+29983</f>
        <v>56396</v>
      </c>
      <c r="AK8" s="26">
        <f t="shared" si="1"/>
        <v>0</v>
      </c>
      <c r="AL8" s="25" t="str">
        <f t="shared" si="2"/>
        <v>Matched</v>
      </c>
      <c r="AM8" s="38"/>
    </row>
    <row r="9" spans="1:39" ht="12.75" customHeight="1" x14ac:dyDescent="0.25">
      <c r="A9" s="31">
        <v>63854</v>
      </c>
      <c r="B9" s="32" t="str">
        <f>IF(A9="","",VLOOKUP(A9,'Employee Database'!A:B,2,FALSE))</f>
        <v>Maham</v>
      </c>
      <c r="C9" s="31">
        <v>45</v>
      </c>
      <c r="D9" s="31">
        <v>103</v>
      </c>
      <c r="E9" s="31">
        <v>60</v>
      </c>
      <c r="F9" s="39">
        <f>IF(COUNT(C9:E9)=0,0,SUMPRODUCT({5000,1000,500},C9:E9))</f>
        <v>358000</v>
      </c>
      <c r="G9" s="31"/>
      <c r="H9" s="31"/>
      <c r="I9" s="31"/>
      <c r="J9" s="39">
        <f>IF(COUNT(G9:I9)=0,0,SUMPRODUCT({5000,1000,500},G9:I9))</f>
        <v>0</v>
      </c>
      <c r="K9" s="31"/>
      <c r="L9" s="31"/>
      <c r="M9" s="31"/>
      <c r="N9" s="39">
        <f>IF(COUNT(K9:M9)=0,0,SUMPRODUCT({5000,1000,500},K9:M9))</f>
        <v>0</v>
      </c>
      <c r="O9" s="31"/>
      <c r="P9" s="31"/>
      <c r="Q9" s="31"/>
      <c r="R9" s="39">
        <f>IF(COUNT(O9:Q9)=0,0,SUMPRODUCT({5000,1000,500},O9:Q9))</f>
        <v>0</v>
      </c>
      <c r="S9" s="31"/>
      <c r="T9" s="31"/>
      <c r="U9" s="31"/>
      <c r="V9" s="31">
        <v>2</v>
      </c>
      <c r="W9" s="31"/>
      <c r="X9" s="31">
        <v>29</v>
      </c>
      <c r="Y9" s="31"/>
      <c r="Z9" s="31">
        <v>32</v>
      </c>
      <c r="AA9" s="31"/>
      <c r="AB9" s="31"/>
      <c r="AC9" s="31"/>
      <c r="AD9" s="34">
        <f>IF(COUNT(S9:AC9)=0,0,SUMPRODUCT({5000,1000,500,100,75,50,20,10,5,2,1}, S9:AC9))</f>
        <v>1970</v>
      </c>
      <c r="AE9" s="33">
        <v>359900</v>
      </c>
      <c r="AF9" s="24">
        <f>IF(AND(COUNT(C9:E9)=0,COUNT(G9:I9)=0,COUNT(K9:M9)=0,COUNT(O9:Q9)=0,COUNT(S9:AC9)=0,AE9=""),"",(IF(COUNT(C9:E9)=0,0,SUMPRODUCT({5000,1000,500},C9:E9))+IF(COUNT(G9:I9)=0,0,SUMPRODUCT({5000,1000,500},G9:I9))+IF(COUNT(K9:M9)=0,0,SUMPRODUCT({5000,1000,500},K9:M9))+IF(COUNT(O9:Q9)=0,0,SUMPRODUCT({5000,1000,500},O9:Q9))+AD9)-N(AE9))</f>
        <v>70</v>
      </c>
      <c r="AG9" s="35" t="str">
        <f t="shared" si="0"/>
        <v>Excess</v>
      </c>
      <c r="AH9" s="38"/>
      <c r="AI9" s="36">
        <v>935625</v>
      </c>
      <c r="AJ9" s="37">
        <f>399257+536367+1</f>
        <v>935625</v>
      </c>
      <c r="AK9" s="26">
        <f t="shared" si="1"/>
        <v>0</v>
      </c>
      <c r="AL9" s="25" t="str">
        <f t="shared" si="2"/>
        <v>Matched</v>
      </c>
      <c r="AM9" s="38"/>
    </row>
    <row r="10" spans="1:39" ht="12.75" customHeight="1" x14ac:dyDescent="0.25">
      <c r="A10" s="31">
        <v>73196</v>
      </c>
      <c r="B10" s="32" t="str">
        <f>IF(A10="","",VLOOKUP(A10,'Employee Database'!A:B,2,FALSE))</f>
        <v>Asma</v>
      </c>
      <c r="C10" s="31">
        <v>53</v>
      </c>
      <c r="D10" s="31">
        <v>164</v>
      </c>
      <c r="E10" s="31">
        <v>19</v>
      </c>
      <c r="F10" s="39">
        <f>IF(COUNT(C10:E10)=0,0,SUMPRODUCT({5000,1000,500},C10:E10))</f>
        <v>438500</v>
      </c>
      <c r="G10" s="31"/>
      <c r="H10" s="31"/>
      <c r="I10" s="31"/>
      <c r="J10" s="39">
        <f>IF(COUNT(G10:I10)=0,0,SUMPRODUCT({5000,1000,500},G10:I10))</f>
        <v>0</v>
      </c>
      <c r="K10" s="31"/>
      <c r="L10" s="31"/>
      <c r="M10" s="31"/>
      <c r="N10" s="39">
        <f>IF(COUNT(K10:M10)=0,0,SUMPRODUCT({5000,1000,500},K10:M10))</f>
        <v>0</v>
      </c>
      <c r="O10" s="31"/>
      <c r="P10" s="31"/>
      <c r="Q10" s="31"/>
      <c r="R10" s="39">
        <f>IF(COUNT(O10:Q10)=0,0,SUMPRODUCT({5000,1000,500},O10:Q10))</f>
        <v>0</v>
      </c>
      <c r="S10" s="31"/>
      <c r="T10" s="31"/>
      <c r="U10" s="31"/>
      <c r="V10" s="31">
        <v>24</v>
      </c>
      <c r="W10" s="31"/>
      <c r="X10" s="31">
        <v>33</v>
      </c>
      <c r="Y10" s="31"/>
      <c r="Z10" s="31">
        <v>38</v>
      </c>
      <c r="AA10" s="31"/>
      <c r="AB10" s="31"/>
      <c r="AC10" s="31"/>
      <c r="AD10" s="34">
        <f>IF(COUNT(S10:AC10)=0,0,SUMPRODUCT({5000,1000,500,100,75,50,20,10,5,2,1}, S10:AC10))</f>
        <v>4430</v>
      </c>
      <c r="AE10" s="33">
        <v>442935</v>
      </c>
      <c r="AF10" s="24">
        <f>IF(AND(COUNT(C10:E10)=0,COUNT(G10:I10)=0,COUNT(K10:M10)=0,COUNT(O10:Q10)=0,COUNT(S10:AC10)=0,AE10=""),"",(IF(COUNT(C10:E10)=0,0,SUMPRODUCT({5000,1000,500},C10:E10))+IF(COUNT(G10:I10)=0,0,SUMPRODUCT({5000,1000,500},G10:I10))+IF(COUNT(K10:M10)=0,0,SUMPRODUCT({5000,1000,500},K10:M10))+IF(COUNT(O10:Q10)=0,0,SUMPRODUCT({5000,1000,500},O10:Q10))+AD10)-N(AE10))</f>
        <v>-5</v>
      </c>
      <c r="AG10" s="35" t="str">
        <f t="shared" si="0"/>
        <v>Short</v>
      </c>
      <c r="AH10" s="38"/>
      <c r="AI10" s="36">
        <v>904646</v>
      </c>
      <c r="AJ10" s="37">
        <f>398687+505959</f>
        <v>904646</v>
      </c>
      <c r="AK10" s="26">
        <f t="shared" si="1"/>
        <v>0</v>
      </c>
      <c r="AL10" s="25" t="str">
        <f t="shared" si="2"/>
        <v>Matched</v>
      </c>
      <c r="AM10" s="38"/>
    </row>
    <row r="11" spans="1:39" ht="12.75" customHeight="1" x14ac:dyDescent="0.25">
      <c r="A11" s="31">
        <v>59257</v>
      </c>
      <c r="B11" s="32" t="str">
        <f>IF(A11="","",VLOOKUP(A11,'Employee Database'!A:B,2,FALSE))</f>
        <v>Saddiqa Maryam</v>
      </c>
      <c r="C11" s="31">
        <v>7</v>
      </c>
      <c r="D11" s="31">
        <v>14</v>
      </c>
      <c r="E11" s="31">
        <v>4</v>
      </c>
      <c r="F11" s="39">
        <f>IF(COUNT(C11:E11)=0,0,SUMPRODUCT({5000,1000,500},C11:E11))</f>
        <v>51000</v>
      </c>
      <c r="G11" s="31"/>
      <c r="H11" s="31"/>
      <c r="I11" s="31"/>
      <c r="J11" s="39">
        <f>IF(COUNT(G11:I11)=0,0,SUMPRODUCT({5000,1000,500},G11:I11))</f>
        <v>0</v>
      </c>
      <c r="K11" s="31"/>
      <c r="L11" s="31"/>
      <c r="M11" s="31"/>
      <c r="N11" s="39">
        <f>IF(COUNT(K11:M11)=0,0,SUMPRODUCT({5000,1000,500},K11:M11))</f>
        <v>0</v>
      </c>
      <c r="O11" s="31"/>
      <c r="P11" s="31"/>
      <c r="Q11" s="31"/>
      <c r="R11" s="39">
        <f>IF(COUNT(O11:Q11)=0,0,SUMPRODUCT({5000,1000,500},O11:Q11))</f>
        <v>0</v>
      </c>
      <c r="S11" s="31"/>
      <c r="T11" s="31"/>
      <c r="U11" s="31"/>
      <c r="V11" s="31"/>
      <c r="W11" s="31"/>
      <c r="X11" s="31"/>
      <c r="Y11" s="31"/>
      <c r="Z11" s="31">
        <v>31</v>
      </c>
      <c r="AA11" s="31"/>
      <c r="AB11" s="31"/>
      <c r="AC11" s="31"/>
      <c r="AD11" s="34">
        <f>IF(COUNT(S11:AC11)=0,0,SUMPRODUCT({5000,1000,500,100,75,50,20,10,5,2,1}, S11:AC11))</f>
        <v>310</v>
      </c>
      <c r="AE11" s="33">
        <v>51270</v>
      </c>
      <c r="AF11" s="24">
        <f>IF(AND(COUNT(C11:E11)=0,COUNT(G11:I11)=0,COUNT(K11:M11)=0,COUNT(O11:Q11)=0,COUNT(S11:AC11)=0,AE11=""),"",(IF(COUNT(C11:E11)=0,0,SUMPRODUCT({5000,1000,500},C11:E11))+IF(COUNT(G11:I11)=0,0,SUMPRODUCT({5000,1000,500},G11:I11))+IF(COUNT(K11:M11)=0,0,SUMPRODUCT({5000,1000,500},K11:M11))+IF(COUNT(O11:Q11)=0,0,SUMPRODUCT({5000,1000,500},O11:Q11))+AD11)-N(AE11))</f>
        <v>40</v>
      </c>
      <c r="AG11" s="35" t="str">
        <f t="shared" si="0"/>
        <v>Excess</v>
      </c>
      <c r="AH11" s="38"/>
      <c r="AI11" s="36">
        <f>390399+8788+111142</f>
        <v>510329</v>
      </c>
      <c r="AJ11" s="37">
        <f>8788+210353+111142+180045+1</f>
        <v>510329</v>
      </c>
      <c r="AK11" s="26">
        <f t="shared" si="1"/>
        <v>0</v>
      </c>
      <c r="AL11" s="25" t="str">
        <f t="shared" si="2"/>
        <v>Matched</v>
      </c>
      <c r="AM11" s="38"/>
    </row>
    <row r="12" spans="1:39" ht="12.75" customHeight="1" x14ac:dyDescent="0.25">
      <c r="A12" s="31">
        <v>72873</v>
      </c>
      <c r="B12" s="32" t="str">
        <f>IF(A12="","",VLOOKUP(A12,'Employee Database'!A:B,2,FALSE))</f>
        <v>M Shajee</v>
      </c>
      <c r="C12" s="31">
        <v>31</v>
      </c>
      <c r="D12" s="31">
        <v>132</v>
      </c>
      <c r="E12" s="31">
        <v>34</v>
      </c>
      <c r="F12" s="39">
        <f>IF(COUNT(C12:E12)=0,0,SUMPRODUCT({5000,1000,500},C12:E12))</f>
        <v>304000</v>
      </c>
      <c r="G12" s="31"/>
      <c r="H12" s="31"/>
      <c r="I12" s="31"/>
      <c r="J12" s="39">
        <f>IF(COUNT(G12:I12)=0,0,SUMPRODUCT({5000,1000,500},G12:I12))</f>
        <v>0</v>
      </c>
      <c r="K12" s="31"/>
      <c r="L12" s="31"/>
      <c r="M12" s="31"/>
      <c r="N12" s="39">
        <f>IF(COUNT(K12:M12)=0,0,SUMPRODUCT({5000,1000,500},K12:M12))</f>
        <v>0</v>
      </c>
      <c r="O12" s="31"/>
      <c r="P12" s="31"/>
      <c r="Q12" s="31"/>
      <c r="R12" s="39">
        <f>IF(COUNT(O12:Q12)=0,0,SUMPRODUCT({5000,1000,500},O12:Q12))</f>
        <v>0</v>
      </c>
      <c r="S12" s="31"/>
      <c r="T12" s="31"/>
      <c r="U12" s="31"/>
      <c r="V12" s="31">
        <v>9</v>
      </c>
      <c r="W12" s="31"/>
      <c r="X12" s="31">
        <v>26</v>
      </c>
      <c r="Y12" s="31"/>
      <c r="Z12" s="31">
        <v>13</v>
      </c>
      <c r="AA12" s="31"/>
      <c r="AB12" s="31"/>
      <c r="AC12" s="31"/>
      <c r="AD12" s="34">
        <f>IF(COUNT(S12:AC12)=0,0,SUMPRODUCT({5000,1000,500,100,75,50,20,10,5,2,1}, S12:AC12))</f>
        <v>2330</v>
      </c>
      <c r="AE12" s="33">
        <v>306342</v>
      </c>
      <c r="AF12" s="24">
        <f>IF(AND(COUNT(C12:E12)=0,COUNT(G12:I12)=0,COUNT(K12:M12)=0,COUNT(O12:Q12)=0,COUNT(S12:AC12)=0,AE12=""),"",(IF(COUNT(C12:E12)=0,0,SUMPRODUCT({5000,1000,500},C12:E12))+IF(COUNT(G12:I12)=0,0,SUMPRODUCT({5000,1000,500},G12:I12))+IF(COUNT(K12:M12)=0,0,SUMPRODUCT({5000,1000,500},K12:M12))+IF(COUNT(O12:Q12)=0,0,SUMPRODUCT({5000,1000,500},O12:Q12))+AD12)-N(AE12))</f>
        <v>-12</v>
      </c>
      <c r="AG12" s="35" t="str">
        <f t="shared" si="0"/>
        <v>Short</v>
      </c>
      <c r="AH12" s="38"/>
      <c r="AI12" s="36">
        <v>823284</v>
      </c>
      <c r="AJ12" s="37">
        <f>486805+337377</f>
        <v>824182</v>
      </c>
      <c r="AK12" s="26">
        <f t="shared" si="1"/>
        <v>-898</v>
      </c>
      <c r="AL12" s="25" t="str">
        <f t="shared" si="2"/>
        <v>Bank Short</v>
      </c>
      <c r="AM12" s="38"/>
    </row>
    <row r="13" spans="1:39" ht="12.75" customHeight="1" x14ac:dyDescent="0.25">
      <c r="A13" s="31">
        <v>57653</v>
      </c>
      <c r="B13" s="32" t="str">
        <f>IF(A13="","",VLOOKUP(A13,'Employee Database'!A:B,2,FALSE))</f>
        <v>Amanat ali</v>
      </c>
      <c r="C13" s="31">
        <v>35</v>
      </c>
      <c r="D13" s="31">
        <v>197</v>
      </c>
      <c r="E13" s="31">
        <v>12</v>
      </c>
      <c r="F13" s="39">
        <f>IF(COUNT(C13:E13)=0,0,SUMPRODUCT({5000,1000,500},C13:E13))</f>
        <v>378000</v>
      </c>
      <c r="G13" s="31"/>
      <c r="H13" s="31"/>
      <c r="I13" s="31"/>
      <c r="J13" s="39">
        <f>IF(COUNT(G13:I13)=0,0,SUMPRODUCT({5000,1000,500},G13:I13))</f>
        <v>0</v>
      </c>
      <c r="K13" s="31"/>
      <c r="L13" s="31"/>
      <c r="M13" s="31"/>
      <c r="N13" s="39">
        <f>IF(COUNT(K13:M13)=0,0,SUMPRODUCT({5000,1000,500},K13:M13))</f>
        <v>0</v>
      </c>
      <c r="O13" s="31"/>
      <c r="P13" s="31"/>
      <c r="Q13" s="31"/>
      <c r="R13" s="39">
        <f>IF(COUNT(O13:Q13)=0,0,SUMPRODUCT({5000,1000,500},O13:Q13))</f>
        <v>0</v>
      </c>
      <c r="S13" s="31"/>
      <c r="T13" s="31"/>
      <c r="U13" s="31"/>
      <c r="V13" s="31">
        <v>3</v>
      </c>
      <c r="W13" s="31"/>
      <c r="X13" s="31">
        <v>24</v>
      </c>
      <c r="Y13" s="31"/>
      <c r="Z13" s="31"/>
      <c r="AA13" s="31"/>
      <c r="AB13" s="31"/>
      <c r="AC13" s="31"/>
      <c r="AD13" s="34">
        <f>IF(COUNT(S13:AC13)=0,0,SUMPRODUCT({5000,1000,500,100,75,50,20,10,5,2,1}, S13:AC13))</f>
        <v>1500</v>
      </c>
      <c r="AE13" s="33">
        <v>379440</v>
      </c>
      <c r="AF13" s="24">
        <f>IF(AND(COUNT(C13:E13)=0,COUNT(G13:I13)=0,COUNT(K13:M13)=0,COUNT(O13:Q13)=0,COUNT(S13:AC13)=0,AE13=""),"",(IF(COUNT(C13:E13)=0,0,SUMPRODUCT({5000,1000,500},C13:E13))+IF(COUNT(G13:I13)=0,0,SUMPRODUCT({5000,1000,500},G13:I13))+IF(COUNT(K13:M13)=0,0,SUMPRODUCT({5000,1000,500},K13:M13))+IF(COUNT(O13:Q13)=0,0,SUMPRODUCT({5000,1000,500},O13:Q13))+AD13)-N(AE13))</f>
        <v>60</v>
      </c>
      <c r="AG13" s="35" t="str">
        <f t="shared" si="0"/>
        <v>Excess</v>
      </c>
      <c r="AH13" s="38"/>
      <c r="AI13" s="36">
        <v>467753</v>
      </c>
      <c r="AJ13" s="37">
        <f>244578+223174+1</f>
        <v>467753</v>
      </c>
      <c r="AK13" s="26">
        <f t="shared" si="1"/>
        <v>0</v>
      </c>
      <c r="AL13" s="25" t="str">
        <f t="shared" si="2"/>
        <v>Matched</v>
      </c>
      <c r="AM13" s="38"/>
    </row>
    <row r="14" spans="1:39" ht="12.75" customHeight="1" x14ac:dyDescent="0.25">
      <c r="A14" s="31">
        <v>71788</v>
      </c>
      <c r="B14" s="32" t="str">
        <f>IF(A14="","",VLOOKUP(A14,'Employee Database'!A:B,2,FALSE))</f>
        <v>Saaim</v>
      </c>
      <c r="C14" s="31"/>
      <c r="D14" s="31"/>
      <c r="E14" s="31"/>
      <c r="F14" s="39">
        <f>IF(COUNT(C14:E14)=0,0,SUMPRODUCT({5000,1000,500},C14:E14))</f>
        <v>0</v>
      </c>
      <c r="G14" s="31">
        <v>32</v>
      </c>
      <c r="H14" s="31">
        <v>161</v>
      </c>
      <c r="I14" s="31">
        <v>23</v>
      </c>
      <c r="J14" s="39">
        <f>IF(COUNT(G14:I14)=0,0,SUMPRODUCT({5000,1000,500},G14:I14))</f>
        <v>332500</v>
      </c>
      <c r="K14" s="31"/>
      <c r="L14" s="31"/>
      <c r="M14" s="31"/>
      <c r="N14" s="39">
        <f>IF(COUNT(K14:M14)=0,0,SUMPRODUCT({5000,1000,500},K14:M14))</f>
        <v>0</v>
      </c>
      <c r="O14" s="31"/>
      <c r="P14" s="31"/>
      <c r="Q14" s="31"/>
      <c r="R14" s="39">
        <f>IF(COUNT(O14:Q14)=0,0,SUMPRODUCT({5000,1000,500},O14:Q14))</f>
        <v>0</v>
      </c>
      <c r="S14" s="31"/>
      <c r="T14" s="31"/>
      <c r="U14" s="31"/>
      <c r="V14" s="31"/>
      <c r="W14" s="31"/>
      <c r="X14" s="31">
        <v>4</v>
      </c>
      <c r="Y14" s="31"/>
      <c r="Z14" s="31">
        <v>50</v>
      </c>
      <c r="AA14" s="31"/>
      <c r="AB14" s="31"/>
      <c r="AC14" s="31"/>
      <c r="AD14" s="34">
        <f>IF(COUNT(S14:AC14)=0,0,SUMPRODUCT({5000,1000,500,100,75,50,20,10,5,2,1}, S14:AC14))</f>
        <v>700</v>
      </c>
      <c r="AE14" s="33">
        <v>333218</v>
      </c>
      <c r="AF14" s="24">
        <f>IF(AND(COUNT(C14:E14)=0,COUNT(G14:I14)=0,COUNT(K14:M14)=0,COUNT(O14:Q14)=0,COUNT(S14:AC14)=0,AE14=""),"",(IF(COUNT(C14:E14)=0,0,SUMPRODUCT({5000,1000,500},C14:E14))+IF(COUNT(G14:I14)=0,0,SUMPRODUCT({5000,1000,500},G14:I14))+IF(COUNT(K14:M14)=0,0,SUMPRODUCT({5000,1000,500},K14:M14))+IF(COUNT(O14:Q14)=0,0,SUMPRODUCT({5000,1000,500},O14:Q14))+AD14)-N(AE14))</f>
        <v>-18</v>
      </c>
      <c r="AG14" s="35" t="str">
        <f t="shared" si="0"/>
        <v>Short</v>
      </c>
      <c r="AH14" s="38"/>
      <c r="AI14" s="36">
        <f>515214.51+307999.94</f>
        <v>823214.45</v>
      </c>
      <c r="AJ14" s="37">
        <f>515214.51+307999.94</f>
        <v>823214.45</v>
      </c>
      <c r="AK14" s="26">
        <f t="shared" si="1"/>
        <v>0</v>
      </c>
      <c r="AL14" s="25" t="str">
        <f t="shared" si="2"/>
        <v>Matched</v>
      </c>
      <c r="AM14" s="38"/>
    </row>
    <row r="15" spans="1:39" ht="12.75" customHeight="1" x14ac:dyDescent="0.25">
      <c r="A15" s="31">
        <v>71205</v>
      </c>
      <c r="B15" s="32" t="str">
        <f>IF(A15="","",VLOOKUP(A15,'Employee Database'!A:B,2,FALSE))</f>
        <v>M Yaqoob</v>
      </c>
      <c r="C15" s="31"/>
      <c r="D15" s="31"/>
      <c r="E15" s="31"/>
      <c r="F15" s="39">
        <f>IF(COUNT(C15:E15)=0,0,SUMPRODUCT({5000,1000,500},C15:E15))</f>
        <v>0</v>
      </c>
      <c r="G15" s="31">
        <v>50</v>
      </c>
      <c r="H15" s="31">
        <v>112</v>
      </c>
      <c r="I15" s="31">
        <v>3</v>
      </c>
      <c r="J15" s="39">
        <f>IF(COUNT(G15:I15)=0,0,SUMPRODUCT({5000,1000,500},G15:I15))</f>
        <v>363500</v>
      </c>
      <c r="K15" s="31"/>
      <c r="L15" s="31"/>
      <c r="M15" s="31"/>
      <c r="N15" s="39">
        <f>IF(COUNT(K15:M15)=0,0,SUMPRODUCT({5000,1000,500},K15:M15))</f>
        <v>0</v>
      </c>
      <c r="O15" s="31"/>
      <c r="P15" s="31"/>
      <c r="Q15" s="31"/>
      <c r="R15" s="39">
        <f>IF(COUNT(O15:Q15)=0,0,SUMPRODUCT({5000,1000,500},O15:Q15))</f>
        <v>0</v>
      </c>
      <c r="S15" s="31"/>
      <c r="T15" s="31"/>
      <c r="U15" s="31"/>
      <c r="V15" s="31">
        <v>3</v>
      </c>
      <c r="W15" s="31"/>
      <c r="X15" s="31">
        <v>2</v>
      </c>
      <c r="Y15" s="31"/>
      <c r="Z15" s="31">
        <v>1</v>
      </c>
      <c r="AA15" s="31"/>
      <c r="AB15" s="31"/>
      <c r="AC15" s="31"/>
      <c r="AD15" s="34">
        <f>IF(COUNT(S15:AC15)=0,0,SUMPRODUCT({5000,1000,500,100,75,50,20,10,5,2,1}, S15:AC15))</f>
        <v>410</v>
      </c>
      <c r="AE15" s="33">
        <v>363901</v>
      </c>
      <c r="AF15" s="24">
        <f>IF(AND(COUNT(C15:E15)=0,COUNT(G15:I15)=0,COUNT(K15:M15)=0,COUNT(O15:Q15)=0,COUNT(S15:AC15)=0,AE15=""),"",(IF(COUNT(C15:E15)=0,0,SUMPRODUCT({5000,1000,500},C15:E15))+IF(COUNT(G15:I15)=0,0,SUMPRODUCT({5000,1000,500},G15:I15))+IF(COUNT(K15:M15)=0,0,SUMPRODUCT({5000,1000,500},K15:M15))+IF(COUNT(O15:Q15)=0,0,SUMPRODUCT({5000,1000,500},O15:Q15))+AD15)-N(AE15))</f>
        <v>9</v>
      </c>
      <c r="AG15" s="35" t="str">
        <f t="shared" si="0"/>
        <v>Excess</v>
      </c>
      <c r="AH15" s="38"/>
      <c r="AI15" s="36">
        <f>626945.45+828158.32</f>
        <v>1455103.77</v>
      </c>
      <c r="AJ15" s="37">
        <f>305595.08+522563.24+626945.45</f>
        <v>1455103.77</v>
      </c>
      <c r="AK15" s="26">
        <f t="shared" si="1"/>
        <v>0</v>
      </c>
      <c r="AL15" s="25" t="str">
        <f t="shared" si="2"/>
        <v>Matched</v>
      </c>
      <c r="AM15" s="38"/>
    </row>
    <row r="16" spans="1:39" ht="12.75" customHeight="1" x14ac:dyDescent="0.25">
      <c r="A16" s="31">
        <v>67799</v>
      </c>
      <c r="B16" s="32" t="str">
        <f>IF(A16="","",VLOOKUP(A16,'Employee Database'!A:B,2,FALSE))</f>
        <v>Hassan Raza</v>
      </c>
      <c r="C16" s="31"/>
      <c r="D16" s="31"/>
      <c r="E16" s="31"/>
      <c r="F16" s="39">
        <f>IF(COUNT(C16:E16)=0,0,SUMPRODUCT({5000,1000,500},C16:E16))</f>
        <v>0</v>
      </c>
      <c r="G16" s="31">
        <v>25</v>
      </c>
      <c r="H16" s="31">
        <v>121</v>
      </c>
      <c r="I16" s="31">
        <v>15</v>
      </c>
      <c r="J16" s="39">
        <f>IF(COUNT(G16:I16)=0,0,SUMPRODUCT({5000,1000,500},G16:I16))</f>
        <v>253500</v>
      </c>
      <c r="K16" s="31"/>
      <c r="L16" s="31"/>
      <c r="M16" s="31"/>
      <c r="N16" s="39">
        <f>IF(COUNT(K16:M16)=0,0,SUMPRODUCT({5000,1000,500},K16:M16))</f>
        <v>0</v>
      </c>
      <c r="O16" s="31"/>
      <c r="P16" s="31"/>
      <c r="Q16" s="31"/>
      <c r="R16" s="39">
        <f>IF(COUNT(O16:Q16)=0,0,SUMPRODUCT({5000,1000,500},O16:Q16))</f>
        <v>0</v>
      </c>
      <c r="S16" s="31"/>
      <c r="T16" s="31"/>
      <c r="U16" s="31"/>
      <c r="V16" s="31">
        <v>1</v>
      </c>
      <c r="W16" s="31"/>
      <c r="X16" s="31">
        <v>3</v>
      </c>
      <c r="Y16" s="31"/>
      <c r="Z16" s="31">
        <v>27</v>
      </c>
      <c r="AA16" s="31"/>
      <c r="AB16" s="31"/>
      <c r="AC16" s="31"/>
      <c r="AD16" s="34">
        <f>IF(COUNT(S16:AC16)=0,0,SUMPRODUCT({5000,1000,500,100,75,50,20,10,5,2,1}, S16:AC16))</f>
        <v>520</v>
      </c>
      <c r="AE16" s="33">
        <v>254011</v>
      </c>
      <c r="AF16" s="24">
        <f>IF(AND(COUNT(C16:E16)=0,COUNT(G16:I16)=0,COUNT(K16:M16)=0,COUNT(O16:Q16)=0,COUNT(S16:AC16)=0,AE16=""),"",(IF(COUNT(C16:E16)=0,0,SUMPRODUCT({5000,1000,500},C16:E16))+IF(COUNT(G16:I16)=0,0,SUMPRODUCT({5000,1000,500},G16:I16))+IF(COUNT(K16:M16)=0,0,SUMPRODUCT({5000,1000,500},K16:M16))+IF(COUNT(O16:Q16)=0,0,SUMPRODUCT({5000,1000,500},O16:Q16))+AD16)-N(AE16))</f>
        <v>9</v>
      </c>
      <c r="AG16" s="35" t="str">
        <f t="shared" si="0"/>
        <v>Excess</v>
      </c>
      <c r="AH16" s="38"/>
      <c r="AI16" s="36">
        <v>403871.11</v>
      </c>
      <c r="AJ16" s="37">
        <f>106581.56+297289.55</f>
        <v>403871.11</v>
      </c>
      <c r="AK16" s="26">
        <f t="shared" si="1"/>
        <v>0</v>
      </c>
      <c r="AL16" s="25" t="str">
        <f t="shared" si="2"/>
        <v>Matched</v>
      </c>
      <c r="AM16" s="38"/>
    </row>
    <row r="17" spans="1:39" ht="12.75" customHeight="1" x14ac:dyDescent="0.25">
      <c r="A17" s="31">
        <v>79593</v>
      </c>
      <c r="B17" s="32" t="str">
        <f>IF(A17="","",VLOOKUP(A17,'Employee Database'!A:B,2,FALSE))</f>
        <v>Amir</v>
      </c>
      <c r="C17" s="31"/>
      <c r="D17" s="31"/>
      <c r="E17" s="31"/>
      <c r="F17" s="39">
        <f>IF(COUNT(C17:E17)=0,0,SUMPRODUCT({5000,1000,500},C17:E17))</f>
        <v>0</v>
      </c>
      <c r="G17" s="31">
        <v>27</v>
      </c>
      <c r="H17" s="31">
        <v>198</v>
      </c>
      <c r="I17" s="31">
        <v>35</v>
      </c>
      <c r="J17" s="39">
        <f>IF(COUNT(G17:I17)=0,0,SUMPRODUCT({5000,1000,500},G17:I17))</f>
        <v>350500</v>
      </c>
      <c r="K17" s="31"/>
      <c r="L17" s="31"/>
      <c r="M17" s="31"/>
      <c r="N17" s="39">
        <f>IF(COUNT(K17:M17)=0,0,SUMPRODUCT({5000,1000,500},K17:M17))</f>
        <v>0</v>
      </c>
      <c r="O17" s="31"/>
      <c r="P17" s="31"/>
      <c r="Q17" s="31"/>
      <c r="R17" s="39">
        <f>IF(COUNT(O17:Q17)=0,0,SUMPRODUCT({5000,1000,500},O17:Q17))</f>
        <v>0</v>
      </c>
      <c r="S17" s="31"/>
      <c r="T17" s="31"/>
      <c r="U17" s="31"/>
      <c r="V17" s="31">
        <v>2</v>
      </c>
      <c r="W17" s="31"/>
      <c r="X17" s="31">
        <v>27</v>
      </c>
      <c r="Y17" s="31"/>
      <c r="Z17" s="31">
        <v>14</v>
      </c>
      <c r="AA17" s="31"/>
      <c r="AB17" s="31"/>
      <c r="AC17" s="31"/>
      <c r="AD17" s="34">
        <f>IF(COUNT(S17:AC17)=0,0,SUMPRODUCT({5000,1000,500,100,75,50,20,10,5,2,1}, S17:AC17))</f>
        <v>1690</v>
      </c>
      <c r="AE17" s="33">
        <v>352168</v>
      </c>
      <c r="AF17" s="24">
        <f>IF(AND(COUNT(C17:E17)=0,COUNT(G17:I17)=0,COUNT(K17:M17)=0,COUNT(O17:Q17)=0,COUNT(S17:AC17)=0,AE17=""),"",(IF(COUNT(C17:E17)=0,0,SUMPRODUCT({5000,1000,500},C17:E17))+IF(COUNT(G17:I17)=0,0,SUMPRODUCT({5000,1000,500},G17:I17))+IF(COUNT(K17:M17)=0,0,SUMPRODUCT({5000,1000,500},K17:M17))+IF(COUNT(O17:Q17)=0,0,SUMPRODUCT({5000,1000,500},O17:Q17))+AD17)-N(AE17))</f>
        <v>22</v>
      </c>
      <c r="AG17" s="35" t="str">
        <f t="shared" si="0"/>
        <v>Excess</v>
      </c>
      <c r="AH17" s="38"/>
      <c r="AI17" s="36">
        <v>737536.05</v>
      </c>
      <c r="AJ17" s="37">
        <f>169167.95+568368.1</f>
        <v>737536.05</v>
      </c>
      <c r="AK17" s="26">
        <f t="shared" si="1"/>
        <v>0</v>
      </c>
      <c r="AL17" s="25" t="str">
        <f t="shared" si="2"/>
        <v>Matched</v>
      </c>
      <c r="AM17" s="38"/>
    </row>
    <row r="18" spans="1:39" ht="12.75" customHeight="1" x14ac:dyDescent="0.25">
      <c r="A18" s="31">
        <v>63374</v>
      </c>
      <c r="B18" s="32" t="str">
        <f>IF(A18="","",VLOOKUP(A18,'Employee Database'!A:B,2,FALSE))</f>
        <v>Aftab Ali</v>
      </c>
      <c r="C18" s="31"/>
      <c r="D18" s="31"/>
      <c r="E18" s="31"/>
      <c r="F18" s="39">
        <f>IF(COUNT(C18:E18)=0,0,SUMPRODUCT({5000,1000,500},C18:E18))</f>
        <v>0</v>
      </c>
      <c r="G18" s="31">
        <v>16</v>
      </c>
      <c r="H18" s="31">
        <v>16</v>
      </c>
      <c r="I18" s="31">
        <v>11</v>
      </c>
      <c r="J18" s="39">
        <f>IF(COUNT(G18:I18)=0,0,SUMPRODUCT({5000,1000,500},G18:I18))</f>
        <v>101500</v>
      </c>
      <c r="K18" s="31"/>
      <c r="L18" s="31"/>
      <c r="M18" s="31"/>
      <c r="N18" s="39">
        <f>IF(COUNT(K18:M18)=0,0,SUMPRODUCT({5000,1000,500},K18:M18))</f>
        <v>0</v>
      </c>
      <c r="O18" s="31"/>
      <c r="P18" s="31"/>
      <c r="Q18" s="31"/>
      <c r="R18" s="39">
        <f>IF(COUNT(O18:Q18)=0,0,SUMPRODUCT({5000,1000,500},O18:Q18))</f>
        <v>0</v>
      </c>
      <c r="S18" s="31"/>
      <c r="T18" s="31"/>
      <c r="U18" s="31"/>
      <c r="V18" s="31">
        <v>1</v>
      </c>
      <c r="W18" s="31"/>
      <c r="X18" s="31">
        <v>64</v>
      </c>
      <c r="Y18" s="31"/>
      <c r="Z18" s="31">
        <v>46</v>
      </c>
      <c r="AA18" s="31"/>
      <c r="AB18" s="31"/>
      <c r="AC18" s="31"/>
      <c r="AD18" s="34">
        <f>IF(COUNT(S18:AC18)=0,0,SUMPRODUCT({5000,1000,500,100,75,50,20,10,5,2,1}, S18:AC18))</f>
        <v>3760</v>
      </c>
      <c r="AE18" s="33">
        <v>105239</v>
      </c>
      <c r="AF18" s="24">
        <f>IF(AND(COUNT(C18:E18)=0,COUNT(G18:I18)=0,COUNT(K18:M18)=0,COUNT(O18:Q18)=0,COUNT(S18:AC18)=0,AE18=""),"",(IF(COUNT(C18:E18)=0,0,SUMPRODUCT({5000,1000,500},C18:E18))+IF(COUNT(G18:I18)=0,0,SUMPRODUCT({5000,1000,500},G18:I18))+IF(COUNT(K18:M18)=0,0,SUMPRODUCT({5000,1000,500},K18:M18))+IF(COUNT(O18:Q18)=0,0,SUMPRODUCT({5000,1000,500},O18:Q18))+AD18)-N(AE18))</f>
        <v>21</v>
      </c>
      <c r="AG18" s="35" t="str">
        <f t="shared" si="0"/>
        <v>Excess</v>
      </c>
      <c r="AH18" s="38"/>
      <c r="AI18" s="36">
        <v>169254.96</v>
      </c>
      <c r="AJ18" s="37">
        <f>51620.3+117634.66</f>
        <v>169254.96000000002</v>
      </c>
      <c r="AK18" s="26">
        <f t="shared" ref="AK18:AK34" si="3">IF(AND(AI18="",AJ18=""),"",N(AI18)-N(AJ18))</f>
        <v>-2.9103830456733704E-11</v>
      </c>
      <c r="AL18" s="25" t="str">
        <f t="shared" ref="AL18:AL34" si="4">IF(AK18="","",IF(AK18&gt;0,"POS Excess",IF(AK18&lt;0,"Bank Short","Matched")))</f>
        <v>Bank Short</v>
      </c>
      <c r="AM18" s="38"/>
    </row>
    <row r="19" spans="1:39" ht="12.75" customHeight="1" x14ac:dyDescent="0.25">
      <c r="A19" s="31">
        <v>73679</v>
      </c>
      <c r="B19" s="32" t="str">
        <f>IF(A19="","",VLOOKUP(A19,'Employee Database'!A:B,2,FALSE))</f>
        <v>Imran Waqar</v>
      </c>
      <c r="C19" s="31"/>
      <c r="D19" s="31"/>
      <c r="E19" s="31"/>
      <c r="F19" s="39">
        <f>IF(COUNT(C19:E19)=0,0,SUMPRODUCT({5000,1000,500},C19:E19))</f>
        <v>0</v>
      </c>
      <c r="G19" s="31">
        <v>46</v>
      </c>
      <c r="H19" s="31">
        <v>103</v>
      </c>
      <c r="I19" s="31">
        <v>18</v>
      </c>
      <c r="J19" s="39">
        <f>IF(COUNT(G19:I19)=0,0,SUMPRODUCT({5000,1000,500},G19:I19))</f>
        <v>342000</v>
      </c>
      <c r="K19" s="31"/>
      <c r="L19" s="31"/>
      <c r="M19" s="31"/>
      <c r="N19" s="39">
        <f>IF(COUNT(K19:M19)=0,0,SUMPRODUCT({5000,1000,500},K19:M19))</f>
        <v>0</v>
      </c>
      <c r="O19" s="31"/>
      <c r="P19" s="31"/>
      <c r="Q19" s="31"/>
      <c r="R19" s="39">
        <f>IF(COUNT(O19:Q19)=0,0,SUMPRODUCT({5000,1000,500},O19:Q19))</f>
        <v>0</v>
      </c>
      <c r="S19" s="31"/>
      <c r="T19" s="31"/>
      <c r="U19" s="31"/>
      <c r="V19" s="31"/>
      <c r="W19" s="31"/>
      <c r="X19" s="31">
        <v>20</v>
      </c>
      <c r="Y19" s="31"/>
      <c r="Z19" s="31">
        <v>149</v>
      </c>
      <c r="AA19" s="31"/>
      <c r="AB19" s="31"/>
      <c r="AC19" s="31"/>
      <c r="AD19" s="34">
        <f>IF(COUNT(S19:AC19)=0,0,SUMPRODUCT({5000,1000,500,100,75,50,20,10,5,2,1}, S19:AC19))</f>
        <v>2490</v>
      </c>
      <c r="AE19" s="33">
        <v>344449</v>
      </c>
      <c r="AF19" s="24">
        <f>IF(AND(COUNT(C19:E19)=0,COUNT(G19:I19)=0,COUNT(K19:M19)=0,COUNT(O19:Q19)=0,COUNT(S19:AC19)=0,AE19=""),"",(IF(COUNT(C19:E19)=0,0,SUMPRODUCT({5000,1000,500},C19:E19))+IF(COUNT(G19:I19)=0,0,SUMPRODUCT({5000,1000,500},G19:I19))+IF(COUNT(K19:M19)=0,0,SUMPRODUCT({5000,1000,500},K19:M19))+IF(COUNT(O19:Q19)=0,0,SUMPRODUCT({5000,1000,500},O19:Q19))+AD19)-N(AE19))</f>
        <v>41</v>
      </c>
      <c r="AG19" s="35" t="str">
        <f t="shared" si="0"/>
        <v>Excess</v>
      </c>
      <c r="AH19" s="38"/>
      <c r="AI19" s="36">
        <f>588101.47+397306.61</f>
        <v>985408.08</v>
      </c>
      <c r="AJ19" s="37">
        <f>588101.47+397306.61</f>
        <v>985408.08</v>
      </c>
      <c r="AK19" s="26">
        <f t="shared" si="3"/>
        <v>0</v>
      </c>
      <c r="AL19" s="25" t="str">
        <f t="shared" si="4"/>
        <v>Matched</v>
      </c>
      <c r="AM19" s="38"/>
    </row>
    <row r="20" spans="1:39" ht="12.75" customHeight="1" x14ac:dyDescent="0.25">
      <c r="A20" s="31">
        <v>63599</v>
      </c>
      <c r="B20" s="32" t="str">
        <f>IF(A20="","",VLOOKUP(A20,'Employee Database'!A:B,2,FALSE))</f>
        <v>Hafsa</v>
      </c>
      <c r="C20" s="31"/>
      <c r="D20" s="31"/>
      <c r="E20" s="31"/>
      <c r="F20" s="39">
        <f>IF(COUNT(C20:E20)=0,0,SUMPRODUCT({5000,1000,500},C20:E20))</f>
        <v>0</v>
      </c>
      <c r="G20" s="31">
        <v>9</v>
      </c>
      <c r="H20" s="31">
        <v>50</v>
      </c>
      <c r="I20" s="31">
        <v>5</v>
      </c>
      <c r="J20" s="39">
        <f>IF(COUNT(G20:I20)=0,0,SUMPRODUCT({5000,1000,500},G20:I20))</f>
        <v>97500</v>
      </c>
      <c r="K20" s="31"/>
      <c r="L20" s="31"/>
      <c r="M20" s="31"/>
      <c r="N20" s="39">
        <f>IF(COUNT(K20:M20)=0,0,SUMPRODUCT({5000,1000,500},K20:M20))</f>
        <v>0</v>
      </c>
      <c r="O20" s="31"/>
      <c r="P20" s="31"/>
      <c r="Q20" s="31"/>
      <c r="R20" s="39">
        <f>IF(COUNT(O20:Q20)=0,0,SUMPRODUCT({5000,1000,500},O20:Q20))</f>
        <v>0</v>
      </c>
      <c r="S20" s="31"/>
      <c r="T20" s="31"/>
      <c r="U20" s="31"/>
      <c r="V20" s="31">
        <v>4</v>
      </c>
      <c r="W20" s="31"/>
      <c r="X20" s="31">
        <v>92</v>
      </c>
      <c r="Y20" s="31"/>
      <c r="Z20" s="31">
        <v>69</v>
      </c>
      <c r="AA20" s="31"/>
      <c r="AB20" s="31"/>
      <c r="AC20" s="31"/>
      <c r="AD20" s="34">
        <f>IF(COUNT(S20:AC20)=0,0,SUMPRODUCT({5000,1000,500,100,75,50,20,10,5,2,1}, S20:AC20))</f>
        <v>5690</v>
      </c>
      <c r="AE20" s="33">
        <v>103192</v>
      </c>
      <c r="AF20" s="24">
        <f>IF(AND(COUNT(C20:E20)=0,COUNT(G20:I20)=0,COUNT(K20:M20)=0,COUNT(O20:Q20)=0,COUNT(S20:AC20)=0,AE20=""),"",(IF(COUNT(C20:E20)=0,0,SUMPRODUCT({5000,1000,500},C20:E20))+IF(COUNT(G20:I20)=0,0,SUMPRODUCT({5000,1000,500},G20:I20))+IF(COUNT(K20:M20)=0,0,SUMPRODUCT({5000,1000,500},K20:M20))+IF(COUNT(O20:Q20)=0,0,SUMPRODUCT({5000,1000,500},O20:Q20))+AD20)-N(AE20))</f>
        <v>-2</v>
      </c>
      <c r="AG20" s="35" t="str">
        <f t="shared" si="0"/>
        <v>Short</v>
      </c>
      <c r="AH20" s="38"/>
      <c r="AI20" s="36">
        <f>404001.74+43493.3</f>
        <v>447495.04</v>
      </c>
      <c r="AJ20" s="37">
        <f>166408.36+92893.8+144699.58+43493.3</f>
        <v>447495.04</v>
      </c>
      <c r="AK20" s="26">
        <f t="shared" si="3"/>
        <v>0</v>
      </c>
      <c r="AL20" s="25" t="str">
        <f t="shared" si="4"/>
        <v>Matched</v>
      </c>
      <c r="AM20" s="38"/>
    </row>
    <row r="21" spans="1:39" ht="12.75" customHeight="1" x14ac:dyDescent="0.25">
      <c r="A21" s="31">
        <v>50394</v>
      </c>
      <c r="B21" s="32" t="str">
        <f>IF(A21="","",VLOOKUP(A21,'Employee Database'!A:B,2,FALSE))</f>
        <v>Qasir Ali</v>
      </c>
      <c r="C21" s="31"/>
      <c r="D21" s="31"/>
      <c r="E21" s="31"/>
      <c r="F21" s="39">
        <f>IF(COUNT(C21:E21)=0,0,SUMPRODUCT({5000,1000,500},C21:E21))</f>
        <v>0</v>
      </c>
      <c r="G21" s="31">
        <v>28</v>
      </c>
      <c r="H21" s="31">
        <v>37</v>
      </c>
      <c r="I21" s="31">
        <v>6</v>
      </c>
      <c r="J21" s="39">
        <f>IF(COUNT(G21:I21)=0,0,SUMPRODUCT({5000,1000,500},G21:I21))</f>
        <v>180000</v>
      </c>
      <c r="K21" s="31"/>
      <c r="L21" s="31"/>
      <c r="M21" s="31"/>
      <c r="N21" s="39">
        <f>IF(COUNT(K21:M21)=0,0,SUMPRODUCT({5000,1000,500},K21:M21))</f>
        <v>0</v>
      </c>
      <c r="O21" s="31"/>
      <c r="P21" s="31"/>
      <c r="Q21" s="31"/>
      <c r="R21" s="39">
        <f>IF(COUNT(O21:Q21)=0,0,SUMPRODUCT({5000,1000,500},O21:Q21))</f>
        <v>0</v>
      </c>
      <c r="S21" s="31"/>
      <c r="T21" s="31"/>
      <c r="U21" s="31"/>
      <c r="V21" s="31">
        <v>1</v>
      </c>
      <c r="W21" s="31"/>
      <c r="X21" s="31">
        <v>48</v>
      </c>
      <c r="Y21" s="31"/>
      <c r="Z21" s="31">
        <v>68</v>
      </c>
      <c r="AA21" s="31"/>
      <c r="AB21" s="31"/>
      <c r="AC21" s="31"/>
      <c r="AD21" s="34">
        <f>IF(COUNT(S21:AC21)=0,0,SUMPRODUCT({5000,1000,500,100,75,50,20,10,5,2,1}, S21:AC21))</f>
        <v>3180</v>
      </c>
      <c r="AE21" s="33">
        <v>183154</v>
      </c>
      <c r="AF21" s="24">
        <f>IF(AND(COUNT(C21:E21)=0,COUNT(G21:I21)=0,COUNT(K21:M21)=0,COUNT(O21:Q21)=0,COUNT(S21:AC21)=0,AE21=""),"",(IF(COUNT(C21:E21)=0,0,SUMPRODUCT({5000,1000,500},C21:E21))+IF(COUNT(G21:I21)=0,0,SUMPRODUCT({5000,1000,500},G21:I21))+IF(COUNT(K21:M21)=0,0,SUMPRODUCT({5000,1000,500},K21:M21))+IF(COUNT(O21:Q21)=0,0,SUMPRODUCT({5000,1000,500},O21:Q21))+AD21)-N(AE21))</f>
        <v>26</v>
      </c>
      <c r="AG21" s="35" t="str">
        <f t="shared" si="0"/>
        <v>Excess</v>
      </c>
      <c r="AH21" s="38"/>
      <c r="AI21" s="36">
        <v>418307.63</v>
      </c>
      <c r="AJ21" s="37">
        <v>418307.63</v>
      </c>
      <c r="AK21" s="26">
        <f t="shared" si="3"/>
        <v>0</v>
      </c>
      <c r="AL21" s="25" t="str">
        <f t="shared" si="4"/>
        <v>Matched</v>
      </c>
      <c r="AM21" s="38"/>
    </row>
    <row r="22" spans="1:39" ht="12.75" customHeight="1" x14ac:dyDescent="0.25">
      <c r="A22" s="31">
        <v>50134</v>
      </c>
      <c r="B22" s="32" t="str">
        <f>IF(A22="","",VLOOKUP(A22,'Employee Database'!A:B,2,FALSE))</f>
        <v>Asif Abbas</v>
      </c>
      <c r="C22" s="31"/>
      <c r="D22" s="31"/>
      <c r="E22" s="31"/>
      <c r="F22" s="39">
        <f>IF(COUNT(C22:E22)=0,0,SUMPRODUCT({5000,1000,500},C22:E22))</f>
        <v>0</v>
      </c>
      <c r="G22" s="31">
        <v>32</v>
      </c>
      <c r="H22" s="31">
        <v>119</v>
      </c>
      <c r="I22" s="31">
        <v>18</v>
      </c>
      <c r="J22" s="39">
        <f>IF(COUNT(G22:I22)=0,0,SUMPRODUCT({5000,1000,500},G22:I22))</f>
        <v>288000</v>
      </c>
      <c r="K22" s="31"/>
      <c r="L22" s="31"/>
      <c r="M22" s="31"/>
      <c r="N22" s="39">
        <f>IF(COUNT(K22:M22)=0,0,SUMPRODUCT({5000,1000,500},K22:M22))</f>
        <v>0</v>
      </c>
      <c r="O22" s="31"/>
      <c r="P22" s="31"/>
      <c r="Q22" s="31"/>
      <c r="R22" s="39">
        <f>IF(COUNT(O22:Q22)=0,0,SUMPRODUCT({5000,1000,500},O22:Q22))</f>
        <v>0</v>
      </c>
      <c r="S22" s="31"/>
      <c r="T22" s="31"/>
      <c r="U22" s="31"/>
      <c r="V22" s="31">
        <v>4</v>
      </c>
      <c r="W22" s="31"/>
      <c r="X22" s="31">
        <v>61</v>
      </c>
      <c r="Y22" s="31"/>
      <c r="Z22" s="31">
        <v>33</v>
      </c>
      <c r="AA22" s="31"/>
      <c r="AB22" s="31"/>
      <c r="AC22" s="31"/>
      <c r="AD22" s="34">
        <f>IF(COUNT(S22:AC22)=0,0,SUMPRODUCT({5000,1000,500,100,75,50,20,10,5,2,1}, S22:AC22))</f>
        <v>3780</v>
      </c>
      <c r="AE22" s="33">
        <v>291807</v>
      </c>
      <c r="AF22" s="24">
        <f>IF(AND(COUNT(C22:E22)=0,COUNT(G22:I22)=0,COUNT(K22:M22)=0,COUNT(O22:Q22)=0,COUNT(S22:AC22)=0,AE22=""),"",(IF(COUNT(C22:E22)=0,0,SUMPRODUCT({5000,1000,500},C22:E22))+IF(COUNT(G22:I22)=0,0,SUMPRODUCT({5000,1000,500},G22:I22))+IF(COUNT(K22:M22)=0,0,SUMPRODUCT({5000,1000,500},K22:M22))+IF(COUNT(O22:Q22)=0,0,SUMPRODUCT({5000,1000,500},O22:Q22))+AD22)-N(AE22))</f>
        <v>-27</v>
      </c>
      <c r="AG22" s="35" t="str">
        <f t="shared" si="0"/>
        <v>Short</v>
      </c>
      <c r="AH22" s="38"/>
      <c r="AI22" s="36">
        <f>229227.23+622548.79</f>
        <v>851776.02</v>
      </c>
      <c r="AJ22" s="37">
        <f>204612.74+417936.05+229227.23</f>
        <v>851776.02</v>
      </c>
      <c r="AK22" s="26">
        <f t="shared" si="3"/>
        <v>0</v>
      </c>
      <c r="AL22" s="25" t="str">
        <f t="shared" si="4"/>
        <v>Matched</v>
      </c>
      <c r="AM22" s="38"/>
    </row>
    <row r="23" spans="1:39" ht="12.75" customHeight="1" x14ac:dyDescent="0.25">
      <c r="A23" s="31">
        <v>68475</v>
      </c>
      <c r="B23" s="32" t="str">
        <f>IF(A23="","",VLOOKUP(A23,'Employee Database'!A:B,2,FALSE))</f>
        <v>M Azeem</v>
      </c>
      <c r="C23" s="31"/>
      <c r="D23" s="31"/>
      <c r="E23" s="31"/>
      <c r="F23" s="39">
        <f>IF(COUNT(C23:E23)=0,0,SUMPRODUCT({5000,1000,500},C23:E23))</f>
        <v>0</v>
      </c>
      <c r="G23" s="31">
        <v>35</v>
      </c>
      <c r="H23" s="31">
        <v>90</v>
      </c>
      <c r="I23" s="31">
        <v>23</v>
      </c>
      <c r="J23" s="39">
        <f>IF(COUNT(G23:I23)=0,0,SUMPRODUCT({5000,1000,500},G23:I23))</f>
        <v>276500</v>
      </c>
      <c r="K23" s="31"/>
      <c r="L23" s="31"/>
      <c r="M23" s="31"/>
      <c r="N23" s="39">
        <f>IF(COUNT(K23:M23)=0,0,SUMPRODUCT({5000,1000,500},K23:M23))</f>
        <v>0</v>
      </c>
      <c r="O23" s="31"/>
      <c r="P23" s="31"/>
      <c r="Q23" s="31"/>
      <c r="R23" s="39">
        <f>IF(COUNT(O23:Q23)=0,0,SUMPRODUCT({5000,1000,500},O23:Q23))</f>
        <v>0</v>
      </c>
      <c r="S23" s="31"/>
      <c r="T23" s="31"/>
      <c r="U23" s="31"/>
      <c r="V23" s="31">
        <v>30</v>
      </c>
      <c r="W23" s="31"/>
      <c r="X23" s="31">
        <v>30</v>
      </c>
      <c r="Y23" s="31"/>
      <c r="Z23" s="31">
        <v>35</v>
      </c>
      <c r="AA23" s="31"/>
      <c r="AB23" s="31"/>
      <c r="AC23" s="31"/>
      <c r="AD23" s="34">
        <f>IF(COUNT(S23:AC23)=0,0,SUMPRODUCT({5000,1000,500,100,75,50,20,10,5,2,1}, S23:AC23))</f>
        <v>4850</v>
      </c>
      <c r="AE23" s="33">
        <v>281330</v>
      </c>
      <c r="AF23" s="24">
        <f>IF(AND(COUNT(C23:E23)=0,COUNT(G23:I23)=0,COUNT(K23:M23)=0,COUNT(O23:Q23)=0,COUNT(S23:AC23)=0,AE23=""),"",(IF(COUNT(C23:E23)=0,0,SUMPRODUCT({5000,1000,500},C23:E23))+IF(COUNT(G23:I23)=0,0,SUMPRODUCT({5000,1000,500},G23:I23))+IF(COUNT(K23:M23)=0,0,SUMPRODUCT({5000,1000,500},K23:M23))+IF(COUNT(O23:Q23)=0,0,SUMPRODUCT({5000,1000,500},O23:Q23))+AD23)-N(AE23))</f>
        <v>20</v>
      </c>
      <c r="AG23" s="35" t="str">
        <f t="shared" si="0"/>
        <v>Excess</v>
      </c>
      <c r="AH23" s="38"/>
      <c r="AI23" s="36">
        <f>793963.06+17369.53</f>
        <v>811332.59000000008</v>
      </c>
      <c r="AJ23" s="37">
        <f>583835.37+227497.22</f>
        <v>811332.59</v>
      </c>
      <c r="AK23" s="26">
        <f t="shared" si="3"/>
        <v>1.1641532182693481E-10</v>
      </c>
      <c r="AL23" s="25" t="str">
        <f t="shared" si="4"/>
        <v>POS Excess</v>
      </c>
      <c r="AM23" s="38"/>
    </row>
    <row r="24" spans="1:39" ht="12.75" customHeight="1" x14ac:dyDescent="0.25">
      <c r="A24" s="31">
        <v>55417</v>
      </c>
      <c r="B24" s="32" t="str">
        <f>IF(A24="","",VLOOKUP(A24,'Employee Database'!A:B,2,FALSE))</f>
        <v>M Imran</v>
      </c>
      <c r="C24" s="31"/>
      <c r="D24" s="31"/>
      <c r="E24" s="31"/>
      <c r="F24" s="39">
        <f>IF(COUNT(C24:E24)=0,0,SUMPRODUCT({5000,1000,500},C24:E24))</f>
        <v>0</v>
      </c>
      <c r="G24" s="31">
        <v>1</v>
      </c>
      <c r="H24" s="31">
        <v>26</v>
      </c>
      <c r="I24" s="31">
        <v>3</v>
      </c>
      <c r="J24" s="39">
        <f>IF(COUNT(G24:I24)=0,0,SUMPRODUCT({5000,1000,500},G24:I24))</f>
        <v>32500</v>
      </c>
      <c r="K24" s="31"/>
      <c r="L24" s="31"/>
      <c r="M24" s="31"/>
      <c r="N24" s="39">
        <f>IF(COUNT(K24:M24)=0,0,SUMPRODUCT({5000,1000,500},K24:M24))</f>
        <v>0</v>
      </c>
      <c r="O24" s="31"/>
      <c r="P24" s="31"/>
      <c r="Q24" s="31"/>
      <c r="R24" s="39">
        <f>IF(COUNT(O24:Q24)=0,0,SUMPRODUCT({5000,1000,500},O24:Q24))</f>
        <v>0</v>
      </c>
      <c r="S24" s="31"/>
      <c r="T24" s="31"/>
      <c r="U24" s="31"/>
      <c r="V24" s="31">
        <v>9</v>
      </c>
      <c r="W24" s="31"/>
      <c r="X24" s="31">
        <v>31</v>
      </c>
      <c r="Y24" s="31"/>
      <c r="Z24" s="31">
        <v>57</v>
      </c>
      <c r="AA24" s="31"/>
      <c r="AB24" s="31"/>
      <c r="AC24" s="31"/>
      <c r="AD24" s="34">
        <f>IF(COUNT(S24:AC24)=0,0,SUMPRODUCT({5000,1000,500,100,75,50,20,10,5,2,1}, S24:AC24))</f>
        <v>3020</v>
      </c>
      <c r="AE24" s="33">
        <v>35444</v>
      </c>
      <c r="AF24" s="24">
        <f>IF(AND(COUNT(C24:E24)=0,COUNT(G24:I24)=0,COUNT(K24:M24)=0,COUNT(O24:Q24)=0,COUNT(S24:AC24)=0,AE24=""),"",(IF(COUNT(C24:E24)=0,0,SUMPRODUCT({5000,1000,500},C24:E24))+IF(COUNT(G24:I24)=0,0,SUMPRODUCT({5000,1000,500},G24:I24))+IF(COUNT(K24:M24)=0,0,SUMPRODUCT({5000,1000,500},K24:M24))+IF(COUNT(O24:Q24)=0,0,SUMPRODUCT({5000,1000,500},O24:Q24))+AD24)-N(AE24))</f>
        <v>76</v>
      </c>
      <c r="AG24" s="35" t="str">
        <f t="shared" si="0"/>
        <v>Excess</v>
      </c>
      <c r="AH24" s="38"/>
      <c r="AI24" s="36">
        <v>20004.55</v>
      </c>
      <c r="AJ24" s="37">
        <v>20004.55</v>
      </c>
      <c r="AK24" s="26">
        <f t="shared" si="3"/>
        <v>0</v>
      </c>
      <c r="AL24" s="25" t="str">
        <f t="shared" si="4"/>
        <v>Matched</v>
      </c>
      <c r="AM24" s="38"/>
    </row>
    <row r="25" spans="1:39" ht="12.75" customHeight="1" x14ac:dyDescent="0.25">
      <c r="A25" s="31">
        <v>53893</v>
      </c>
      <c r="B25" s="32" t="str">
        <f>IF(A25="","",VLOOKUP(A25,'Employee Database'!A:B,2,FALSE))</f>
        <v>M Binyameen</v>
      </c>
      <c r="C25" s="31"/>
      <c r="D25" s="31"/>
      <c r="E25" s="31"/>
      <c r="F25" s="39">
        <f>IF(COUNT(C25:E25)=0,0,SUMPRODUCT({5000,1000,500},C25:E25))</f>
        <v>0</v>
      </c>
      <c r="G25" s="31">
        <v>42</v>
      </c>
      <c r="H25" s="31">
        <v>188</v>
      </c>
      <c r="I25" s="31">
        <v>7</v>
      </c>
      <c r="J25" s="39">
        <f>IF(COUNT(G25:I25)=0,0,SUMPRODUCT({5000,1000,500},G25:I25))</f>
        <v>401500</v>
      </c>
      <c r="K25" s="31"/>
      <c r="L25" s="31"/>
      <c r="M25" s="31"/>
      <c r="N25" s="39">
        <f>IF(COUNT(K25:M25)=0,0,SUMPRODUCT({5000,1000,500},K25:M25))</f>
        <v>0</v>
      </c>
      <c r="O25" s="31"/>
      <c r="P25" s="31"/>
      <c r="Q25" s="31"/>
      <c r="R25" s="39">
        <f>IF(COUNT(O25:Q25)=0,0,SUMPRODUCT({5000,1000,500},O25:Q25))</f>
        <v>0</v>
      </c>
      <c r="S25" s="31"/>
      <c r="T25" s="31"/>
      <c r="U25" s="31"/>
      <c r="V25" s="31">
        <v>1</v>
      </c>
      <c r="W25" s="31"/>
      <c r="X25" s="31">
        <v>6</v>
      </c>
      <c r="Y25" s="31">
        <v>2</v>
      </c>
      <c r="Z25" s="31">
        <v>44</v>
      </c>
      <c r="AA25" s="31"/>
      <c r="AB25" s="31"/>
      <c r="AC25" s="31"/>
      <c r="AD25" s="34">
        <f>IF(COUNT(S25:AC25)=0,0,SUMPRODUCT({5000,1000,500,100,75,50,20,10,5,2,1}, S25:AC25))</f>
        <v>880</v>
      </c>
      <c r="AE25" s="33">
        <v>402379</v>
      </c>
      <c r="AF25" s="24">
        <f>IF(AND(COUNT(C25:E25)=0,COUNT(G25:I25)=0,COUNT(K25:M25)=0,COUNT(O25:Q25)=0,COUNT(S25:AC25)=0,AE25=""),"",(IF(COUNT(C25:E25)=0,0,SUMPRODUCT({5000,1000,500},C25:E25))+IF(COUNT(G25:I25)=0,0,SUMPRODUCT({5000,1000,500},G25:I25))+IF(COUNT(K25:M25)=0,0,SUMPRODUCT({5000,1000,500},K25:M25))+IF(COUNT(O25:Q25)=0,0,SUMPRODUCT({5000,1000,500},O25:Q25))+AD25)-N(AE25))</f>
        <v>1</v>
      </c>
      <c r="AG25" s="35" t="str">
        <f t="shared" si="0"/>
        <v>Excess</v>
      </c>
      <c r="AH25" s="38"/>
      <c r="AI25" s="36">
        <v>984506.42</v>
      </c>
      <c r="AJ25" s="37">
        <f>840337.8+144168.62</f>
        <v>984506.42</v>
      </c>
      <c r="AK25" s="26">
        <f t="shared" si="3"/>
        <v>0</v>
      </c>
      <c r="AL25" s="25" t="str">
        <f t="shared" si="4"/>
        <v>Matched</v>
      </c>
      <c r="AM25" s="38"/>
    </row>
    <row r="26" spans="1:39" ht="12.75" customHeight="1" x14ac:dyDescent="0.25">
      <c r="A26" s="31">
        <v>67250</v>
      </c>
      <c r="B26" s="32" t="str">
        <f>IF(A26="","",VLOOKUP(A26,'Employee Database'!A:B,2,FALSE))</f>
        <v>M Fiaz</v>
      </c>
      <c r="C26" s="31"/>
      <c r="D26" s="31"/>
      <c r="E26" s="31"/>
      <c r="F26" s="39">
        <f>IF(COUNT(C26:E26)=0,0,SUMPRODUCT({5000,1000,500},C26:E26))</f>
        <v>0</v>
      </c>
      <c r="G26" s="31">
        <v>38</v>
      </c>
      <c r="H26" s="31">
        <v>81</v>
      </c>
      <c r="I26" s="31">
        <v>10</v>
      </c>
      <c r="J26" s="39">
        <f>IF(COUNT(G26:I26)=0,0,SUMPRODUCT({5000,1000,500},G26:I26))</f>
        <v>276000</v>
      </c>
      <c r="K26" s="31"/>
      <c r="L26" s="31"/>
      <c r="M26" s="31"/>
      <c r="N26" s="39">
        <f>IF(COUNT(K26:M26)=0,0,SUMPRODUCT({5000,1000,500},K26:M26))</f>
        <v>0</v>
      </c>
      <c r="O26" s="31"/>
      <c r="P26" s="31"/>
      <c r="Q26" s="31"/>
      <c r="R26" s="39">
        <f>IF(COUNT(O26:Q26)=0,0,SUMPRODUCT({5000,1000,500},O26:Q26))</f>
        <v>0</v>
      </c>
      <c r="S26" s="31"/>
      <c r="T26" s="31"/>
      <c r="U26" s="31"/>
      <c r="V26" s="31">
        <v>5</v>
      </c>
      <c r="W26" s="31"/>
      <c r="X26" s="31">
        <v>50</v>
      </c>
      <c r="Y26" s="31"/>
      <c r="Z26" s="31">
        <v>42</v>
      </c>
      <c r="AA26" s="31"/>
      <c r="AB26" s="31"/>
      <c r="AC26" s="31"/>
      <c r="AD26" s="34">
        <f>IF(COUNT(S26:AC26)=0,0,SUMPRODUCT({5000,1000,500,100,75,50,20,10,5,2,1}, S26:AC26))</f>
        <v>3420</v>
      </c>
      <c r="AE26" s="33">
        <v>279359</v>
      </c>
      <c r="AF26" s="24">
        <f>IF(AND(COUNT(C26:E26)=0,COUNT(G26:I26)=0,COUNT(K26:M26)=0,COUNT(O26:Q26)=0,COUNT(S26:AC26)=0,AE26=""),"",(IF(COUNT(C26:E26)=0,0,SUMPRODUCT({5000,1000,500},C26:E26))+IF(COUNT(G26:I26)=0,0,SUMPRODUCT({5000,1000,500},G26:I26))+IF(COUNT(K26:M26)=0,0,SUMPRODUCT({5000,1000,500},K26:M26))+IF(COUNT(O26:Q26)=0,0,SUMPRODUCT({5000,1000,500},O26:Q26))+AD26)-N(AE26))</f>
        <v>61</v>
      </c>
      <c r="AG26" s="35" t="str">
        <f t="shared" si="0"/>
        <v>Excess</v>
      </c>
      <c r="AH26" s="38"/>
      <c r="AI26" s="36">
        <v>536175.18000000005</v>
      </c>
      <c r="AJ26" s="37">
        <f>80983.73+273484.14+181707.31</f>
        <v>536175.17999999993</v>
      </c>
      <c r="AK26" s="26">
        <f t="shared" si="3"/>
        <v>1.1641532182693481E-10</v>
      </c>
      <c r="AL26" s="25" t="str">
        <f t="shared" si="4"/>
        <v>POS Excess</v>
      </c>
      <c r="AM26" s="38"/>
    </row>
    <row r="27" spans="1:39" ht="12.75" customHeight="1" x14ac:dyDescent="0.25">
      <c r="A27" s="31">
        <v>77424</v>
      </c>
      <c r="B27" s="32" t="str">
        <f>IF(A27="","",VLOOKUP(A27,'Employee Database'!A:B,2,FALSE))</f>
        <v>M Husnain</v>
      </c>
      <c r="C27" s="31"/>
      <c r="D27" s="31"/>
      <c r="E27" s="31"/>
      <c r="F27" s="39">
        <f>IF(COUNT(C27:E27)=0,0,SUMPRODUCT({5000,1000,500},C27:E27))</f>
        <v>0</v>
      </c>
      <c r="G27" s="31">
        <v>25</v>
      </c>
      <c r="H27" s="31">
        <v>64</v>
      </c>
      <c r="I27" s="31">
        <v>12</v>
      </c>
      <c r="J27" s="39">
        <f>IF(COUNT(G27:I27)=0,0,SUMPRODUCT({5000,1000,500},G27:I27))</f>
        <v>195000</v>
      </c>
      <c r="K27" s="31"/>
      <c r="L27" s="31"/>
      <c r="M27" s="31"/>
      <c r="N27" s="39">
        <f>IF(COUNT(K27:M27)=0,0,SUMPRODUCT({5000,1000,500},K27:M27))</f>
        <v>0</v>
      </c>
      <c r="O27" s="31"/>
      <c r="P27" s="31"/>
      <c r="Q27" s="31"/>
      <c r="R27" s="39">
        <f>IF(COUNT(O27:Q27)=0,0,SUMPRODUCT({5000,1000,500},O27:Q27))</f>
        <v>0</v>
      </c>
      <c r="S27" s="31"/>
      <c r="T27" s="31"/>
      <c r="U27" s="31"/>
      <c r="V27" s="31">
        <v>2</v>
      </c>
      <c r="W27" s="31"/>
      <c r="X27" s="31">
        <v>4</v>
      </c>
      <c r="Y27" s="31"/>
      <c r="Z27" s="31">
        <v>25</v>
      </c>
      <c r="AA27" s="31"/>
      <c r="AB27" s="31"/>
      <c r="AC27" s="31"/>
      <c r="AD27" s="34">
        <f>IF(COUNT(S27:AC27)=0,0,SUMPRODUCT({5000,1000,500,100,75,50,20,10,5,2,1}, S27:AC27))</f>
        <v>650</v>
      </c>
      <c r="AE27" s="33">
        <v>195064</v>
      </c>
      <c r="AF27" s="24">
        <f>IF(AND(COUNT(C27:E27)=0,COUNT(G27:I27)=0,COUNT(K27:M27)=0,COUNT(O27:Q27)=0,COUNT(S27:AC27)=0,AE27=""),"",(IF(COUNT(C27:E27)=0,0,SUMPRODUCT({5000,1000,500},C27:E27))+IF(COUNT(G27:I27)=0,0,SUMPRODUCT({5000,1000,500},G27:I27))+IF(COUNT(K27:M27)=0,0,SUMPRODUCT({5000,1000,500},K27:M27))+IF(COUNT(O27:Q27)=0,0,SUMPRODUCT({5000,1000,500},O27:Q27))+AD27)-N(AE27))</f>
        <v>586</v>
      </c>
      <c r="AG27" s="35" t="str">
        <f t="shared" si="0"/>
        <v>Excess</v>
      </c>
      <c r="AH27" s="38"/>
      <c r="AI27" s="36">
        <f>10145.94+577111.92</f>
        <v>587257.86</v>
      </c>
      <c r="AJ27" s="37">
        <f>576531.92+10145.94</f>
        <v>586677.86</v>
      </c>
      <c r="AK27" s="26">
        <f t="shared" si="3"/>
        <v>580</v>
      </c>
      <c r="AL27" s="25" t="str">
        <f t="shared" si="4"/>
        <v>POS Excess</v>
      </c>
      <c r="AM27" s="38"/>
    </row>
    <row r="28" spans="1:39" ht="12.75" customHeight="1" x14ac:dyDescent="0.25">
      <c r="A28" s="31">
        <v>50524</v>
      </c>
      <c r="B28" s="32" t="str">
        <f>IF(A28="","",VLOOKUP(A28,'Employee Database'!A:B,2,FALSE))</f>
        <v>Allah Rakha</v>
      </c>
      <c r="C28" s="31"/>
      <c r="D28" s="31"/>
      <c r="E28" s="31"/>
      <c r="F28" s="39">
        <f>IF(COUNT(C28:E28)=0,0,SUMPRODUCT({5000,1000,500},C28:E28))</f>
        <v>0</v>
      </c>
      <c r="G28" s="31">
        <v>11</v>
      </c>
      <c r="H28" s="31">
        <v>85</v>
      </c>
      <c r="I28" s="31">
        <v>31</v>
      </c>
      <c r="J28" s="39">
        <f>IF(COUNT(G28:I28)=0,0,SUMPRODUCT({5000,1000,500},G28:I28))</f>
        <v>155500</v>
      </c>
      <c r="K28" s="31"/>
      <c r="L28" s="31"/>
      <c r="M28" s="31"/>
      <c r="N28" s="39">
        <f>IF(COUNT(K28:M28)=0,0,SUMPRODUCT({5000,1000,500},K28:M28))</f>
        <v>0</v>
      </c>
      <c r="O28" s="31"/>
      <c r="P28" s="31"/>
      <c r="Q28" s="31"/>
      <c r="R28" s="39">
        <f>IF(COUNT(O28:Q28)=0,0,SUMPRODUCT({5000,1000,500},O28:Q28))</f>
        <v>0</v>
      </c>
      <c r="S28" s="31"/>
      <c r="T28" s="31"/>
      <c r="U28" s="31"/>
      <c r="V28" s="31">
        <v>2</v>
      </c>
      <c r="W28" s="31"/>
      <c r="X28" s="31">
        <v>17</v>
      </c>
      <c r="Y28" s="31"/>
      <c r="Z28" s="31">
        <v>43</v>
      </c>
      <c r="AA28" s="31"/>
      <c r="AB28" s="31"/>
      <c r="AC28" s="31"/>
      <c r="AD28" s="34">
        <f>IF(COUNT(S28:AC28)=0,0,SUMPRODUCT({5000,1000,500,100,75,50,20,10,5,2,1}, S28:AC28))</f>
        <v>1480</v>
      </c>
      <c r="AE28" s="33">
        <v>156938</v>
      </c>
      <c r="AF28" s="24">
        <f>IF(AND(COUNT(C28:E28)=0,COUNT(G28:I28)=0,COUNT(K28:M28)=0,COUNT(O28:Q28)=0,COUNT(S28:AC28)=0,AE28=""),"",(IF(COUNT(C28:E28)=0,0,SUMPRODUCT({5000,1000,500},C28:E28))+IF(COUNT(G28:I28)=0,0,SUMPRODUCT({5000,1000,500},G28:I28))+IF(COUNT(K28:M28)=0,0,SUMPRODUCT({5000,1000,500},K28:M28))+IF(COUNT(O28:Q28)=0,0,SUMPRODUCT({5000,1000,500},O28:Q28))+AD28)-N(AE28))</f>
        <v>42</v>
      </c>
      <c r="AG28" s="35" t="str">
        <f t="shared" si="0"/>
        <v>Excess</v>
      </c>
      <c r="AH28" s="38"/>
      <c r="AI28" s="36">
        <v>517238.57</v>
      </c>
      <c r="AJ28" s="37">
        <f>390633.23+126605.34</f>
        <v>517238.56999999995</v>
      </c>
      <c r="AK28" s="26">
        <f t="shared" si="3"/>
        <v>5.8207660913467407E-11</v>
      </c>
      <c r="AL28" s="25" t="str">
        <f t="shared" si="4"/>
        <v>POS Excess</v>
      </c>
      <c r="AM28" s="38"/>
    </row>
    <row r="29" spans="1:39" ht="12.75" customHeight="1" x14ac:dyDescent="0.25">
      <c r="A29" s="31">
        <v>50313</v>
      </c>
      <c r="B29" s="32" t="str">
        <f>IF(A29="","",VLOOKUP(A29,'Employee Database'!A:B,2,FALSE))</f>
        <v>Waseem Raza</v>
      </c>
      <c r="C29" s="31"/>
      <c r="D29" s="31"/>
      <c r="E29" s="31"/>
      <c r="F29" s="39">
        <f>IF(COUNT(C29:E29)=0,0,SUMPRODUCT({5000,1000,500},C29:E29))</f>
        <v>0</v>
      </c>
      <c r="G29" s="31">
        <v>2</v>
      </c>
      <c r="H29" s="31">
        <v>2</v>
      </c>
      <c r="I29" s="31">
        <v>1</v>
      </c>
      <c r="J29" s="39">
        <f>IF(COUNT(G29:I29)=0,0,SUMPRODUCT({5000,1000,500},G29:I29))</f>
        <v>12500</v>
      </c>
      <c r="K29" s="31"/>
      <c r="L29" s="31"/>
      <c r="M29" s="31"/>
      <c r="N29" s="39">
        <f>IF(COUNT(K29:M29)=0,0,SUMPRODUCT({5000,1000,500},K29:M29))</f>
        <v>0</v>
      </c>
      <c r="O29" s="31"/>
      <c r="P29" s="31"/>
      <c r="Q29" s="31"/>
      <c r="R29" s="39">
        <f>IF(COUNT(O29:Q29)=0,0,SUMPRODUCT({5000,1000,500},O29:Q29))</f>
        <v>0</v>
      </c>
      <c r="S29" s="31"/>
      <c r="T29" s="31"/>
      <c r="U29" s="31"/>
      <c r="V29" s="31">
        <v>1</v>
      </c>
      <c r="W29" s="31"/>
      <c r="X29" s="31">
        <v>8</v>
      </c>
      <c r="Y29" s="31"/>
      <c r="Z29" s="31">
        <v>4</v>
      </c>
      <c r="AA29" s="31"/>
      <c r="AB29" s="31"/>
      <c r="AC29" s="31"/>
      <c r="AD29" s="34">
        <f>IF(COUNT(S29:AC29)=0,0,SUMPRODUCT({5000,1000,500,100,75,50,20,10,5,2,1}, S29:AC29))</f>
        <v>540</v>
      </c>
      <c r="AE29" s="33">
        <v>13033</v>
      </c>
      <c r="AF29" s="24">
        <f>IF(AND(COUNT(C29:E29)=0,COUNT(G29:I29)=0,COUNT(K29:M29)=0,COUNT(O29:Q29)=0,COUNT(S29:AC29)=0,AE29=""),"",(IF(COUNT(C29:E29)=0,0,SUMPRODUCT({5000,1000,500},C29:E29))+IF(COUNT(G29:I29)=0,0,SUMPRODUCT({5000,1000,500},G29:I29))+IF(COUNT(K29:M29)=0,0,SUMPRODUCT({5000,1000,500},K29:M29))+IF(COUNT(O29:Q29)=0,0,SUMPRODUCT({5000,1000,500},O29:Q29))+AD29)-N(AE29))</f>
        <v>7</v>
      </c>
      <c r="AG29" s="35" t="str">
        <f t="shared" si="0"/>
        <v>Excess</v>
      </c>
      <c r="AH29" s="38"/>
      <c r="AI29" s="36">
        <v>898.65</v>
      </c>
      <c r="AJ29" s="37"/>
      <c r="AK29" s="26">
        <f t="shared" si="3"/>
        <v>898.65</v>
      </c>
      <c r="AL29" s="25" t="str">
        <f t="shared" si="4"/>
        <v>POS Excess</v>
      </c>
      <c r="AM29" s="38"/>
    </row>
    <row r="30" spans="1:39" ht="12.75" customHeight="1" x14ac:dyDescent="0.25">
      <c r="A30" s="31"/>
      <c r="B30" s="32" t="str">
        <f>IF(A30="","",VLOOKUP(A30,'Employee Database'!A:B,2,FALSE))</f>
        <v/>
      </c>
      <c r="C30" s="31"/>
      <c r="D30" s="31"/>
      <c r="E30" s="31"/>
      <c r="F30" s="39">
        <f>IF(COUNT(C30:E30)=0,0,SUMPRODUCT({5000,1000,500},C30:E30))</f>
        <v>0</v>
      </c>
      <c r="G30" s="31"/>
      <c r="H30" s="31"/>
      <c r="I30" s="31"/>
      <c r="J30" s="39">
        <f>IF(COUNT(G30:I30)=0,0,SUMPRODUCT({5000,1000,500},G30:I30))</f>
        <v>0</v>
      </c>
      <c r="K30" s="31"/>
      <c r="L30" s="31"/>
      <c r="M30" s="31"/>
      <c r="N30" s="39">
        <f>IF(COUNT(K30:M30)=0,0,SUMPRODUCT({5000,1000,500},K30:M30))</f>
        <v>0</v>
      </c>
      <c r="O30" s="31"/>
      <c r="P30" s="31"/>
      <c r="Q30" s="31"/>
      <c r="R30" s="39">
        <f>IF(COUNT(O30:Q30)=0,0,SUMPRODUCT({5000,1000,500},O30:Q30))</f>
        <v>0</v>
      </c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4">
        <f>IF(COUNT(S30:AC30)=0,0,SUMPRODUCT({5000,1000,500,100,75,50,20,10,5,2,1}, S30:AC30))</f>
        <v>0</v>
      </c>
      <c r="AE30" s="33"/>
      <c r="AF30" s="24" t="str">
        <f>IF(AND(COUNT(C30:E30)=0,COUNT(G30:I30)=0,COUNT(K30:M30)=0,COUNT(O30:Q30)=0,COUNT(S30:AC30)=0,AE30=""),"",(IF(COUNT(C30:E30)=0,0,SUMPRODUCT({5000,1000,500},C30:E30))+IF(COUNT(G30:I30)=0,0,SUMPRODUCT({5000,1000,500},G30:I30))+IF(COUNT(K30:M30)=0,0,SUMPRODUCT({5000,1000,500},K30:M30))+IF(COUNT(O30:Q30)=0,0,SUMPRODUCT({5000,1000,500},O30:Q30))+AD30)-N(AE30))</f>
        <v/>
      </c>
      <c r="AG30" s="35" t="str">
        <f t="shared" si="0"/>
        <v/>
      </c>
      <c r="AH30" s="38"/>
      <c r="AI30" s="36"/>
      <c r="AJ30" s="37"/>
      <c r="AK30" s="26" t="str">
        <f t="shared" si="3"/>
        <v/>
      </c>
      <c r="AL30" s="25" t="str">
        <f t="shared" si="4"/>
        <v/>
      </c>
      <c r="AM30" s="38"/>
    </row>
    <row r="31" spans="1:39" ht="12.75" customHeight="1" x14ac:dyDescent="0.25">
      <c r="A31" s="31"/>
      <c r="B31" s="32" t="str">
        <f>IF(A31="","",VLOOKUP(A31,'Employee Database'!A:B,2,FALSE))</f>
        <v/>
      </c>
      <c r="C31" s="31"/>
      <c r="D31" s="31"/>
      <c r="E31" s="31"/>
      <c r="F31" s="39">
        <f>IF(COUNT(C31:E31)=0,0,SUMPRODUCT({5000,1000,500},C31:E31))</f>
        <v>0</v>
      </c>
      <c r="G31" s="31"/>
      <c r="H31" s="31"/>
      <c r="I31" s="31"/>
      <c r="J31" s="39">
        <f>IF(COUNT(G31:I31)=0,0,SUMPRODUCT({5000,1000,500},G31:I31))</f>
        <v>0</v>
      </c>
      <c r="K31" s="31"/>
      <c r="L31" s="31"/>
      <c r="M31" s="31"/>
      <c r="N31" s="39">
        <f>IF(COUNT(K31:M31)=0,0,SUMPRODUCT({5000,1000,500},K31:M31))</f>
        <v>0</v>
      </c>
      <c r="O31" s="31"/>
      <c r="P31" s="31"/>
      <c r="Q31" s="31"/>
      <c r="R31" s="39">
        <f>IF(COUNT(O31:Q31)=0,0,SUMPRODUCT({5000,1000,500},O31:Q31))</f>
        <v>0</v>
      </c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4">
        <f>IF(COUNT(S31:AC31)=0,0,SUMPRODUCT({5000,1000,500,100,75,50,20,10,5,2,1}, S31:AC31))</f>
        <v>0</v>
      </c>
      <c r="AE31" s="33"/>
      <c r="AF31" s="24" t="str">
        <f>IF(AND(COUNT(C31:E31)=0,COUNT(G31:I31)=0,COUNT(K31:M31)=0,COUNT(O31:Q31)=0,COUNT(S31:AC31)=0,AE31=""),"",(IF(COUNT(C31:E31)=0,0,SUMPRODUCT({5000,1000,500},C31:E31))+IF(COUNT(G31:I31)=0,0,SUMPRODUCT({5000,1000,500},G31:I31))+IF(COUNT(K31:M31)=0,0,SUMPRODUCT({5000,1000,500},K31:M31))+IF(COUNT(O31:Q31)=0,0,SUMPRODUCT({5000,1000,500},O31:Q31))+AD31)-N(AE31))</f>
        <v/>
      </c>
      <c r="AG31" s="35" t="str">
        <f t="shared" si="0"/>
        <v/>
      </c>
      <c r="AH31" s="38"/>
      <c r="AI31" s="36"/>
      <c r="AJ31" s="37"/>
      <c r="AK31" s="26" t="str">
        <f t="shared" si="3"/>
        <v/>
      </c>
      <c r="AL31" s="25" t="str">
        <f t="shared" si="4"/>
        <v/>
      </c>
      <c r="AM31" s="38"/>
    </row>
    <row r="32" spans="1:39" ht="12.75" customHeight="1" x14ac:dyDescent="0.25">
      <c r="A32" s="31"/>
      <c r="B32" s="32" t="str">
        <f>IF(A32="","",VLOOKUP(A32,'Employee Database'!A:B,2,FALSE))</f>
        <v/>
      </c>
      <c r="C32" s="31"/>
      <c r="D32" s="31"/>
      <c r="E32" s="31"/>
      <c r="F32" s="39">
        <f>IF(COUNT(C32:E32)=0,0,SUMPRODUCT({5000,1000,500},C32:E32))</f>
        <v>0</v>
      </c>
      <c r="G32" s="31"/>
      <c r="H32" s="31"/>
      <c r="I32" s="31"/>
      <c r="J32" s="39">
        <f>IF(COUNT(G32:I32)=0,0,SUMPRODUCT({5000,1000,500},G32:I32))</f>
        <v>0</v>
      </c>
      <c r="K32" s="31"/>
      <c r="L32" s="31"/>
      <c r="M32" s="31"/>
      <c r="N32" s="39">
        <f>IF(COUNT(K32:M32)=0,0,SUMPRODUCT({5000,1000,500},K32:M32))</f>
        <v>0</v>
      </c>
      <c r="O32" s="31"/>
      <c r="P32" s="31"/>
      <c r="Q32" s="31"/>
      <c r="R32" s="39">
        <f>IF(COUNT(O32:Q32)=0,0,SUMPRODUCT({5000,1000,500},O32:Q32))</f>
        <v>0</v>
      </c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4">
        <f>IF(COUNT(S32:AC32)=0,0,SUMPRODUCT({5000,1000,500,100,75,50,20,10,5,2,1}, S32:AC32))</f>
        <v>0</v>
      </c>
      <c r="AE32" s="33"/>
      <c r="AF32" s="24" t="str">
        <f>IF(AND(COUNT(C32:E32)=0,COUNT(G32:I32)=0,COUNT(K32:M32)=0,COUNT(O32:Q32)=0,COUNT(S32:AC32)=0,AE32=""),"",(IF(COUNT(C32:E32)=0,0,SUMPRODUCT({5000,1000,500},C32:E32))+IF(COUNT(G32:I32)=0,0,SUMPRODUCT({5000,1000,500},G32:I32))+IF(COUNT(K32:M32)=0,0,SUMPRODUCT({5000,1000,500},K32:M32))+IF(COUNT(O32:Q32)=0,0,SUMPRODUCT({5000,1000,500},O32:Q32))+AD32)-N(AE32))</f>
        <v/>
      </c>
      <c r="AG32" s="35" t="str">
        <f t="shared" si="0"/>
        <v/>
      </c>
      <c r="AH32" s="38"/>
      <c r="AI32" s="36"/>
      <c r="AJ32" s="37"/>
      <c r="AK32" s="26" t="str">
        <f t="shared" si="3"/>
        <v/>
      </c>
      <c r="AL32" s="25" t="str">
        <f t="shared" si="4"/>
        <v/>
      </c>
      <c r="AM32" s="38"/>
    </row>
    <row r="33" spans="1:39" ht="12.75" customHeight="1" x14ac:dyDescent="0.25">
      <c r="A33" s="31"/>
      <c r="B33" s="32" t="str">
        <f>IF(A33="","",VLOOKUP(A33,'Employee Database'!A:B,2,FALSE))</f>
        <v/>
      </c>
      <c r="C33" s="31"/>
      <c r="D33" s="31"/>
      <c r="E33" s="31"/>
      <c r="F33" s="39">
        <f>IF(COUNT(C33:E33)=0,0,SUMPRODUCT({5000,1000,500},C33:E33))</f>
        <v>0</v>
      </c>
      <c r="G33" s="31"/>
      <c r="H33" s="31"/>
      <c r="I33" s="31"/>
      <c r="J33" s="39">
        <f>IF(COUNT(G33:I33)=0,0,SUMPRODUCT({5000,1000,500},G33:I33))</f>
        <v>0</v>
      </c>
      <c r="K33" s="31"/>
      <c r="L33" s="31"/>
      <c r="M33" s="31"/>
      <c r="N33" s="39">
        <f>IF(COUNT(K33:M33)=0,0,SUMPRODUCT({5000,1000,500},K33:M33))</f>
        <v>0</v>
      </c>
      <c r="O33" s="31"/>
      <c r="P33" s="31"/>
      <c r="Q33" s="31"/>
      <c r="R33" s="39">
        <f>IF(COUNT(O33:Q33)=0,0,SUMPRODUCT({5000,1000,500},O33:Q33))</f>
        <v>0</v>
      </c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4">
        <f>IF(COUNT(S33:AC33)=0,0,SUMPRODUCT({5000,1000,500,100,75,50,20,10,5,2,1}, S33:AC33))</f>
        <v>0</v>
      </c>
      <c r="AE33" s="33"/>
      <c r="AF33" s="24" t="str">
        <f>IF(AND(COUNT(C33:E33)=0,COUNT(G33:I33)=0,COUNT(K33:M33)=0,COUNT(O33:Q33)=0,COUNT(S33:AC33)=0,AE33=""),"",(IF(COUNT(C33:E33)=0,0,SUMPRODUCT({5000,1000,500},C33:E33))+IF(COUNT(G33:I33)=0,0,SUMPRODUCT({5000,1000,500},G33:I33))+IF(COUNT(K33:M33)=0,0,SUMPRODUCT({5000,1000,500},K33:M33))+IF(COUNT(O33:Q33)=0,0,SUMPRODUCT({5000,1000,500},O33:Q33))+AD33)-N(AE33))</f>
        <v/>
      </c>
      <c r="AG33" s="35" t="str">
        <f t="shared" si="0"/>
        <v/>
      </c>
      <c r="AH33" s="38"/>
      <c r="AI33" s="36"/>
      <c r="AJ33" s="37"/>
      <c r="AK33" s="26" t="str">
        <f t="shared" si="3"/>
        <v/>
      </c>
      <c r="AL33" s="25" t="str">
        <f t="shared" si="4"/>
        <v/>
      </c>
      <c r="AM33" s="38"/>
    </row>
    <row r="34" spans="1:39" ht="12.75" customHeight="1" x14ac:dyDescent="0.25">
      <c r="A34" s="31"/>
      <c r="B34" s="32" t="str">
        <f>IF(A34="","",VLOOKUP(A34,'Employee Database'!A:B,2,FALSE))</f>
        <v/>
      </c>
      <c r="C34" s="31"/>
      <c r="D34" s="31"/>
      <c r="E34" s="31"/>
      <c r="F34" s="39">
        <f>IF(COUNT(C34:E34)=0,0,SUMPRODUCT({5000,1000,500},C34:E34))</f>
        <v>0</v>
      </c>
      <c r="G34" s="31"/>
      <c r="H34" s="31"/>
      <c r="I34" s="31"/>
      <c r="J34" s="39">
        <f>IF(COUNT(G34:I34)=0,0,SUMPRODUCT({5000,1000,500},G34:I34))</f>
        <v>0</v>
      </c>
      <c r="K34" s="31"/>
      <c r="L34" s="31"/>
      <c r="M34" s="31"/>
      <c r="N34" s="39">
        <f>IF(COUNT(K34:M34)=0,0,SUMPRODUCT({5000,1000,500},K34:M34))</f>
        <v>0</v>
      </c>
      <c r="O34" s="31"/>
      <c r="P34" s="31"/>
      <c r="Q34" s="31"/>
      <c r="R34" s="39">
        <f>IF(COUNT(O34:Q34)=0,0,SUMPRODUCT({5000,1000,500},O34:Q34))</f>
        <v>0</v>
      </c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4">
        <f>IF(COUNT(S34:AC34)=0,0,SUMPRODUCT({5000,1000,500,100,75,50,20,10,5,2,1}, S34:AC34))</f>
        <v>0</v>
      </c>
      <c r="AE34" s="33"/>
      <c r="AF34" s="24" t="str">
        <f>IF(AND(COUNT(C34:E34)=0,COUNT(G34:I34)=0,COUNT(K34:M34)=0,COUNT(O34:Q34)=0,COUNT(S34:AC34)=0,AE34=""),"",(IF(COUNT(C34:E34)=0,0,SUMPRODUCT({5000,1000,500},C34:E34))+IF(COUNT(G34:I34)=0,0,SUMPRODUCT({5000,1000,500},G34:I34))+IF(COUNT(K34:M34)=0,0,SUMPRODUCT({5000,1000,500},K34:M34))+IF(COUNT(O34:Q34)=0,0,SUMPRODUCT({5000,1000,500},O34:Q34))+AD34)-N(AE34))</f>
        <v/>
      </c>
      <c r="AG34" s="35" t="str">
        <f t="shared" si="0"/>
        <v/>
      </c>
      <c r="AH34" s="38"/>
      <c r="AI34" s="36"/>
      <c r="AJ34" s="37"/>
      <c r="AK34" s="26" t="str">
        <f t="shared" si="3"/>
        <v/>
      </c>
      <c r="AL34" s="25" t="str">
        <f t="shared" si="4"/>
        <v/>
      </c>
      <c r="AM34" s="38"/>
    </row>
    <row r="35" spans="1:39" ht="22.5" customHeight="1" x14ac:dyDescent="0.25">
      <c r="A35" s="27" t="s">
        <v>24</v>
      </c>
      <c r="B35" s="27" t="s">
        <v>24</v>
      </c>
      <c r="C35" s="28">
        <f t="shared" ref="C35:AF35" si="5">SUM(C5:C34)</f>
        <v>302</v>
      </c>
      <c r="D35" s="28">
        <f t="shared" si="5"/>
        <v>1054</v>
      </c>
      <c r="E35" s="28">
        <f t="shared" si="5"/>
        <v>194</v>
      </c>
      <c r="F35" s="40">
        <f t="shared" si="5"/>
        <v>2661000</v>
      </c>
      <c r="G35" s="28">
        <f t="shared" si="5"/>
        <v>419</v>
      </c>
      <c r="H35" s="28">
        <f t="shared" si="5"/>
        <v>1453</v>
      </c>
      <c r="I35" s="28">
        <f t="shared" si="5"/>
        <v>221</v>
      </c>
      <c r="J35" s="40">
        <f t="shared" si="5"/>
        <v>3658500</v>
      </c>
      <c r="K35" s="28">
        <f t="shared" si="5"/>
        <v>0</v>
      </c>
      <c r="L35" s="28">
        <f t="shared" si="5"/>
        <v>0</v>
      </c>
      <c r="M35" s="28">
        <f t="shared" si="5"/>
        <v>0</v>
      </c>
      <c r="N35" s="40">
        <f t="shared" si="5"/>
        <v>0</v>
      </c>
      <c r="O35" s="28">
        <f t="shared" si="5"/>
        <v>0</v>
      </c>
      <c r="P35" s="28">
        <f t="shared" si="5"/>
        <v>0</v>
      </c>
      <c r="Q35" s="28">
        <f t="shared" si="5"/>
        <v>0</v>
      </c>
      <c r="R35" s="40">
        <f t="shared" si="5"/>
        <v>0</v>
      </c>
      <c r="S35" s="28">
        <f t="shared" si="5"/>
        <v>0</v>
      </c>
      <c r="T35" s="28">
        <f t="shared" si="5"/>
        <v>0</v>
      </c>
      <c r="U35" s="28">
        <f t="shared" si="5"/>
        <v>0</v>
      </c>
      <c r="V35" s="28">
        <f t="shared" si="5"/>
        <v>109</v>
      </c>
      <c r="W35" s="28">
        <f t="shared" si="5"/>
        <v>0</v>
      </c>
      <c r="X35" s="28">
        <f t="shared" si="5"/>
        <v>676</v>
      </c>
      <c r="Y35" s="28">
        <f t="shared" si="5"/>
        <v>2</v>
      </c>
      <c r="Z35" s="28">
        <f t="shared" si="5"/>
        <v>970</v>
      </c>
      <c r="AA35" s="28">
        <f t="shared" si="5"/>
        <v>0</v>
      </c>
      <c r="AB35" s="28">
        <f t="shared" si="5"/>
        <v>4</v>
      </c>
      <c r="AC35" s="28">
        <f t="shared" si="5"/>
        <v>0</v>
      </c>
      <c r="AD35" s="40">
        <f t="shared" si="5"/>
        <v>54448</v>
      </c>
      <c r="AE35" s="41">
        <f t="shared" si="5"/>
        <v>6372871</v>
      </c>
      <c r="AF35" s="29">
        <f t="shared" si="5"/>
        <v>1077</v>
      </c>
      <c r="AG35" s="27" t="s">
        <v>24</v>
      </c>
      <c r="AH35" s="27" t="s">
        <v>24</v>
      </c>
      <c r="AI35" s="28">
        <f>SUM(AI5:AI34)</f>
        <v>15369618.930000002</v>
      </c>
      <c r="AJ35" s="28">
        <f>SUM(AJ5:AJ34)</f>
        <v>15369038.280000001</v>
      </c>
      <c r="AK35" s="28">
        <f>SUM(AK5:AK34)</f>
        <v>580.65000000026191</v>
      </c>
      <c r="AL35" s="28">
        <f>AJ35+AE35</f>
        <v>21741909.280000001</v>
      </c>
      <c r="AM35" s="28">
        <f>SUM(AM5:AM34)</f>
        <v>0</v>
      </c>
    </row>
  </sheetData>
  <mergeCells count="9">
    <mergeCell ref="S3:AC3"/>
    <mergeCell ref="AD3:AG3"/>
    <mergeCell ref="AH3:AM3"/>
    <mergeCell ref="A1:B1"/>
    <mergeCell ref="A3:B3"/>
    <mergeCell ref="C3:F3"/>
    <mergeCell ref="G3:J3"/>
    <mergeCell ref="K3:N3"/>
    <mergeCell ref="O3:R3"/>
  </mergeCells>
  <conditionalFormatting sqref="A5">
    <cfRule type="duplicateValues" dxfId="93" priority="3"/>
    <cfRule type="duplicateValues" dxfId="92" priority="4"/>
  </conditionalFormatting>
  <conditionalFormatting sqref="A6">
    <cfRule type="duplicateValues" dxfId="91" priority="5"/>
    <cfRule type="duplicateValues" dxfId="90" priority="6"/>
  </conditionalFormatting>
  <conditionalFormatting sqref="A7:A34">
    <cfRule type="duplicateValues" dxfId="89" priority="1"/>
    <cfRule type="duplicateValues" dxfId="88" priority="2"/>
  </conditionalFormatting>
  <conditionalFormatting sqref="A35">
    <cfRule type="duplicateValues" dxfId="87" priority="7"/>
  </conditionalFormatting>
  <dataValidations disablePrompts="1" count="1">
    <dataValidation type="list" allowBlank="1" showInputMessage="1" showErrorMessage="1" sqref="A1:B1" xr:uid="{00000000-0002-0000-1400-000000000000}">
      <formula1>Locations</formula1>
    </dataValidation>
  </dataValidations>
  <pageMargins left="0.75" right="0.75" top="1" bottom="1" header="0.5" footer="0.5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>
    <tabColor rgb="FFFF0000"/>
  </sheetPr>
  <dimension ref="A1:AM35"/>
  <sheetViews>
    <sheetView showGridLines="0" topLeftCell="A11" zoomScale="85" zoomScaleNormal="85" workbookViewId="0">
      <pane xSplit="2" topLeftCell="R1" activePane="topRight" state="frozen"/>
      <selection activeCell="A4" sqref="A4"/>
      <selection pane="topRight" activeCell="AE41" sqref="AE41"/>
    </sheetView>
  </sheetViews>
  <sheetFormatPr defaultRowHeight="15" x14ac:dyDescent="0.25"/>
  <cols>
    <col min="1" max="1" width="11.85546875" customWidth="1"/>
    <col min="2" max="2" width="20.5703125" customWidth="1"/>
    <col min="6" max="6" width="14.42578125" bestFit="1" customWidth="1"/>
    <col min="10" max="10" width="14.42578125" bestFit="1" customWidth="1"/>
    <col min="14" max="14" width="14.42578125" bestFit="1" customWidth="1"/>
    <col min="18" max="18" width="14.42578125" bestFit="1" customWidth="1"/>
    <col min="30" max="31" width="18" customWidth="1"/>
    <col min="32" max="32" width="20" customWidth="1"/>
    <col min="33" max="33" width="14" customWidth="1"/>
    <col min="35" max="35" width="18" customWidth="1"/>
    <col min="36" max="36" width="22" customWidth="1"/>
    <col min="37" max="37" width="16" customWidth="1"/>
    <col min="38" max="38" width="14" customWidth="1"/>
  </cols>
  <sheetData>
    <row r="1" spans="1:39" ht="43.5" customHeight="1" x14ac:dyDescent="0.25">
      <c r="A1" s="48" t="s">
        <v>306</v>
      </c>
      <c r="B1" s="48"/>
    </row>
    <row r="2" spans="1:39" ht="13.5" customHeight="1" x14ac:dyDescent="0.25">
      <c r="A2" s="30">
        <f>'19'!A2+1</f>
        <v>46223</v>
      </c>
    </row>
    <row r="3" spans="1:39" ht="24" customHeight="1" x14ac:dyDescent="0.25">
      <c r="A3" s="49" t="s">
        <v>0</v>
      </c>
      <c r="B3" s="49"/>
      <c r="C3" s="49" t="s">
        <v>93</v>
      </c>
      <c r="D3" s="50"/>
      <c r="E3" s="50"/>
      <c r="F3" s="50"/>
      <c r="G3" s="49" t="s">
        <v>94</v>
      </c>
      <c r="H3" s="50"/>
      <c r="I3" s="50"/>
      <c r="J3" s="50"/>
      <c r="K3" s="49" t="s">
        <v>95</v>
      </c>
      <c r="L3" s="50"/>
      <c r="M3" s="50"/>
      <c r="N3" s="50"/>
      <c r="O3" s="49" t="s">
        <v>96</v>
      </c>
      <c r="P3" s="50"/>
      <c r="Q3" s="50"/>
      <c r="R3" s="50"/>
      <c r="S3" s="45" t="s">
        <v>1</v>
      </c>
      <c r="T3" s="46"/>
      <c r="U3" s="46"/>
      <c r="V3" s="46"/>
      <c r="W3" s="46"/>
      <c r="X3" s="46"/>
      <c r="Y3" s="46"/>
      <c r="Z3" s="46"/>
      <c r="AA3" s="46"/>
      <c r="AB3" s="46"/>
      <c r="AC3" s="46"/>
      <c r="AD3" s="47" t="s">
        <v>97</v>
      </c>
      <c r="AE3" s="46"/>
      <c r="AF3" s="46"/>
      <c r="AG3" s="46"/>
      <c r="AH3" s="47" t="s">
        <v>98</v>
      </c>
      <c r="AI3" s="46"/>
      <c r="AJ3" s="46"/>
      <c r="AK3" s="46"/>
      <c r="AL3" s="46"/>
      <c r="AM3" s="46"/>
    </row>
    <row r="4" spans="1:39" ht="27.95" customHeight="1" x14ac:dyDescent="0.25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92</v>
      </c>
      <c r="G4" s="1" t="s">
        <v>5</v>
      </c>
      <c r="H4" s="1" t="s">
        <v>6</v>
      </c>
      <c r="I4" s="1" t="s">
        <v>7</v>
      </c>
      <c r="J4" s="1" t="s">
        <v>92</v>
      </c>
      <c r="K4" s="1" t="s">
        <v>5</v>
      </c>
      <c r="L4" s="1" t="s">
        <v>6</v>
      </c>
      <c r="M4" s="1" t="s">
        <v>7</v>
      </c>
      <c r="N4" s="1" t="s">
        <v>92</v>
      </c>
      <c r="O4" s="1" t="s">
        <v>5</v>
      </c>
      <c r="P4" s="1" t="s">
        <v>6</v>
      </c>
      <c r="Q4" s="1" t="s">
        <v>7</v>
      </c>
      <c r="R4" s="1" t="s">
        <v>92</v>
      </c>
      <c r="S4" s="1" t="s">
        <v>5</v>
      </c>
      <c r="T4" s="1" t="s">
        <v>6</v>
      </c>
      <c r="U4" s="1" t="s">
        <v>7</v>
      </c>
      <c r="V4" s="1" t="s">
        <v>8</v>
      </c>
      <c r="W4" s="1" t="s">
        <v>9</v>
      </c>
      <c r="X4" s="1" t="s">
        <v>10</v>
      </c>
      <c r="Y4" s="1" t="s">
        <v>11</v>
      </c>
      <c r="Z4" s="1" t="s">
        <v>12</v>
      </c>
      <c r="AA4" s="1" t="s">
        <v>13</v>
      </c>
      <c r="AB4" s="1" t="s">
        <v>14</v>
      </c>
      <c r="AC4" s="1" t="s">
        <v>15</v>
      </c>
      <c r="AD4" s="1" t="s">
        <v>16</v>
      </c>
      <c r="AE4" s="1" t="s">
        <v>17</v>
      </c>
      <c r="AF4" s="1" t="s">
        <v>18</v>
      </c>
      <c r="AG4" s="1" t="s">
        <v>19</v>
      </c>
      <c r="AH4" s="1" t="s">
        <v>20</v>
      </c>
      <c r="AI4" s="4" t="s">
        <v>99</v>
      </c>
      <c r="AJ4" s="1" t="s">
        <v>21</v>
      </c>
      <c r="AK4" s="1" t="s">
        <v>22</v>
      </c>
      <c r="AL4" s="1" t="s">
        <v>23</v>
      </c>
      <c r="AM4" s="4" t="s">
        <v>100</v>
      </c>
    </row>
    <row r="5" spans="1:39" ht="12.75" customHeight="1" x14ac:dyDescent="0.25">
      <c r="A5" s="31">
        <v>67249</v>
      </c>
      <c r="B5" s="32" t="str">
        <f>IF(A5="","",VLOOKUP(A5,'Employee Database'!A:B,2,FALSE))</f>
        <v>Hanan Javaid</v>
      </c>
      <c r="C5" s="31">
        <v>10</v>
      </c>
      <c r="D5" s="31">
        <v>67</v>
      </c>
      <c r="E5" s="31">
        <v>46</v>
      </c>
      <c r="F5" s="39">
        <f>IF(COUNT(C5:E5)=0,0,SUMPRODUCT({5000,1000,500},C5:E5))</f>
        <v>140000</v>
      </c>
      <c r="G5" s="31">
        <v>3</v>
      </c>
      <c r="H5" s="31"/>
      <c r="I5" s="31">
        <v>3</v>
      </c>
      <c r="J5" s="39">
        <f>IF(COUNT(G5:I5)=0,0,SUMPRODUCT({5000,1000,500},G5:I5))</f>
        <v>16500</v>
      </c>
      <c r="K5" s="31"/>
      <c r="L5" s="31"/>
      <c r="M5" s="31"/>
      <c r="N5" s="39">
        <f>IF(COUNT(K5:M5)=0,0,SUMPRODUCT({5000,1000,500},K5:M5))</f>
        <v>0</v>
      </c>
      <c r="O5" s="31"/>
      <c r="P5" s="31"/>
      <c r="Q5" s="31"/>
      <c r="R5" s="39">
        <f>IF(COUNT(O5:Q5)=0,0,SUMPRODUCT({5000,1000,500},O5:Q5))</f>
        <v>0</v>
      </c>
      <c r="S5" s="31"/>
      <c r="T5" s="31"/>
      <c r="U5" s="31"/>
      <c r="V5" s="31">
        <v>1</v>
      </c>
      <c r="W5" s="31"/>
      <c r="X5" s="31">
        <v>33</v>
      </c>
      <c r="Y5" s="31"/>
      <c r="Z5" s="31">
        <v>51</v>
      </c>
      <c r="AA5" s="31">
        <v>4</v>
      </c>
      <c r="AB5" s="31">
        <v>43</v>
      </c>
      <c r="AC5" s="31"/>
      <c r="AD5" s="34">
        <f>IF(COUNT(S5:AC5)=0,0,SUMPRODUCT({5000,1000,500,100,75,50,20,10,5,2,1}, S5:AC5))</f>
        <v>2366</v>
      </c>
      <c r="AE5" s="33">
        <v>158850</v>
      </c>
      <c r="AF5" s="24">
        <f>IF(AND(COUNT(C5:E5)=0,COUNT(G5:I5)=0,COUNT(K5:M5)=0,COUNT(O5:Q5)=0,COUNT(S5:AC5)=0,AE5=""),"",(IF(COUNT(C5:E5)=0,0,SUMPRODUCT({5000,1000,500},C5:E5))+IF(COUNT(G5:I5)=0,0,SUMPRODUCT({5000,1000,500},G5:I5))+IF(COUNT(K5:M5)=0,0,SUMPRODUCT({5000,1000,500},K5:M5))+IF(COUNT(O5:Q5)=0,0,SUMPRODUCT({5000,1000,500},O5:Q5))+AD5)-N(AE5))</f>
        <v>16</v>
      </c>
      <c r="AG5" s="35" t="str">
        <f t="shared" ref="AG5:AG34" si="0">IF(AF5="","",IF(AF5&gt;0,"Excess",IF(AF5&lt;0,"Short","Balanced")))</f>
        <v>Excess</v>
      </c>
      <c r="AH5" s="38"/>
      <c r="AI5" s="36">
        <v>476689.81</v>
      </c>
      <c r="AJ5" s="37">
        <f>150986.96+325702.85</f>
        <v>476689.80999999994</v>
      </c>
      <c r="AK5" s="26">
        <f t="shared" ref="AK5:AK18" si="1">IF(AND(AI5="",AJ5=""),"",N(AI5)-N(AJ5))</f>
        <v>5.8207660913467407E-11</v>
      </c>
      <c r="AL5" s="25" t="str">
        <f t="shared" ref="AL5:AL18" si="2">IF(AK5="","",IF(AK5&gt;0,"POS Excess",IF(AK5&lt;0,"Bank Short","Matched")))</f>
        <v>POS Excess</v>
      </c>
      <c r="AM5" s="38"/>
    </row>
    <row r="6" spans="1:39" ht="12.75" customHeight="1" x14ac:dyDescent="0.25">
      <c r="A6" s="31">
        <v>72873</v>
      </c>
      <c r="B6" s="32" t="str">
        <f>IF(A6="","",VLOOKUP(A6,'Employee Database'!A:B,2,FALSE))</f>
        <v>M Shajee</v>
      </c>
      <c r="C6" s="31">
        <v>57</v>
      </c>
      <c r="D6" s="31">
        <v>135</v>
      </c>
      <c r="E6" s="31"/>
      <c r="F6" s="39">
        <f>IF(COUNT(C6:E6)=0,0,SUMPRODUCT({5000,1000,500},C6:E6))</f>
        <v>420000</v>
      </c>
      <c r="G6" s="31">
        <v>7</v>
      </c>
      <c r="H6" s="31">
        <v>67</v>
      </c>
      <c r="I6" s="31">
        <v>14</v>
      </c>
      <c r="J6" s="39">
        <f>IF(COUNT(G6:I6)=0,0,SUMPRODUCT({5000,1000,500},G6:I6))</f>
        <v>109000</v>
      </c>
      <c r="K6" s="31"/>
      <c r="L6" s="31"/>
      <c r="M6" s="31"/>
      <c r="N6" s="39">
        <f>IF(COUNT(K6:M6)=0,0,SUMPRODUCT({5000,1000,500},K6:M6))</f>
        <v>0</v>
      </c>
      <c r="O6" s="31"/>
      <c r="P6" s="31"/>
      <c r="Q6" s="31"/>
      <c r="R6" s="39">
        <f>IF(COUNT(O6:Q6)=0,0,SUMPRODUCT({5000,1000,500},O6:Q6))</f>
        <v>0</v>
      </c>
      <c r="S6" s="31"/>
      <c r="T6" s="31"/>
      <c r="U6" s="31"/>
      <c r="V6" s="31"/>
      <c r="W6" s="31"/>
      <c r="X6" s="31">
        <v>1</v>
      </c>
      <c r="Y6" s="31"/>
      <c r="Z6" s="31">
        <v>19</v>
      </c>
      <c r="AA6" s="31"/>
      <c r="AB6" s="31"/>
      <c r="AC6" s="31"/>
      <c r="AD6" s="34">
        <f>IF(COUNT(S6:AC6)=0,0,SUMPRODUCT({5000,1000,500,100,75,50,20,10,5,2,1}, S6:AC6))</f>
        <v>240</v>
      </c>
      <c r="AE6" s="33">
        <v>529376</v>
      </c>
      <c r="AF6" s="24">
        <f>IF(AND(COUNT(C6:E6)=0,COUNT(G6:I6)=0,COUNT(K6:M6)=0,COUNT(O6:Q6)=0,COUNT(S6:AC6)=0,AE6=""),"",(IF(COUNT(C6:E6)=0,0,SUMPRODUCT({5000,1000,500},C6:E6))+IF(COUNT(G6:I6)=0,0,SUMPRODUCT({5000,1000,500},G6:I6))+IF(COUNT(K6:M6)=0,0,SUMPRODUCT({5000,1000,500},K6:M6))+IF(COUNT(O6:Q6)=0,0,SUMPRODUCT({5000,1000,500},O6:Q6))+AD6)-N(AE6))</f>
        <v>-136</v>
      </c>
      <c r="AG6" s="35" t="str">
        <f t="shared" si="0"/>
        <v>Short</v>
      </c>
      <c r="AH6" s="38"/>
      <c r="AI6" s="36">
        <v>454242</v>
      </c>
      <c r="AJ6" s="37">
        <f>200632+253609+1</f>
        <v>454242</v>
      </c>
      <c r="AK6" s="26">
        <f t="shared" si="1"/>
        <v>0</v>
      </c>
      <c r="AL6" s="25" t="str">
        <f t="shared" si="2"/>
        <v>Matched</v>
      </c>
      <c r="AM6" s="38"/>
    </row>
    <row r="7" spans="1:39" ht="12.75" customHeight="1" x14ac:dyDescent="0.25">
      <c r="A7" s="31">
        <v>57653</v>
      </c>
      <c r="B7" s="32" t="str">
        <f>IF(A7="","",VLOOKUP(A7,'Employee Database'!A:B,2,FALSE))</f>
        <v>Amanat ali</v>
      </c>
      <c r="C7" s="31">
        <v>1</v>
      </c>
      <c r="D7" s="31">
        <v>16</v>
      </c>
      <c r="E7" s="31">
        <v>2</v>
      </c>
      <c r="F7" s="39">
        <f>IF(COUNT(C7:E7)=0,0,SUMPRODUCT({5000,1000,500},C7:E7))</f>
        <v>22000</v>
      </c>
      <c r="G7" s="31">
        <v>38</v>
      </c>
      <c r="H7" s="31">
        <v>132</v>
      </c>
      <c r="I7" s="31">
        <v>16</v>
      </c>
      <c r="J7" s="39">
        <f>IF(COUNT(G7:I7)=0,0,SUMPRODUCT({5000,1000,500},G7:I7))</f>
        <v>330000</v>
      </c>
      <c r="K7" s="31"/>
      <c r="L7" s="31"/>
      <c r="M7" s="31"/>
      <c r="N7" s="39">
        <f>IF(COUNT(K7:M7)=0,0,SUMPRODUCT({5000,1000,500},K7:M7))</f>
        <v>0</v>
      </c>
      <c r="O7" s="31"/>
      <c r="P7" s="31"/>
      <c r="Q7" s="31"/>
      <c r="R7" s="39">
        <f>IF(COUNT(O7:Q7)=0,0,SUMPRODUCT({5000,1000,500},O7:Q7))</f>
        <v>0</v>
      </c>
      <c r="S7" s="31"/>
      <c r="T7" s="31"/>
      <c r="U7" s="31"/>
      <c r="V7" s="31"/>
      <c r="W7" s="31"/>
      <c r="X7" s="31">
        <v>64</v>
      </c>
      <c r="Y7" s="31"/>
      <c r="Z7" s="31">
        <v>89</v>
      </c>
      <c r="AA7" s="31"/>
      <c r="AB7" s="31"/>
      <c r="AC7" s="31"/>
      <c r="AD7" s="34">
        <f>IF(COUNT(S7:AC7)=0,0,SUMPRODUCT({5000,1000,500,100,75,50,20,10,5,2,1}, S7:AC7))</f>
        <v>4090</v>
      </c>
      <c r="AE7" s="33">
        <v>356131</v>
      </c>
      <c r="AF7" s="24">
        <f>IF(AND(COUNT(C7:E7)=0,COUNT(G7:I7)=0,COUNT(K7:M7)=0,COUNT(O7:Q7)=0,COUNT(S7:AC7)=0,AE7=""),"",(IF(COUNT(C7:E7)=0,0,SUMPRODUCT({5000,1000,500},C7:E7))+IF(COUNT(G7:I7)=0,0,SUMPRODUCT({5000,1000,500},G7:I7))+IF(COUNT(K7:M7)=0,0,SUMPRODUCT({5000,1000,500},K7:M7))+IF(COUNT(O7:Q7)=0,0,SUMPRODUCT({5000,1000,500},O7:Q7))+AD7)-N(AE7))</f>
        <v>-41</v>
      </c>
      <c r="AG7" s="35" t="str">
        <f t="shared" si="0"/>
        <v>Short</v>
      </c>
      <c r="AH7" s="38"/>
      <c r="AI7" s="36">
        <v>590379</v>
      </c>
      <c r="AJ7" s="37">
        <f>297578+292800+1</f>
        <v>590379</v>
      </c>
      <c r="AK7" s="26">
        <f t="shared" si="1"/>
        <v>0</v>
      </c>
      <c r="AL7" s="25" t="str">
        <f t="shared" si="2"/>
        <v>Matched</v>
      </c>
      <c r="AM7" s="38"/>
    </row>
    <row r="8" spans="1:39" ht="12.75" customHeight="1" x14ac:dyDescent="0.25">
      <c r="A8" s="31">
        <v>73196</v>
      </c>
      <c r="B8" s="32" t="str">
        <f>IF(A8="","",VLOOKUP(A8,'Employee Database'!A:B,2,FALSE))</f>
        <v>Asma</v>
      </c>
      <c r="C8" s="31">
        <v>2</v>
      </c>
      <c r="D8" s="31">
        <v>7</v>
      </c>
      <c r="E8" s="31">
        <v>12</v>
      </c>
      <c r="F8" s="39">
        <f>IF(COUNT(C8:E8)=0,0,SUMPRODUCT({5000,1000,500},C8:E8))</f>
        <v>23000</v>
      </c>
      <c r="G8" s="31">
        <v>25</v>
      </c>
      <c r="H8" s="31">
        <v>55</v>
      </c>
      <c r="I8" s="31"/>
      <c r="J8" s="39">
        <f>IF(COUNT(G8:I8)=0,0,SUMPRODUCT({5000,1000,500},G8:I8))</f>
        <v>180000</v>
      </c>
      <c r="K8" s="31"/>
      <c r="L8" s="31"/>
      <c r="M8" s="31"/>
      <c r="N8" s="39">
        <f>IF(COUNT(K8:M8)=0,0,SUMPRODUCT({5000,1000,500},K8:M8))</f>
        <v>0</v>
      </c>
      <c r="O8" s="31"/>
      <c r="P8" s="31"/>
      <c r="Q8" s="31"/>
      <c r="R8" s="39">
        <f>IF(COUNT(O8:Q8)=0,0,SUMPRODUCT({5000,1000,500},O8:Q8))</f>
        <v>0</v>
      </c>
      <c r="S8" s="31"/>
      <c r="T8" s="31"/>
      <c r="U8" s="31"/>
      <c r="V8" s="31">
        <v>9</v>
      </c>
      <c r="W8" s="31"/>
      <c r="X8" s="31">
        <v>33</v>
      </c>
      <c r="Y8" s="31">
        <v>1</v>
      </c>
      <c r="Z8" s="31">
        <v>126</v>
      </c>
      <c r="AA8" s="31"/>
      <c r="AB8" s="31"/>
      <c r="AC8" s="31"/>
      <c r="AD8" s="34">
        <f>IF(COUNT(S8:AC8)=0,0,SUMPRODUCT({5000,1000,500,100,75,50,20,10,5,2,1}, S8:AC8))</f>
        <v>3830</v>
      </c>
      <c r="AE8" s="33">
        <v>207367</v>
      </c>
      <c r="AF8" s="24">
        <f>IF(AND(COUNT(C8:E8)=0,COUNT(G8:I8)=0,COUNT(K8:M8)=0,COUNT(O8:Q8)=0,COUNT(S8:AC8)=0,AE8=""),"",(IF(COUNT(C8:E8)=0,0,SUMPRODUCT({5000,1000,500},C8:E8))+IF(COUNT(G8:I8)=0,0,SUMPRODUCT({5000,1000,500},G8:I8))+IF(COUNT(K8:M8)=0,0,SUMPRODUCT({5000,1000,500},K8:M8))+IF(COUNT(O8:Q8)=0,0,SUMPRODUCT({5000,1000,500},O8:Q8))+AD8)-N(AE8))</f>
        <v>-537</v>
      </c>
      <c r="AG8" s="35" t="str">
        <f t="shared" si="0"/>
        <v>Short</v>
      </c>
      <c r="AH8" s="38"/>
      <c r="AI8" s="36">
        <v>226801</v>
      </c>
      <c r="AJ8" s="37">
        <f>113972+112829</f>
        <v>226801</v>
      </c>
      <c r="AK8" s="26">
        <f t="shared" si="1"/>
        <v>0</v>
      </c>
      <c r="AL8" s="25" t="str">
        <f t="shared" si="2"/>
        <v>Matched</v>
      </c>
      <c r="AM8" s="38"/>
    </row>
    <row r="9" spans="1:39" ht="12.75" customHeight="1" x14ac:dyDescent="0.25">
      <c r="A9" s="31">
        <v>59257</v>
      </c>
      <c r="B9" s="32" t="str">
        <f>IF(A9="","",VLOOKUP(A9,'Employee Database'!A:B,2,FALSE))</f>
        <v>Saddiqa Maryam</v>
      </c>
      <c r="C9" s="31"/>
      <c r="D9" s="31"/>
      <c r="E9" s="31"/>
      <c r="F9" s="39">
        <f>IF(COUNT(C9:E9)=0,0,SUMPRODUCT({5000,1000,500},C9:E9))</f>
        <v>0</v>
      </c>
      <c r="G9" s="31">
        <v>29</v>
      </c>
      <c r="H9" s="31">
        <v>63</v>
      </c>
      <c r="I9" s="31">
        <v>5</v>
      </c>
      <c r="J9" s="39">
        <f>IF(COUNT(G9:I9)=0,0,SUMPRODUCT({5000,1000,500},G9:I9))</f>
        <v>210500</v>
      </c>
      <c r="K9" s="31"/>
      <c r="L9" s="31"/>
      <c r="M9" s="31"/>
      <c r="N9" s="39">
        <f>IF(COUNT(K9:M9)=0,0,SUMPRODUCT({5000,1000,500},K9:M9))</f>
        <v>0</v>
      </c>
      <c r="O9" s="31"/>
      <c r="P9" s="31"/>
      <c r="Q9" s="31"/>
      <c r="R9" s="39">
        <f>IF(COUNT(O9:Q9)=0,0,SUMPRODUCT({5000,1000,500},O9:Q9))</f>
        <v>0</v>
      </c>
      <c r="S9" s="31"/>
      <c r="T9" s="31"/>
      <c r="U9" s="31"/>
      <c r="V9" s="31"/>
      <c r="W9" s="31">
        <v>1</v>
      </c>
      <c r="X9" s="31">
        <v>6</v>
      </c>
      <c r="Y9" s="31">
        <v>2</v>
      </c>
      <c r="Z9" s="31">
        <v>35</v>
      </c>
      <c r="AA9" s="31"/>
      <c r="AB9" s="31"/>
      <c r="AC9" s="31"/>
      <c r="AD9" s="34">
        <f>IF(COUNT(S9:AC9)=0,0,SUMPRODUCT({5000,1000,500,100,75,50,20,10,5,2,1}, S9:AC9))</f>
        <v>765</v>
      </c>
      <c r="AE9" s="33">
        <v>211269</v>
      </c>
      <c r="AF9" s="24">
        <f>IF(AND(COUNT(C9:E9)=0,COUNT(G9:I9)=0,COUNT(K9:M9)=0,COUNT(O9:Q9)=0,COUNT(S9:AC9)=0,AE9=""),"",(IF(COUNT(C9:E9)=0,0,SUMPRODUCT({5000,1000,500},C9:E9))+IF(COUNT(G9:I9)=0,0,SUMPRODUCT({5000,1000,500},G9:I9))+IF(COUNT(K9:M9)=0,0,SUMPRODUCT({5000,1000,500},K9:M9))+IF(COUNT(O9:Q9)=0,0,SUMPRODUCT({5000,1000,500},O9:Q9))+AD9)-N(AE9))</f>
        <v>-4</v>
      </c>
      <c r="AG9" s="35" t="str">
        <f t="shared" si="0"/>
        <v>Short</v>
      </c>
      <c r="AH9" s="38"/>
      <c r="AI9" s="36">
        <v>260699</v>
      </c>
      <c r="AJ9" s="37">
        <f>106959+153740</f>
        <v>260699</v>
      </c>
      <c r="AK9" s="26">
        <f t="shared" si="1"/>
        <v>0</v>
      </c>
      <c r="AL9" s="25" t="str">
        <f t="shared" si="2"/>
        <v>Matched</v>
      </c>
      <c r="AM9" s="38"/>
    </row>
    <row r="10" spans="1:39" ht="12.75" customHeight="1" x14ac:dyDescent="0.25">
      <c r="A10" s="31">
        <v>56189</v>
      </c>
      <c r="B10" s="32" t="str">
        <f>IF(A10="","",VLOOKUP(A10,'Employee Database'!A:B,2,FALSE))</f>
        <v>Iffat Sultan</v>
      </c>
      <c r="C10" s="31"/>
      <c r="D10" s="31"/>
      <c r="E10" s="31"/>
      <c r="F10" s="39">
        <f>IF(COUNT(C10:E10)=0,0,SUMPRODUCT({5000,1000,500},C10:E10))</f>
        <v>0</v>
      </c>
      <c r="G10" s="31">
        <v>16</v>
      </c>
      <c r="H10" s="31">
        <v>49</v>
      </c>
      <c r="I10" s="31">
        <v>13</v>
      </c>
      <c r="J10" s="39">
        <f>IF(COUNT(G10:I10)=0,0,SUMPRODUCT({5000,1000,500},G10:I10))</f>
        <v>135500</v>
      </c>
      <c r="K10" s="31"/>
      <c r="L10" s="31"/>
      <c r="M10" s="31"/>
      <c r="N10" s="39">
        <f>IF(COUNT(K10:M10)=0,0,SUMPRODUCT({5000,1000,500},K10:M10))</f>
        <v>0</v>
      </c>
      <c r="O10" s="31"/>
      <c r="P10" s="31"/>
      <c r="Q10" s="31"/>
      <c r="R10" s="39">
        <f>IF(COUNT(O10:Q10)=0,0,SUMPRODUCT({5000,1000,500},O10:Q10))</f>
        <v>0</v>
      </c>
      <c r="S10" s="31"/>
      <c r="T10" s="31"/>
      <c r="U10" s="31"/>
      <c r="V10" s="31"/>
      <c r="W10" s="31"/>
      <c r="X10" s="31">
        <v>21</v>
      </c>
      <c r="Y10" s="31"/>
      <c r="Z10" s="31">
        <v>35</v>
      </c>
      <c r="AA10" s="31"/>
      <c r="AB10" s="31"/>
      <c r="AC10" s="31"/>
      <c r="AD10" s="34">
        <f>IF(COUNT(S10:AC10)=0,0,SUMPRODUCT({5000,1000,500,100,75,50,20,10,5,2,1}, S10:AC10))</f>
        <v>1400</v>
      </c>
      <c r="AE10" s="33">
        <v>136827</v>
      </c>
      <c r="AF10" s="24">
        <f>IF(AND(COUNT(C10:E10)=0,COUNT(G10:I10)=0,COUNT(K10:M10)=0,COUNT(O10:Q10)=0,COUNT(S10:AC10)=0,AE10=""),"",(IF(COUNT(C10:E10)=0,0,SUMPRODUCT({5000,1000,500},C10:E10))+IF(COUNT(G10:I10)=0,0,SUMPRODUCT({5000,1000,500},G10:I10))+IF(COUNT(K10:M10)=0,0,SUMPRODUCT({5000,1000,500},K10:M10))+IF(COUNT(O10:Q10)=0,0,SUMPRODUCT({5000,1000,500},O10:Q10))+AD10)-N(AE10))</f>
        <v>73</v>
      </c>
      <c r="AG10" s="35" t="str">
        <f t="shared" si="0"/>
        <v>Excess</v>
      </c>
      <c r="AH10" s="38"/>
      <c r="AI10" s="36">
        <f>293007+35235</f>
        <v>328242</v>
      </c>
      <c r="AJ10" s="37">
        <f>35235+293007</f>
        <v>328242</v>
      </c>
      <c r="AK10" s="26">
        <f t="shared" si="1"/>
        <v>0</v>
      </c>
      <c r="AL10" s="25" t="str">
        <f t="shared" si="2"/>
        <v>Matched</v>
      </c>
      <c r="AM10" s="38"/>
    </row>
    <row r="11" spans="1:39" ht="12.75" customHeight="1" x14ac:dyDescent="0.25">
      <c r="A11" s="31">
        <v>65299</v>
      </c>
      <c r="B11" s="32" t="str">
        <f>IF(A11="","",VLOOKUP(A11,'Employee Database'!A:B,2,FALSE))</f>
        <v>M Faisal</v>
      </c>
      <c r="C11" s="31"/>
      <c r="D11" s="31"/>
      <c r="E11" s="31"/>
      <c r="F11" s="39">
        <f>IF(COUNT(C11:E11)=0,0,SUMPRODUCT({5000,1000,500},C11:E11))</f>
        <v>0</v>
      </c>
      <c r="G11" s="31">
        <v>12</v>
      </c>
      <c r="H11" s="31">
        <v>27</v>
      </c>
      <c r="I11" s="31">
        <v>2</v>
      </c>
      <c r="J11" s="39">
        <f>IF(COUNT(G11:I11)=0,0,SUMPRODUCT({5000,1000,500},G11:I11))</f>
        <v>88000</v>
      </c>
      <c r="K11" s="31"/>
      <c r="L11" s="31"/>
      <c r="M11" s="31"/>
      <c r="N11" s="39">
        <f>IF(COUNT(K11:M11)=0,0,SUMPRODUCT({5000,1000,500},K11:M11))</f>
        <v>0</v>
      </c>
      <c r="O11" s="31"/>
      <c r="P11" s="31"/>
      <c r="Q11" s="31"/>
      <c r="R11" s="39">
        <f>IF(COUNT(O11:Q11)=0,0,SUMPRODUCT({5000,1000,500},O11:Q11))</f>
        <v>0</v>
      </c>
      <c r="S11" s="31"/>
      <c r="T11" s="31"/>
      <c r="U11" s="31"/>
      <c r="V11" s="31">
        <v>1</v>
      </c>
      <c r="W11" s="31"/>
      <c r="X11" s="31">
        <v>25</v>
      </c>
      <c r="Y11" s="31"/>
      <c r="Z11" s="31">
        <v>24</v>
      </c>
      <c r="AA11" s="31"/>
      <c r="AB11" s="31"/>
      <c r="AC11" s="31"/>
      <c r="AD11" s="34">
        <f>IF(COUNT(S11:AC11)=0,0,SUMPRODUCT({5000,1000,500,100,75,50,20,10,5,2,1}, S11:AC11))</f>
        <v>1590</v>
      </c>
      <c r="AE11" s="33">
        <v>89643</v>
      </c>
      <c r="AF11" s="24">
        <f>IF(AND(COUNT(C11:E11)=0,COUNT(G11:I11)=0,COUNT(K11:M11)=0,COUNT(O11:Q11)=0,COUNT(S11:AC11)=0,AE11=""),"",(IF(COUNT(C11:E11)=0,0,SUMPRODUCT({5000,1000,500},C11:E11))+IF(COUNT(G11:I11)=0,0,SUMPRODUCT({5000,1000,500},G11:I11))+IF(COUNT(K11:M11)=0,0,SUMPRODUCT({5000,1000,500},K11:M11))+IF(COUNT(O11:Q11)=0,0,SUMPRODUCT({5000,1000,500},O11:Q11))+AD11)-N(AE11))</f>
        <v>-53</v>
      </c>
      <c r="AG11" s="35" t="str">
        <f t="shared" si="0"/>
        <v>Short</v>
      </c>
      <c r="AH11" s="38"/>
      <c r="AI11" s="36">
        <v>487717</v>
      </c>
      <c r="AJ11" s="37">
        <f>170894+316822+1</f>
        <v>487717</v>
      </c>
      <c r="AK11" s="26">
        <f t="shared" si="1"/>
        <v>0</v>
      </c>
      <c r="AL11" s="25" t="str">
        <f t="shared" si="2"/>
        <v>Matched</v>
      </c>
      <c r="AM11" s="38"/>
    </row>
    <row r="12" spans="1:39" ht="12.75" customHeight="1" x14ac:dyDescent="0.25">
      <c r="A12" s="31">
        <v>77423</v>
      </c>
      <c r="B12" s="32" t="str">
        <f>IF(A12="","",VLOOKUP(A12,'Employee Database'!A:B,2,FALSE))</f>
        <v>Shoaib Akhtar</v>
      </c>
      <c r="C12" s="31">
        <v>22</v>
      </c>
      <c r="D12" s="31">
        <v>125</v>
      </c>
      <c r="E12" s="31"/>
      <c r="F12" s="39">
        <f>IF(COUNT(C12:E12)=0,0,SUMPRODUCT({5000,1000,500},C12:E12))</f>
        <v>235000</v>
      </c>
      <c r="G12" s="31">
        <v>4</v>
      </c>
      <c r="H12" s="31">
        <v>7</v>
      </c>
      <c r="I12" s="31">
        <v>15</v>
      </c>
      <c r="J12" s="39">
        <f>IF(COUNT(G12:I12)=0,0,SUMPRODUCT({5000,1000,500},G12:I12))</f>
        <v>34500</v>
      </c>
      <c r="K12" s="31"/>
      <c r="L12" s="31"/>
      <c r="M12" s="31"/>
      <c r="N12" s="39">
        <f>IF(COUNT(K12:M12)=0,0,SUMPRODUCT({5000,1000,500},K12:M12))</f>
        <v>0</v>
      </c>
      <c r="O12" s="31"/>
      <c r="P12" s="31"/>
      <c r="Q12" s="31"/>
      <c r="R12" s="39">
        <f>IF(COUNT(O12:Q12)=0,0,SUMPRODUCT({5000,1000,500},O12:Q12))</f>
        <v>0</v>
      </c>
      <c r="S12" s="31"/>
      <c r="T12" s="31"/>
      <c r="U12" s="31"/>
      <c r="V12" s="31"/>
      <c r="W12" s="31"/>
      <c r="X12" s="31">
        <v>31</v>
      </c>
      <c r="Y12" s="31"/>
      <c r="Z12" s="31">
        <v>30</v>
      </c>
      <c r="AA12" s="31"/>
      <c r="AB12" s="31"/>
      <c r="AC12" s="31"/>
      <c r="AD12" s="34">
        <f>IF(COUNT(S12:AC12)=0,0,SUMPRODUCT({5000,1000,500,100,75,50,20,10,5,2,1}, S12:AC12))</f>
        <v>1850</v>
      </c>
      <c r="AE12" s="33">
        <v>271371</v>
      </c>
      <c r="AF12" s="24">
        <f>IF(AND(COUNT(C12:E12)=0,COUNT(G12:I12)=0,COUNT(K12:M12)=0,COUNT(O12:Q12)=0,COUNT(S12:AC12)=0,AE12=""),"",(IF(COUNT(C12:E12)=0,0,SUMPRODUCT({5000,1000,500},C12:E12))+IF(COUNT(G12:I12)=0,0,SUMPRODUCT({5000,1000,500},G12:I12))+IF(COUNT(K12:M12)=0,0,SUMPRODUCT({5000,1000,500},K12:M12))+IF(COUNT(O12:Q12)=0,0,SUMPRODUCT({5000,1000,500},O12:Q12))+AD12)-N(AE12))</f>
        <v>-21</v>
      </c>
      <c r="AG12" s="35" t="str">
        <f t="shared" si="0"/>
        <v>Short</v>
      </c>
      <c r="AH12" s="38"/>
      <c r="AI12" s="36">
        <v>633237</v>
      </c>
      <c r="AJ12" s="37">
        <f>590184+43053</f>
        <v>633237</v>
      </c>
      <c r="AK12" s="26">
        <f t="shared" si="1"/>
        <v>0</v>
      </c>
      <c r="AL12" s="25" t="str">
        <f t="shared" si="2"/>
        <v>Matched</v>
      </c>
      <c r="AM12" s="38"/>
    </row>
    <row r="13" spans="1:39" ht="12.75" customHeight="1" x14ac:dyDescent="0.25">
      <c r="A13" s="31">
        <v>73679</v>
      </c>
      <c r="B13" s="32" t="str">
        <f>IF(A13="","",VLOOKUP(A13,'Employee Database'!A:B,2,FALSE))</f>
        <v>Imran Waqar</v>
      </c>
      <c r="C13" s="31">
        <v>10</v>
      </c>
      <c r="D13" s="31">
        <v>20</v>
      </c>
      <c r="E13" s="31"/>
      <c r="F13" s="39">
        <f>IF(COUNT(C13:E13)=0,0,SUMPRODUCT({5000,1000,500},C13:E13))</f>
        <v>70000</v>
      </c>
      <c r="G13" s="31"/>
      <c r="H13" s="31"/>
      <c r="I13" s="31"/>
      <c r="J13" s="39">
        <f>IF(COUNT(G13:I13)=0,0,SUMPRODUCT({5000,1000,500},G13:I13))</f>
        <v>0</v>
      </c>
      <c r="K13" s="31">
        <v>18</v>
      </c>
      <c r="L13" s="31">
        <v>67</v>
      </c>
      <c r="M13" s="31">
        <v>25</v>
      </c>
      <c r="N13" s="39">
        <f>IF(COUNT(K13:M13)=0,0,SUMPRODUCT({5000,1000,500},K13:M13))</f>
        <v>169500</v>
      </c>
      <c r="O13" s="31"/>
      <c r="P13" s="31"/>
      <c r="Q13" s="31"/>
      <c r="R13" s="39">
        <f>IF(COUNT(O13:Q13)=0,0,SUMPRODUCT({5000,1000,500},O13:Q13))</f>
        <v>0</v>
      </c>
      <c r="S13" s="31"/>
      <c r="T13" s="31"/>
      <c r="U13" s="31"/>
      <c r="V13" s="31">
        <v>2</v>
      </c>
      <c r="W13" s="31"/>
      <c r="X13" s="31"/>
      <c r="Y13" s="31"/>
      <c r="Z13" s="31">
        <v>6</v>
      </c>
      <c r="AA13" s="31"/>
      <c r="AB13" s="31"/>
      <c r="AC13" s="31"/>
      <c r="AD13" s="34">
        <f>IF(COUNT(S13:AC13)=0,0,SUMPRODUCT({5000,1000,500,100,75,50,20,10,5,2,1}, S13:AC13))</f>
        <v>260</v>
      </c>
      <c r="AE13" s="33">
        <v>239761</v>
      </c>
      <c r="AF13" s="24">
        <f>IF(AND(COUNT(C13:E13)=0,COUNT(G13:I13)=0,COUNT(K13:M13)=0,COUNT(O13:Q13)=0,COUNT(S13:AC13)=0,AE13=""),"",(IF(COUNT(C13:E13)=0,0,SUMPRODUCT({5000,1000,500},C13:E13))+IF(COUNT(G13:I13)=0,0,SUMPRODUCT({5000,1000,500},G13:I13))+IF(COUNT(K13:M13)=0,0,SUMPRODUCT({5000,1000,500},K13:M13))+IF(COUNT(O13:Q13)=0,0,SUMPRODUCT({5000,1000,500},O13:Q13))+AD13)-N(AE13))</f>
        <v>-1</v>
      </c>
      <c r="AG13" s="35" t="str">
        <f t="shared" si="0"/>
        <v>Short</v>
      </c>
      <c r="AH13" s="38"/>
      <c r="AI13" s="36">
        <v>604328</v>
      </c>
      <c r="AJ13" s="37">
        <v>604328</v>
      </c>
      <c r="AK13" s="26">
        <f t="shared" si="1"/>
        <v>0</v>
      </c>
      <c r="AL13" s="25" t="str">
        <f t="shared" si="2"/>
        <v>Matched</v>
      </c>
      <c r="AM13" s="38"/>
    </row>
    <row r="14" spans="1:39" ht="12.75" customHeight="1" x14ac:dyDescent="0.25">
      <c r="A14" s="31">
        <v>63374</v>
      </c>
      <c r="B14" s="32" t="str">
        <f>IF(A14="","",VLOOKUP(A14,'Employee Database'!A:B,2,FALSE))</f>
        <v>Aftab Ali</v>
      </c>
      <c r="C14" s="31">
        <v>5</v>
      </c>
      <c r="D14" s="31">
        <v>75</v>
      </c>
      <c r="E14" s="31"/>
      <c r="F14" s="39">
        <f>IF(COUNT(C14:E14)=0,0,SUMPRODUCT({5000,1000,500},C14:E14))</f>
        <v>100000</v>
      </c>
      <c r="G14" s="31"/>
      <c r="H14" s="31"/>
      <c r="I14" s="31"/>
      <c r="J14" s="39">
        <f>IF(COUNT(G14:I14)=0,0,SUMPRODUCT({5000,1000,500},G14:I14))</f>
        <v>0</v>
      </c>
      <c r="K14" s="31">
        <v>29</v>
      </c>
      <c r="L14" s="31">
        <v>37</v>
      </c>
      <c r="M14" s="31">
        <v>60</v>
      </c>
      <c r="N14" s="39">
        <f>IF(COUNT(K14:M14)=0,0,SUMPRODUCT({5000,1000,500},K14:M14))</f>
        <v>212000</v>
      </c>
      <c r="O14" s="31"/>
      <c r="P14" s="31"/>
      <c r="Q14" s="31"/>
      <c r="R14" s="39">
        <f>IF(COUNT(O14:Q14)=0,0,SUMPRODUCT({5000,1000,500},O14:Q14))</f>
        <v>0</v>
      </c>
      <c r="S14" s="31"/>
      <c r="T14" s="31"/>
      <c r="U14" s="31"/>
      <c r="V14" s="31"/>
      <c r="W14" s="31"/>
      <c r="X14" s="31">
        <v>8</v>
      </c>
      <c r="Y14" s="31">
        <v>3</v>
      </c>
      <c r="Z14" s="31">
        <v>147</v>
      </c>
      <c r="AA14" s="31"/>
      <c r="AB14" s="31"/>
      <c r="AC14" s="31"/>
      <c r="AD14" s="34">
        <f>IF(COUNT(S14:AC14)=0,0,SUMPRODUCT({5000,1000,500,100,75,50,20,10,5,2,1}, S14:AC14))</f>
        <v>1930</v>
      </c>
      <c r="AE14" s="33">
        <v>313919</v>
      </c>
      <c r="AF14" s="24">
        <f>IF(AND(COUNT(C14:E14)=0,COUNT(G14:I14)=0,COUNT(K14:M14)=0,COUNT(O14:Q14)=0,COUNT(S14:AC14)=0,AE14=""),"",(IF(COUNT(C14:E14)=0,0,SUMPRODUCT({5000,1000,500},C14:E14))+IF(COUNT(G14:I14)=0,0,SUMPRODUCT({5000,1000,500},G14:I14))+IF(COUNT(K14:M14)=0,0,SUMPRODUCT({5000,1000,500},K14:M14))+IF(COUNT(O14:Q14)=0,0,SUMPRODUCT({5000,1000,500},O14:Q14))+AD14)-N(AE14))</f>
        <v>11</v>
      </c>
      <c r="AG14" s="35" t="str">
        <f t="shared" si="0"/>
        <v>Excess</v>
      </c>
      <c r="AH14" s="38"/>
      <c r="AI14" s="36">
        <f>431171+78222</f>
        <v>509393</v>
      </c>
      <c r="AJ14" s="37">
        <f>78222+431171</f>
        <v>509393</v>
      </c>
      <c r="AK14" s="26">
        <f t="shared" si="1"/>
        <v>0</v>
      </c>
      <c r="AL14" s="25" t="str">
        <f t="shared" si="2"/>
        <v>Matched</v>
      </c>
      <c r="AM14" s="38"/>
    </row>
    <row r="15" spans="1:39" ht="12.75" customHeight="1" x14ac:dyDescent="0.25">
      <c r="A15" s="31">
        <v>67799</v>
      </c>
      <c r="B15" s="32" t="str">
        <f>IF(A15="","",VLOOKUP(A15,'Employee Database'!A:B,2,FALSE))</f>
        <v>Hassan Raza</v>
      </c>
      <c r="C15" s="31">
        <v>9</v>
      </c>
      <c r="D15" s="31">
        <v>95</v>
      </c>
      <c r="E15" s="31"/>
      <c r="F15" s="39">
        <f>IF(COUNT(C15:E15)=0,0,SUMPRODUCT({5000,1000,500},C15:E15))</f>
        <v>140000</v>
      </c>
      <c r="G15" s="31"/>
      <c r="H15" s="31"/>
      <c r="I15" s="31"/>
      <c r="J15" s="39">
        <f>IF(COUNT(G15:I15)=0,0,SUMPRODUCT({5000,1000,500},G15:I15))</f>
        <v>0</v>
      </c>
      <c r="K15" s="31">
        <v>23</v>
      </c>
      <c r="L15" s="31">
        <v>93</v>
      </c>
      <c r="M15" s="31">
        <v>113</v>
      </c>
      <c r="N15" s="39">
        <f>IF(COUNT(K15:M15)=0,0,SUMPRODUCT({5000,1000,500},K15:M15))</f>
        <v>264500</v>
      </c>
      <c r="O15" s="31"/>
      <c r="P15" s="31"/>
      <c r="Q15" s="31"/>
      <c r="R15" s="39">
        <f>IF(COUNT(O15:Q15)=0,0,SUMPRODUCT({5000,1000,500},O15:Q15))</f>
        <v>0</v>
      </c>
      <c r="S15" s="31"/>
      <c r="T15" s="31"/>
      <c r="U15" s="31"/>
      <c r="V15" s="31">
        <v>7</v>
      </c>
      <c r="W15" s="31"/>
      <c r="X15" s="31">
        <v>21</v>
      </c>
      <c r="Y15" s="31">
        <v>1</v>
      </c>
      <c r="Z15" s="31">
        <v>72</v>
      </c>
      <c r="AA15" s="31"/>
      <c r="AB15" s="31"/>
      <c r="AC15" s="31"/>
      <c r="AD15" s="34">
        <f>IF(COUNT(S15:AC15)=0,0,SUMPRODUCT({5000,1000,500,100,75,50,20,10,5,2,1}, S15:AC15))</f>
        <v>2490</v>
      </c>
      <c r="AE15" s="33">
        <v>406928</v>
      </c>
      <c r="AF15" s="24">
        <f>IF(AND(COUNT(C15:E15)=0,COUNT(G15:I15)=0,COUNT(K15:M15)=0,COUNT(O15:Q15)=0,COUNT(S15:AC15)=0,AE15=""),"",(IF(COUNT(C15:E15)=0,0,SUMPRODUCT({5000,1000,500},C15:E15))+IF(COUNT(G15:I15)=0,0,SUMPRODUCT({5000,1000,500},G15:I15))+IF(COUNT(K15:M15)=0,0,SUMPRODUCT({5000,1000,500},K15:M15))+IF(COUNT(O15:Q15)=0,0,SUMPRODUCT({5000,1000,500},O15:Q15))+AD15)-N(AE15))</f>
        <v>62</v>
      </c>
      <c r="AG15" s="35" t="str">
        <f t="shared" si="0"/>
        <v>Excess</v>
      </c>
      <c r="AH15" s="38"/>
      <c r="AI15" s="36">
        <f>284332+85400</f>
        <v>369732</v>
      </c>
      <c r="AJ15" s="37">
        <f>53680+160858+69793+85400+1</f>
        <v>369732</v>
      </c>
      <c r="AK15" s="26">
        <f t="shared" si="1"/>
        <v>0</v>
      </c>
      <c r="AL15" s="25" t="str">
        <f t="shared" si="2"/>
        <v>Matched</v>
      </c>
      <c r="AM15" s="38"/>
    </row>
    <row r="16" spans="1:39" ht="12.75" customHeight="1" x14ac:dyDescent="0.25">
      <c r="A16" s="31">
        <v>75768</v>
      </c>
      <c r="B16" s="32" t="str">
        <f>IF(A16="","",VLOOKUP(A16,'Employee Database'!A:B,2,FALSE))</f>
        <v>Zuhaib</v>
      </c>
      <c r="C16" s="31"/>
      <c r="D16" s="31"/>
      <c r="E16" s="31"/>
      <c r="F16" s="39">
        <f>IF(COUNT(C16:E16)=0,0,SUMPRODUCT({5000,1000,500},C16:E16))</f>
        <v>0</v>
      </c>
      <c r="G16" s="31"/>
      <c r="H16" s="31"/>
      <c r="I16" s="31"/>
      <c r="J16" s="39">
        <f>IF(COUNT(G16:I16)=0,0,SUMPRODUCT({5000,1000,500},G16:I16))</f>
        <v>0</v>
      </c>
      <c r="K16" s="31">
        <v>25</v>
      </c>
      <c r="L16" s="31">
        <v>22</v>
      </c>
      <c r="M16" s="31">
        <v>4</v>
      </c>
      <c r="N16" s="39">
        <f>IF(COUNT(K16:M16)=0,0,SUMPRODUCT({5000,1000,500},K16:M16))</f>
        <v>149000</v>
      </c>
      <c r="O16" s="31"/>
      <c r="P16" s="31"/>
      <c r="Q16" s="31"/>
      <c r="R16" s="39">
        <f>IF(COUNT(O16:Q16)=0,0,SUMPRODUCT({5000,1000,500},O16:Q16))</f>
        <v>0</v>
      </c>
      <c r="S16" s="31"/>
      <c r="T16" s="31"/>
      <c r="U16" s="31"/>
      <c r="V16" s="31"/>
      <c r="W16" s="31"/>
      <c r="X16" s="31">
        <v>29</v>
      </c>
      <c r="Y16" s="31"/>
      <c r="Z16" s="31">
        <v>69</v>
      </c>
      <c r="AA16" s="31"/>
      <c r="AB16" s="31">
        <v>19</v>
      </c>
      <c r="AC16" s="31"/>
      <c r="AD16" s="34">
        <f>IF(COUNT(S16:AC16)=0,0,SUMPRODUCT({5000,1000,500,100,75,50,20,10,5,2,1}, S16:AC16))</f>
        <v>2178</v>
      </c>
      <c r="AE16" s="33">
        <v>151179</v>
      </c>
      <c r="AF16" s="24">
        <f>IF(AND(COUNT(C16:E16)=0,COUNT(G16:I16)=0,COUNT(K16:M16)=0,COUNT(O16:Q16)=0,COUNT(S16:AC16)=0,AE16=""),"",(IF(COUNT(C16:E16)=0,0,SUMPRODUCT({5000,1000,500},C16:E16))+IF(COUNT(G16:I16)=0,0,SUMPRODUCT({5000,1000,500},G16:I16))+IF(COUNT(K16:M16)=0,0,SUMPRODUCT({5000,1000,500},K16:M16))+IF(COUNT(O16:Q16)=0,0,SUMPRODUCT({5000,1000,500},O16:Q16))+AD16)-N(AE16))</f>
        <v>-1</v>
      </c>
      <c r="AG16" s="35" t="str">
        <f t="shared" si="0"/>
        <v>Short</v>
      </c>
      <c r="AH16" s="38"/>
      <c r="AI16" s="36">
        <v>130459</v>
      </c>
      <c r="AJ16" s="37">
        <f>90510+33313+6636</f>
        <v>130459</v>
      </c>
      <c r="AK16" s="26">
        <f t="shared" si="1"/>
        <v>0</v>
      </c>
      <c r="AL16" s="25" t="str">
        <f t="shared" si="2"/>
        <v>Matched</v>
      </c>
      <c r="AM16" s="38"/>
    </row>
    <row r="17" spans="1:39" ht="12.75" customHeight="1" x14ac:dyDescent="0.25">
      <c r="A17" s="31">
        <v>55417</v>
      </c>
      <c r="B17" s="32" t="str">
        <f>IF(A17="","",VLOOKUP(A17,'Employee Database'!A:B,2,FALSE))</f>
        <v>M Imran</v>
      </c>
      <c r="C17" s="31"/>
      <c r="D17" s="31"/>
      <c r="E17" s="31"/>
      <c r="F17" s="39">
        <f>IF(COUNT(C17:E17)=0,0,SUMPRODUCT({5000,1000,500},C17:E17))</f>
        <v>0</v>
      </c>
      <c r="G17" s="31"/>
      <c r="H17" s="31"/>
      <c r="I17" s="31"/>
      <c r="J17" s="39">
        <f>IF(COUNT(G17:I17)=0,0,SUMPRODUCT({5000,1000,500},G17:I17))</f>
        <v>0</v>
      </c>
      <c r="K17" s="31">
        <v>28</v>
      </c>
      <c r="L17" s="31">
        <v>4</v>
      </c>
      <c r="M17" s="31">
        <v>1</v>
      </c>
      <c r="N17" s="39">
        <f>IF(COUNT(K17:M17)=0,0,SUMPRODUCT({5000,1000,500},K17:M17))</f>
        <v>144500</v>
      </c>
      <c r="O17" s="31"/>
      <c r="P17" s="31"/>
      <c r="Q17" s="31"/>
      <c r="R17" s="39">
        <f>IF(COUNT(O17:Q17)=0,0,SUMPRODUCT({5000,1000,500},O17:Q17))</f>
        <v>0</v>
      </c>
      <c r="S17" s="31"/>
      <c r="T17" s="31"/>
      <c r="U17" s="31"/>
      <c r="V17" s="31"/>
      <c r="W17" s="31"/>
      <c r="X17" s="31">
        <v>65</v>
      </c>
      <c r="Y17" s="31"/>
      <c r="Z17" s="31">
        <v>79</v>
      </c>
      <c r="AA17" s="31"/>
      <c r="AB17" s="31"/>
      <c r="AC17" s="31"/>
      <c r="AD17" s="34">
        <f>IF(COUNT(S17:AC17)=0,0,SUMPRODUCT({5000,1000,500,100,75,50,20,10,5,2,1}, S17:AC17))</f>
        <v>4040</v>
      </c>
      <c r="AE17" s="33">
        <v>148516</v>
      </c>
      <c r="AF17" s="24">
        <f>IF(AND(COUNT(C17:E17)=0,COUNT(G17:I17)=0,COUNT(K17:M17)=0,COUNT(O17:Q17)=0,COUNT(S17:AC17)=0,AE17=""),"",(IF(COUNT(C17:E17)=0,0,SUMPRODUCT({5000,1000,500},C17:E17))+IF(COUNT(G17:I17)=0,0,SUMPRODUCT({5000,1000,500},G17:I17))+IF(COUNT(K17:M17)=0,0,SUMPRODUCT({5000,1000,500},K17:M17))+IF(COUNT(O17:Q17)=0,0,SUMPRODUCT({5000,1000,500},O17:Q17))+AD17)-N(AE17))</f>
        <v>24</v>
      </c>
      <c r="AG17" s="35" t="str">
        <f t="shared" si="0"/>
        <v>Excess</v>
      </c>
      <c r="AH17" s="38"/>
      <c r="AI17" s="36">
        <v>90045</v>
      </c>
      <c r="AJ17" s="37">
        <v>90045</v>
      </c>
      <c r="AK17" s="26">
        <f t="shared" si="1"/>
        <v>0</v>
      </c>
      <c r="AL17" s="25" t="str">
        <f t="shared" si="2"/>
        <v>Matched</v>
      </c>
      <c r="AM17" s="38"/>
    </row>
    <row r="18" spans="1:39" ht="12.75" customHeight="1" x14ac:dyDescent="0.25">
      <c r="A18" s="31">
        <v>53893</v>
      </c>
      <c r="B18" s="32" t="str">
        <f>IF(A18="","",VLOOKUP(A18,'Employee Database'!A:B,2,FALSE))</f>
        <v>M Binyameen</v>
      </c>
      <c r="C18" s="31"/>
      <c r="D18" s="31"/>
      <c r="E18" s="31"/>
      <c r="F18" s="39">
        <f>IF(COUNT(C18:E18)=0,0,SUMPRODUCT({5000,1000,500},C18:E18))</f>
        <v>0</v>
      </c>
      <c r="G18" s="31"/>
      <c r="H18" s="31"/>
      <c r="I18" s="31"/>
      <c r="J18" s="39">
        <f>IF(COUNT(G18:I18)=0,0,SUMPRODUCT({5000,1000,500},G18:I18))</f>
        <v>0</v>
      </c>
      <c r="K18" s="31">
        <v>23</v>
      </c>
      <c r="L18" s="31">
        <v>79</v>
      </c>
      <c r="M18" s="31">
        <v>17</v>
      </c>
      <c r="N18" s="39">
        <f>IF(COUNT(K18:M18)=0,0,SUMPRODUCT({5000,1000,500},K18:M18))</f>
        <v>202500</v>
      </c>
      <c r="O18" s="31"/>
      <c r="P18" s="31"/>
      <c r="Q18" s="31"/>
      <c r="R18" s="39">
        <f>IF(COUNT(O18:Q18)=0,0,SUMPRODUCT({5000,1000,500},O18:Q18))</f>
        <v>0</v>
      </c>
      <c r="S18" s="31"/>
      <c r="T18" s="31"/>
      <c r="U18" s="31"/>
      <c r="V18" s="31">
        <v>5</v>
      </c>
      <c r="W18" s="31"/>
      <c r="X18" s="31">
        <v>92</v>
      </c>
      <c r="Y18" s="31"/>
      <c r="Z18" s="31">
        <v>105</v>
      </c>
      <c r="AA18" s="31"/>
      <c r="AB18" s="31"/>
      <c r="AC18" s="31"/>
      <c r="AD18" s="34">
        <f>IF(COUNT(S18:AC18)=0,0,SUMPRODUCT({5000,1000,500,100,75,50,20,10,5,2,1}, S18:AC18))</f>
        <v>6150</v>
      </c>
      <c r="AE18" s="33">
        <v>208600</v>
      </c>
      <c r="AF18" s="24">
        <f>IF(AND(COUNT(C18:E18)=0,COUNT(G18:I18)=0,COUNT(K18:M18)=0,COUNT(O18:Q18)=0,COUNT(S18:AC18)=0,AE18=""),"",(IF(COUNT(C18:E18)=0,0,SUMPRODUCT({5000,1000,500},C18:E18))+IF(COUNT(G18:I18)=0,0,SUMPRODUCT({5000,1000,500},G18:I18))+IF(COUNT(K18:M18)=0,0,SUMPRODUCT({5000,1000,500},K18:M18))+IF(COUNT(O18:Q18)=0,0,SUMPRODUCT({5000,1000,500},O18:Q18))+AD18)-N(AE18))</f>
        <v>50</v>
      </c>
      <c r="AG18" s="35" t="str">
        <f t="shared" si="0"/>
        <v>Excess</v>
      </c>
      <c r="AH18" s="38"/>
      <c r="AI18" s="36">
        <f>133+261302</f>
        <v>261435</v>
      </c>
      <c r="AJ18" s="37">
        <f>90667+170635+133</f>
        <v>261435</v>
      </c>
      <c r="AK18" s="26">
        <f t="shared" si="1"/>
        <v>0</v>
      </c>
      <c r="AL18" s="25" t="str">
        <f t="shared" si="2"/>
        <v>Matched</v>
      </c>
      <c r="AM18" s="38"/>
    </row>
    <row r="19" spans="1:39" ht="12.75" customHeight="1" x14ac:dyDescent="0.25">
      <c r="A19" s="31">
        <v>50313</v>
      </c>
      <c r="B19" s="32" t="str">
        <f>IF(A19="","",VLOOKUP(A19,'Employee Database'!A:B,2,FALSE))</f>
        <v>Waseem Raza</v>
      </c>
      <c r="C19" s="31"/>
      <c r="D19" s="31"/>
      <c r="E19" s="31"/>
      <c r="F19" s="39">
        <f>IF(COUNT(C19:E19)=0,0,SUMPRODUCT({5000,1000,500},C19:E19))</f>
        <v>0</v>
      </c>
      <c r="G19" s="31"/>
      <c r="H19" s="31"/>
      <c r="I19" s="31"/>
      <c r="J19" s="39">
        <f>IF(COUNT(G19:I19)=0,0,SUMPRODUCT({5000,1000,500},G19:I19))</f>
        <v>0</v>
      </c>
      <c r="K19" s="31"/>
      <c r="L19" s="31">
        <v>3</v>
      </c>
      <c r="M19" s="31">
        <v>3</v>
      </c>
      <c r="N19" s="39">
        <f>IF(COUNT(K19:M19)=0,0,SUMPRODUCT({5000,1000,500},K19:M19))</f>
        <v>4500</v>
      </c>
      <c r="O19" s="31"/>
      <c r="P19" s="31"/>
      <c r="Q19" s="31"/>
      <c r="R19" s="39">
        <f>IF(COUNT(O19:Q19)=0,0,SUMPRODUCT({5000,1000,500},O19:Q19))</f>
        <v>0</v>
      </c>
      <c r="S19" s="31"/>
      <c r="T19" s="31"/>
      <c r="U19" s="31"/>
      <c r="V19" s="31">
        <v>1</v>
      </c>
      <c r="W19" s="31"/>
      <c r="X19" s="31">
        <v>26</v>
      </c>
      <c r="Y19" s="31"/>
      <c r="Z19" s="31">
        <v>1</v>
      </c>
      <c r="AA19" s="31"/>
      <c r="AB19" s="31"/>
      <c r="AC19" s="31"/>
      <c r="AD19" s="34">
        <f>IF(COUNT(S19:AC19)=0,0,SUMPRODUCT({5000,1000,500,100,75,50,20,10,5,2,1}, S19:AC19))</f>
        <v>1410</v>
      </c>
      <c r="AE19" s="33">
        <v>5911</v>
      </c>
      <c r="AF19" s="24">
        <f>IF(AND(COUNT(C19:E19)=0,COUNT(G19:I19)=0,COUNT(K19:M19)=0,COUNT(O19:Q19)=0,COUNT(S19:AC19)=0,AE19=""),"",(IF(COUNT(C19:E19)=0,0,SUMPRODUCT({5000,1000,500},C19:E19))+IF(COUNT(G19:I19)=0,0,SUMPRODUCT({5000,1000,500},G19:I19))+IF(COUNT(K19:M19)=0,0,SUMPRODUCT({5000,1000,500},K19:M19))+IF(COUNT(O19:Q19)=0,0,SUMPRODUCT({5000,1000,500},O19:Q19))+AD19)-N(AE19))</f>
        <v>-1</v>
      </c>
      <c r="AG19" s="35" t="str">
        <f t="shared" si="0"/>
        <v>Short</v>
      </c>
      <c r="AH19" s="38"/>
      <c r="AI19" s="36"/>
      <c r="AJ19" s="37"/>
      <c r="AK19" s="26"/>
      <c r="AL19" s="25"/>
      <c r="AM19" s="38"/>
    </row>
    <row r="20" spans="1:39" ht="12.75" customHeight="1" x14ac:dyDescent="0.25">
      <c r="A20" s="31">
        <v>50524</v>
      </c>
      <c r="B20" s="32" t="str">
        <f>IF(A20="","",VLOOKUP(A20,'Employee Database'!A:B,2,FALSE))</f>
        <v>Allah Rakha</v>
      </c>
      <c r="C20" s="31"/>
      <c r="D20" s="31"/>
      <c r="E20" s="31"/>
      <c r="F20" s="39">
        <f>IF(COUNT(C20:E20)=0,0,SUMPRODUCT({5000,1000,500},C20:E20))</f>
        <v>0</v>
      </c>
      <c r="G20" s="31"/>
      <c r="H20" s="31"/>
      <c r="I20" s="31"/>
      <c r="J20" s="39">
        <f>IF(COUNT(G20:I20)=0,0,SUMPRODUCT({5000,1000,500},G20:I20))</f>
        <v>0</v>
      </c>
      <c r="K20" s="31">
        <v>34</v>
      </c>
      <c r="L20" s="31">
        <v>58</v>
      </c>
      <c r="M20" s="31">
        <v>58</v>
      </c>
      <c r="N20" s="39">
        <f>IF(COUNT(K20:M20)=0,0,SUMPRODUCT({5000,1000,500},K20:M20))</f>
        <v>257000</v>
      </c>
      <c r="O20" s="31"/>
      <c r="P20" s="31"/>
      <c r="Q20" s="31"/>
      <c r="R20" s="39">
        <f>IF(COUNT(O20:Q20)=0,0,SUMPRODUCT({5000,1000,500},O20:Q20))</f>
        <v>0</v>
      </c>
      <c r="S20" s="31"/>
      <c r="T20" s="31"/>
      <c r="U20" s="31"/>
      <c r="V20" s="31">
        <v>13</v>
      </c>
      <c r="W20" s="31"/>
      <c r="X20" s="31">
        <v>58</v>
      </c>
      <c r="Y20" s="31"/>
      <c r="Z20" s="31">
        <v>90</v>
      </c>
      <c r="AA20" s="31"/>
      <c r="AB20" s="31"/>
      <c r="AC20" s="31"/>
      <c r="AD20" s="34">
        <f>IF(COUNT(S20:AC20)=0,0,SUMPRODUCT({5000,1000,500,100,75,50,20,10,5,2,1}, S20:AC20))</f>
        <v>5100</v>
      </c>
      <c r="AE20" s="33">
        <v>262186</v>
      </c>
      <c r="AF20" s="24">
        <f>IF(AND(COUNT(C20:E20)=0,COUNT(G20:I20)=0,COUNT(K20:M20)=0,COUNT(O20:Q20)=0,COUNT(S20:AC20)=0,AE20=""),"",(IF(COUNT(C20:E20)=0,0,SUMPRODUCT({5000,1000,500},C20:E20))+IF(COUNT(G20:I20)=0,0,SUMPRODUCT({5000,1000,500},G20:I20))+IF(COUNT(K20:M20)=0,0,SUMPRODUCT({5000,1000,500},K20:M20))+IF(COUNT(O20:Q20)=0,0,SUMPRODUCT({5000,1000,500},O20:Q20))+AD20)-N(AE20))</f>
        <v>-86</v>
      </c>
      <c r="AG20" s="35" t="str">
        <f t="shared" si="0"/>
        <v>Short</v>
      </c>
      <c r="AH20" s="38"/>
      <c r="AI20" s="36">
        <f>47663+355548</f>
        <v>403211</v>
      </c>
      <c r="AJ20" s="37">
        <f>229978+125569+47663+1</f>
        <v>403211</v>
      </c>
      <c r="AK20" s="26"/>
      <c r="AL20" s="25"/>
      <c r="AM20" s="38"/>
    </row>
    <row r="21" spans="1:39" ht="12.75" customHeight="1" x14ac:dyDescent="0.25">
      <c r="A21" s="31">
        <v>50134</v>
      </c>
      <c r="B21" s="32" t="str">
        <f>IF(A21="","",VLOOKUP(A21,'Employee Database'!A:B,2,FALSE))</f>
        <v>Asif Abbas</v>
      </c>
      <c r="C21" s="31"/>
      <c r="D21" s="31"/>
      <c r="E21" s="31"/>
      <c r="F21" s="39">
        <f>IF(COUNT(C21:E21)=0,0,SUMPRODUCT({5000,1000,500},C21:E21))</f>
        <v>0</v>
      </c>
      <c r="G21" s="31"/>
      <c r="H21" s="31"/>
      <c r="I21" s="31"/>
      <c r="J21" s="39">
        <f>IF(COUNT(G21:I21)=0,0,SUMPRODUCT({5000,1000,500},G21:I21))</f>
        <v>0</v>
      </c>
      <c r="K21" s="31">
        <v>27</v>
      </c>
      <c r="L21" s="31">
        <v>70</v>
      </c>
      <c r="M21" s="31">
        <v>64</v>
      </c>
      <c r="N21" s="39">
        <f>IF(COUNT(K21:M21)=0,0,SUMPRODUCT({5000,1000,500},K21:M21))</f>
        <v>237000</v>
      </c>
      <c r="O21" s="31"/>
      <c r="P21" s="31"/>
      <c r="Q21" s="31"/>
      <c r="R21" s="39">
        <f>IF(COUNT(O21:Q21)=0,0,SUMPRODUCT({5000,1000,500},O21:Q21))</f>
        <v>0</v>
      </c>
      <c r="S21" s="31"/>
      <c r="T21" s="31"/>
      <c r="U21" s="31"/>
      <c r="V21" s="31">
        <v>3</v>
      </c>
      <c r="W21" s="31"/>
      <c r="X21" s="31">
        <v>194</v>
      </c>
      <c r="Y21" s="31">
        <v>1</v>
      </c>
      <c r="Z21" s="31">
        <v>45</v>
      </c>
      <c r="AA21" s="31"/>
      <c r="AB21" s="31"/>
      <c r="AC21" s="31"/>
      <c r="AD21" s="34">
        <f>IF(COUNT(S21:AC21)=0,0,SUMPRODUCT({5000,1000,500,100,75,50,20,10,5,2,1}, S21:AC21))</f>
        <v>10470</v>
      </c>
      <c r="AE21" s="33">
        <v>247452</v>
      </c>
      <c r="AF21" s="24">
        <f>IF(AND(COUNT(C21:E21)=0,COUNT(G21:I21)=0,COUNT(K21:M21)=0,COUNT(O21:Q21)=0,COUNT(S21:AC21)=0,AE21=""),"",(IF(COUNT(C21:E21)=0,0,SUMPRODUCT({5000,1000,500},C21:E21))+IF(COUNT(G21:I21)=0,0,SUMPRODUCT({5000,1000,500},G21:I21))+IF(COUNT(K21:M21)=0,0,SUMPRODUCT({5000,1000,500},K21:M21))+IF(COUNT(O21:Q21)=0,0,SUMPRODUCT({5000,1000,500},O21:Q21))+AD21)-N(AE21))</f>
        <v>18</v>
      </c>
      <c r="AG21" s="35" t="str">
        <f t="shared" si="0"/>
        <v>Excess</v>
      </c>
      <c r="AH21" s="38"/>
      <c r="AI21" s="36">
        <v>612239</v>
      </c>
      <c r="AJ21" s="37">
        <f>383700+228538+1</f>
        <v>612239</v>
      </c>
      <c r="AK21" s="26"/>
      <c r="AL21" s="25"/>
      <c r="AM21" s="38"/>
    </row>
    <row r="22" spans="1:39" ht="12.75" customHeight="1" x14ac:dyDescent="0.25">
      <c r="A22" s="31">
        <v>79593</v>
      </c>
      <c r="B22" s="32" t="str">
        <f>IF(A22="","",VLOOKUP(A22,'Employee Database'!A:B,2,FALSE))</f>
        <v>Amir</v>
      </c>
      <c r="C22" s="31"/>
      <c r="D22" s="31"/>
      <c r="E22" s="31"/>
      <c r="F22" s="39">
        <f>IF(COUNT(C22:E22)=0,0,SUMPRODUCT({5000,1000,500},C22:E22))</f>
        <v>0</v>
      </c>
      <c r="G22" s="31"/>
      <c r="H22" s="31"/>
      <c r="I22" s="31"/>
      <c r="J22" s="39">
        <f>IF(COUNT(G22:I22)=0,0,SUMPRODUCT({5000,1000,500},G22:I22))</f>
        <v>0</v>
      </c>
      <c r="K22" s="31">
        <v>34</v>
      </c>
      <c r="L22" s="31">
        <v>99</v>
      </c>
      <c r="M22" s="31">
        <v>8</v>
      </c>
      <c r="N22" s="39">
        <f>IF(COUNT(K22:M22)=0,0,SUMPRODUCT({5000,1000,500},K22:M22))</f>
        <v>273000</v>
      </c>
      <c r="O22" s="31"/>
      <c r="P22" s="31"/>
      <c r="Q22" s="31"/>
      <c r="R22" s="39">
        <f>IF(COUNT(O22:Q22)=0,0,SUMPRODUCT({5000,1000,500},O22:Q22))</f>
        <v>0</v>
      </c>
      <c r="S22" s="31"/>
      <c r="T22" s="31"/>
      <c r="U22" s="31"/>
      <c r="V22" s="31"/>
      <c r="W22" s="31"/>
      <c r="X22" s="31">
        <v>88</v>
      </c>
      <c r="Y22" s="31">
        <v>1</v>
      </c>
      <c r="Z22" s="31">
        <v>15</v>
      </c>
      <c r="AA22" s="31"/>
      <c r="AB22" s="31"/>
      <c r="AC22" s="31"/>
      <c r="AD22" s="34">
        <f>IF(COUNT(S22:AC22)=0,0,SUMPRODUCT({5000,1000,500,100,75,50,20,10,5,2,1}, S22:AC22))</f>
        <v>4570</v>
      </c>
      <c r="AE22" s="33">
        <v>277583</v>
      </c>
      <c r="AF22" s="24">
        <f>IF(AND(COUNT(C22:E22)=0,COUNT(G22:I22)=0,COUNT(K22:M22)=0,COUNT(O22:Q22)=0,COUNT(S22:AC22)=0,AE22=""),"",(IF(COUNT(C22:E22)=0,0,SUMPRODUCT({5000,1000,500},C22:E22))+IF(COUNT(G22:I22)=0,0,SUMPRODUCT({5000,1000,500},G22:I22))+IF(COUNT(K22:M22)=0,0,SUMPRODUCT({5000,1000,500},K22:M22))+IF(COUNT(O22:Q22)=0,0,SUMPRODUCT({5000,1000,500},O22:Q22))+AD22)-N(AE22))</f>
        <v>-13</v>
      </c>
      <c r="AG22" s="35" t="str">
        <f t="shared" si="0"/>
        <v>Short</v>
      </c>
      <c r="AH22" s="38"/>
      <c r="AI22" s="36">
        <f>292051+358616</f>
        <v>650667</v>
      </c>
      <c r="AJ22" s="37">
        <f>358616+292051</f>
        <v>650667</v>
      </c>
      <c r="AK22" s="26"/>
      <c r="AL22" s="25"/>
      <c r="AM22" s="38"/>
    </row>
    <row r="23" spans="1:39" ht="12.75" customHeight="1" x14ac:dyDescent="0.25">
      <c r="A23" s="31">
        <v>67250</v>
      </c>
      <c r="B23" s="32" t="str">
        <f>IF(A23="","",VLOOKUP(A23,'Employee Database'!A:B,2,FALSE))</f>
        <v>M Fiaz</v>
      </c>
      <c r="C23" s="31"/>
      <c r="D23" s="31"/>
      <c r="E23" s="31"/>
      <c r="F23" s="39">
        <f>IF(COUNT(C23:E23)=0,0,SUMPRODUCT({5000,1000,500},C23:E23))</f>
        <v>0</v>
      </c>
      <c r="G23" s="31"/>
      <c r="H23" s="31"/>
      <c r="I23" s="31"/>
      <c r="J23" s="39">
        <f>IF(COUNT(G23:I23)=0,0,SUMPRODUCT({5000,1000,500},G23:I23))</f>
        <v>0</v>
      </c>
      <c r="K23" s="31">
        <v>41</v>
      </c>
      <c r="L23" s="31">
        <v>67</v>
      </c>
      <c r="M23" s="31">
        <v>57</v>
      </c>
      <c r="N23" s="39">
        <f>IF(COUNT(K23:M23)=0,0,SUMPRODUCT({5000,1000,500},K23:M23))</f>
        <v>300500</v>
      </c>
      <c r="O23" s="31"/>
      <c r="P23" s="31"/>
      <c r="Q23" s="31"/>
      <c r="R23" s="39">
        <f>IF(COUNT(O23:Q23)=0,0,SUMPRODUCT({5000,1000,500},O23:Q23))</f>
        <v>0</v>
      </c>
      <c r="S23" s="31"/>
      <c r="T23" s="31"/>
      <c r="U23" s="31"/>
      <c r="V23" s="31">
        <v>2</v>
      </c>
      <c r="W23" s="31"/>
      <c r="X23" s="31">
        <v>41</v>
      </c>
      <c r="Y23" s="31">
        <v>1</v>
      </c>
      <c r="Z23" s="31">
        <v>20</v>
      </c>
      <c r="AA23" s="31"/>
      <c r="AB23" s="31"/>
      <c r="AC23" s="31"/>
      <c r="AD23" s="34">
        <f>IF(COUNT(S23:AC23)=0,0,SUMPRODUCT({5000,1000,500,100,75,50,20,10,5,2,1}, S23:AC23))</f>
        <v>2470</v>
      </c>
      <c r="AE23" s="33">
        <v>302938</v>
      </c>
      <c r="AF23" s="24">
        <f>IF(AND(COUNT(C23:E23)=0,COUNT(G23:I23)=0,COUNT(K23:M23)=0,COUNT(O23:Q23)=0,COUNT(S23:AC23)=0,AE23=""),"",(IF(COUNT(C23:E23)=0,0,SUMPRODUCT({5000,1000,500},C23:E23))+IF(COUNT(G23:I23)=0,0,SUMPRODUCT({5000,1000,500},G23:I23))+IF(COUNT(K23:M23)=0,0,SUMPRODUCT({5000,1000,500},K23:M23))+IF(COUNT(O23:Q23)=0,0,SUMPRODUCT({5000,1000,500},O23:Q23))+AD23)-N(AE23))</f>
        <v>32</v>
      </c>
      <c r="AG23" s="35" t="str">
        <f t="shared" si="0"/>
        <v>Excess</v>
      </c>
      <c r="AH23" s="38"/>
      <c r="AI23" s="36">
        <f>466407+98045</f>
        <v>564452</v>
      </c>
      <c r="AJ23" s="37">
        <f>32130+65915+466407</f>
        <v>564452</v>
      </c>
      <c r="AK23" s="26"/>
      <c r="AL23" s="25"/>
      <c r="AM23" s="38"/>
    </row>
    <row r="24" spans="1:39" ht="12.75" customHeight="1" x14ac:dyDescent="0.25">
      <c r="A24" s="31">
        <v>77424</v>
      </c>
      <c r="B24" s="32" t="str">
        <f>IF(A24="","",VLOOKUP(A24,'Employee Database'!A:B,2,FALSE))</f>
        <v>M Husnain</v>
      </c>
      <c r="C24" s="31"/>
      <c r="D24" s="31"/>
      <c r="E24" s="31"/>
      <c r="F24" s="39">
        <f>IF(COUNT(C24:E24)=0,0,SUMPRODUCT({5000,1000,500},C24:E24))</f>
        <v>0</v>
      </c>
      <c r="G24" s="31"/>
      <c r="H24" s="31"/>
      <c r="I24" s="31"/>
      <c r="J24" s="39">
        <f>IF(COUNT(G24:I24)=0,0,SUMPRODUCT({5000,1000,500},G24:I24))</f>
        <v>0</v>
      </c>
      <c r="K24" s="31">
        <v>38</v>
      </c>
      <c r="L24" s="31">
        <v>86</v>
      </c>
      <c r="M24" s="31">
        <v>21</v>
      </c>
      <c r="N24" s="39">
        <f>IF(COUNT(K24:M24)=0,0,SUMPRODUCT({5000,1000,500},K24:M24))</f>
        <v>286500</v>
      </c>
      <c r="O24" s="31"/>
      <c r="P24" s="31"/>
      <c r="Q24" s="31"/>
      <c r="R24" s="39">
        <f>IF(COUNT(O24:Q24)=0,0,SUMPRODUCT({5000,1000,500},O24:Q24))</f>
        <v>0</v>
      </c>
      <c r="S24" s="31"/>
      <c r="T24" s="31"/>
      <c r="U24" s="31"/>
      <c r="V24" s="31">
        <v>2</v>
      </c>
      <c r="W24" s="31"/>
      <c r="X24" s="31">
        <v>2</v>
      </c>
      <c r="Y24" s="31"/>
      <c r="Z24" s="31">
        <v>56</v>
      </c>
      <c r="AA24" s="31"/>
      <c r="AB24" s="31"/>
      <c r="AC24" s="31"/>
      <c r="AD24" s="34">
        <f>IF(COUNT(S24:AC24)=0,0,SUMPRODUCT({5000,1000,500,100,75,50,20,10,5,2,1}, S24:AC24))</f>
        <v>860</v>
      </c>
      <c r="AE24" s="33">
        <v>287319</v>
      </c>
      <c r="AF24" s="24">
        <f>IF(AND(COUNT(C24:E24)=0,COUNT(G24:I24)=0,COUNT(K24:M24)=0,COUNT(O24:Q24)=0,COUNT(S24:AC24)=0,AE24=""),"",(IF(COUNT(C24:E24)=0,0,SUMPRODUCT({5000,1000,500},C24:E24))+IF(COUNT(G24:I24)=0,0,SUMPRODUCT({5000,1000,500},G24:I24))+IF(COUNT(K24:M24)=0,0,SUMPRODUCT({5000,1000,500},K24:M24))+IF(COUNT(O24:Q24)=0,0,SUMPRODUCT({5000,1000,500},O24:Q24))+AD24)-N(AE24))</f>
        <v>41</v>
      </c>
      <c r="AG24" s="35" t="str">
        <f t="shared" si="0"/>
        <v>Excess</v>
      </c>
      <c r="AH24" s="38"/>
      <c r="AI24" s="36">
        <f>179851+300356</f>
        <v>480207</v>
      </c>
      <c r="AJ24" s="37">
        <f>300356+87300+92550+1</f>
        <v>480207</v>
      </c>
      <c r="AK24" s="26"/>
      <c r="AL24" s="25"/>
      <c r="AM24" s="38"/>
    </row>
    <row r="25" spans="1:39" ht="12.75" customHeight="1" x14ac:dyDescent="0.25">
      <c r="A25" s="31"/>
      <c r="B25" s="32" t="str">
        <f>IF(A25="","",VLOOKUP(A25,'Employee Database'!A:B,2,FALSE))</f>
        <v/>
      </c>
      <c r="C25" s="31"/>
      <c r="D25" s="31"/>
      <c r="E25" s="31"/>
      <c r="F25" s="39">
        <f>IF(COUNT(C25:E25)=0,0,SUMPRODUCT({5000,1000,500},C25:E25))</f>
        <v>0</v>
      </c>
      <c r="G25" s="31"/>
      <c r="H25" s="31"/>
      <c r="I25" s="31"/>
      <c r="J25" s="39">
        <f>IF(COUNT(G25:I25)=0,0,SUMPRODUCT({5000,1000,500},G25:I25))</f>
        <v>0</v>
      </c>
      <c r="K25" s="31"/>
      <c r="L25" s="31"/>
      <c r="M25" s="31"/>
      <c r="N25" s="39">
        <f>IF(COUNT(K25:M25)=0,0,SUMPRODUCT({5000,1000,500},K25:M25))</f>
        <v>0</v>
      </c>
      <c r="O25" s="31"/>
      <c r="P25" s="31"/>
      <c r="Q25" s="31"/>
      <c r="R25" s="39">
        <f>IF(COUNT(O25:Q25)=0,0,SUMPRODUCT({5000,1000,500},O25:Q25))</f>
        <v>0</v>
      </c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4">
        <f>IF(COUNT(S25:AC25)=0,0,SUMPRODUCT({5000,1000,500,100,75,50,20,10,5,2,1}, S25:AC25))</f>
        <v>0</v>
      </c>
      <c r="AE25" s="33"/>
      <c r="AF25" s="24" t="str">
        <f>IF(AND(COUNT(C25:E25)=0,COUNT(G25:I25)=0,COUNT(K25:M25)=0,COUNT(O25:Q25)=0,COUNT(S25:AC25)=0,AE25=""),"",(IF(COUNT(C25:E25)=0,0,SUMPRODUCT({5000,1000,500},C25:E25))+IF(COUNT(G25:I25)=0,0,SUMPRODUCT({5000,1000,500},G25:I25))+IF(COUNT(K25:M25)=0,0,SUMPRODUCT({5000,1000,500},K25:M25))+IF(COUNT(O25:Q25)=0,0,SUMPRODUCT({5000,1000,500},O25:Q25))+AD25)-N(AE25))</f>
        <v/>
      </c>
      <c r="AG25" s="35" t="str">
        <f t="shared" si="0"/>
        <v/>
      </c>
      <c r="AH25" s="38"/>
      <c r="AI25" s="36"/>
      <c r="AJ25" s="37"/>
      <c r="AK25" s="26"/>
      <c r="AL25" s="25"/>
      <c r="AM25" s="38"/>
    </row>
    <row r="26" spans="1:39" ht="12.75" customHeight="1" x14ac:dyDescent="0.25">
      <c r="A26" s="31"/>
      <c r="B26" s="32" t="str">
        <f>IF(A26="","",VLOOKUP(A26,'Employee Database'!A:B,2,FALSE))</f>
        <v/>
      </c>
      <c r="C26" s="31"/>
      <c r="D26" s="31"/>
      <c r="E26" s="31"/>
      <c r="F26" s="39">
        <f>IF(COUNT(C26:E26)=0,0,SUMPRODUCT({5000,1000,500},C26:E26))</f>
        <v>0</v>
      </c>
      <c r="G26" s="31"/>
      <c r="H26" s="31"/>
      <c r="I26" s="31"/>
      <c r="J26" s="39">
        <f>IF(COUNT(G26:I26)=0,0,SUMPRODUCT({5000,1000,500},G26:I26))</f>
        <v>0</v>
      </c>
      <c r="K26" s="31"/>
      <c r="L26" s="31"/>
      <c r="M26" s="31"/>
      <c r="N26" s="39">
        <f>IF(COUNT(K26:M26)=0,0,SUMPRODUCT({5000,1000,500},K26:M26))</f>
        <v>0</v>
      </c>
      <c r="O26" s="31"/>
      <c r="P26" s="31"/>
      <c r="Q26" s="31"/>
      <c r="R26" s="39">
        <f>IF(COUNT(O26:Q26)=0,0,SUMPRODUCT({5000,1000,500},O26:Q26))</f>
        <v>0</v>
      </c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4">
        <f>IF(COUNT(S26:AC26)=0,0,SUMPRODUCT({5000,1000,500,100,75,50,20,10,5,2,1}, S26:AC26))</f>
        <v>0</v>
      </c>
      <c r="AE26" s="33"/>
      <c r="AF26" s="24" t="str">
        <f>IF(AND(COUNT(C26:E26)=0,COUNT(G26:I26)=0,COUNT(K26:M26)=0,COUNT(O26:Q26)=0,COUNT(S26:AC26)=0,AE26=""),"",(IF(COUNT(C26:E26)=0,0,SUMPRODUCT({5000,1000,500},C26:E26))+IF(COUNT(G26:I26)=0,0,SUMPRODUCT({5000,1000,500},G26:I26))+IF(COUNT(K26:M26)=0,0,SUMPRODUCT({5000,1000,500},K26:M26))+IF(COUNT(O26:Q26)=0,0,SUMPRODUCT({5000,1000,500},O26:Q26))+AD26)-N(AE26))</f>
        <v/>
      </c>
      <c r="AG26" s="35" t="str">
        <f t="shared" si="0"/>
        <v/>
      </c>
      <c r="AH26" s="38"/>
      <c r="AI26" s="36"/>
      <c r="AJ26" s="37"/>
      <c r="AK26" s="26"/>
      <c r="AL26" s="25"/>
      <c r="AM26" s="38"/>
    </row>
    <row r="27" spans="1:39" ht="12.75" customHeight="1" x14ac:dyDescent="0.25">
      <c r="A27" s="31"/>
      <c r="B27" s="32" t="str">
        <f>IF(A27="","",VLOOKUP(A27,'Employee Database'!A:B,2,FALSE))</f>
        <v/>
      </c>
      <c r="C27" s="31"/>
      <c r="D27" s="31"/>
      <c r="E27" s="31"/>
      <c r="F27" s="39">
        <f>IF(COUNT(C27:E27)=0,0,SUMPRODUCT({5000,1000,500},C27:E27))</f>
        <v>0</v>
      </c>
      <c r="G27" s="31"/>
      <c r="H27" s="31"/>
      <c r="I27" s="31"/>
      <c r="J27" s="39">
        <f>IF(COUNT(G27:I27)=0,0,SUMPRODUCT({5000,1000,500},G27:I27))</f>
        <v>0</v>
      </c>
      <c r="K27" s="31"/>
      <c r="L27" s="31"/>
      <c r="M27" s="31"/>
      <c r="N27" s="39">
        <f>IF(COUNT(K27:M27)=0,0,SUMPRODUCT({5000,1000,500},K27:M27))</f>
        <v>0</v>
      </c>
      <c r="O27" s="31"/>
      <c r="P27" s="31"/>
      <c r="Q27" s="31"/>
      <c r="R27" s="39">
        <f>IF(COUNT(O27:Q27)=0,0,SUMPRODUCT({5000,1000,500},O27:Q27))</f>
        <v>0</v>
      </c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4">
        <f>IF(COUNT(S27:AC27)=0,0,SUMPRODUCT({5000,1000,500,100,75,50,20,10,5,2,1}, S27:AC27))</f>
        <v>0</v>
      </c>
      <c r="AE27" s="33"/>
      <c r="AF27" s="24" t="str">
        <f>IF(AND(COUNT(C27:E27)=0,COUNT(G27:I27)=0,COUNT(K27:M27)=0,COUNT(O27:Q27)=0,COUNT(S27:AC27)=0,AE27=""),"",(IF(COUNT(C27:E27)=0,0,SUMPRODUCT({5000,1000,500},C27:E27))+IF(COUNT(G27:I27)=0,0,SUMPRODUCT({5000,1000,500},G27:I27))+IF(COUNT(K27:M27)=0,0,SUMPRODUCT({5000,1000,500},K27:M27))+IF(COUNT(O27:Q27)=0,0,SUMPRODUCT({5000,1000,500},O27:Q27))+AD27)-N(AE27))</f>
        <v/>
      </c>
      <c r="AG27" s="35" t="str">
        <f t="shared" si="0"/>
        <v/>
      </c>
      <c r="AH27" s="38"/>
      <c r="AI27" s="36"/>
      <c r="AJ27" s="37"/>
      <c r="AK27" s="26"/>
      <c r="AL27" s="25"/>
      <c r="AM27" s="38"/>
    </row>
    <row r="28" spans="1:39" ht="12.75" customHeight="1" x14ac:dyDescent="0.25">
      <c r="A28" s="31"/>
      <c r="B28" s="32" t="str">
        <f>IF(A28="","",VLOOKUP(A28,'Employee Database'!A:B,2,FALSE))</f>
        <v/>
      </c>
      <c r="C28" s="31"/>
      <c r="D28" s="31"/>
      <c r="E28" s="31"/>
      <c r="F28" s="39">
        <f>IF(COUNT(C28:E28)=0,0,SUMPRODUCT({5000,1000,500},C28:E28))</f>
        <v>0</v>
      </c>
      <c r="G28" s="31"/>
      <c r="H28" s="31"/>
      <c r="I28" s="31"/>
      <c r="J28" s="39">
        <f>IF(COUNT(G28:I28)=0,0,SUMPRODUCT({5000,1000,500},G28:I28))</f>
        <v>0</v>
      </c>
      <c r="K28" s="31"/>
      <c r="L28" s="31"/>
      <c r="M28" s="31"/>
      <c r="N28" s="39">
        <f>IF(COUNT(K28:M28)=0,0,SUMPRODUCT({5000,1000,500},K28:M28))</f>
        <v>0</v>
      </c>
      <c r="O28" s="31"/>
      <c r="P28" s="31"/>
      <c r="Q28" s="31"/>
      <c r="R28" s="39">
        <f>IF(COUNT(O28:Q28)=0,0,SUMPRODUCT({5000,1000,500},O28:Q28))</f>
        <v>0</v>
      </c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4">
        <f>IF(COUNT(S28:AC28)=0,0,SUMPRODUCT({5000,1000,500,100,75,50,20,10,5,2,1}, S28:AC28))</f>
        <v>0</v>
      </c>
      <c r="AE28" s="33"/>
      <c r="AF28" s="24" t="str">
        <f>IF(AND(COUNT(C28:E28)=0,COUNT(G28:I28)=0,COUNT(K28:M28)=0,COUNT(O28:Q28)=0,COUNT(S28:AC28)=0,AE28=""),"",(IF(COUNT(C28:E28)=0,0,SUMPRODUCT({5000,1000,500},C28:E28))+IF(COUNT(G28:I28)=0,0,SUMPRODUCT({5000,1000,500},G28:I28))+IF(COUNT(K28:M28)=0,0,SUMPRODUCT({5000,1000,500},K28:M28))+IF(COUNT(O28:Q28)=0,0,SUMPRODUCT({5000,1000,500},O28:Q28))+AD28)-N(AE28))</f>
        <v/>
      </c>
      <c r="AG28" s="35" t="str">
        <f t="shared" si="0"/>
        <v/>
      </c>
      <c r="AH28" s="38"/>
      <c r="AI28" s="36"/>
      <c r="AJ28" s="37"/>
      <c r="AK28" s="26"/>
      <c r="AL28" s="25"/>
      <c r="AM28" s="38"/>
    </row>
    <row r="29" spans="1:39" ht="12.75" customHeight="1" x14ac:dyDescent="0.25">
      <c r="A29" s="31"/>
      <c r="B29" s="32" t="str">
        <f>IF(A29="","",VLOOKUP(A29,'Employee Database'!A:B,2,FALSE))</f>
        <v/>
      </c>
      <c r="C29" s="31"/>
      <c r="D29" s="31"/>
      <c r="E29" s="31"/>
      <c r="F29" s="39">
        <f>IF(COUNT(C29:E29)=0,0,SUMPRODUCT({5000,1000,500},C29:E29))</f>
        <v>0</v>
      </c>
      <c r="G29" s="31"/>
      <c r="H29" s="31"/>
      <c r="I29" s="31"/>
      <c r="J29" s="39">
        <f>IF(COUNT(G29:I29)=0,0,SUMPRODUCT({5000,1000,500},G29:I29))</f>
        <v>0</v>
      </c>
      <c r="K29" s="31"/>
      <c r="L29" s="31"/>
      <c r="M29" s="31"/>
      <c r="N29" s="39">
        <f>IF(COUNT(K29:M29)=0,0,SUMPRODUCT({5000,1000,500},K29:M29))</f>
        <v>0</v>
      </c>
      <c r="O29" s="31"/>
      <c r="P29" s="31"/>
      <c r="Q29" s="31"/>
      <c r="R29" s="39">
        <f>IF(COUNT(O29:Q29)=0,0,SUMPRODUCT({5000,1000,500},O29:Q29))</f>
        <v>0</v>
      </c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4">
        <f>IF(COUNT(S29:AC29)=0,0,SUMPRODUCT({5000,1000,500,100,75,50,20,10,5,2,1}, S29:AC29))</f>
        <v>0</v>
      </c>
      <c r="AE29" s="33"/>
      <c r="AF29" s="24" t="str">
        <f>IF(AND(COUNT(C29:E29)=0,COUNT(G29:I29)=0,COUNT(K29:M29)=0,COUNT(O29:Q29)=0,COUNT(S29:AC29)=0,AE29=""),"",(IF(COUNT(C29:E29)=0,0,SUMPRODUCT({5000,1000,500},C29:E29))+IF(COUNT(G29:I29)=0,0,SUMPRODUCT({5000,1000,500},G29:I29))+IF(COUNT(K29:M29)=0,0,SUMPRODUCT({5000,1000,500},K29:M29))+IF(COUNT(O29:Q29)=0,0,SUMPRODUCT({5000,1000,500},O29:Q29))+AD29)-N(AE29))</f>
        <v/>
      </c>
      <c r="AG29" s="35" t="str">
        <f t="shared" si="0"/>
        <v/>
      </c>
      <c r="AH29" s="38"/>
      <c r="AI29" s="36"/>
      <c r="AJ29" s="37"/>
      <c r="AK29" s="26"/>
      <c r="AL29" s="25"/>
      <c r="AM29" s="38"/>
    </row>
    <row r="30" spans="1:39" ht="12.75" customHeight="1" x14ac:dyDescent="0.25">
      <c r="A30" s="31"/>
      <c r="B30" s="32" t="str">
        <f>IF(A30="","",VLOOKUP(A30,'Employee Database'!A:B,2,FALSE))</f>
        <v/>
      </c>
      <c r="C30" s="31"/>
      <c r="D30" s="31"/>
      <c r="E30" s="31"/>
      <c r="F30" s="39">
        <f>IF(COUNT(C30:E30)=0,0,SUMPRODUCT({5000,1000,500},C30:E30))</f>
        <v>0</v>
      </c>
      <c r="G30" s="31"/>
      <c r="H30" s="31"/>
      <c r="I30" s="31"/>
      <c r="J30" s="39">
        <f>IF(COUNT(G30:I30)=0,0,SUMPRODUCT({5000,1000,500},G30:I30))</f>
        <v>0</v>
      </c>
      <c r="K30" s="31"/>
      <c r="L30" s="31"/>
      <c r="M30" s="31"/>
      <c r="N30" s="39">
        <f>IF(COUNT(K30:M30)=0,0,SUMPRODUCT({5000,1000,500},K30:M30))</f>
        <v>0</v>
      </c>
      <c r="O30" s="31"/>
      <c r="P30" s="31"/>
      <c r="Q30" s="31"/>
      <c r="R30" s="39">
        <f>IF(COUNT(O30:Q30)=0,0,SUMPRODUCT({5000,1000,500},O30:Q30))</f>
        <v>0</v>
      </c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4">
        <f>IF(COUNT(S30:AC30)=0,0,SUMPRODUCT({5000,1000,500,100,75,50,20,10,5,2,1}, S30:AC30))</f>
        <v>0</v>
      </c>
      <c r="AE30" s="33"/>
      <c r="AF30" s="24" t="str">
        <f>IF(AND(COUNT(C30:E30)=0,COUNT(G30:I30)=0,COUNT(K30:M30)=0,COUNT(O30:Q30)=0,COUNT(S30:AC30)=0,AE30=""),"",(IF(COUNT(C30:E30)=0,0,SUMPRODUCT({5000,1000,500},C30:E30))+IF(COUNT(G30:I30)=0,0,SUMPRODUCT({5000,1000,500},G30:I30))+IF(COUNT(K30:M30)=0,0,SUMPRODUCT({5000,1000,500},K30:M30))+IF(COUNT(O30:Q30)=0,0,SUMPRODUCT({5000,1000,500},O30:Q30))+AD30)-N(AE30))</f>
        <v/>
      </c>
      <c r="AG30" s="35" t="str">
        <f t="shared" si="0"/>
        <v/>
      </c>
      <c r="AH30" s="38"/>
      <c r="AI30" s="36"/>
      <c r="AJ30" s="37"/>
      <c r="AK30" s="26"/>
      <c r="AL30" s="25"/>
      <c r="AM30" s="38"/>
    </row>
    <row r="31" spans="1:39" ht="12.75" customHeight="1" x14ac:dyDescent="0.25">
      <c r="A31" s="31"/>
      <c r="B31" s="32" t="str">
        <f>IF(A31="","",VLOOKUP(A31,'Employee Database'!A:B,2,FALSE))</f>
        <v/>
      </c>
      <c r="C31" s="31"/>
      <c r="D31" s="31"/>
      <c r="E31" s="31"/>
      <c r="F31" s="39">
        <f>IF(COUNT(C31:E31)=0,0,SUMPRODUCT({5000,1000,500},C31:E31))</f>
        <v>0</v>
      </c>
      <c r="G31" s="31"/>
      <c r="H31" s="31"/>
      <c r="I31" s="31"/>
      <c r="J31" s="39">
        <f>IF(COUNT(G31:I31)=0,0,SUMPRODUCT({5000,1000,500},G31:I31))</f>
        <v>0</v>
      </c>
      <c r="K31" s="31"/>
      <c r="L31" s="31"/>
      <c r="M31" s="31"/>
      <c r="N31" s="39">
        <f>IF(COUNT(K31:M31)=0,0,SUMPRODUCT({5000,1000,500},K31:M31))</f>
        <v>0</v>
      </c>
      <c r="O31" s="31"/>
      <c r="P31" s="31"/>
      <c r="Q31" s="31"/>
      <c r="R31" s="39">
        <f>IF(COUNT(O31:Q31)=0,0,SUMPRODUCT({5000,1000,500},O31:Q31))</f>
        <v>0</v>
      </c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4">
        <f>IF(COUNT(S31:AC31)=0,0,SUMPRODUCT({5000,1000,500,100,75,50,20,10,5,2,1}, S31:AC31))</f>
        <v>0</v>
      </c>
      <c r="AE31" s="33"/>
      <c r="AF31" s="24" t="str">
        <f>IF(AND(COUNT(C31:E31)=0,COUNT(G31:I31)=0,COUNT(K31:M31)=0,COUNT(O31:Q31)=0,COUNT(S31:AC31)=0,AE31=""),"",(IF(COUNT(C31:E31)=0,0,SUMPRODUCT({5000,1000,500},C31:E31))+IF(COUNT(G31:I31)=0,0,SUMPRODUCT({5000,1000,500},G31:I31))+IF(COUNT(K31:M31)=0,0,SUMPRODUCT({5000,1000,500},K31:M31))+IF(COUNT(O31:Q31)=0,0,SUMPRODUCT({5000,1000,500},O31:Q31))+AD31)-N(AE31))</f>
        <v/>
      </c>
      <c r="AG31" s="35" t="str">
        <f t="shared" si="0"/>
        <v/>
      </c>
      <c r="AH31" s="38"/>
      <c r="AI31" s="36"/>
      <c r="AJ31" s="37"/>
      <c r="AK31" s="26"/>
      <c r="AL31" s="25"/>
      <c r="AM31" s="38"/>
    </row>
    <row r="32" spans="1:39" ht="12.75" customHeight="1" x14ac:dyDescent="0.25">
      <c r="A32" s="31"/>
      <c r="B32" s="32" t="str">
        <f>IF(A32="","",VLOOKUP(A32,'Employee Database'!A:B,2,FALSE))</f>
        <v/>
      </c>
      <c r="C32" s="31"/>
      <c r="D32" s="31"/>
      <c r="E32" s="31"/>
      <c r="F32" s="39">
        <f>IF(COUNT(C32:E32)=0,0,SUMPRODUCT({5000,1000,500},C32:E32))</f>
        <v>0</v>
      </c>
      <c r="G32" s="31"/>
      <c r="H32" s="31"/>
      <c r="I32" s="31"/>
      <c r="J32" s="39">
        <f>IF(COUNT(G32:I32)=0,0,SUMPRODUCT({5000,1000,500},G32:I32))</f>
        <v>0</v>
      </c>
      <c r="K32" s="31"/>
      <c r="L32" s="31"/>
      <c r="M32" s="31"/>
      <c r="N32" s="39">
        <f>IF(COUNT(K32:M32)=0,0,SUMPRODUCT({5000,1000,500},K32:M32))</f>
        <v>0</v>
      </c>
      <c r="O32" s="31"/>
      <c r="P32" s="31"/>
      <c r="Q32" s="31"/>
      <c r="R32" s="39">
        <f>IF(COUNT(O32:Q32)=0,0,SUMPRODUCT({5000,1000,500},O32:Q32))</f>
        <v>0</v>
      </c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4">
        <f>IF(COUNT(S32:AC32)=0,0,SUMPRODUCT({5000,1000,500,100,75,50,20,10,5,2,1}, S32:AC32))</f>
        <v>0</v>
      </c>
      <c r="AE32" s="33"/>
      <c r="AF32" s="24" t="str">
        <f>IF(AND(COUNT(C32:E32)=0,COUNT(G32:I32)=0,COUNT(K32:M32)=0,COUNT(O32:Q32)=0,COUNT(S32:AC32)=0,AE32=""),"",(IF(COUNT(C32:E32)=0,0,SUMPRODUCT({5000,1000,500},C32:E32))+IF(COUNT(G32:I32)=0,0,SUMPRODUCT({5000,1000,500},G32:I32))+IF(COUNT(K32:M32)=0,0,SUMPRODUCT({5000,1000,500},K32:M32))+IF(COUNT(O32:Q32)=0,0,SUMPRODUCT({5000,1000,500},O32:Q32))+AD32)-N(AE32))</f>
        <v/>
      </c>
      <c r="AG32" s="35" t="str">
        <f t="shared" si="0"/>
        <v/>
      </c>
      <c r="AH32" s="38"/>
      <c r="AI32" s="36"/>
      <c r="AJ32" s="37"/>
      <c r="AK32" s="26"/>
      <c r="AL32" s="25"/>
      <c r="AM32" s="38"/>
    </row>
    <row r="33" spans="1:39" ht="12.75" customHeight="1" x14ac:dyDescent="0.25">
      <c r="A33" s="31"/>
      <c r="B33" s="32" t="str">
        <f>IF(A33="","",VLOOKUP(A33,'Employee Database'!A:B,2,FALSE))</f>
        <v/>
      </c>
      <c r="C33" s="31"/>
      <c r="D33" s="31"/>
      <c r="E33" s="31"/>
      <c r="F33" s="39">
        <f>IF(COUNT(C33:E33)=0,0,SUMPRODUCT({5000,1000,500},C33:E33))</f>
        <v>0</v>
      </c>
      <c r="G33" s="31"/>
      <c r="H33" s="31"/>
      <c r="I33" s="31"/>
      <c r="J33" s="39">
        <f>IF(COUNT(G33:I33)=0,0,SUMPRODUCT({5000,1000,500},G33:I33))</f>
        <v>0</v>
      </c>
      <c r="K33" s="31"/>
      <c r="L33" s="31"/>
      <c r="M33" s="31"/>
      <c r="N33" s="39">
        <f>IF(COUNT(K33:M33)=0,0,SUMPRODUCT({5000,1000,500},K33:M33))</f>
        <v>0</v>
      </c>
      <c r="O33" s="31"/>
      <c r="P33" s="31"/>
      <c r="Q33" s="31"/>
      <c r="R33" s="39">
        <f>IF(COUNT(O33:Q33)=0,0,SUMPRODUCT({5000,1000,500},O33:Q33))</f>
        <v>0</v>
      </c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4">
        <f>IF(COUNT(S33:AC33)=0,0,SUMPRODUCT({5000,1000,500,100,75,50,20,10,5,2,1}, S33:AC33))</f>
        <v>0</v>
      </c>
      <c r="AE33" s="33"/>
      <c r="AF33" s="24" t="str">
        <f>IF(AND(COUNT(C33:E33)=0,COUNT(G33:I33)=0,COUNT(K33:M33)=0,COUNT(O33:Q33)=0,COUNT(S33:AC33)=0,AE33=""),"",(IF(COUNT(C33:E33)=0,0,SUMPRODUCT({5000,1000,500},C33:E33))+IF(COUNT(G33:I33)=0,0,SUMPRODUCT({5000,1000,500},G33:I33))+IF(COUNT(K33:M33)=0,0,SUMPRODUCT({5000,1000,500},K33:M33))+IF(COUNT(O33:Q33)=0,0,SUMPRODUCT({5000,1000,500},O33:Q33))+AD33)-N(AE33))</f>
        <v/>
      </c>
      <c r="AG33" s="35" t="str">
        <f t="shared" si="0"/>
        <v/>
      </c>
      <c r="AH33" s="38"/>
      <c r="AI33" s="36"/>
      <c r="AJ33" s="37"/>
      <c r="AK33" s="26"/>
      <c r="AL33" s="25"/>
      <c r="AM33" s="38"/>
    </row>
    <row r="34" spans="1:39" ht="12.75" customHeight="1" x14ac:dyDescent="0.25">
      <c r="A34" s="31"/>
      <c r="B34" s="32" t="str">
        <f>IF(A34="","",VLOOKUP(A34,'Employee Database'!A:B,2,FALSE))</f>
        <v/>
      </c>
      <c r="C34" s="31"/>
      <c r="D34" s="31"/>
      <c r="E34" s="31"/>
      <c r="F34" s="39">
        <f>IF(COUNT(C34:E34)=0,0,SUMPRODUCT({5000,1000,500},C34:E34))</f>
        <v>0</v>
      </c>
      <c r="G34" s="31"/>
      <c r="H34" s="31"/>
      <c r="I34" s="31"/>
      <c r="J34" s="39">
        <f>IF(COUNT(G34:I34)=0,0,SUMPRODUCT({5000,1000,500},G34:I34))</f>
        <v>0</v>
      </c>
      <c r="K34" s="31"/>
      <c r="L34" s="31"/>
      <c r="M34" s="31"/>
      <c r="N34" s="39">
        <f>IF(COUNT(K34:M34)=0,0,SUMPRODUCT({5000,1000,500},K34:M34))</f>
        <v>0</v>
      </c>
      <c r="O34" s="31"/>
      <c r="P34" s="31"/>
      <c r="Q34" s="31"/>
      <c r="R34" s="39">
        <f>IF(COUNT(O34:Q34)=0,0,SUMPRODUCT({5000,1000,500},O34:Q34))</f>
        <v>0</v>
      </c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4">
        <f>IF(COUNT(S34:AC34)=0,0,SUMPRODUCT({5000,1000,500,100,75,50,20,10,5,2,1}, S34:AC34))</f>
        <v>0</v>
      </c>
      <c r="AE34" s="33"/>
      <c r="AF34" s="24" t="str">
        <f>IF(AND(COUNT(C34:E34)=0,COUNT(G34:I34)=0,COUNT(K34:M34)=0,COUNT(O34:Q34)=0,COUNT(S34:AC34)=0,AE34=""),"",(IF(COUNT(C34:E34)=0,0,SUMPRODUCT({5000,1000,500},C34:E34))+IF(COUNT(G34:I34)=0,0,SUMPRODUCT({5000,1000,500},G34:I34))+IF(COUNT(K34:M34)=0,0,SUMPRODUCT({5000,1000,500},K34:M34))+IF(COUNT(O34:Q34)=0,0,SUMPRODUCT({5000,1000,500},O34:Q34))+AD34)-N(AE34))</f>
        <v/>
      </c>
      <c r="AG34" s="35" t="str">
        <f t="shared" si="0"/>
        <v/>
      </c>
      <c r="AH34" s="38"/>
      <c r="AI34" s="36"/>
      <c r="AJ34" s="37"/>
      <c r="AK34" s="26"/>
      <c r="AL34" s="25"/>
      <c r="AM34" s="38"/>
    </row>
    <row r="35" spans="1:39" ht="22.5" customHeight="1" x14ac:dyDescent="0.25">
      <c r="A35" s="27" t="s">
        <v>24</v>
      </c>
      <c r="B35" s="27" t="s">
        <v>24</v>
      </c>
      <c r="C35" s="28">
        <f t="shared" ref="C35:AF35" si="3">SUM(C5:C34)</f>
        <v>116</v>
      </c>
      <c r="D35" s="28">
        <f t="shared" si="3"/>
        <v>540</v>
      </c>
      <c r="E35" s="28">
        <f t="shared" si="3"/>
        <v>60</v>
      </c>
      <c r="F35" s="40">
        <f t="shared" si="3"/>
        <v>1150000</v>
      </c>
      <c r="G35" s="28">
        <f t="shared" si="3"/>
        <v>134</v>
      </c>
      <c r="H35" s="28">
        <f t="shared" si="3"/>
        <v>400</v>
      </c>
      <c r="I35" s="28">
        <f t="shared" si="3"/>
        <v>68</v>
      </c>
      <c r="J35" s="40">
        <f t="shared" si="3"/>
        <v>1104000</v>
      </c>
      <c r="K35" s="28">
        <f t="shared" si="3"/>
        <v>320</v>
      </c>
      <c r="L35" s="28">
        <f t="shared" si="3"/>
        <v>685</v>
      </c>
      <c r="M35" s="28">
        <f t="shared" si="3"/>
        <v>431</v>
      </c>
      <c r="N35" s="40">
        <f t="shared" si="3"/>
        <v>2500500</v>
      </c>
      <c r="O35" s="28">
        <f t="shared" si="3"/>
        <v>0</v>
      </c>
      <c r="P35" s="28">
        <f t="shared" si="3"/>
        <v>0</v>
      </c>
      <c r="Q35" s="28">
        <f t="shared" si="3"/>
        <v>0</v>
      </c>
      <c r="R35" s="40">
        <f t="shared" si="3"/>
        <v>0</v>
      </c>
      <c r="S35" s="28">
        <f t="shared" si="3"/>
        <v>0</v>
      </c>
      <c r="T35" s="28">
        <f t="shared" si="3"/>
        <v>0</v>
      </c>
      <c r="U35" s="28">
        <f t="shared" si="3"/>
        <v>0</v>
      </c>
      <c r="V35" s="28">
        <f t="shared" si="3"/>
        <v>46</v>
      </c>
      <c r="W35" s="28">
        <f t="shared" si="3"/>
        <v>1</v>
      </c>
      <c r="X35" s="28">
        <f t="shared" si="3"/>
        <v>838</v>
      </c>
      <c r="Y35" s="28">
        <f t="shared" si="3"/>
        <v>10</v>
      </c>
      <c r="Z35" s="28">
        <f t="shared" si="3"/>
        <v>1114</v>
      </c>
      <c r="AA35" s="28">
        <f t="shared" si="3"/>
        <v>4</v>
      </c>
      <c r="AB35" s="28">
        <f t="shared" si="3"/>
        <v>62</v>
      </c>
      <c r="AC35" s="28">
        <f t="shared" si="3"/>
        <v>0</v>
      </c>
      <c r="AD35" s="40">
        <f t="shared" si="3"/>
        <v>58059</v>
      </c>
      <c r="AE35" s="41">
        <f t="shared" si="3"/>
        <v>4813126</v>
      </c>
      <c r="AF35" s="29">
        <f t="shared" si="3"/>
        <v>-567</v>
      </c>
      <c r="AG35" s="27" t="s">
        <v>24</v>
      </c>
      <c r="AH35" s="27" t="s">
        <v>24</v>
      </c>
      <c r="AI35" s="28">
        <f>SUM(AI5:AI34)</f>
        <v>8134174.8100000005</v>
      </c>
      <c r="AJ35" s="28">
        <f>SUM(AJ5:AJ34)</f>
        <v>8134174.8100000005</v>
      </c>
      <c r="AK35" s="28">
        <f>SUM(AK5:AK34)</f>
        <v>5.8207660913467407E-11</v>
      </c>
      <c r="AL35" s="28">
        <f>AJ35+AE35</f>
        <v>12947300.810000001</v>
      </c>
      <c r="AM35" s="28">
        <f>SUM(AM5:AM34)</f>
        <v>0</v>
      </c>
    </row>
  </sheetData>
  <sheetProtection algorithmName="SHA-512" hashValue="dHiTWKINlMdJkKP6Qd0zSiPmC9di3Q5o3SfjVlegpZaefcypJQ06h56ihrQy1VVnmmm1A7H5/gmq24LWQTSqtQ==" saltValue="PujUVVps2GGgmjYFKTWHUw==" spinCount="100000" sheet="1" objects="1" scenarios="1"/>
  <mergeCells count="9">
    <mergeCell ref="S3:AC3"/>
    <mergeCell ref="AD3:AG3"/>
    <mergeCell ref="AH3:AM3"/>
    <mergeCell ref="A1:B1"/>
    <mergeCell ref="A3:B3"/>
    <mergeCell ref="C3:F3"/>
    <mergeCell ref="G3:J3"/>
    <mergeCell ref="K3:N3"/>
    <mergeCell ref="O3:R3"/>
  </mergeCells>
  <conditionalFormatting sqref="A5">
    <cfRule type="duplicateValues" dxfId="86" priority="3"/>
    <cfRule type="duplicateValues" dxfId="85" priority="4"/>
  </conditionalFormatting>
  <conditionalFormatting sqref="A6">
    <cfRule type="duplicateValues" dxfId="84" priority="5"/>
    <cfRule type="duplicateValues" dxfId="83" priority="6"/>
  </conditionalFormatting>
  <conditionalFormatting sqref="A7:A34">
    <cfRule type="duplicateValues" dxfId="82" priority="1"/>
    <cfRule type="duplicateValues" dxfId="81" priority="2"/>
  </conditionalFormatting>
  <conditionalFormatting sqref="A35">
    <cfRule type="duplicateValues" dxfId="80" priority="7"/>
  </conditionalFormatting>
  <dataValidations count="1">
    <dataValidation type="list" allowBlank="1" showInputMessage="1" showErrorMessage="1" sqref="A1:B1" xr:uid="{00000000-0002-0000-1500-000000000000}">
      <formula1>Locations</formula1>
    </dataValidation>
  </dataValidations>
  <pageMargins left="0.75" right="0.75" top="1" bottom="1" header="0.5" footer="0.5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>
    <tabColor rgb="FFFF0000"/>
  </sheetPr>
  <dimension ref="A1:AM35"/>
  <sheetViews>
    <sheetView showGridLines="0" topLeftCell="A4" zoomScale="85" zoomScaleNormal="85" workbookViewId="0">
      <pane xSplit="2" topLeftCell="P1" activePane="topRight" state="frozen"/>
      <selection activeCell="A4" sqref="A4"/>
      <selection pane="topRight" activeCell="AE5" sqref="AE5:AE25"/>
    </sheetView>
  </sheetViews>
  <sheetFormatPr defaultRowHeight="15" x14ac:dyDescent="0.25"/>
  <cols>
    <col min="1" max="1" width="11.85546875" customWidth="1"/>
    <col min="2" max="2" width="20.5703125" customWidth="1"/>
    <col min="6" max="6" width="14.42578125" bestFit="1" customWidth="1"/>
    <col min="10" max="10" width="14.42578125" bestFit="1" customWidth="1"/>
    <col min="14" max="14" width="14.42578125" bestFit="1" customWidth="1"/>
    <col min="18" max="18" width="14.42578125" bestFit="1" customWidth="1"/>
    <col min="30" max="31" width="18" customWidth="1"/>
    <col min="32" max="32" width="20" customWidth="1"/>
    <col min="33" max="33" width="14" customWidth="1"/>
    <col min="35" max="35" width="18" customWidth="1"/>
    <col min="36" max="36" width="22" customWidth="1"/>
    <col min="37" max="37" width="16" customWidth="1"/>
    <col min="38" max="38" width="14" customWidth="1"/>
  </cols>
  <sheetData>
    <row r="1" spans="1:39" ht="43.5" customHeight="1" x14ac:dyDescent="0.25">
      <c r="A1" s="48" t="s">
        <v>306</v>
      </c>
      <c r="B1" s="48"/>
    </row>
    <row r="2" spans="1:39" ht="13.5" customHeight="1" x14ac:dyDescent="0.25">
      <c r="A2" s="30">
        <f>'20'!A2+1</f>
        <v>46224</v>
      </c>
    </row>
    <row r="3" spans="1:39" ht="24" customHeight="1" x14ac:dyDescent="0.25">
      <c r="A3" s="49" t="s">
        <v>0</v>
      </c>
      <c r="B3" s="49"/>
      <c r="C3" s="49" t="s">
        <v>93</v>
      </c>
      <c r="D3" s="50"/>
      <c r="E3" s="50"/>
      <c r="F3" s="50"/>
      <c r="G3" s="49" t="s">
        <v>94</v>
      </c>
      <c r="H3" s="50"/>
      <c r="I3" s="50"/>
      <c r="J3" s="50"/>
      <c r="K3" s="49" t="s">
        <v>95</v>
      </c>
      <c r="L3" s="50"/>
      <c r="M3" s="50"/>
      <c r="N3" s="50"/>
      <c r="O3" s="49" t="s">
        <v>96</v>
      </c>
      <c r="P3" s="50"/>
      <c r="Q3" s="50"/>
      <c r="R3" s="50"/>
      <c r="S3" s="45" t="s">
        <v>1</v>
      </c>
      <c r="T3" s="46"/>
      <c r="U3" s="46"/>
      <c r="V3" s="46"/>
      <c r="W3" s="46"/>
      <c r="X3" s="46"/>
      <c r="Y3" s="46"/>
      <c r="Z3" s="46"/>
      <c r="AA3" s="46"/>
      <c r="AB3" s="46"/>
      <c r="AC3" s="46"/>
      <c r="AD3" s="47" t="s">
        <v>97</v>
      </c>
      <c r="AE3" s="46"/>
      <c r="AF3" s="46"/>
      <c r="AG3" s="46"/>
      <c r="AH3" s="47" t="s">
        <v>98</v>
      </c>
      <c r="AI3" s="46"/>
      <c r="AJ3" s="46"/>
      <c r="AK3" s="46"/>
      <c r="AL3" s="46"/>
      <c r="AM3" s="46"/>
    </row>
    <row r="4" spans="1:39" ht="27.95" customHeight="1" x14ac:dyDescent="0.25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92</v>
      </c>
      <c r="G4" s="1" t="s">
        <v>5</v>
      </c>
      <c r="H4" s="1" t="s">
        <v>6</v>
      </c>
      <c r="I4" s="1" t="s">
        <v>7</v>
      </c>
      <c r="J4" s="1" t="s">
        <v>92</v>
      </c>
      <c r="K4" s="1" t="s">
        <v>5</v>
      </c>
      <c r="L4" s="1" t="s">
        <v>6</v>
      </c>
      <c r="M4" s="1" t="s">
        <v>7</v>
      </c>
      <c r="N4" s="1" t="s">
        <v>92</v>
      </c>
      <c r="O4" s="1" t="s">
        <v>5</v>
      </c>
      <c r="P4" s="1" t="s">
        <v>6</v>
      </c>
      <c r="Q4" s="1" t="s">
        <v>7</v>
      </c>
      <c r="R4" s="1" t="s">
        <v>92</v>
      </c>
      <c r="S4" s="1" t="s">
        <v>5</v>
      </c>
      <c r="T4" s="1" t="s">
        <v>6</v>
      </c>
      <c r="U4" s="1" t="s">
        <v>7</v>
      </c>
      <c r="V4" s="1" t="s">
        <v>8</v>
      </c>
      <c r="W4" s="1" t="s">
        <v>9</v>
      </c>
      <c r="X4" s="1" t="s">
        <v>10</v>
      </c>
      <c r="Y4" s="1" t="s">
        <v>11</v>
      </c>
      <c r="Z4" s="1" t="s">
        <v>12</v>
      </c>
      <c r="AA4" s="1" t="s">
        <v>13</v>
      </c>
      <c r="AB4" s="1" t="s">
        <v>14</v>
      </c>
      <c r="AC4" s="1" t="s">
        <v>15</v>
      </c>
      <c r="AD4" s="1" t="s">
        <v>16</v>
      </c>
      <c r="AE4" s="1" t="s">
        <v>17</v>
      </c>
      <c r="AF4" s="1" t="s">
        <v>18</v>
      </c>
      <c r="AG4" s="1" t="s">
        <v>19</v>
      </c>
      <c r="AH4" s="1" t="s">
        <v>20</v>
      </c>
      <c r="AI4" s="4" t="s">
        <v>99</v>
      </c>
      <c r="AJ4" s="1" t="s">
        <v>21</v>
      </c>
      <c r="AK4" s="1" t="s">
        <v>22</v>
      </c>
      <c r="AL4" s="1" t="s">
        <v>23</v>
      </c>
      <c r="AM4" s="4" t="s">
        <v>100</v>
      </c>
    </row>
    <row r="5" spans="1:39" ht="12.75" customHeight="1" x14ac:dyDescent="0.25">
      <c r="A5" s="31">
        <v>68107</v>
      </c>
      <c r="B5" s="32" t="str">
        <f>IF(A5="","",VLOOKUP(A5,'Employee Database'!A:B,2,FALSE))</f>
        <v>M Harris</v>
      </c>
      <c r="C5" s="31">
        <v>15</v>
      </c>
      <c r="D5" s="31">
        <v>69</v>
      </c>
      <c r="E5" s="31">
        <v>1</v>
      </c>
      <c r="F5" s="39">
        <f>IF(COUNT(C5:E5)=0,0,SUMPRODUCT({5000,1000,500},C5:E5))</f>
        <v>144500</v>
      </c>
      <c r="G5" s="31"/>
      <c r="H5" s="31"/>
      <c r="I5" s="31"/>
      <c r="J5" s="39">
        <f>IF(COUNT(G5:I5)=0,0,SUMPRODUCT({5000,1000,500},G5:I5))</f>
        <v>0</v>
      </c>
      <c r="K5" s="31"/>
      <c r="L5" s="31"/>
      <c r="M5" s="31"/>
      <c r="N5" s="39">
        <f>IF(COUNT(K5:M5)=0,0,SUMPRODUCT({5000,1000,500},K5:M5))</f>
        <v>0</v>
      </c>
      <c r="O5" s="31"/>
      <c r="P5" s="31"/>
      <c r="Q5" s="31"/>
      <c r="R5" s="39">
        <f>IF(COUNT(O5:Q5)=0,0,SUMPRODUCT({5000,1000,500},O5:Q5))</f>
        <v>0</v>
      </c>
      <c r="S5" s="31"/>
      <c r="T5" s="31"/>
      <c r="U5" s="31"/>
      <c r="V5" s="31">
        <v>8</v>
      </c>
      <c r="W5" s="31"/>
      <c r="X5" s="31">
        <v>29</v>
      </c>
      <c r="Y5" s="31"/>
      <c r="Z5" s="31">
        <v>96</v>
      </c>
      <c r="AA5" s="31"/>
      <c r="AB5" s="31"/>
      <c r="AC5" s="31">
        <v>7</v>
      </c>
      <c r="AD5" s="34">
        <f>IF(COUNT(S5:AC5)=0,0,SUMPRODUCT({5000,1000,500,100,75,50,20,10,5,2,1}, S5:AC5))</f>
        <v>3217</v>
      </c>
      <c r="AE5" s="33">
        <v>147702</v>
      </c>
      <c r="AF5" s="24">
        <f>IF(AND(COUNT(C5:E5)=0,COUNT(G5:I5)=0,COUNT(K5:M5)=0,COUNT(O5:Q5)=0,COUNT(S5:AC5)=0,AE5=""),"",(IF(COUNT(C5:E5)=0,0,SUMPRODUCT({5000,1000,500},C5:E5))+IF(COUNT(G5:I5)=0,0,SUMPRODUCT({5000,1000,500},G5:I5))+IF(COUNT(K5:M5)=0,0,SUMPRODUCT({5000,1000,500},K5:M5))+IF(COUNT(O5:Q5)=0,0,SUMPRODUCT({5000,1000,500},O5:Q5))+AD5)-N(AE5))</f>
        <v>15</v>
      </c>
      <c r="AG5" s="35" t="str">
        <f t="shared" ref="AG5:AG34" si="0">IF(AF5="","",IF(AF5&gt;0,"Excess",IF(AF5&lt;0,"Short","Balanced")))</f>
        <v>Excess</v>
      </c>
      <c r="AH5" s="38"/>
      <c r="AI5" s="36">
        <v>408810.53</v>
      </c>
      <c r="AJ5" s="37">
        <f>154677.91+254132.62</f>
        <v>408810.53</v>
      </c>
      <c r="AK5" s="26">
        <f t="shared" ref="AK5:AK34" si="1">IF(AND(AI5="",AJ5=""),"",N(AI5)-N(AJ5))</f>
        <v>0</v>
      </c>
      <c r="AL5" s="25" t="str">
        <f t="shared" ref="AL5:AL34" si="2">IF(AK5="","",IF(AK5&gt;0,"POS Excess",IF(AK5&lt;0,"Bank Short","Matched")))</f>
        <v>Matched</v>
      </c>
      <c r="AM5" s="38"/>
    </row>
    <row r="6" spans="1:39" ht="12.75" customHeight="1" x14ac:dyDescent="0.25">
      <c r="A6" s="31">
        <v>65299</v>
      </c>
      <c r="B6" s="32" t="str">
        <f>IF(A6="","",VLOOKUP(A6,'Employee Database'!A:B,2,FALSE))</f>
        <v>M Faisal</v>
      </c>
      <c r="C6" s="31">
        <v>38</v>
      </c>
      <c r="D6" s="31">
        <v>86</v>
      </c>
      <c r="E6" s="31">
        <v>4</v>
      </c>
      <c r="F6" s="39">
        <f>IF(COUNT(C6:E6)=0,0,SUMPRODUCT({5000,1000,500},C6:E6))</f>
        <v>278000</v>
      </c>
      <c r="G6" s="31"/>
      <c r="H6" s="31"/>
      <c r="I6" s="31"/>
      <c r="J6" s="39">
        <f>IF(COUNT(G6:I6)=0,0,SUMPRODUCT({5000,1000,500},G6:I6))</f>
        <v>0</v>
      </c>
      <c r="K6" s="31"/>
      <c r="L6" s="31"/>
      <c r="M6" s="31"/>
      <c r="N6" s="39">
        <f>IF(COUNT(K6:M6)=0,0,SUMPRODUCT({5000,1000,500},K6:M6))</f>
        <v>0</v>
      </c>
      <c r="O6" s="31"/>
      <c r="P6" s="31"/>
      <c r="Q6" s="31"/>
      <c r="R6" s="39">
        <f>IF(COUNT(O6:Q6)=0,0,SUMPRODUCT({5000,1000,500},O6:Q6))</f>
        <v>0</v>
      </c>
      <c r="S6" s="31"/>
      <c r="T6" s="31"/>
      <c r="U6" s="31"/>
      <c r="V6" s="31"/>
      <c r="W6" s="31"/>
      <c r="X6" s="31">
        <v>21</v>
      </c>
      <c r="Y6" s="31"/>
      <c r="Z6" s="31">
        <v>29</v>
      </c>
      <c r="AA6" s="31"/>
      <c r="AB6" s="31"/>
      <c r="AC6" s="31"/>
      <c r="AD6" s="34">
        <f>IF(COUNT(S6:AC6)=0,0,SUMPRODUCT({5000,1000,500,100,75,50,20,10,5,2,1}, S6:AC6))</f>
        <v>1340</v>
      </c>
      <c r="AE6" s="33">
        <v>279264</v>
      </c>
      <c r="AF6" s="24">
        <f>IF(AND(COUNT(C6:E6)=0,COUNT(G6:I6)=0,COUNT(K6:M6)=0,COUNT(O6:Q6)=0,COUNT(S6:AC6)=0,AE6=""),"",(IF(COUNT(C6:E6)=0,0,SUMPRODUCT({5000,1000,500},C6:E6))+IF(COUNT(G6:I6)=0,0,SUMPRODUCT({5000,1000,500},G6:I6))+IF(COUNT(K6:M6)=0,0,SUMPRODUCT({5000,1000,500},K6:M6))+IF(COUNT(O6:Q6)=0,0,SUMPRODUCT({5000,1000,500},O6:Q6))+AD6)-N(AE6))</f>
        <v>76</v>
      </c>
      <c r="AG6" s="35" t="str">
        <f t="shared" si="0"/>
        <v>Excess</v>
      </c>
      <c r="AH6" s="38"/>
      <c r="AI6" s="36">
        <v>469543.11</v>
      </c>
      <c r="AJ6" s="37">
        <f>227651+241892.11</f>
        <v>469543.11</v>
      </c>
      <c r="AK6" s="26">
        <f t="shared" si="1"/>
        <v>0</v>
      </c>
      <c r="AL6" s="25" t="str">
        <f t="shared" si="2"/>
        <v>Matched</v>
      </c>
      <c r="AM6" s="38"/>
    </row>
    <row r="7" spans="1:39" ht="12.75" customHeight="1" x14ac:dyDescent="0.25">
      <c r="A7" s="31">
        <v>72873</v>
      </c>
      <c r="B7" s="32" t="str">
        <f>IF(A7="","",VLOOKUP(A7,'Employee Database'!A:B,2,FALSE))</f>
        <v>M Shajee</v>
      </c>
      <c r="C7" s="31">
        <v>17</v>
      </c>
      <c r="D7" s="31">
        <v>41</v>
      </c>
      <c r="E7" s="31">
        <v>1</v>
      </c>
      <c r="F7" s="39">
        <f>IF(COUNT(C7:E7)=0,0,SUMPRODUCT({5000,1000,500},C7:E7))</f>
        <v>126500</v>
      </c>
      <c r="G7" s="31"/>
      <c r="H7" s="31"/>
      <c r="I7" s="31"/>
      <c r="J7" s="39">
        <f>IF(COUNT(G7:I7)=0,0,SUMPRODUCT({5000,1000,500},G7:I7))</f>
        <v>0</v>
      </c>
      <c r="K7" s="31"/>
      <c r="L7" s="31"/>
      <c r="M7" s="31"/>
      <c r="N7" s="39">
        <f>IF(COUNT(K7:M7)=0,0,SUMPRODUCT({5000,1000,500},K7:M7))</f>
        <v>0</v>
      </c>
      <c r="O7" s="31"/>
      <c r="P7" s="31"/>
      <c r="Q7" s="31"/>
      <c r="R7" s="39">
        <f>IF(COUNT(O7:Q7)=0,0,SUMPRODUCT({5000,1000,500},O7:Q7))</f>
        <v>0</v>
      </c>
      <c r="S7" s="31"/>
      <c r="T7" s="31"/>
      <c r="U7" s="31"/>
      <c r="V7" s="31">
        <v>7</v>
      </c>
      <c r="W7" s="31"/>
      <c r="X7" s="31">
        <v>12</v>
      </c>
      <c r="Y7" s="31"/>
      <c r="Z7" s="31">
        <v>27</v>
      </c>
      <c r="AA7" s="31"/>
      <c r="AB7" s="31"/>
      <c r="AC7" s="31"/>
      <c r="AD7" s="34">
        <f>IF(COUNT(S7:AC7)=0,0,SUMPRODUCT({5000,1000,500,100,75,50,20,10,5,2,1}, S7:AC7))</f>
        <v>1570</v>
      </c>
      <c r="AE7" s="33">
        <v>128164</v>
      </c>
      <c r="AF7" s="24">
        <f>IF(AND(COUNT(C7:E7)=0,COUNT(G7:I7)=0,COUNT(K7:M7)=0,COUNT(O7:Q7)=0,COUNT(S7:AC7)=0,AE7=""),"",(IF(COUNT(C7:E7)=0,0,SUMPRODUCT({5000,1000,500},C7:E7))+IF(COUNT(G7:I7)=0,0,SUMPRODUCT({5000,1000,500},G7:I7))+IF(COUNT(K7:M7)=0,0,SUMPRODUCT({5000,1000,500},K7:M7))+IF(COUNT(O7:Q7)=0,0,SUMPRODUCT({5000,1000,500},O7:Q7))+AD7)-N(AE7))</f>
        <v>-94</v>
      </c>
      <c r="AG7" s="35" t="str">
        <f t="shared" si="0"/>
        <v>Short</v>
      </c>
      <c r="AH7" s="38"/>
      <c r="AI7" s="36">
        <v>151636.07999999999</v>
      </c>
      <c r="AJ7" s="37">
        <f>76551.47+75084.61</f>
        <v>151636.08000000002</v>
      </c>
      <c r="AK7" s="26">
        <f t="shared" si="1"/>
        <v>-2.9103830456733704E-11</v>
      </c>
      <c r="AL7" s="25" t="str">
        <f t="shared" si="2"/>
        <v>Bank Short</v>
      </c>
      <c r="AM7" s="38"/>
    </row>
    <row r="8" spans="1:39" ht="12.75" customHeight="1" x14ac:dyDescent="0.25">
      <c r="A8" s="31">
        <v>58112</v>
      </c>
      <c r="B8" s="32" t="str">
        <f>IF(A8="","",VLOOKUP(A8,'Employee Database'!A:B,2,FALSE))</f>
        <v>Shama</v>
      </c>
      <c r="C8" s="31">
        <v>34</v>
      </c>
      <c r="D8" s="31">
        <v>75</v>
      </c>
      <c r="E8" s="31">
        <v>27</v>
      </c>
      <c r="F8" s="39">
        <f>IF(COUNT(C8:E8)=0,0,SUMPRODUCT({5000,1000,500},C8:E8))</f>
        <v>258500</v>
      </c>
      <c r="G8" s="31"/>
      <c r="H8" s="31"/>
      <c r="I8" s="31"/>
      <c r="J8" s="39">
        <f>IF(COUNT(G8:I8)=0,0,SUMPRODUCT({5000,1000,500},G8:I8))</f>
        <v>0</v>
      </c>
      <c r="K8" s="31"/>
      <c r="L8" s="31"/>
      <c r="M8" s="31"/>
      <c r="N8" s="39">
        <f>IF(COUNT(K8:M8)=0,0,SUMPRODUCT({5000,1000,500},K8:M8))</f>
        <v>0</v>
      </c>
      <c r="O8" s="31"/>
      <c r="P8" s="31"/>
      <c r="Q8" s="31"/>
      <c r="R8" s="39">
        <f>IF(COUNT(O8:Q8)=0,0,SUMPRODUCT({5000,1000,500},O8:Q8))</f>
        <v>0</v>
      </c>
      <c r="S8" s="31"/>
      <c r="T8" s="31"/>
      <c r="U8" s="31"/>
      <c r="V8" s="31"/>
      <c r="W8" s="31"/>
      <c r="X8" s="31">
        <v>2</v>
      </c>
      <c r="Y8" s="31"/>
      <c r="Z8" s="31">
        <v>13</v>
      </c>
      <c r="AA8" s="31"/>
      <c r="AB8" s="31"/>
      <c r="AC8" s="31"/>
      <c r="AD8" s="34">
        <f>IF(COUNT(S8:AC8)=0,0,SUMPRODUCT({5000,1000,500,100,75,50,20,10,5,2,1}, S8:AC8))</f>
        <v>230</v>
      </c>
      <c r="AE8" s="33">
        <v>258612</v>
      </c>
      <c r="AF8" s="24">
        <f>IF(AND(COUNT(C8:E8)=0,COUNT(G8:I8)=0,COUNT(K8:M8)=0,COUNT(O8:Q8)=0,COUNT(S8:AC8)=0,AE8=""),"",(IF(COUNT(C8:E8)=0,0,SUMPRODUCT({5000,1000,500},C8:E8))+IF(COUNT(G8:I8)=0,0,SUMPRODUCT({5000,1000,500},G8:I8))+IF(COUNT(K8:M8)=0,0,SUMPRODUCT({5000,1000,500},K8:M8))+IF(COUNT(O8:Q8)=0,0,SUMPRODUCT({5000,1000,500},O8:Q8))+AD8)-N(AE8))</f>
        <v>118</v>
      </c>
      <c r="AG8" s="35" t="str">
        <f t="shared" si="0"/>
        <v>Excess</v>
      </c>
      <c r="AH8" s="38"/>
      <c r="AI8" s="36">
        <v>475609.85</v>
      </c>
      <c r="AJ8" s="37">
        <v>475609.85</v>
      </c>
      <c r="AK8" s="26">
        <f t="shared" si="1"/>
        <v>0</v>
      </c>
      <c r="AL8" s="25" t="str">
        <f t="shared" si="2"/>
        <v>Matched</v>
      </c>
      <c r="AM8" s="38"/>
    </row>
    <row r="9" spans="1:39" ht="12.75" customHeight="1" x14ac:dyDescent="0.25">
      <c r="A9" s="31">
        <v>77423</v>
      </c>
      <c r="B9" s="32" t="str">
        <f>IF(A9="","",VLOOKUP(A9,'Employee Database'!A:B,2,FALSE))</f>
        <v>Shoaib Akhtar</v>
      </c>
      <c r="C9" s="31">
        <v>34</v>
      </c>
      <c r="D9" s="31">
        <v>105</v>
      </c>
      <c r="E9" s="31">
        <v>22</v>
      </c>
      <c r="F9" s="39">
        <f>IF(COUNT(C9:E9)=0,0,SUMPRODUCT({5000,1000,500},C9:E9))</f>
        <v>286000</v>
      </c>
      <c r="G9" s="31"/>
      <c r="H9" s="31"/>
      <c r="I9" s="31"/>
      <c r="J9" s="39">
        <f>IF(COUNT(G9:I9)=0,0,SUMPRODUCT({5000,1000,500},G9:I9))</f>
        <v>0</v>
      </c>
      <c r="K9" s="31"/>
      <c r="L9" s="31"/>
      <c r="M9" s="31"/>
      <c r="N9" s="39">
        <f>IF(COUNT(K9:M9)=0,0,SUMPRODUCT({5000,1000,500},K9:M9))</f>
        <v>0</v>
      </c>
      <c r="O9" s="31"/>
      <c r="P9" s="31"/>
      <c r="Q9" s="31"/>
      <c r="R9" s="39">
        <f>IF(COUNT(O9:Q9)=0,0,SUMPRODUCT({5000,1000,500},O9:Q9))</f>
        <v>0</v>
      </c>
      <c r="S9" s="31"/>
      <c r="T9" s="31"/>
      <c r="U9" s="31"/>
      <c r="V9" s="31"/>
      <c r="W9" s="31"/>
      <c r="X9" s="31">
        <v>62</v>
      </c>
      <c r="Y9" s="31">
        <v>1</v>
      </c>
      <c r="Z9" s="31">
        <v>26</v>
      </c>
      <c r="AA9" s="31"/>
      <c r="AB9" s="31"/>
      <c r="AC9" s="31"/>
      <c r="AD9" s="34">
        <f>IF(COUNT(S9:AC9)=0,0,SUMPRODUCT({5000,1000,500,100,75,50,20,10,5,2,1}, S9:AC9))</f>
        <v>3380</v>
      </c>
      <c r="AE9" s="33">
        <v>289374</v>
      </c>
      <c r="AF9" s="24">
        <f>IF(AND(COUNT(C9:E9)=0,COUNT(G9:I9)=0,COUNT(K9:M9)=0,COUNT(O9:Q9)=0,COUNT(S9:AC9)=0,AE9=""),"",(IF(COUNT(C9:E9)=0,0,SUMPRODUCT({5000,1000,500},C9:E9))+IF(COUNT(G9:I9)=0,0,SUMPRODUCT({5000,1000,500},G9:I9))+IF(COUNT(K9:M9)=0,0,SUMPRODUCT({5000,1000,500},K9:M9))+IF(COUNT(O9:Q9)=0,0,SUMPRODUCT({5000,1000,500},O9:Q9))+AD9)-N(AE9))</f>
        <v>6</v>
      </c>
      <c r="AG9" s="35" t="str">
        <f t="shared" si="0"/>
        <v>Excess</v>
      </c>
      <c r="AH9" s="38"/>
      <c r="AI9" s="36">
        <v>497235.64</v>
      </c>
      <c r="AJ9" s="37">
        <f>163795.38+333440.26</f>
        <v>497235.64</v>
      </c>
      <c r="AK9" s="26">
        <f t="shared" si="1"/>
        <v>0</v>
      </c>
      <c r="AL9" s="25" t="str">
        <f t="shared" si="2"/>
        <v>Matched</v>
      </c>
      <c r="AM9" s="38"/>
    </row>
    <row r="10" spans="1:39" ht="12.75" customHeight="1" x14ac:dyDescent="0.25">
      <c r="A10" s="31">
        <v>63854</v>
      </c>
      <c r="B10" s="32" t="str">
        <f>IF(A10="","",VLOOKUP(A10,'Employee Database'!A:B,2,FALSE))</f>
        <v>Maham</v>
      </c>
      <c r="C10" s="31">
        <v>57</v>
      </c>
      <c r="D10" s="31">
        <v>155</v>
      </c>
      <c r="E10" s="31">
        <v>52</v>
      </c>
      <c r="F10" s="39">
        <f>IF(COUNT(C10:E10)=0,0,SUMPRODUCT({5000,1000,500},C10:E10))</f>
        <v>466000</v>
      </c>
      <c r="G10" s="31"/>
      <c r="H10" s="31"/>
      <c r="I10" s="31"/>
      <c r="J10" s="39">
        <f>IF(COUNT(G10:I10)=0,0,SUMPRODUCT({5000,1000,500},G10:I10))</f>
        <v>0</v>
      </c>
      <c r="K10" s="31"/>
      <c r="L10" s="31"/>
      <c r="M10" s="31"/>
      <c r="N10" s="39">
        <f>IF(COUNT(K10:M10)=0,0,SUMPRODUCT({5000,1000,500},K10:M10))</f>
        <v>0</v>
      </c>
      <c r="O10" s="31"/>
      <c r="P10" s="31"/>
      <c r="Q10" s="31"/>
      <c r="R10" s="39">
        <f>IF(COUNT(O10:Q10)=0,0,SUMPRODUCT({5000,1000,500},O10:Q10))</f>
        <v>0</v>
      </c>
      <c r="S10" s="31"/>
      <c r="T10" s="31"/>
      <c r="U10" s="31"/>
      <c r="V10" s="31"/>
      <c r="W10" s="31"/>
      <c r="X10" s="31">
        <v>4</v>
      </c>
      <c r="Y10" s="31"/>
      <c r="Z10" s="31">
        <v>2</v>
      </c>
      <c r="AA10" s="31"/>
      <c r="AB10" s="31"/>
      <c r="AC10" s="31"/>
      <c r="AD10" s="34">
        <f>IF(COUNT(S10:AC10)=0,0,SUMPRODUCT({5000,1000,500,100,75,50,20,10,5,2,1}, S10:AC10))</f>
        <v>220</v>
      </c>
      <c r="AE10" s="33">
        <v>466127</v>
      </c>
      <c r="AF10" s="24">
        <f>IF(AND(COUNT(C10:E10)=0,COUNT(G10:I10)=0,COUNT(K10:M10)=0,COUNT(O10:Q10)=0,COUNT(S10:AC10)=0,AE10=""),"",(IF(COUNT(C10:E10)=0,0,SUMPRODUCT({5000,1000,500},C10:E10))+IF(COUNT(G10:I10)=0,0,SUMPRODUCT({5000,1000,500},G10:I10))+IF(COUNT(K10:M10)=0,0,SUMPRODUCT({5000,1000,500},K10:M10))+IF(COUNT(O10:Q10)=0,0,SUMPRODUCT({5000,1000,500},O10:Q10))+AD10)-N(AE10))</f>
        <v>93</v>
      </c>
      <c r="AG10" s="35" t="str">
        <f t="shared" si="0"/>
        <v>Excess</v>
      </c>
      <c r="AH10" s="38"/>
      <c r="AI10" s="36">
        <v>522122.91</v>
      </c>
      <c r="AJ10" s="37">
        <v>522122.91</v>
      </c>
      <c r="AK10" s="26">
        <f t="shared" si="1"/>
        <v>0</v>
      </c>
      <c r="AL10" s="25" t="str">
        <f t="shared" si="2"/>
        <v>Matched</v>
      </c>
      <c r="AM10" s="38"/>
    </row>
    <row r="11" spans="1:39" ht="12.75" customHeight="1" x14ac:dyDescent="0.25">
      <c r="A11" s="31">
        <v>59257</v>
      </c>
      <c r="B11" s="32" t="str">
        <f>IF(A11="","",VLOOKUP(A11,'Employee Database'!A:B,2,FALSE))</f>
        <v>Saddiqa Maryam</v>
      </c>
      <c r="C11" s="31">
        <v>17</v>
      </c>
      <c r="D11" s="31">
        <v>97</v>
      </c>
      <c r="E11" s="31">
        <v>32</v>
      </c>
      <c r="F11" s="39">
        <f>IF(COUNT(C11:E11)=0,0,SUMPRODUCT({5000,1000,500},C11:E11))</f>
        <v>198000</v>
      </c>
      <c r="G11" s="31"/>
      <c r="H11" s="31"/>
      <c r="I11" s="31"/>
      <c r="J11" s="39">
        <f>IF(COUNT(G11:I11)=0,0,SUMPRODUCT({5000,1000,500},G11:I11))</f>
        <v>0</v>
      </c>
      <c r="K11" s="31"/>
      <c r="L11" s="31"/>
      <c r="M11" s="31"/>
      <c r="N11" s="39">
        <f>IF(COUNT(K11:M11)=0,0,SUMPRODUCT({5000,1000,500},K11:M11))</f>
        <v>0</v>
      </c>
      <c r="O11" s="31"/>
      <c r="P11" s="31"/>
      <c r="Q11" s="31"/>
      <c r="R11" s="39">
        <f>IF(COUNT(O11:Q11)=0,0,SUMPRODUCT({5000,1000,500},O11:Q11))</f>
        <v>0</v>
      </c>
      <c r="S11" s="31"/>
      <c r="T11" s="31"/>
      <c r="U11" s="31"/>
      <c r="V11" s="31">
        <v>2</v>
      </c>
      <c r="W11" s="31"/>
      <c r="X11" s="31">
        <v>17</v>
      </c>
      <c r="Y11" s="31"/>
      <c r="Z11" s="31">
        <v>6</v>
      </c>
      <c r="AA11" s="31"/>
      <c r="AB11" s="31"/>
      <c r="AC11" s="31"/>
      <c r="AD11" s="34">
        <f>IF(COUNT(S11:AC11)=0,0,SUMPRODUCT({5000,1000,500,100,75,50,20,10,5,2,1}, S11:AC11))</f>
        <v>1110</v>
      </c>
      <c r="AE11" s="33">
        <v>199351</v>
      </c>
      <c r="AF11" s="24">
        <f>IF(AND(COUNT(C11:E11)=0,COUNT(G11:I11)=0,COUNT(K11:M11)=0,COUNT(O11:Q11)=0,COUNT(S11:AC11)=0,AE11=""),"",(IF(COUNT(C11:E11)=0,0,SUMPRODUCT({5000,1000,500},C11:E11))+IF(COUNT(G11:I11)=0,0,SUMPRODUCT({5000,1000,500},G11:I11))+IF(COUNT(K11:M11)=0,0,SUMPRODUCT({5000,1000,500},K11:M11))+IF(COUNT(O11:Q11)=0,0,SUMPRODUCT({5000,1000,500},O11:Q11))+AD11)-N(AE11))</f>
        <v>-241</v>
      </c>
      <c r="AG11" s="35" t="str">
        <f t="shared" si="0"/>
        <v>Short</v>
      </c>
      <c r="AH11" s="38"/>
      <c r="AI11" s="36">
        <v>266490.56</v>
      </c>
      <c r="AJ11" s="37">
        <f>114004.37+152486.19</f>
        <v>266490.56</v>
      </c>
      <c r="AK11" s="26">
        <f t="shared" si="1"/>
        <v>0</v>
      </c>
      <c r="AL11" s="25" t="str">
        <f t="shared" si="2"/>
        <v>Matched</v>
      </c>
      <c r="AM11" s="38"/>
    </row>
    <row r="12" spans="1:39" ht="12.75" customHeight="1" x14ac:dyDescent="0.25">
      <c r="A12" s="31">
        <v>73196</v>
      </c>
      <c r="B12" s="32" t="str">
        <f>IF(A12="","",VLOOKUP(A12,'Employee Database'!A:B,2,FALSE))</f>
        <v>Asma</v>
      </c>
      <c r="C12" s="31">
        <v>10</v>
      </c>
      <c r="D12" s="31">
        <v>48</v>
      </c>
      <c r="E12" s="31">
        <v>14</v>
      </c>
      <c r="F12" s="39">
        <f>IF(COUNT(C12:E12)=0,0,SUMPRODUCT({5000,1000,500},C12:E12))</f>
        <v>105000</v>
      </c>
      <c r="G12" s="31"/>
      <c r="H12" s="31"/>
      <c r="I12" s="31"/>
      <c r="J12" s="39">
        <f>IF(COUNT(G12:I12)=0,0,SUMPRODUCT({5000,1000,500},G12:I12))</f>
        <v>0</v>
      </c>
      <c r="K12" s="31"/>
      <c r="L12" s="31"/>
      <c r="M12" s="31"/>
      <c r="N12" s="39">
        <f>IF(COUNT(K12:M12)=0,0,SUMPRODUCT({5000,1000,500},K12:M12))</f>
        <v>0</v>
      </c>
      <c r="O12" s="31"/>
      <c r="P12" s="31"/>
      <c r="Q12" s="31"/>
      <c r="R12" s="39">
        <f>IF(COUNT(O12:Q12)=0,0,SUMPRODUCT({5000,1000,500},O12:Q12))</f>
        <v>0</v>
      </c>
      <c r="S12" s="31"/>
      <c r="T12" s="31"/>
      <c r="U12" s="31"/>
      <c r="V12" s="31">
        <v>3</v>
      </c>
      <c r="W12" s="31"/>
      <c r="X12" s="31">
        <v>26</v>
      </c>
      <c r="Y12" s="31"/>
      <c r="Z12" s="31">
        <v>27</v>
      </c>
      <c r="AA12" s="31"/>
      <c r="AB12" s="31"/>
      <c r="AC12" s="31"/>
      <c r="AD12" s="34">
        <f>IF(COUNT(S12:AC12)=0,0,SUMPRODUCT({5000,1000,500,100,75,50,20,10,5,2,1}, S12:AC12))</f>
        <v>1870</v>
      </c>
      <c r="AE12" s="33">
        <v>106798</v>
      </c>
      <c r="AF12" s="24">
        <f>IF(AND(COUNT(C12:E12)=0,COUNT(G12:I12)=0,COUNT(K12:M12)=0,COUNT(O12:Q12)=0,COUNT(S12:AC12)=0,AE12=""),"",(IF(COUNT(C12:E12)=0,0,SUMPRODUCT({5000,1000,500},C12:E12))+IF(COUNT(G12:I12)=0,0,SUMPRODUCT({5000,1000,500},G12:I12))+IF(COUNT(K12:M12)=0,0,SUMPRODUCT({5000,1000,500},K12:M12))+IF(COUNT(O12:Q12)=0,0,SUMPRODUCT({5000,1000,500},O12:Q12))+AD12)-N(AE12))</f>
        <v>72</v>
      </c>
      <c r="AG12" s="35" t="str">
        <f t="shared" si="0"/>
        <v>Excess</v>
      </c>
      <c r="AH12" s="38"/>
      <c r="AI12" s="36">
        <v>229332</v>
      </c>
      <c r="AJ12" s="37">
        <f>138881.59+90450.41</f>
        <v>229332</v>
      </c>
      <c r="AK12" s="26">
        <f t="shared" si="1"/>
        <v>0</v>
      </c>
      <c r="AL12" s="25" t="str">
        <f t="shared" si="2"/>
        <v>Matched</v>
      </c>
      <c r="AM12" s="38"/>
    </row>
    <row r="13" spans="1:39" ht="12.75" customHeight="1" x14ac:dyDescent="0.25">
      <c r="A13" s="31">
        <v>50394</v>
      </c>
      <c r="B13" s="32" t="str">
        <f>IF(A13="","",VLOOKUP(A13,'Employee Database'!A:B,2,FALSE))</f>
        <v>Qasir Ali</v>
      </c>
      <c r="C13" s="31"/>
      <c r="D13" s="31"/>
      <c r="E13" s="31"/>
      <c r="F13" s="39">
        <f>IF(COUNT(C13:E13)=0,0,SUMPRODUCT({5000,1000,500},C13:E13))</f>
        <v>0</v>
      </c>
      <c r="G13" s="31">
        <v>17</v>
      </c>
      <c r="H13" s="31">
        <v>48</v>
      </c>
      <c r="I13" s="31">
        <v>30</v>
      </c>
      <c r="J13" s="39">
        <f>IF(COUNT(G13:I13)=0,0,SUMPRODUCT({5000,1000,500},G13:I13))</f>
        <v>148000</v>
      </c>
      <c r="K13" s="31"/>
      <c r="L13" s="31"/>
      <c r="M13" s="31"/>
      <c r="N13" s="39">
        <f>IF(COUNT(K13:M13)=0,0,SUMPRODUCT({5000,1000,500},K13:M13))</f>
        <v>0</v>
      </c>
      <c r="O13" s="31"/>
      <c r="P13" s="31"/>
      <c r="Q13" s="31"/>
      <c r="R13" s="39">
        <f>IF(COUNT(O13:Q13)=0,0,SUMPRODUCT({5000,1000,500},O13:Q13))</f>
        <v>0</v>
      </c>
      <c r="S13" s="31"/>
      <c r="T13" s="31"/>
      <c r="U13" s="31"/>
      <c r="V13" s="31">
        <v>13</v>
      </c>
      <c r="W13" s="31"/>
      <c r="X13" s="31">
        <v>48</v>
      </c>
      <c r="Y13" s="31"/>
      <c r="Z13" s="31">
        <v>63</v>
      </c>
      <c r="AA13" s="31"/>
      <c r="AB13" s="31"/>
      <c r="AC13" s="31"/>
      <c r="AD13" s="34">
        <f>IF(COUNT(S13:AC13)=0,0,SUMPRODUCT({5000,1000,500,100,75,50,20,10,5,2,1}, S13:AC13))</f>
        <v>4330</v>
      </c>
      <c r="AE13" s="33">
        <v>152521</v>
      </c>
      <c r="AF13" s="24">
        <f>IF(AND(COUNT(C13:E13)=0,COUNT(G13:I13)=0,COUNT(K13:M13)=0,COUNT(O13:Q13)=0,COUNT(S13:AC13)=0,AE13=""),"",(IF(COUNT(C13:E13)=0,0,SUMPRODUCT({5000,1000,500},C13:E13))+IF(COUNT(G13:I13)=0,0,SUMPRODUCT({5000,1000,500},G13:I13))+IF(COUNT(K13:M13)=0,0,SUMPRODUCT({5000,1000,500},K13:M13))+IF(COUNT(O13:Q13)=0,0,SUMPRODUCT({5000,1000,500},O13:Q13))+AD13)-N(AE13))</f>
        <v>-191</v>
      </c>
      <c r="AG13" s="35" t="str">
        <f t="shared" si="0"/>
        <v>Short</v>
      </c>
      <c r="AH13" s="38"/>
      <c r="AI13" s="36">
        <v>499689</v>
      </c>
      <c r="AJ13" s="37">
        <f>134310+365378+1</f>
        <v>499689</v>
      </c>
      <c r="AK13" s="26">
        <f t="shared" si="1"/>
        <v>0</v>
      </c>
      <c r="AL13" s="25" t="str">
        <f t="shared" si="2"/>
        <v>Matched</v>
      </c>
      <c r="AM13" s="38"/>
    </row>
    <row r="14" spans="1:39" ht="12.75" customHeight="1" x14ac:dyDescent="0.25">
      <c r="A14" s="31">
        <v>50134</v>
      </c>
      <c r="B14" s="32" t="str">
        <f>IF(A14="","",VLOOKUP(A14,'Employee Database'!A:B,2,FALSE))</f>
        <v>Asif Abbas</v>
      </c>
      <c r="C14" s="31"/>
      <c r="D14" s="31"/>
      <c r="E14" s="31"/>
      <c r="F14" s="39">
        <f>IF(COUNT(C14:E14)=0,0,SUMPRODUCT({5000,1000,500},C14:E14))</f>
        <v>0</v>
      </c>
      <c r="G14" s="31">
        <v>37</v>
      </c>
      <c r="H14" s="31">
        <v>62</v>
      </c>
      <c r="I14" s="31">
        <v>10</v>
      </c>
      <c r="J14" s="39">
        <f>IF(COUNT(G14:I14)=0,0,SUMPRODUCT({5000,1000,500},G14:I14))</f>
        <v>252000</v>
      </c>
      <c r="K14" s="31"/>
      <c r="L14" s="31"/>
      <c r="M14" s="31"/>
      <c r="N14" s="39">
        <f>IF(COUNT(K14:M14)=0,0,SUMPRODUCT({5000,1000,500},K14:M14))</f>
        <v>0</v>
      </c>
      <c r="O14" s="31"/>
      <c r="P14" s="31"/>
      <c r="Q14" s="31"/>
      <c r="R14" s="39">
        <f>IF(COUNT(O14:Q14)=0,0,SUMPRODUCT({5000,1000,500},O14:Q14))</f>
        <v>0</v>
      </c>
      <c r="S14" s="31"/>
      <c r="T14" s="31"/>
      <c r="U14" s="31"/>
      <c r="V14" s="31">
        <v>19</v>
      </c>
      <c r="W14" s="31"/>
      <c r="X14" s="31">
        <v>419</v>
      </c>
      <c r="Y14" s="31"/>
      <c r="Z14" s="31">
        <v>311</v>
      </c>
      <c r="AA14" s="31"/>
      <c r="AB14" s="31"/>
      <c r="AC14" s="31"/>
      <c r="AD14" s="34">
        <f>IF(COUNT(S14:AC14)=0,0,SUMPRODUCT({5000,1000,500,100,75,50,20,10,5,2,1}, S14:AC14))</f>
        <v>25960</v>
      </c>
      <c r="AE14" s="33">
        <v>277983</v>
      </c>
      <c r="AF14" s="24">
        <f>IF(AND(COUNT(C14:E14)=0,COUNT(G14:I14)=0,COUNT(K14:M14)=0,COUNT(O14:Q14)=0,COUNT(S14:AC14)=0,AE14=""),"",(IF(COUNT(C14:E14)=0,0,SUMPRODUCT({5000,1000,500},C14:E14))+IF(COUNT(G14:I14)=0,0,SUMPRODUCT({5000,1000,500},G14:I14))+IF(COUNT(K14:M14)=0,0,SUMPRODUCT({5000,1000,500},K14:M14))+IF(COUNT(O14:Q14)=0,0,SUMPRODUCT({5000,1000,500},O14:Q14))+AD14)-N(AE14))</f>
        <v>-23</v>
      </c>
      <c r="AG14" s="35" t="str">
        <f t="shared" si="0"/>
        <v>Short</v>
      </c>
      <c r="AH14" s="38"/>
      <c r="AI14" s="36">
        <v>706467</v>
      </c>
      <c r="AJ14" s="37">
        <v>706467</v>
      </c>
      <c r="AK14" s="26">
        <f t="shared" si="1"/>
        <v>0</v>
      </c>
      <c r="AL14" s="25" t="str">
        <f t="shared" si="2"/>
        <v>Matched</v>
      </c>
      <c r="AM14" s="38"/>
    </row>
    <row r="15" spans="1:39" ht="12.75" customHeight="1" x14ac:dyDescent="0.25">
      <c r="A15" s="31">
        <v>77424</v>
      </c>
      <c r="B15" s="32" t="str">
        <f>IF(A15="","",VLOOKUP(A15,'Employee Database'!A:B,2,FALSE))</f>
        <v>M Husnain</v>
      </c>
      <c r="C15" s="31"/>
      <c r="D15" s="31"/>
      <c r="E15" s="31"/>
      <c r="F15" s="39">
        <f>IF(COUNT(C15:E15)=0,0,SUMPRODUCT({5000,1000,500},C15:E15))</f>
        <v>0</v>
      </c>
      <c r="G15" s="31">
        <v>38</v>
      </c>
      <c r="H15" s="31">
        <v>44</v>
      </c>
      <c r="I15" s="31">
        <v>1</v>
      </c>
      <c r="J15" s="39">
        <f>IF(COUNT(G15:I15)=0,0,SUMPRODUCT({5000,1000,500},G15:I15))</f>
        <v>234500</v>
      </c>
      <c r="K15" s="31"/>
      <c r="L15" s="31"/>
      <c r="M15" s="31"/>
      <c r="N15" s="39">
        <f>IF(COUNT(K15:M15)=0,0,SUMPRODUCT({5000,1000,500},K15:M15))</f>
        <v>0</v>
      </c>
      <c r="O15" s="31"/>
      <c r="P15" s="31"/>
      <c r="Q15" s="31"/>
      <c r="R15" s="39">
        <f>IF(COUNT(O15:Q15)=0,0,SUMPRODUCT({5000,1000,500},O15:Q15))</f>
        <v>0</v>
      </c>
      <c r="S15" s="31"/>
      <c r="T15" s="31"/>
      <c r="U15" s="31"/>
      <c r="V15" s="31">
        <v>10</v>
      </c>
      <c r="W15" s="31"/>
      <c r="X15" s="31">
        <v>32</v>
      </c>
      <c r="Y15" s="31"/>
      <c r="Z15" s="31">
        <v>27</v>
      </c>
      <c r="AA15" s="31"/>
      <c r="AB15" s="31"/>
      <c r="AC15" s="31"/>
      <c r="AD15" s="34">
        <f>IF(COUNT(S15:AC15)=0,0,SUMPRODUCT({5000,1000,500,100,75,50,20,10,5,2,1}, S15:AC15))</f>
        <v>2870</v>
      </c>
      <c r="AE15" s="33">
        <v>237324</v>
      </c>
      <c r="AF15" s="24">
        <f>IF(AND(COUNT(C15:E15)=0,COUNT(G15:I15)=0,COUNT(K15:M15)=0,COUNT(O15:Q15)=0,COUNT(S15:AC15)=0,AE15=""),"",(IF(COUNT(C15:E15)=0,0,SUMPRODUCT({5000,1000,500},C15:E15))+IF(COUNT(G15:I15)=0,0,SUMPRODUCT({5000,1000,500},G15:I15))+IF(COUNT(K15:M15)=0,0,SUMPRODUCT({5000,1000,500},K15:M15))+IF(COUNT(O15:Q15)=0,0,SUMPRODUCT({5000,1000,500},O15:Q15))+AD15)-N(AE15))</f>
        <v>46</v>
      </c>
      <c r="AG15" s="35" t="str">
        <f t="shared" si="0"/>
        <v>Excess</v>
      </c>
      <c r="AH15" s="38"/>
      <c r="AI15" s="36">
        <f>61911+350317</f>
        <v>412228</v>
      </c>
      <c r="AJ15" s="37">
        <f>61911+350317</f>
        <v>412228</v>
      </c>
      <c r="AK15" s="26">
        <f t="shared" si="1"/>
        <v>0</v>
      </c>
      <c r="AL15" s="25" t="str">
        <f t="shared" si="2"/>
        <v>Matched</v>
      </c>
      <c r="AM15" s="38"/>
    </row>
    <row r="16" spans="1:39" ht="12.75" customHeight="1" x14ac:dyDescent="0.25">
      <c r="A16" s="31">
        <v>79593</v>
      </c>
      <c r="B16" s="32" t="str">
        <f>IF(A16="","",VLOOKUP(A16,'Employee Database'!A:B,2,FALSE))</f>
        <v>Amir</v>
      </c>
      <c r="C16" s="31"/>
      <c r="D16" s="31"/>
      <c r="E16" s="31"/>
      <c r="F16" s="39">
        <f>IF(COUNT(C16:E16)=0,0,SUMPRODUCT({5000,1000,500},C16:E16))</f>
        <v>0</v>
      </c>
      <c r="G16" s="31">
        <v>6</v>
      </c>
      <c r="H16" s="31">
        <v>64</v>
      </c>
      <c r="I16" s="31">
        <v>2</v>
      </c>
      <c r="J16" s="39">
        <f>IF(COUNT(G16:I16)=0,0,SUMPRODUCT({5000,1000,500},G16:I16))</f>
        <v>95000</v>
      </c>
      <c r="K16" s="31"/>
      <c r="L16" s="31"/>
      <c r="M16" s="31"/>
      <c r="N16" s="39">
        <f>IF(COUNT(K16:M16)=0,0,SUMPRODUCT({5000,1000,500},K16:M16))</f>
        <v>0</v>
      </c>
      <c r="O16" s="31"/>
      <c r="P16" s="31"/>
      <c r="Q16" s="31"/>
      <c r="R16" s="39">
        <f>IF(COUNT(O16:Q16)=0,0,SUMPRODUCT({5000,1000,500},O16:Q16))</f>
        <v>0</v>
      </c>
      <c r="S16" s="31"/>
      <c r="T16" s="31"/>
      <c r="U16" s="31"/>
      <c r="V16" s="31">
        <v>6</v>
      </c>
      <c r="W16" s="31"/>
      <c r="X16" s="31">
        <v>2</v>
      </c>
      <c r="Y16" s="31"/>
      <c r="Z16" s="31">
        <v>63</v>
      </c>
      <c r="AA16" s="31"/>
      <c r="AB16" s="31"/>
      <c r="AC16" s="31"/>
      <c r="AD16" s="34">
        <f>IF(COUNT(S16:AC16)=0,0,SUMPRODUCT({5000,1000,500,100,75,50,20,10,5,2,1}, S16:AC16))</f>
        <v>1330</v>
      </c>
      <c r="AE16" s="33">
        <v>96331</v>
      </c>
      <c r="AF16" s="24">
        <f>IF(AND(COUNT(C16:E16)=0,COUNT(G16:I16)=0,COUNT(K16:M16)=0,COUNT(O16:Q16)=0,COUNT(S16:AC16)=0,AE16=""),"",(IF(COUNT(C16:E16)=0,0,SUMPRODUCT({5000,1000,500},C16:E16))+IF(COUNT(G16:I16)=0,0,SUMPRODUCT({5000,1000,500},G16:I16))+IF(COUNT(K16:M16)=0,0,SUMPRODUCT({5000,1000,500},K16:M16))+IF(COUNT(O16:Q16)=0,0,SUMPRODUCT({5000,1000,500},O16:Q16))+AD16)-N(AE16))</f>
        <v>-1</v>
      </c>
      <c r="AG16" s="35" t="str">
        <f t="shared" si="0"/>
        <v>Short</v>
      </c>
      <c r="AH16" s="38"/>
      <c r="AI16" s="36">
        <v>217437</v>
      </c>
      <c r="AJ16" s="37">
        <f>38772+178665</f>
        <v>217437</v>
      </c>
      <c r="AK16" s="26">
        <f t="shared" si="1"/>
        <v>0</v>
      </c>
      <c r="AL16" s="25" t="str">
        <f t="shared" si="2"/>
        <v>Matched</v>
      </c>
      <c r="AM16" s="38"/>
    </row>
    <row r="17" spans="1:39" ht="12.75" customHeight="1" x14ac:dyDescent="0.25">
      <c r="A17" s="31">
        <v>71788</v>
      </c>
      <c r="B17" s="32" t="str">
        <f>IF(A17="","",VLOOKUP(A17,'Employee Database'!A:B,2,FALSE))</f>
        <v>Saaim</v>
      </c>
      <c r="C17" s="31"/>
      <c r="D17" s="31"/>
      <c r="E17" s="31"/>
      <c r="F17" s="39">
        <f>IF(COUNT(C17:E17)=0,0,SUMPRODUCT({5000,1000,500},C17:E17))</f>
        <v>0</v>
      </c>
      <c r="G17" s="31">
        <v>36</v>
      </c>
      <c r="H17" s="31">
        <v>92</v>
      </c>
      <c r="I17" s="31">
        <v>35</v>
      </c>
      <c r="J17" s="39">
        <f>IF(COUNT(G17:I17)=0,0,SUMPRODUCT({5000,1000,500},G17:I17))</f>
        <v>289500</v>
      </c>
      <c r="K17" s="31"/>
      <c r="L17" s="31"/>
      <c r="M17" s="31"/>
      <c r="N17" s="39">
        <f>IF(COUNT(K17:M17)=0,0,SUMPRODUCT({5000,1000,500},K17:M17))</f>
        <v>0</v>
      </c>
      <c r="O17" s="31"/>
      <c r="P17" s="31"/>
      <c r="Q17" s="31"/>
      <c r="R17" s="39">
        <f>IF(COUNT(O17:Q17)=0,0,SUMPRODUCT({5000,1000,500},O17:Q17))</f>
        <v>0</v>
      </c>
      <c r="S17" s="31"/>
      <c r="T17" s="31"/>
      <c r="U17" s="31"/>
      <c r="V17" s="31">
        <v>2</v>
      </c>
      <c r="W17" s="31"/>
      <c r="X17" s="31">
        <v>11</v>
      </c>
      <c r="Y17" s="31"/>
      <c r="Z17" s="31">
        <v>41</v>
      </c>
      <c r="AA17" s="31"/>
      <c r="AB17" s="31"/>
      <c r="AC17" s="31"/>
      <c r="AD17" s="34">
        <f>IF(COUNT(S17:AC17)=0,0,SUMPRODUCT({5000,1000,500,100,75,50,20,10,5,2,1}, S17:AC17))</f>
        <v>1160</v>
      </c>
      <c r="AE17" s="33">
        <v>290658</v>
      </c>
      <c r="AF17" s="24">
        <f>IF(AND(COUNT(C17:E17)=0,COUNT(G17:I17)=0,COUNT(K17:M17)=0,COUNT(O17:Q17)=0,COUNT(S17:AC17)=0,AE17=""),"",(IF(COUNT(C17:E17)=0,0,SUMPRODUCT({5000,1000,500},C17:E17))+IF(COUNT(G17:I17)=0,0,SUMPRODUCT({5000,1000,500},G17:I17))+IF(COUNT(K17:M17)=0,0,SUMPRODUCT({5000,1000,500},K17:M17))+IF(COUNT(O17:Q17)=0,0,SUMPRODUCT({5000,1000,500},O17:Q17))+AD17)-N(AE17))</f>
        <v>2</v>
      </c>
      <c r="AG17" s="35" t="str">
        <f t="shared" si="0"/>
        <v>Excess</v>
      </c>
      <c r="AH17" s="38"/>
      <c r="AI17" s="36">
        <v>615540</v>
      </c>
      <c r="AJ17" s="37">
        <v>615540</v>
      </c>
      <c r="AK17" s="26">
        <f t="shared" si="1"/>
        <v>0</v>
      </c>
      <c r="AL17" s="25" t="str">
        <f t="shared" si="2"/>
        <v>Matched</v>
      </c>
      <c r="AM17" s="38"/>
    </row>
    <row r="18" spans="1:39" ht="12.75" customHeight="1" x14ac:dyDescent="0.25">
      <c r="A18" s="31">
        <v>61648</v>
      </c>
      <c r="B18" s="32" t="str">
        <f>IF(A18="","",VLOOKUP(A18,'Employee Database'!A:B,2,FALSE))</f>
        <v>Rizwan</v>
      </c>
      <c r="C18" s="31"/>
      <c r="D18" s="31"/>
      <c r="E18" s="31"/>
      <c r="F18" s="39">
        <f>IF(COUNT(C18:E18)=0,0,SUMPRODUCT({5000,1000,500},C18:E18))</f>
        <v>0</v>
      </c>
      <c r="G18" s="31">
        <v>29</v>
      </c>
      <c r="H18" s="31">
        <v>185</v>
      </c>
      <c r="I18" s="31">
        <v>29</v>
      </c>
      <c r="J18" s="39">
        <f>IF(COUNT(G18:I18)=0,0,SUMPRODUCT({5000,1000,500},G18:I18))</f>
        <v>344500</v>
      </c>
      <c r="K18" s="31"/>
      <c r="L18" s="31"/>
      <c r="M18" s="31"/>
      <c r="N18" s="39">
        <f>IF(COUNT(K18:M18)=0,0,SUMPRODUCT({5000,1000,500},K18:M18))</f>
        <v>0</v>
      </c>
      <c r="O18" s="31"/>
      <c r="P18" s="31"/>
      <c r="Q18" s="31"/>
      <c r="R18" s="39">
        <f>IF(COUNT(O18:Q18)=0,0,SUMPRODUCT({5000,1000,500},O18:Q18))</f>
        <v>0</v>
      </c>
      <c r="S18" s="31"/>
      <c r="T18" s="31"/>
      <c r="U18" s="31"/>
      <c r="V18" s="31"/>
      <c r="W18" s="31"/>
      <c r="X18" s="31">
        <v>8</v>
      </c>
      <c r="Y18" s="31"/>
      <c r="Z18" s="31">
        <v>25</v>
      </c>
      <c r="AA18" s="31"/>
      <c r="AB18" s="31"/>
      <c r="AC18" s="31"/>
      <c r="AD18" s="34">
        <f>IF(COUNT(S18:AC18)=0,0,SUMPRODUCT({5000,1000,500,100,75,50,20,10,5,2,1}, S18:AC18))</f>
        <v>650</v>
      </c>
      <c r="AE18" s="33">
        <v>345132</v>
      </c>
      <c r="AF18" s="24">
        <f>IF(AND(COUNT(C18:E18)=0,COUNT(G18:I18)=0,COUNT(K18:M18)=0,COUNT(O18:Q18)=0,COUNT(S18:AC18)=0,AE18=""),"",(IF(COUNT(C18:E18)=0,0,SUMPRODUCT({5000,1000,500},C18:E18))+IF(COUNT(G18:I18)=0,0,SUMPRODUCT({5000,1000,500},G18:I18))+IF(COUNT(K18:M18)=0,0,SUMPRODUCT({5000,1000,500},K18:M18))+IF(COUNT(O18:Q18)=0,0,SUMPRODUCT({5000,1000,500},O18:Q18))+AD18)-N(AE18))</f>
        <v>18</v>
      </c>
      <c r="AG18" s="35" t="str">
        <f t="shared" si="0"/>
        <v>Excess</v>
      </c>
      <c r="AH18" s="38"/>
      <c r="AI18" s="36">
        <v>716118</v>
      </c>
      <c r="AJ18" s="37">
        <v>716118</v>
      </c>
      <c r="AK18" s="26">
        <f t="shared" si="1"/>
        <v>0</v>
      </c>
      <c r="AL18" s="25" t="str">
        <f t="shared" si="2"/>
        <v>Matched</v>
      </c>
      <c r="AM18" s="38"/>
    </row>
    <row r="19" spans="1:39" ht="12.75" customHeight="1" x14ac:dyDescent="0.25">
      <c r="A19" s="31">
        <v>73679</v>
      </c>
      <c r="B19" s="32" t="str">
        <f>IF(A19="","",VLOOKUP(A19,'Employee Database'!A:B,2,FALSE))</f>
        <v>Imran Waqar</v>
      </c>
      <c r="C19" s="31"/>
      <c r="D19" s="31"/>
      <c r="E19" s="31"/>
      <c r="F19" s="39">
        <f>IF(COUNT(C19:E19)=0,0,SUMPRODUCT({5000,1000,500},C19:E19))</f>
        <v>0</v>
      </c>
      <c r="G19" s="31">
        <v>12</v>
      </c>
      <c r="H19" s="31">
        <v>69</v>
      </c>
      <c r="I19" s="31">
        <v>15</v>
      </c>
      <c r="J19" s="39">
        <f>IF(COUNT(G19:I19)=0,0,SUMPRODUCT({5000,1000,500},G19:I19))</f>
        <v>136500</v>
      </c>
      <c r="K19" s="31"/>
      <c r="L19" s="31"/>
      <c r="M19" s="31"/>
      <c r="N19" s="39">
        <f>IF(COUNT(K19:M19)=0,0,SUMPRODUCT({5000,1000,500},K19:M19))</f>
        <v>0</v>
      </c>
      <c r="O19" s="31"/>
      <c r="P19" s="31"/>
      <c r="Q19" s="31"/>
      <c r="R19" s="39">
        <f>IF(COUNT(O19:Q19)=0,0,SUMPRODUCT({5000,1000,500},O19:Q19))</f>
        <v>0</v>
      </c>
      <c r="S19" s="31"/>
      <c r="T19" s="31"/>
      <c r="U19" s="31"/>
      <c r="V19" s="31">
        <v>6</v>
      </c>
      <c r="W19" s="31"/>
      <c r="X19" s="31">
        <v>26</v>
      </c>
      <c r="Y19" s="31"/>
      <c r="Z19" s="31">
        <v>30</v>
      </c>
      <c r="AA19" s="31"/>
      <c r="AB19" s="31"/>
      <c r="AC19" s="31"/>
      <c r="AD19" s="34">
        <f>IF(COUNT(S19:AC19)=0,0,SUMPRODUCT({5000,1000,500,100,75,50,20,10,5,2,1}, S19:AC19))</f>
        <v>2200</v>
      </c>
      <c r="AE19" s="33">
        <v>138679</v>
      </c>
      <c r="AF19" s="24">
        <f>IF(AND(COUNT(C19:E19)=0,COUNT(G19:I19)=0,COUNT(K19:M19)=0,COUNT(O19:Q19)=0,COUNT(S19:AC19)=0,AE19=""),"",(IF(COUNT(C19:E19)=0,0,SUMPRODUCT({5000,1000,500},C19:E19))+IF(COUNT(G19:I19)=0,0,SUMPRODUCT({5000,1000,500},G19:I19))+IF(COUNT(K19:M19)=0,0,SUMPRODUCT({5000,1000,500},K19:M19))+IF(COUNT(O19:Q19)=0,0,SUMPRODUCT({5000,1000,500},O19:Q19))+AD19)-N(AE19))</f>
        <v>21</v>
      </c>
      <c r="AG19" s="35" t="str">
        <f t="shared" si="0"/>
        <v>Excess</v>
      </c>
      <c r="AH19" s="38"/>
      <c r="AI19" s="36">
        <f>165344+309626</f>
        <v>474970</v>
      </c>
      <c r="AJ19" s="37">
        <f>280+134367+165064+175259</f>
        <v>474970</v>
      </c>
      <c r="AK19" s="26">
        <f t="shared" si="1"/>
        <v>0</v>
      </c>
      <c r="AL19" s="25" t="str">
        <f t="shared" si="2"/>
        <v>Matched</v>
      </c>
      <c r="AM19" s="38"/>
    </row>
    <row r="20" spans="1:39" ht="12.75" customHeight="1" x14ac:dyDescent="0.25">
      <c r="A20" s="31">
        <v>69213</v>
      </c>
      <c r="B20" s="32" t="str">
        <f>IF(A20="","",VLOOKUP(A20,'Employee Database'!A:B,2,FALSE))</f>
        <v>Muhammad Shahbaz</v>
      </c>
      <c r="C20" s="31"/>
      <c r="D20" s="31"/>
      <c r="E20" s="31"/>
      <c r="F20" s="39">
        <f>IF(COUNT(C20:E20)=0,0,SUMPRODUCT({5000,1000,500},C20:E20))</f>
        <v>0</v>
      </c>
      <c r="G20" s="31">
        <v>16</v>
      </c>
      <c r="H20" s="31">
        <v>45</v>
      </c>
      <c r="I20" s="31">
        <v>16</v>
      </c>
      <c r="J20" s="39">
        <f>IF(COUNT(G20:I20)=0,0,SUMPRODUCT({5000,1000,500},G20:I20))</f>
        <v>133000</v>
      </c>
      <c r="K20" s="31"/>
      <c r="L20" s="31"/>
      <c r="M20" s="31"/>
      <c r="N20" s="39">
        <f>IF(COUNT(K20:M20)=0,0,SUMPRODUCT({5000,1000,500},K20:M20))</f>
        <v>0</v>
      </c>
      <c r="O20" s="31"/>
      <c r="P20" s="31"/>
      <c r="Q20" s="31"/>
      <c r="R20" s="39">
        <f>IF(COUNT(O20:Q20)=0,0,SUMPRODUCT({5000,1000,500},O20:Q20))</f>
        <v>0</v>
      </c>
      <c r="S20" s="31"/>
      <c r="T20" s="31"/>
      <c r="U20" s="31"/>
      <c r="V20" s="31">
        <v>5</v>
      </c>
      <c r="W20" s="31"/>
      <c r="X20" s="31">
        <v>42</v>
      </c>
      <c r="Y20" s="31"/>
      <c r="Z20" s="31">
        <v>8</v>
      </c>
      <c r="AA20" s="31"/>
      <c r="AB20" s="31"/>
      <c r="AC20" s="31"/>
      <c r="AD20" s="34">
        <f>IF(COUNT(S20:AC20)=0,0,SUMPRODUCT({5000,1000,500,100,75,50,20,10,5,2,1}, S20:AC20))</f>
        <v>2680</v>
      </c>
      <c r="AE20" s="33">
        <v>135605</v>
      </c>
      <c r="AF20" s="24">
        <f>IF(AND(COUNT(C20:E20)=0,COUNT(G20:I20)=0,COUNT(K20:M20)=0,COUNT(O20:Q20)=0,COUNT(S20:AC20)=0,AE20=""),"",(IF(COUNT(C20:E20)=0,0,SUMPRODUCT({5000,1000,500},C20:E20))+IF(COUNT(G20:I20)=0,0,SUMPRODUCT({5000,1000,500},G20:I20))+IF(COUNT(K20:M20)=0,0,SUMPRODUCT({5000,1000,500},K20:M20))+IF(COUNT(O20:Q20)=0,0,SUMPRODUCT({5000,1000,500},O20:Q20))+AD20)-N(AE20))</f>
        <v>75</v>
      </c>
      <c r="AG20" s="35" t="str">
        <f t="shared" si="0"/>
        <v>Excess</v>
      </c>
      <c r="AH20" s="38"/>
      <c r="AI20" s="36">
        <v>138804</v>
      </c>
      <c r="AJ20" s="37">
        <f>23237+116067</f>
        <v>139304</v>
      </c>
      <c r="AK20" s="26">
        <f t="shared" si="1"/>
        <v>-500</v>
      </c>
      <c r="AL20" s="25" t="str">
        <f t="shared" si="2"/>
        <v>Bank Short</v>
      </c>
      <c r="AM20" s="38" t="s">
        <v>311</v>
      </c>
    </row>
    <row r="21" spans="1:39" ht="12.75" customHeight="1" x14ac:dyDescent="0.25">
      <c r="A21" s="31">
        <v>68475</v>
      </c>
      <c r="B21" s="32" t="str">
        <f>IF(A21="","",VLOOKUP(A21,'Employee Database'!A:B,2,FALSE))</f>
        <v>M Azeem</v>
      </c>
      <c r="C21" s="31"/>
      <c r="D21" s="31"/>
      <c r="E21" s="31"/>
      <c r="F21" s="39">
        <f>IF(COUNT(C21:E21)=0,0,SUMPRODUCT({5000,1000,500},C21:E21))</f>
        <v>0</v>
      </c>
      <c r="G21" s="31">
        <v>13</v>
      </c>
      <c r="H21" s="31">
        <v>61</v>
      </c>
      <c r="I21" s="31">
        <v>5</v>
      </c>
      <c r="J21" s="39">
        <f>IF(COUNT(G21:I21)=0,0,SUMPRODUCT({5000,1000,500},G21:I21))</f>
        <v>128500</v>
      </c>
      <c r="K21" s="31"/>
      <c r="L21" s="31"/>
      <c r="M21" s="31"/>
      <c r="N21" s="39">
        <f>IF(COUNT(K21:M21)=0,0,SUMPRODUCT({5000,1000,500},K21:M21))</f>
        <v>0</v>
      </c>
      <c r="O21" s="31"/>
      <c r="P21" s="31"/>
      <c r="Q21" s="31"/>
      <c r="R21" s="39">
        <f>IF(COUNT(O21:Q21)=0,0,SUMPRODUCT({5000,1000,500},O21:Q21))</f>
        <v>0</v>
      </c>
      <c r="S21" s="31"/>
      <c r="T21" s="31"/>
      <c r="U21" s="31"/>
      <c r="V21" s="31">
        <v>5</v>
      </c>
      <c r="W21" s="31"/>
      <c r="X21" s="31">
        <v>52</v>
      </c>
      <c r="Y21" s="31">
        <v>2</v>
      </c>
      <c r="Z21" s="31">
        <v>85</v>
      </c>
      <c r="AA21" s="31"/>
      <c r="AB21" s="31"/>
      <c r="AC21" s="31"/>
      <c r="AD21" s="34">
        <f>IF(COUNT(S21:AC21)=0,0,SUMPRODUCT({5000,1000,500,100,75,50,20,10,5,2,1}, S21:AC21))</f>
        <v>3990</v>
      </c>
      <c r="AE21" s="33">
        <v>132424</v>
      </c>
      <c r="AF21" s="24">
        <f>IF(AND(COUNT(C21:E21)=0,COUNT(G21:I21)=0,COUNT(K21:M21)=0,COUNT(O21:Q21)=0,COUNT(S21:AC21)=0,AE21=""),"",(IF(COUNT(C21:E21)=0,0,SUMPRODUCT({5000,1000,500},C21:E21))+IF(COUNT(G21:I21)=0,0,SUMPRODUCT({5000,1000,500},G21:I21))+IF(COUNT(K21:M21)=0,0,SUMPRODUCT({5000,1000,500},K21:M21))+IF(COUNT(O21:Q21)=0,0,SUMPRODUCT({5000,1000,500},O21:Q21))+AD21)-N(AE21))</f>
        <v>66</v>
      </c>
      <c r="AG21" s="35" t="str">
        <f t="shared" si="0"/>
        <v>Excess</v>
      </c>
      <c r="AH21" s="38"/>
      <c r="AI21" s="36">
        <v>219610</v>
      </c>
      <c r="AJ21" s="37">
        <v>219610</v>
      </c>
      <c r="AK21" s="26">
        <f t="shared" si="1"/>
        <v>0</v>
      </c>
      <c r="AL21" s="25" t="str">
        <f t="shared" si="2"/>
        <v>Matched</v>
      </c>
      <c r="AM21" s="38"/>
    </row>
    <row r="22" spans="1:39" ht="12.75" customHeight="1" x14ac:dyDescent="0.25">
      <c r="A22" s="31">
        <v>63374</v>
      </c>
      <c r="B22" s="32" t="str">
        <f>IF(A22="","",VLOOKUP(A22,'Employee Database'!A:B,2,FALSE))</f>
        <v>Aftab Ali</v>
      </c>
      <c r="C22" s="31"/>
      <c r="D22" s="31"/>
      <c r="E22" s="31"/>
      <c r="F22" s="39">
        <f>IF(COUNT(C22:E22)=0,0,SUMPRODUCT({5000,1000,500},C22:E22))</f>
        <v>0</v>
      </c>
      <c r="G22" s="31">
        <v>14</v>
      </c>
      <c r="H22" s="31">
        <v>42</v>
      </c>
      <c r="I22" s="31">
        <v>16</v>
      </c>
      <c r="J22" s="39">
        <f>IF(COUNT(G22:I22)=0,0,SUMPRODUCT({5000,1000,500},G22:I22))</f>
        <v>120000</v>
      </c>
      <c r="K22" s="31"/>
      <c r="L22" s="31"/>
      <c r="M22" s="31"/>
      <c r="N22" s="39">
        <f>IF(COUNT(K22:M22)=0,0,SUMPRODUCT({5000,1000,500},K22:M22))</f>
        <v>0</v>
      </c>
      <c r="O22" s="31"/>
      <c r="P22" s="31"/>
      <c r="Q22" s="31"/>
      <c r="R22" s="39">
        <f>IF(COUNT(O22:Q22)=0,0,SUMPRODUCT({5000,1000,500},O22:Q22))</f>
        <v>0</v>
      </c>
      <c r="S22" s="31"/>
      <c r="T22" s="31"/>
      <c r="U22" s="31"/>
      <c r="V22" s="31">
        <v>2</v>
      </c>
      <c r="W22" s="31"/>
      <c r="X22" s="31">
        <v>67</v>
      </c>
      <c r="Y22" s="31"/>
      <c r="Z22" s="31">
        <v>70</v>
      </c>
      <c r="AA22" s="31"/>
      <c r="AB22" s="31"/>
      <c r="AC22" s="31"/>
      <c r="AD22" s="34">
        <f>IF(COUNT(S22:AC22)=0,0,SUMPRODUCT({5000,1000,500,100,75,50,20,10,5,2,1}, S22:AC22))</f>
        <v>4250</v>
      </c>
      <c r="AE22" s="33">
        <v>124324</v>
      </c>
      <c r="AF22" s="24">
        <f>IF(AND(COUNT(C22:E22)=0,COUNT(G22:I22)=0,COUNT(K22:M22)=0,COUNT(O22:Q22)=0,COUNT(S22:AC22)=0,AE22=""),"",(IF(COUNT(C22:E22)=0,0,SUMPRODUCT({5000,1000,500},C22:E22))+IF(COUNT(G22:I22)=0,0,SUMPRODUCT({5000,1000,500},G22:I22))+IF(COUNT(K22:M22)=0,0,SUMPRODUCT({5000,1000,500},K22:M22))+IF(COUNT(O22:Q22)=0,0,SUMPRODUCT({5000,1000,500},O22:Q22))+AD22)-N(AE22))</f>
        <v>-74</v>
      </c>
      <c r="AG22" s="35" t="str">
        <f t="shared" si="0"/>
        <v>Short</v>
      </c>
      <c r="AH22" s="38"/>
      <c r="AI22" s="36">
        <v>441698</v>
      </c>
      <c r="AJ22" s="37">
        <f>39696+402002</f>
        <v>441698</v>
      </c>
      <c r="AK22" s="26">
        <f t="shared" si="1"/>
        <v>0</v>
      </c>
      <c r="AL22" s="25" t="str">
        <f t="shared" si="2"/>
        <v>Matched</v>
      </c>
      <c r="AM22" s="38"/>
    </row>
    <row r="23" spans="1:39" ht="12.75" customHeight="1" x14ac:dyDescent="0.25">
      <c r="A23" s="31">
        <v>67250</v>
      </c>
      <c r="B23" s="32" t="str">
        <f>IF(A23="","",VLOOKUP(A23,'Employee Database'!A:B,2,FALSE))</f>
        <v>M Fiaz</v>
      </c>
      <c r="C23" s="31"/>
      <c r="D23" s="31"/>
      <c r="E23" s="31"/>
      <c r="F23" s="39">
        <f>IF(COUNT(C23:E23)=0,0,SUMPRODUCT({5000,1000,500},C23:E23))</f>
        <v>0</v>
      </c>
      <c r="G23" s="31">
        <v>0</v>
      </c>
      <c r="H23" s="31">
        <v>4</v>
      </c>
      <c r="I23" s="31">
        <v>5</v>
      </c>
      <c r="J23" s="39">
        <f>IF(COUNT(G23:I23)=0,0,SUMPRODUCT({5000,1000,500},G23:I23))</f>
        <v>6500</v>
      </c>
      <c r="K23" s="31"/>
      <c r="L23" s="31"/>
      <c r="M23" s="31"/>
      <c r="N23" s="39">
        <f>IF(COUNT(K23:M23)=0,0,SUMPRODUCT({5000,1000,500},K23:M23))</f>
        <v>0</v>
      </c>
      <c r="O23" s="31"/>
      <c r="P23" s="31"/>
      <c r="Q23" s="31"/>
      <c r="R23" s="39">
        <f>IF(COUNT(O23:Q23)=0,0,SUMPRODUCT({5000,1000,500},O23:Q23))</f>
        <v>0</v>
      </c>
      <c r="S23" s="31"/>
      <c r="T23" s="31"/>
      <c r="U23" s="31"/>
      <c r="V23" s="31">
        <v>6</v>
      </c>
      <c r="W23" s="31"/>
      <c r="X23" s="31">
        <v>94</v>
      </c>
      <c r="Y23" s="31"/>
      <c r="Z23" s="31">
        <v>101</v>
      </c>
      <c r="AA23" s="31"/>
      <c r="AB23" s="31"/>
      <c r="AC23" s="31"/>
      <c r="AD23" s="34">
        <f>IF(COUNT(S23:AC23)=0,0,SUMPRODUCT({5000,1000,500,100,75,50,20,10,5,2,1}, S23:AC23))</f>
        <v>6310</v>
      </c>
      <c r="AE23" s="33">
        <v>12827</v>
      </c>
      <c r="AF23" s="24">
        <f>IF(AND(COUNT(C23:E23)=0,COUNT(G23:I23)=0,COUNT(K23:M23)=0,COUNT(O23:Q23)=0,COUNT(S23:AC23)=0,AE23=""),"",(IF(COUNT(C23:E23)=0,0,SUMPRODUCT({5000,1000,500},C23:E23))+IF(COUNT(G23:I23)=0,0,SUMPRODUCT({5000,1000,500},G23:I23))+IF(COUNT(K23:M23)=0,0,SUMPRODUCT({5000,1000,500},K23:M23))+IF(COUNT(O23:Q23)=0,0,SUMPRODUCT({5000,1000,500},O23:Q23))+AD23)-N(AE23))</f>
        <v>-17</v>
      </c>
      <c r="AG23" s="35" t="str">
        <f t="shared" si="0"/>
        <v>Short</v>
      </c>
      <c r="AH23" s="38"/>
      <c r="AI23" s="36">
        <v>2928</v>
      </c>
      <c r="AJ23" s="37">
        <v>2928</v>
      </c>
      <c r="AK23" s="26">
        <f t="shared" si="1"/>
        <v>0</v>
      </c>
      <c r="AL23" s="25" t="str">
        <f t="shared" si="2"/>
        <v>Matched</v>
      </c>
      <c r="AM23" s="38"/>
    </row>
    <row r="24" spans="1:39" ht="12.75" customHeight="1" x14ac:dyDescent="0.25">
      <c r="A24" s="31">
        <v>67799</v>
      </c>
      <c r="B24" s="32" t="str">
        <f>IF(A24="","",VLOOKUP(A24,'Employee Database'!A:B,2,FALSE))</f>
        <v>Hassan Raza</v>
      </c>
      <c r="C24" s="31"/>
      <c r="D24" s="31"/>
      <c r="E24" s="31"/>
      <c r="F24" s="39">
        <f>IF(COUNT(C24:E24)=0,0,SUMPRODUCT({5000,1000,500},C24:E24))</f>
        <v>0</v>
      </c>
      <c r="G24" s="31">
        <v>12</v>
      </c>
      <c r="H24" s="31">
        <v>33</v>
      </c>
      <c r="I24" s="31">
        <v>8</v>
      </c>
      <c r="J24" s="39">
        <f>IF(COUNT(G24:I24)=0,0,SUMPRODUCT({5000,1000,500},G24:I24))</f>
        <v>97000</v>
      </c>
      <c r="K24" s="31"/>
      <c r="L24" s="31"/>
      <c r="M24" s="31"/>
      <c r="N24" s="39">
        <f>IF(COUNT(K24:M24)=0,0,SUMPRODUCT({5000,1000,500},K24:M24))</f>
        <v>0</v>
      </c>
      <c r="O24" s="31"/>
      <c r="P24" s="31"/>
      <c r="Q24" s="31"/>
      <c r="R24" s="39">
        <f>IF(COUNT(O24:Q24)=0,0,SUMPRODUCT({5000,1000,500},O24:Q24))</f>
        <v>0</v>
      </c>
      <c r="S24" s="31"/>
      <c r="T24" s="31"/>
      <c r="U24" s="31"/>
      <c r="V24" s="31">
        <v>9</v>
      </c>
      <c r="W24" s="31"/>
      <c r="X24" s="31">
        <v>10</v>
      </c>
      <c r="Y24" s="31"/>
      <c r="Z24" s="31">
        <v>69</v>
      </c>
      <c r="AA24" s="31"/>
      <c r="AB24" s="31"/>
      <c r="AC24" s="31"/>
      <c r="AD24" s="34">
        <f>IF(COUNT(S24:AC24)=0,0,SUMPRODUCT({5000,1000,500,100,75,50,20,10,5,2,1}, S24:AC24))</f>
        <v>2090</v>
      </c>
      <c r="AE24" s="33">
        <v>99014</v>
      </c>
      <c r="AF24" s="24">
        <f>IF(AND(COUNT(C24:E24)=0,COUNT(G24:I24)=0,COUNT(K24:M24)=0,COUNT(O24:Q24)=0,COUNT(S24:AC24)=0,AE24=""),"",(IF(COUNT(C24:E24)=0,0,SUMPRODUCT({5000,1000,500},C24:E24))+IF(COUNT(G24:I24)=0,0,SUMPRODUCT({5000,1000,500},G24:I24))+IF(COUNT(K24:M24)=0,0,SUMPRODUCT({5000,1000,500},K24:M24))+IF(COUNT(O24:Q24)=0,0,SUMPRODUCT({5000,1000,500},O24:Q24))+AD24)-N(AE24))</f>
        <v>76</v>
      </c>
      <c r="AG24" s="35" t="str">
        <f t="shared" si="0"/>
        <v>Excess</v>
      </c>
      <c r="AH24" s="38"/>
      <c r="AI24" s="36">
        <f>20843+119682</f>
        <v>140525</v>
      </c>
      <c r="AJ24" s="37">
        <v>140525</v>
      </c>
      <c r="AK24" s="26">
        <f t="shared" si="1"/>
        <v>0</v>
      </c>
      <c r="AL24" s="25" t="str">
        <f t="shared" si="2"/>
        <v>Matched</v>
      </c>
      <c r="AM24" s="38"/>
    </row>
    <row r="25" spans="1:39" ht="12.75" customHeight="1" x14ac:dyDescent="0.25">
      <c r="A25" s="31">
        <v>50313</v>
      </c>
      <c r="B25" s="32" t="str">
        <f>IF(A25="","",VLOOKUP(A25,'Employee Database'!A:B,2,FALSE))</f>
        <v>Waseem Raza</v>
      </c>
      <c r="C25" s="31"/>
      <c r="D25" s="31"/>
      <c r="E25" s="31"/>
      <c r="F25" s="39">
        <f>IF(COUNT(C25:E25)=0,0,SUMPRODUCT({5000,1000,500},C25:E25))</f>
        <v>0</v>
      </c>
      <c r="G25" s="31"/>
      <c r="H25" s="31">
        <v>1</v>
      </c>
      <c r="I25" s="31">
        <v>5</v>
      </c>
      <c r="J25" s="39">
        <f>IF(COUNT(G25:I25)=0,0,SUMPRODUCT({5000,1000,500},G25:I25))</f>
        <v>3500</v>
      </c>
      <c r="K25" s="31"/>
      <c r="L25" s="31"/>
      <c r="M25" s="31"/>
      <c r="N25" s="39">
        <f>IF(COUNT(K25:M25)=0,0,SUMPRODUCT({5000,1000,500},K25:M25))</f>
        <v>0</v>
      </c>
      <c r="O25" s="31"/>
      <c r="P25" s="31"/>
      <c r="Q25" s="31"/>
      <c r="R25" s="39">
        <f>IF(COUNT(O25:Q25)=0,0,SUMPRODUCT({5000,1000,500},O25:Q25))</f>
        <v>0</v>
      </c>
      <c r="S25" s="31"/>
      <c r="T25" s="31"/>
      <c r="U25" s="31"/>
      <c r="V25" s="31">
        <v>2</v>
      </c>
      <c r="W25" s="31"/>
      <c r="X25" s="31">
        <v>7</v>
      </c>
      <c r="Y25" s="31">
        <v>1</v>
      </c>
      <c r="Z25" s="31">
        <v>3</v>
      </c>
      <c r="AA25" s="31"/>
      <c r="AB25" s="31"/>
      <c r="AC25" s="31"/>
      <c r="AD25" s="34">
        <f>IF(COUNT(S25:AC25)=0,0,SUMPRODUCT({5000,1000,500,100,75,50,20,10,5,2,1}, S25:AC25))</f>
        <v>600</v>
      </c>
      <c r="AE25" s="33">
        <v>4098</v>
      </c>
      <c r="AF25" s="24">
        <f>IF(AND(COUNT(C25:E25)=0,COUNT(G25:I25)=0,COUNT(K25:M25)=0,COUNT(O25:Q25)=0,COUNT(S25:AC25)=0,AE25=""),"",(IF(COUNT(C25:E25)=0,0,SUMPRODUCT({5000,1000,500},C25:E25))+IF(COUNT(G25:I25)=0,0,SUMPRODUCT({5000,1000,500},G25:I25))+IF(COUNT(K25:M25)=0,0,SUMPRODUCT({5000,1000,500},K25:M25))+IF(COUNT(O25:Q25)=0,0,SUMPRODUCT({5000,1000,500},O25:Q25))+AD25)-N(AE25))</f>
        <v>2</v>
      </c>
      <c r="AG25" s="35" t="str">
        <f t="shared" si="0"/>
        <v>Excess</v>
      </c>
      <c r="AH25" s="38"/>
      <c r="AI25" s="36">
        <f>16+1121120</f>
        <v>1121136</v>
      </c>
      <c r="AJ25" s="37">
        <v>1121120</v>
      </c>
      <c r="AK25" s="26">
        <f t="shared" si="1"/>
        <v>16</v>
      </c>
      <c r="AL25" s="25" t="str">
        <f t="shared" si="2"/>
        <v>POS Excess</v>
      </c>
      <c r="AM25" s="38" t="s">
        <v>312</v>
      </c>
    </row>
    <row r="26" spans="1:39" ht="12.75" customHeight="1" x14ac:dyDescent="0.25">
      <c r="A26" s="31"/>
      <c r="B26" s="32" t="str">
        <f>IF(A26="","",VLOOKUP(A26,'Employee Database'!A:B,2,FALSE))</f>
        <v/>
      </c>
      <c r="C26" s="31"/>
      <c r="D26" s="31"/>
      <c r="E26" s="31"/>
      <c r="F26" s="39">
        <f>IF(COUNT(C26:E26)=0,0,SUMPRODUCT({5000,1000,500},C26:E26))</f>
        <v>0</v>
      </c>
      <c r="G26" s="31"/>
      <c r="H26" s="31"/>
      <c r="I26" s="31"/>
      <c r="J26" s="39">
        <f>IF(COUNT(G26:I26)=0,0,SUMPRODUCT({5000,1000,500},G26:I26))</f>
        <v>0</v>
      </c>
      <c r="K26" s="31"/>
      <c r="L26" s="31"/>
      <c r="M26" s="31"/>
      <c r="N26" s="39">
        <f>IF(COUNT(K26:M26)=0,0,SUMPRODUCT({5000,1000,500},K26:M26))</f>
        <v>0</v>
      </c>
      <c r="O26" s="31"/>
      <c r="P26" s="31"/>
      <c r="Q26" s="31"/>
      <c r="R26" s="39">
        <f>IF(COUNT(O26:Q26)=0,0,SUMPRODUCT({5000,1000,500},O26:Q26))</f>
        <v>0</v>
      </c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4">
        <f>IF(COUNT(S26:AC26)=0,0,SUMPRODUCT({5000,1000,500,100,75,50,20,10,5,2,1}, S26:AC26))</f>
        <v>0</v>
      </c>
      <c r="AE26" s="33"/>
      <c r="AF26" s="24" t="str">
        <f>IF(AND(COUNT(C26:E26)=0,COUNT(G26:I26)=0,COUNT(K26:M26)=0,COUNT(O26:Q26)=0,COUNT(S26:AC26)=0,AE26=""),"",(IF(COUNT(C26:E26)=0,0,SUMPRODUCT({5000,1000,500},C26:E26))+IF(COUNT(G26:I26)=0,0,SUMPRODUCT({5000,1000,500},G26:I26))+IF(COUNT(K26:M26)=0,0,SUMPRODUCT({5000,1000,500},K26:M26))+IF(COUNT(O26:Q26)=0,0,SUMPRODUCT({5000,1000,500},O26:Q26))+AD26)-N(AE26))</f>
        <v/>
      </c>
      <c r="AG26" s="35" t="str">
        <f t="shared" si="0"/>
        <v/>
      </c>
      <c r="AH26" s="38"/>
      <c r="AI26" s="36"/>
      <c r="AJ26" s="37"/>
      <c r="AK26" s="26" t="str">
        <f t="shared" si="1"/>
        <v/>
      </c>
      <c r="AL26" s="25" t="str">
        <f t="shared" si="2"/>
        <v/>
      </c>
      <c r="AM26" s="38"/>
    </row>
    <row r="27" spans="1:39" ht="12.75" customHeight="1" x14ac:dyDescent="0.25">
      <c r="A27" s="31"/>
      <c r="B27" s="32" t="str">
        <f>IF(A27="","",VLOOKUP(A27,'Employee Database'!A:B,2,FALSE))</f>
        <v/>
      </c>
      <c r="C27" s="31"/>
      <c r="D27" s="31"/>
      <c r="E27" s="31"/>
      <c r="F27" s="39">
        <f>IF(COUNT(C27:E27)=0,0,SUMPRODUCT({5000,1000,500},C27:E27))</f>
        <v>0</v>
      </c>
      <c r="G27" s="31"/>
      <c r="H27" s="31"/>
      <c r="I27" s="31"/>
      <c r="J27" s="39">
        <f>IF(COUNT(G27:I27)=0,0,SUMPRODUCT({5000,1000,500},G27:I27))</f>
        <v>0</v>
      </c>
      <c r="K27" s="31"/>
      <c r="L27" s="31"/>
      <c r="M27" s="31"/>
      <c r="N27" s="39">
        <f>IF(COUNT(K27:M27)=0,0,SUMPRODUCT({5000,1000,500},K27:M27))</f>
        <v>0</v>
      </c>
      <c r="O27" s="31"/>
      <c r="P27" s="31"/>
      <c r="Q27" s="31"/>
      <c r="R27" s="39">
        <f>IF(COUNT(O27:Q27)=0,0,SUMPRODUCT({5000,1000,500},O27:Q27))</f>
        <v>0</v>
      </c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4">
        <f>IF(COUNT(S27:AC27)=0,0,SUMPRODUCT({5000,1000,500,100,75,50,20,10,5,2,1}, S27:AC27))</f>
        <v>0</v>
      </c>
      <c r="AE27" s="33"/>
      <c r="AF27" s="24" t="str">
        <f>IF(AND(COUNT(C27:E27)=0,COUNT(G27:I27)=0,COUNT(K27:M27)=0,COUNT(O27:Q27)=0,COUNT(S27:AC27)=0,AE27=""),"",(IF(COUNT(C27:E27)=0,0,SUMPRODUCT({5000,1000,500},C27:E27))+IF(COUNT(G27:I27)=0,0,SUMPRODUCT({5000,1000,500},G27:I27))+IF(COUNT(K27:M27)=0,0,SUMPRODUCT({5000,1000,500},K27:M27))+IF(COUNT(O27:Q27)=0,0,SUMPRODUCT({5000,1000,500},O27:Q27))+AD27)-N(AE27))</f>
        <v/>
      </c>
      <c r="AG27" s="35" t="str">
        <f t="shared" si="0"/>
        <v/>
      </c>
      <c r="AH27" s="38"/>
      <c r="AI27" s="36"/>
      <c r="AJ27" s="37"/>
      <c r="AK27" s="26" t="str">
        <f t="shared" si="1"/>
        <v/>
      </c>
      <c r="AL27" s="25" t="str">
        <f t="shared" si="2"/>
        <v/>
      </c>
      <c r="AM27" s="38"/>
    </row>
    <row r="28" spans="1:39" ht="12.75" customHeight="1" x14ac:dyDescent="0.25">
      <c r="A28" s="31"/>
      <c r="B28" s="32" t="str">
        <f>IF(A28="","",VLOOKUP(A28,'Employee Database'!A:B,2,FALSE))</f>
        <v/>
      </c>
      <c r="C28" s="31"/>
      <c r="D28" s="31"/>
      <c r="E28" s="31"/>
      <c r="F28" s="39">
        <f>IF(COUNT(C28:E28)=0,0,SUMPRODUCT({5000,1000,500},C28:E28))</f>
        <v>0</v>
      </c>
      <c r="G28" s="31"/>
      <c r="H28" s="31"/>
      <c r="I28" s="31"/>
      <c r="J28" s="39">
        <f>IF(COUNT(G28:I28)=0,0,SUMPRODUCT({5000,1000,500},G28:I28))</f>
        <v>0</v>
      </c>
      <c r="K28" s="31"/>
      <c r="L28" s="31"/>
      <c r="M28" s="31"/>
      <c r="N28" s="39">
        <f>IF(COUNT(K28:M28)=0,0,SUMPRODUCT({5000,1000,500},K28:M28))</f>
        <v>0</v>
      </c>
      <c r="O28" s="31"/>
      <c r="P28" s="31"/>
      <c r="Q28" s="31"/>
      <c r="R28" s="39">
        <f>IF(COUNT(O28:Q28)=0,0,SUMPRODUCT({5000,1000,500},O28:Q28))</f>
        <v>0</v>
      </c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4">
        <f>IF(COUNT(S28:AC28)=0,0,SUMPRODUCT({5000,1000,500,100,75,50,20,10,5,2,1}, S28:AC28))</f>
        <v>0</v>
      </c>
      <c r="AE28" s="33"/>
      <c r="AF28" s="24" t="str">
        <f>IF(AND(COUNT(C28:E28)=0,COUNT(G28:I28)=0,COUNT(K28:M28)=0,COUNT(O28:Q28)=0,COUNT(S28:AC28)=0,AE28=""),"",(IF(COUNT(C28:E28)=0,0,SUMPRODUCT({5000,1000,500},C28:E28))+IF(COUNT(G28:I28)=0,0,SUMPRODUCT({5000,1000,500},G28:I28))+IF(COUNT(K28:M28)=0,0,SUMPRODUCT({5000,1000,500},K28:M28))+IF(COUNT(O28:Q28)=0,0,SUMPRODUCT({5000,1000,500},O28:Q28))+AD28)-N(AE28))</f>
        <v/>
      </c>
      <c r="AG28" s="35" t="str">
        <f t="shared" si="0"/>
        <v/>
      </c>
      <c r="AH28" s="38"/>
      <c r="AI28" s="36"/>
      <c r="AJ28" s="37"/>
      <c r="AK28" s="26" t="str">
        <f t="shared" si="1"/>
        <v/>
      </c>
      <c r="AL28" s="25" t="str">
        <f t="shared" si="2"/>
        <v/>
      </c>
      <c r="AM28" s="38"/>
    </row>
    <row r="29" spans="1:39" ht="12.75" customHeight="1" x14ac:dyDescent="0.25">
      <c r="A29" s="31"/>
      <c r="B29" s="32" t="str">
        <f>IF(A29="","",VLOOKUP(A29,'Employee Database'!A:B,2,FALSE))</f>
        <v/>
      </c>
      <c r="C29" s="31"/>
      <c r="D29" s="31"/>
      <c r="E29" s="31"/>
      <c r="F29" s="39">
        <f>IF(COUNT(C29:E29)=0,0,SUMPRODUCT({5000,1000,500},C29:E29))</f>
        <v>0</v>
      </c>
      <c r="G29" s="31"/>
      <c r="H29" s="31"/>
      <c r="I29" s="31"/>
      <c r="J29" s="39">
        <f>IF(COUNT(G29:I29)=0,0,SUMPRODUCT({5000,1000,500},G29:I29))</f>
        <v>0</v>
      </c>
      <c r="K29" s="31"/>
      <c r="L29" s="31"/>
      <c r="M29" s="31"/>
      <c r="N29" s="39">
        <f>IF(COUNT(K29:M29)=0,0,SUMPRODUCT({5000,1000,500},K29:M29))</f>
        <v>0</v>
      </c>
      <c r="O29" s="31"/>
      <c r="P29" s="31"/>
      <c r="Q29" s="31"/>
      <c r="R29" s="39">
        <f>IF(COUNT(O29:Q29)=0,0,SUMPRODUCT({5000,1000,500},O29:Q29))</f>
        <v>0</v>
      </c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4">
        <f>IF(COUNT(S29:AC29)=0,0,SUMPRODUCT({5000,1000,500,100,75,50,20,10,5,2,1}, S29:AC29))</f>
        <v>0</v>
      </c>
      <c r="AE29" s="33"/>
      <c r="AF29" s="24" t="str">
        <f>IF(AND(COUNT(C29:E29)=0,COUNT(G29:I29)=0,COUNT(K29:M29)=0,COUNT(O29:Q29)=0,COUNT(S29:AC29)=0,AE29=""),"",(IF(COUNT(C29:E29)=0,0,SUMPRODUCT({5000,1000,500},C29:E29))+IF(COUNT(G29:I29)=0,0,SUMPRODUCT({5000,1000,500},G29:I29))+IF(COUNT(K29:M29)=0,0,SUMPRODUCT({5000,1000,500},K29:M29))+IF(COUNT(O29:Q29)=0,0,SUMPRODUCT({5000,1000,500},O29:Q29))+AD29)-N(AE29))</f>
        <v/>
      </c>
      <c r="AG29" s="35" t="str">
        <f t="shared" si="0"/>
        <v/>
      </c>
      <c r="AH29" s="38"/>
      <c r="AI29" s="36"/>
      <c r="AJ29" s="37"/>
      <c r="AK29" s="26" t="str">
        <f t="shared" si="1"/>
        <v/>
      </c>
      <c r="AL29" s="25" t="str">
        <f t="shared" si="2"/>
        <v/>
      </c>
      <c r="AM29" s="38"/>
    </row>
    <row r="30" spans="1:39" ht="12.75" customHeight="1" x14ac:dyDescent="0.25">
      <c r="A30" s="31"/>
      <c r="B30" s="32" t="str">
        <f>IF(A30="","",VLOOKUP(A30,'Employee Database'!A:B,2,FALSE))</f>
        <v/>
      </c>
      <c r="C30" s="31"/>
      <c r="D30" s="31"/>
      <c r="E30" s="31"/>
      <c r="F30" s="39">
        <f>IF(COUNT(C30:E30)=0,0,SUMPRODUCT({5000,1000,500},C30:E30))</f>
        <v>0</v>
      </c>
      <c r="G30" s="31"/>
      <c r="H30" s="31"/>
      <c r="I30" s="31"/>
      <c r="J30" s="39">
        <f>IF(COUNT(G30:I30)=0,0,SUMPRODUCT({5000,1000,500},G30:I30))</f>
        <v>0</v>
      </c>
      <c r="K30" s="31"/>
      <c r="L30" s="31"/>
      <c r="M30" s="31"/>
      <c r="N30" s="39">
        <f>IF(COUNT(K30:M30)=0,0,SUMPRODUCT({5000,1000,500},K30:M30))</f>
        <v>0</v>
      </c>
      <c r="O30" s="31"/>
      <c r="P30" s="31"/>
      <c r="Q30" s="31"/>
      <c r="R30" s="39">
        <f>IF(COUNT(O30:Q30)=0,0,SUMPRODUCT({5000,1000,500},O30:Q30))</f>
        <v>0</v>
      </c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4">
        <f>IF(COUNT(S30:AC30)=0,0,SUMPRODUCT({5000,1000,500,100,75,50,20,10,5,2,1}, S30:AC30))</f>
        <v>0</v>
      </c>
      <c r="AE30" s="33"/>
      <c r="AF30" s="24" t="str">
        <f>IF(AND(COUNT(C30:E30)=0,COUNT(G30:I30)=0,COUNT(K30:M30)=0,COUNT(O30:Q30)=0,COUNT(S30:AC30)=0,AE30=""),"",(IF(COUNT(C30:E30)=0,0,SUMPRODUCT({5000,1000,500},C30:E30))+IF(COUNT(G30:I30)=0,0,SUMPRODUCT({5000,1000,500},G30:I30))+IF(COUNT(K30:M30)=0,0,SUMPRODUCT({5000,1000,500},K30:M30))+IF(COUNT(O30:Q30)=0,0,SUMPRODUCT({5000,1000,500},O30:Q30))+AD30)-N(AE30))</f>
        <v/>
      </c>
      <c r="AG30" s="35" t="str">
        <f t="shared" si="0"/>
        <v/>
      </c>
      <c r="AH30" s="38"/>
      <c r="AI30" s="36"/>
      <c r="AJ30" s="37"/>
      <c r="AK30" s="26" t="str">
        <f t="shared" si="1"/>
        <v/>
      </c>
      <c r="AL30" s="25" t="str">
        <f t="shared" si="2"/>
        <v/>
      </c>
      <c r="AM30" s="38"/>
    </row>
    <row r="31" spans="1:39" ht="12.75" customHeight="1" x14ac:dyDescent="0.25">
      <c r="A31" s="31"/>
      <c r="B31" s="32" t="str">
        <f>IF(A31="","",VLOOKUP(A31,'Employee Database'!A:B,2,FALSE))</f>
        <v/>
      </c>
      <c r="C31" s="31"/>
      <c r="D31" s="31"/>
      <c r="E31" s="31"/>
      <c r="F31" s="39">
        <f>IF(COUNT(C31:E31)=0,0,SUMPRODUCT({5000,1000,500},C31:E31))</f>
        <v>0</v>
      </c>
      <c r="G31" s="31"/>
      <c r="H31" s="31"/>
      <c r="I31" s="31"/>
      <c r="J31" s="39">
        <f>IF(COUNT(G31:I31)=0,0,SUMPRODUCT({5000,1000,500},G31:I31))</f>
        <v>0</v>
      </c>
      <c r="K31" s="31"/>
      <c r="L31" s="31"/>
      <c r="M31" s="31"/>
      <c r="N31" s="39">
        <f>IF(COUNT(K31:M31)=0,0,SUMPRODUCT({5000,1000,500},K31:M31))</f>
        <v>0</v>
      </c>
      <c r="O31" s="31"/>
      <c r="P31" s="31"/>
      <c r="Q31" s="31"/>
      <c r="R31" s="39">
        <f>IF(COUNT(O31:Q31)=0,0,SUMPRODUCT({5000,1000,500},O31:Q31))</f>
        <v>0</v>
      </c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4">
        <f>IF(COUNT(S31:AC31)=0,0,SUMPRODUCT({5000,1000,500,100,75,50,20,10,5,2,1}, S31:AC31))</f>
        <v>0</v>
      </c>
      <c r="AE31" s="33"/>
      <c r="AF31" s="24" t="str">
        <f>IF(AND(COUNT(C31:E31)=0,COUNT(G31:I31)=0,COUNT(K31:M31)=0,COUNT(O31:Q31)=0,COUNT(S31:AC31)=0,AE31=""),"",(IF(COUNT(C31:E31)=0,0,SUMPRODUCT({5000,1000,500},C31:E31))+IF(COUNT(G31:I31)=0,0,SUMPRODUCT({5000,1000,500},G31:I31))+IF(COUNT(K31:M31)=0,0,SUMPRODUCT({5000,1000,500},K31:M31))+IF(COUNT(O31:Q31)=0,0,SUMPRODUCT({5000,1000,500},O31:Q31))+AD31)-N(AE31))</f>
        <v/>
      </c>
      <c r="AG31" s="35" t="str">
        <f t="shared" si="0"/>
        <v/>
      </c>
      <c r="AH31" s="38"/>
      <c r="AI31" s="36"/>
      <c r="AJ31" s="37"/>
      <c r="AK31" s="26" t="str">
        <f t="shared" si="1"/>
        <v/>
      </c>
      <c r="AL31" s="25" t="str">
        <f t="shared" si="2"/>
        <v/>
      </c>
      <c r="AM31" s="38"/>
    </row>
    <row r="32" spans="1:39" ht="12.75" customHeight="1" x14ac:dyDescent="0.25">
      <c r="A32" s="31"/>
      <c r="B32" s="32" t="str">
        <f>IF(A32="","",VLOOKUP(A32,'Employee Database'!A:B,2,FALSE))</f>
        <v/>
      </c>
      <c r="C32" s="31"/>
      <c r="D32" s="31"/>
      <c r="E32" s="31"/>
      <c r="F32" s="39">
        <f>IF(COUNT(C32:E32)=0,0,SUMPRODUCT({5000,1000,500},C32:E32))</f>
        <v>0</v>
      </c>
      <c r="G32" s="31"/>
      <c r="H32" s="31"/>
      <c r="I32" s="31"/>
      <c r="J32" s="39">
        <f>IF(COUNT(G32:I32)=0,0,SUMPRODUCT({5000,1000,500},G32:I32))</f>
        <v>0</v>
      </c>
      <c r="K32" s="31"/>
      <c r="L32" s="31"/>
      <c r="M32" s="31"/>
      <c r="N32" s="39">
        <f>IF(COUNT(K32:M32)=0,0,SUMPRODUCT({5000,1000,500},K32:M32))</f>
        <v>0</v>
      </c>
      <c r="O32" s="31"/>
      <c r="P32" s="31"/>
      <c r="Q32" s="31"/>
      <c r="R32" s="39">
        <f>IF(COUNT(O32:Q32)=0,0,SUMPRODUCT({5000,1000,500},O32:Q32))</f>
        <v>0</v>
      </c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4">
        <f>IF(COUNT(S32:AC32)=0,0,SUMPRODUCT({5000,1000,500,100,75,50,20,10,5,2,1}, S32:AC32))</f>
        <v>0</v>
      </c>
      <c r="AE32" s="33"/>
      <c r="AF32" s="24" t="str">
        <f>IF(AND(COUNT(C32:E32)=0,COUNT(G32:I32)=0,COUNT(K32:M32)=0,COUNT(O32:Q32)=0,COUNT(S32:AC32)=0,AE32=""),"",(IF(COUNT(C32:E32)=0,0,SUMPRODUCT({5000,1000,500},C32:E32))+IF(COUNT(G32:I32)=0,0,SUMPRODUCT({5000,1000,500},G32:I32))+IF(COUNT(K32:M32)=0,0,SUMPRODUCT({5000,1000,500},K32:M32))+IF(COUNT(O32:Q32)=0,0,SUMPRODUCT({5000,1000,500},O32:Q32))+AD32)-N(AE32))</f>
        <v/>
      </c>
      <c r="AG32" s="35" t="str">
        <f t="shared" si="0"/>
        <v/>
      </c>
      <c r="AH32" s="38"/>
      <c r="AI32" s="36"/>
      <c r="AJ32" s="37"/>
      <c r="AK32" s="26" t="str">
        <f t="shared" si="1"/>
        <v/>
      </c>
      <c r="AL32" s="25" t="str">
        <f t="shared" si="2"/>
        <v/>
      </c>
      <c r="AM32" s="38"/>
    </row>
    <row r="33" spans="1:39" ht="12.75" customHeight="1" x14ac:dyDescent="0.25">
      <c r="A33" s="31"/>
      <c r="B33" s="32" t="str">
        <f>IF(A33="","",VLOOKUP(A33,'Employee Database'!A:B,2,FALSE))</f>
        <v/>
      </c>
      <c r="C33" s="31"/>
      <c r="D33" s="31"/>
      <c r="E33" s="31"/>
      <c r="F33" s="39">
        <f>IF(COUNT(C33:E33)=0,0,SUMPRODUCT({5000,1000,500},C33:E33))</f>
        <v>0</v>
      </c>
      <c r="G33" s="31"/>
      <c r="H33" s="31"/>
      <c r="I33" s="31"/>
      <c r="J33" s="39">
        <f>IF(COUNT(G33:I33)=0,0,SUMPRODUCT({5000,1000,500},G33:I33))</f>
        <v>0</v>
      </c>
      <c r="K33" s="31"/>
      <c r="L33" s="31"/>
      <c r="M33" s="31"/>
      <c r="N33" s="39">
        <f>IF(COUNT(K33:M33)=0,0,SUMPRODUCT({5000,1000,500},K33:M33))</f>
        <v>0</v>
      </c>
      <c r="O33" s="31"/>
      <c r="P33" s="31"/>
      <c r="Q33" s="31"/>
      <c r="R33" s="39">
        <f>IF(COUNT(O33:Q33)=0,0,SUMPRODUCT({5000,1000,500},O33:Q33))</f>
        <v>0</v>
      </c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4">
        <f>IF(COUNT(S33:AC33)=0,0,SUMPRODUCT({5000,1000,500,100,75,50,20,10,5,2,1}, S33:AC33))</f>
        <v>0</v>
      </c>
      <c r="AE33" s="33"/>
      <c r="AF33" s="24" t="str">
        <f>IF(AND(COUNT(C33:E33)=0,COUNT(G33:I33)=0,COUNT(K33:M33)=0,COUNT(O33:Q33)=0,COUNT(S33:AC33)=0,AE33=""),"",(IF(COUNT(C33:E33)=0,0,SUMPRODUCT({5000,1000,500},C33:E33))+IF(COUNT(G33:I33)=0,0,SUMPRODUCT({5000,1000,500},G33:I33))+IF(COUNT(K33:M33)=0,0,SUMPRODUCT({5000,1000,500},K33:M33))+IF(COUNT(O33:Q33)=0,0,SUMPRODUCT({5000,1000,500},O33:Q33))+AD33)-N(AE33))</f>
        <v/>
      </c>
      <c r="AG33" s="35" t="str">
        <f t="shared" si="0"/>
        <v/>
      </c>
      <c r="AH33" s="38"/>
      <c r="AI33" s="36"/>
      <c r="AJ33" s="37"/>
      <c r="AK33" s="26" t="str">
        <f t="shared" si="1"/>
        <v/>
      </c>
      <c r="AL33" s="25" t="str">
        <f t="shared" si="2"/>
        <v/>
      </c>
      <c r="AM33" s="38"/>
    </row>
    <row r="34" spans="1:39" ht="12.75" customHeight="1" x14ac:dyDescent="0.25">
      <c r="A34" s="31"/>
      <c r="B34" s="32" t="str">
        <f>IF(A34="","",VLOOKUP(A34,'Employee Database'!A:B,2,FALSE))</f>
        <v/>
      </c>
      <c r="C34" s="31"/>
      <c r="D34" s="31"/>
      <c r="E34" s="31"/>
      <c r="F34" s="39">
        <f>IF(COUNT(C34:E34)=0,0,SUMPRODUCT({5000,1000,500},C34:E34))</f>
        <v>0</v>
      </c>
      <c r="G34" s="31"/>
      <c r="H34" s="31"/>
      <c r="I34" s="31"/>
      <c r="J34" s="39">
        <f>IF(COUNT(G34:I34)=0,0,SUMPRODUCT({5000,1000,500},G34:I34))</f>
        <v>0</v>
      </c>
      <c r="K34" s="31"/>
      <c r="L34" s="31"/>
      <c r="M34" s="31"/>
      <c r="N34" s="39">
        <f>IF(COUNT(K34:M34)=0,0,SUMPRODUCT({5000,1000,500},K34:M34))</f>
        <v>0</v>
      </c>
      <c r="O34" s="31"/>
      <c r="P34" s="31"/>
      <c r="Q34" s="31"/>
      <c r="R34" s="39">
        <f>IF(COUNT(O34:Q34)=0,0,SUMPRODUCT({5000,1000,500},O34:Q34))</f>
        <v>0</v>
      </c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4">
        <f>IF(COUNT(S34:AC34)=0,0,SUMPRODUCT({5000,1000,500,100,75,50,20,10,5,2,1}, S34:AC34))</f>
        <v>0</v>
      </c>
      <c r="AE34" s="33"/>
      <c r="AF34" s="24" t="str">
        <f>IF(AND(COUNT(C34:E34)=0,COUNT(G34:I34)=0,COUNT(K34:M34)=0,COUNT(O34:Q34)=0,COUNT(S34:AC34)=0,AE34=""),"",(IF(COUNT(C34:E34)=0,0,SUMPRODUCT({5000,1000,500},C34:E34))+IF(COUNT(G34:I34)=0,0,SUMPRODUCT({5000,1000,500},G34:I34))+IF(COUNT(K34:M34)=0,0,SUMPRODUCT({5000,1000,500},K34:M34))+IF(COUNT(O34:Q34)=0,0,SUMPRODUCT({5000,1000,500},O34:Q34))+AD34)-N(AE34))</f>
        <v/>
      </c>
      <c r="AG34" s="35" t="str">
        <f t="shared" si="0"/>
        <v/>
      </c>
      <c r="AH34" s="38"/>
      <c r="AI34" s="36"/>
      <c r="AJ34" s="37"/>
      <c r="AK34" s="26" t="str">
        <f t="shared" si="1"/>
        <v/>
      </c>
      <c r="AL34" s="25" t="str">
        <f t="shared" si="2"/>
        <v/>
      </c>
      <c r="AM34" s="38"/>
    </row>
    <row r="35" spans="1:39" ht="22.5" customHeight="1" x14ac:dyDescent="0.25">
      <c r="A35" s="27" t="s">
        <v>24</v>
      </c>
      <c r="B35" s="27" t="s">
        <v>24</v>
      </c>
      <c r="C35" s="28">
        <f t="shared" ref="C35:AF35" si="3">SUM(C5:C34)</f>
        <v>222</v>
      </c>
      <c r="D35" s="28">
        <f t="shared" si="3"/>
        <v>676</v>
      </c>
      <c r="E35" s="28">
        <f t="shared" si="3"/>
        <v>153</v>
      </c>
      <c r="F35" s="40">
        <f t="shared" si="3"/>
        <v>1862500</v>
      </c>
      <c r="G35" s="28">
        <f t="shared" si="3"/>
        <v>230</v>
      </c>
      <c r="H35" s="28">
        <f t="shared" si="3"/>
        <v>750</v>
      </c>
      <c r="I35" s="28">
        <f t="shared" si="3"/>
        <v>177</v>
      </c>
      <c r="J35" s="40">
        <f t="shared" si="3"/>
        <v>1988500</v>
      </c>
      <c r="K35" s="28">
        <f t="shared" si="3"/>
        <v>0</v>
      </c>
      <c r="L35" s="28">
        <f t="shared" si="3"/>
        <v>0</v>
      </c>
      <c r="M35" s="28">
        <f t="shared" si="3"/>
        <v>0</v>
      </c>
      <c r="N35" s="40">
        <f t="shared" si="3"/>
        <v>0</v>
      </c>
      <c r="O35" s="28">
        <f t="shared" si="3"/>
        <v>0</v>
      </c>
      <c r="P35" s="28">
        <f t="shared" si="3"/>
        <v>0</v>
      </c>
      <c r="Q35" s="28">
        <f t="shared" si="3"/>
        <v>0</v>
      </c>
      <c r="R35" s="40">
        <f t="shared" si="3"/>
        <v>0</v>
      </c>
      <c r="S35" s="28">
        <f t="shared" si="3"/>
        <v>0</v>
      </c>
      <c r="T35" s="28">
        <f t="shared" si="3"/>
        <v>0</v>
      </c>
      <c r="U35" s="28">
        <f t="shared" si="3"/>
        <v>0</v>
      </c>
      <c r="V35" s="28">
        <f t="shared" si="3"/>
        <v>105</v>
      </c>
      <c r="W35" s="28">
        <f t="shared" si="3"/>
        <v>0</v>
      </c>
      <c r="X35" s="28">
        <f t="shared" si="3"/>
        <v>991</v>
      </c>
      <c r="Y35" s="28">
        <f t="shared" si="3"/>
        <v>4</v>
      </c>
      <c r="Z35" s="28">
        <f t="shared" si="3"/>
        <v>1122</v>
      </c>
      <c r="AA35" s="28">
        <f t="shared" si="3"/>
        <v>0</v>
      </c>
      <c r="AB35" s="28">
        <f t="shared" si="3"/>
        <v>0</v>
      </c>
      <c r="AC35" s="28">
        <f t="shared" si="3"/>
        <v>7</v>
      </c>
      <c r="AD35" s="40">
        <f t="shared" si="3"/>
        <v>71357</v>
      </c>
      <c r="AE35" s="41">
        <f t="shared" si="3"/>
        <v>3922312</v>
      </c>
      <c r="AF35" s="29">
        <f t="shared" si="3"/>
        <v>45</v>
      </c>
      <c r="AG35" s="27" t="s">
        <v>24</v>
      </c>
      <c r="AH35" s="27" t="s">
        <v>24</v>
      </c>
      <c r="AI35" s="28">
        <f>SUM(AI5:AI34)</f>
        <v>8727930.6799999997</v>
      </c>
      <c r="AJ35" s="28">
        <f>SUM(AJ5:AJ34)</f>
        <v>8728414.6799999997</v>
      </c>
      <c r="AK35" s="28">
        <f>SUM(AK5:AK34)</f>
        <v>-484.0000000000291</v>
      </c>
      <c r="AL35" s="28">
        <f>AJ35+AE35</f>
        <v>12650726.68</v>
      </c>
      <c r="AM35" s="28">
        <f>SUM(AM5:AM34)</f>
        <v>0</v>
      </c>
    </row>
  </sheetData>
  <sheetProtection algorithmName="SHA-512" hashValue="BF4RMPsLIuBFLCYHD3gHuoi9t2GYNVchFVQ23pDv0rkP+LTx441o0x0w6GBpk0s6AZOfhmpic8D47W3anem7rQ==" saltValue="Uwo6cLWczvNw/f6ktyYEkA==" spinCount="100000" sheet="1" objects="1" scenarios="1"/>
  <mergeCells count="9">
    <mergeCell ref="S3:AC3"/>
    <mergeCell ref="AD3:AG3"/>
    <mergeCell ref="AH3:AM3"/>
    <mergeCell ref="A1:B1"/>
    <mergeCell ref="A3:B3"/>
    <mergeCell ref="C3:F3"/>
    <mergeCell ref="G3:J3"/>
    <mergeCell ref="K3:N3"/>
    <mergeCell ref="O3:R3"/>
  </mergeCells>
  <conditionalFormatting sqref="A5">
    <cfRule type="duplicateValues" dxfId="79" priority="3"/>
    <cfRule type="duplicateValues" dxfId="78" priority="4"/>
  </conditionalFormatting>
  <conditionalFormatting sqref="A6">
    <cfRule type="duplicateValues" dxfId="77" priority="5"/>
    <cfRule type="duplicateValues" dxfId="76" priority="6"/>
  </conditionalFormatting>
  <conditionalFormatting sqref="A7:A34">
    <cfRule type="duplicateValues" dxfId="75" priority="1"/>
    <cfRule type="duplicateValues" dxfId="74" priority="2"/>
  </conditionalFormatting>
  <conditionalFormatting sqref="A35">
    <cfRule type="duplicateValues" dxfId="73" priority="7"/>
  </conditionalFormatting>
  <dataValidations count="1">
    <dataValidation type="list" allowBlank="1" showInputMessage="1" showErrorMessage="1" sqref="A1:B1" xr:uid="{00000000-0002-0000-1600-000000000000}">
      <formula1>Locations</formula1>
    </dataValidation>
  </dataValidations>
  <pageMargins left="0.75" right="0.75" top="1" bottom="1" header="0.5" footer="0.5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>
    <tabColor rgb="FFFF0000"/>
  </sheetPr>
  <dimension ref="A1:AM35"/>
  <sheetViews>
    <sheetView showGridLines="0" topLeftCell="A7" zoomScale="85" zoomScaleNormal="85" workbookViewId="0">
      <pane xSplit="2" topLeftCell="P1" activePane="topRight" state="frozen"/>
      <selection activeCell="A4" sqref="A4"/>
      <selection pane="topRight" activeCell="AF5" sqref="AF5"/>
    </sheetView>
  </sheetViews>
  <sheetFormatPr defaultRowHeight="15" x14ac:dyDescent="0.25"/>
  <cols>
    <col min="1" max="1" width="11.85546875" customWidth="1"/>
    <col min="2" max="2" width="20.5703125" customWidth="1"/>
    <col min="6" max="6" width="14.42578125" bestFit="1" customWidth="1"/>
    <col min="10" max="10" width="14.42578125" bestFit="1" customWidth="1"/>
    <col min="14" max="14" width="14.42578125" bestFit="1" customWidth="1"/>
    <col min="18" max="18" width="14.42578125" bestFit="1" customWidth="1"/>
    <col min="30" max="31" width="18" customWidth="1"/>
    <col min="32" max="32" width="20" customWidth="1"/>
    <col min="33" max="33" width="14" customWidth="1"/>
    <col min="35" max="35" width="18" customWidth="1"/>
    <col min="36" max="36" width="22" customWidth="1"/>
    <col min="37" max="37" width="16" customWidth="1"/>
    <col min="38" max="38" width="14" customWidth="1"/>
  </cols>
  <sheetData>
    <row r="1" spans="1:39" ht="43.5" customHeight="1" x14ac:dyDescent="0.25">
      <c r="A1" s="48" t="s">
        <v>306</v>
      </c>
      <c r="B1" s="48"/>
    </row>
    <row r="2" spans="1:39" ht="13.5" customHeight="1" x14ac:dyDescent="0.25">
      <c r="A2" s="30">
        <f>'21'!A2+1</f>
        <v>46225</v>
      </c>
    </row>
    <row r="3" spans="1:39" ht="24" customHeight="1" x14ac:dyDescent="0.25">
      <c r="A3" s="49" t="s">
        <v>0</v>
      </c>
      <c r="B3" s="49"/>
      <c r="C3" s="49" t="s">
        <v>93</v>
      </c>
      <c r="D3" s="50"/>
      <c r="E3" s="50"/>
      <c r="F3" s="50"/>
      <c r="G3" s="49" t="s">
        <v>94</v>
      </c>
      <c r="H3" s="50"/>
      <c r="I3" s="50"/>
      <c r="J3" s="50"/>
      <c r="K3" s="49" t="s">
        <v>95</v>
      </c>
      <c r="L3" s="50"/>
      <c r="M3" s="50"/>
      <c r="N3" s="50"/>
      <c r="O3" s="49" t="s">
        <v>96</v>
      </c>
      <c r="P3" s="50"/>
      <c r="Q3" s="50"/>
      <c r="R3" s="50"/>
      <c r="S3" s="45" t="s">
        <v>1</v>
      </c>
      <c r="T3" s="46"/>
      <c r="U3" s="46"/>
      <c r="V3" s="46"/>
      <c r="W3" s="46"/>
      <c r="X3" s="46"/>
      <c r="Y3" s="46"/>
      <c r="Z3" s="46"/>
      <c r="AA3" s="46"/>
      <c r="AB3" s="46"/>
      <c r="AC3" s="46"/>
      <c r="AD3" s="47" t="s">
        <v>97</v>
      </c>
      <c r="AE3" s="46"/>
      <c r="AF3" s="46"/>
      <c r="AG3" s="46"/>
      <c r="AH3" s="47" t="s">
        <v>98</v>
      </c>
      <c r="AI3" s="46"/>
      <c r="AJ3" s="46"/>
      <c r="AK3" s="46"/>
      <c r="AL3" s="46"/>
      <c r="AM3" s="46"/>
    </row>
    <row r="4" spans="1:39" ht="27.95" customHeight="1" x14ac:dyDescent="0.25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92</v>
      </c>
      <c r="G4" s="1" t="s">
        <v>5</v>
      </c>
      <c r="H4" s="1" t="s">
        <v>6</v>
      </c>
      <c r="I4" s="1" t="s">
        <v>7</v>
      </c>
      <c r="J4" s="1" t="s">
        <v>92</v>
      </c>
      <c r="K4" s="1" t="s">
        <v>5</v>
      </c>
      <c r="L4" s="1" t="s">
        <v>6</v>
      </c>
      <c r="M4" s="1" t="s">
        <v>7</v>
      </c>
      <c r="N4" s="1" t="s">
        <v>92</v>
      </c>
      <c r="O4" s="1" t="s">
        <v>5</v>
      </c>
      <c r="P4" s="1" t="s">
        <v>6</v>
      </c>
      <c r="Q4" s="1" t="s">
        <v>7</v>
      </c>
      <c r="R4" s="1" t="s">
        <v>92</v>
      </c>
      <c r="S4" s="1" t="s">
        <v>5</v>
      </c>
      <c r="T4" s="1" t="s">
        <v>6</v>
      </c>
      <c r="U4" s="1" t="s">
        <v>7</v>
      </c>
      <c r="V4" s="1" t="s">
        <v>8</v>
      </c>
      <c r="W4" s="1" t="s">
        <v>9</v>
      </c>
      <c r="X4" s="1" t="s">
        <v>10</v>
      </c>
      <c r="Y4" s="1" t="s">
        <v>11</v>
      </c>
      <c r="Z4" s="1" t="s">
        <v>12</v>
      </c>
      <c r="AA4" s="1" t="s">
        <v>13</v>
      </c>
      <c r="AB4" s="1" t="s">
        <v>14</v>
      </c>
      <c r="AC4" s="1" t="s">
        <v>15</v>
      </c>
      <c r="AD4" s="1" t="s">
        <v>16</v>
      </c>
      <c r="AE4" s="1" t="s">
        <v>17</v>
      </c>
      <c r="AF4" s="1" t="s">
        <v>18</v>
      </c>
      <c r="AG4" s="1" t="s">
        <v>19</v>
      </c>
      <c r="AH4" s="1" t="s">
        <v>20</v>
      </c>
      <c r="AI4" s="4" t="s">
        <v>99</v>
      </c>
      <c r="AJ4" s="1" t="s">
        <v>21</v>
      </c>
      <c r="AK4" s="1" t="s">
        <v>22</v>
      </c>
      <c r="AL4" s="1" t="s">
        <v>23</v>
      </c>
      <c r="AM4" s="4" t="s">
        <v>100</v>
      </c>
    </row>
    <row r="5" spans="1:39" ht="12.75" customHeight="1" x14ac:dyDescent="0.25">
      <c r="A5" s="31">
        <v>57653</v>
      </c>
      <c r="B5" s="32" t="str">
        <f>IF(A5="","",VLOOKUP(A5,'Employee Database'!A:B,2,FALSE))</f>
        <v>Amanat ali</v>
      </c>
      <c r="C5" s="31">
        <v>44</v>
      </c>
      <c r="D5" s="31">
        <v>101</v>
      </c>
      <c r="E5" s="31">
        <v>11</v>
      </c>
      <c r="F5" s="39">
        <f>IF(COUNT(C5:E5)=0,0,SUMPRODUCT({5000,1000,500},C5:E5))</f>
        <v>326500</v>
      </c>
      <c r="G5" s="31"/>
      <c r="H5" s="31"/>
      <c r="I5" s="31"/>
      <c r="J5" s="39">
        <f>IF(COUNT(G5:I5)=0,0,SUMPRODUCT({5000,1000,500},G5:I5))</f>
        <v>0</v>
      </c>
      <c r="K5" s="31"/>
      <c r="L5" s="31"/>
      <c r="M5" s="31"/>
      <c r="N5" s="39">
        <f>IF(COUNT(K5:M5)=0,0,SUMPRODUCT({5000,1000,500},K5:M5))</f>
        <v>0</v>
      </c>
      <c r="O5" s="31"/>
      <c r="P5" s="31"/>
      <c r="Q5" s="31"/>
      <c r="R5" s="39">
        <f>IF(COUNT(O5:Q5)=0,0,SUMPRODUCT({5000,1000,500},O5:Q5))</f>
        <v>0</v>
      </c>
      <c r="S5" s="31"/>
      <c r="T5" s="31"/>
      <c r="U5" s="31"/>
      <c r="V5" s="31"/>
      <c r="W5" s="31"/>
      <c r="X5" s="31">
        <v>16</v>
      </c>
      <c r="Y5" s="31"/>
      <c r="Z5" s="31">
        <v>20</v>
      </c>
      <c r="AA5" s="31"/>
      <c r="AB5" s="31"/>
      <c r="AC5" s="31"/>
      <c r="AD5" s="34">
        <f>IF(COUNT(S5:AC5)=0,0,SUMPRODUCT({5000,1000,500,100,75,50,20,10,5,2,1}, S5:AC5))</f>
        <v>1000</v>
      </c>
      <c r="AE5" s="33">
        <v>327507</v>
      </c>
      <c r="AF5" s="24">
        <f>IF(AND(COUNT(C5:E5)=0,COUNT(G5:I5)=0,COUNT(K5:M5)=0,COUNT(O5:Q5)=0,COUNT(S5:AC5)=0,AE5=""),"",(IF(COUNT(C5:E5)=0,0,SUMPRODUCT({5000,1000,500},C5:E5))+IF(COUNT(G5:I5)=0,0,SUMPRODUCT({5000,1000,500},G5:I5))+IF(COUNT(K5:M5)=0,0,SUMPRODUCT({5000,1000,500},K5:M5))+IF(COUNT(O5:Q5)=0,0,SUMPRODUCT({5000,1000,500},O5:Q5))+AD5)-N(AE5))</f>
        <v>-7</v>
      </c>
      <c r="AG5" s="35" t="str">
        <f t="shared" ref="AG5:AG34" si="0">IF(AF5="","",IF(AF5&gt;0,"Excess",IF(AF5&lt;0,"Short","Balanced")))</f>
        <v>Short</v>
      </c>
      <c r="AH5" s="38"/>
      <c r="AI5" s="36">
        <v>518565.22</v>
      </c>
      <c r="AJ5" s="37">
        <f>247162.84+271402.38</f>
        <v>518565.22</v>
      </c>
      <c r="AK5" s="26">
        <f t="shared" ref="AK5:AK34" si="1">IF(AND(AI5="",AJ5=""),"",N(AI5)-N(AJ5))</f>
        <v>0</v>
      </c>
      <c r="AL5" s="25" t="str">
        <f t="shared" ref="AL5:AL34" si="2">IF(AK5="","",IF(AK5&gt;0,"POS Excess",IF(AK5&lt;0,"Bank Short","Matched")))</f>
        <v>Matched</v>
      </c>
      <c r="AM5" s="38"/>
    </row>
    <row r="6" spans="1:39" ht="12.75" customHeight="1" x14ac:dyDescent="0.25">
      <c r="A6" s="31">
        <v>72873</v>
      </c>
      <c r="B6" s="32" t="str">
        <f>IF(A6="","",VLOOKUP(A6,'Employee Database'!A:B,2,FALSE))</f>
        <v>M Shajee</v>
      </c>
      <c r="C6" s="31">
        <v>27</v>
      </c>
      <c r="D6" s="31">
        <v>46</v>
      </c>
      <c r="E6" s="31"/>
      <c r="F6" s="39">
        <f>IF(COUNT(C6:E6)=0,0,SUMPRODUCT({5000,1000,500},C6:E6))</f>
        <v>181000</v>
      </c>
      <c r="G6" s="31"/>
      <c r="H6" s="31"/>
      <c r="I6" s="31"/>
      <c r="J6" s="39">
        <f>IF(COUNT(G6:I6)=0,0,SUMPRODUCT({5000,1000,500},G6:I6))</f>
        <v>0</v>
      </c>
      <c r="K6" s="31"/>
      <c r="L6" s="31"/>
      <c r="M6" s="31"/>
      <c r="N6" s="39">
        <f>IF(COUNT(K6:M6)=0,0,SUMPRODUCT({5000,1000,500},K6:M6))</f>
        <v>0</v>
      </c>
      <c r="O6" s="31"/>
      <c r="P6" s="31"/>
      <c r="Q6" s="31"/>
      <c r="R6" s="39">
        <f>IF(COUNT(O6:Q6)=0,0,SUMPRODUCT({5000,1000,500},O6:Q6))</f>
        <v>0</v>
      </c>
      <c r="S6" s="31"/>
      <c r="T6" s="31"/>
      <c r="U6" s="31"/>
      <c r="V6" s="31"/>
      <c r="W6" s="31"/>
      <c r="X6" s="31">
        <v>48</v>
      </c>
      <c r="Y6" s="31"/>
      <c r="Z6" s="31">
        <v>62</v>
      </c>
      <c r="AA6" s="31"/>
      <c r="AB6" s="31"/>
      <c r="AC6" s="31"/>
      <c r="AD6" s="34">
        <f>IF(COUNT(S6:AC6)=0,0,SUMPRODUCT({5000,1000,500,100,75,50,20,10,5,2,1}, S6:AC6))</f>
        <v>3020</v>
      </c>
      <c r="AE6" s="33">
        <v>184003</v>
      </c>
      <c r="AF6" s="24">
        <f>IF(AND(COUNT(C6:E6)=0,COUNT(G6:I6)=0,COUNT(K6:M6)=0,COUNT(O6:Q6)=0,COUNT(S6:AC6)=0,AE6=""),"",(IF(COUNT(C6:E6)=0,0,SUMPRODUCT({5000,1000,500},C6:E6))+IF(COUNT(G6:I6)=0,0,SUMPRODUCT({5000,1000,500},G6:I6))+IF(COUNT(K6:M6)=0,0,SUMPRODUCT({5000,1000,500},K6:M6))+IF(COUNT(O6:Q6)=0,0,SUMPRODUCT({5000,1000,500},O6:Q6))+AD6)-N(AE6))</f>
        <v>17</v>
      </c>
      <c r="AG6" s="35" t="str">
        <f t="shared" si="0"/>
        <v>Excess</v>
      </c>
      <c r="AH6" s="38"/>
      <c r="AI6" s="36">
        <v>918687.65</v>
      </c>
      <c r="AJ6" s="37">
        <f>505656.32+413031.33</f>
        <v>918687.65</v>
      </c>
      <c r="AK6" s="26">
        <f t="shared" si="1"/>
        <v>0</v>
      </c>
      <c r="AL6" s="25" t="str">
        <f t="shared" si="2"/>
        <v>Matched</v>
      </c>
      <c r="AM6" s="38"/>
    </row>
    <row r="7" spans="1:39" ht="12.75" customHeight="1" x14ac:dyDescent="0.25">
      <c r="A7" s="31">
        <v>56189</v>
      </c>
      <c r="B7" s="32" t="str">
        <f>IF(A7="","",VLOOKUP(A7,'Employee Database'!A:B,2,FALSE))</f>
        <v>Iffat Sultan</v>
      </c>
      <c r="C7" s="31">
        <v>42</v>
      </c>
      <c r="D7" s="31">
        <v>53</v>
      </c>
      <c r="E7" s="31"/>
      <c r="F7" s="39">
        <f>IF(COUNT(C7:E7)=0,0,SUMPRODUCT({5000,1000,500},C7:E7))</f>
        <v>263000</v>
      </c>
      <c r="G7" s="31"/>
      <c r="H7" s="31"/>
      <c r="I7" s="31"/>
      <c r="J7" s="39">
        <f>IF(COUNT(G7:I7)=0,0,SUMPRODUCT({5000,1000,500},G7:I7))</f>
        <v>0</v>
      </c>
      <c r="K7" s="31"/>
      <c r="L7" s="31"/>
      <c r="M7" s="31"/>
      <c r="N7" s="39">
        <f>IF(COUNT(K7:M7)=0,0,SUMPRODUCT({5000,1000,500},K7:M7))</f>
        <v>0</v>
      </c>
      <c r="O7" s="31"/>
      <c r="P7" s="31"/>
      <c r="Q7" s="31"/>
      <c r="R7" s="39">
        <f>IF(COUNT(O7:Q7)=0,0,SUMPRODUCT({5000,1000,500},O7:Q7))</f>
        <v>0</v>
      </c>
      <c r="S7" s="31"/>
      <c r="T7" s="31"/>
      <c r="U7" s="31"/>
      <c r="V7" s="31"/>
      <c r="W7" s="31"/>
      <c r="X7" s="31">
        <v>7</v>
      </c>
      <c r="Y7" s="31"/>
      <c r="Z7" s="31">
        <v>7</v>
      </c>
      <c r="AA7" s="31"/>
      <c r="AB7" s="31"/>
      <c r="AC7" s="31"/>
      <c r="AD7" s="34">
        <f>IF(COUNT(S7:AC7)=0,0,SUMPRODUCT({5000,1000,500,100,75,50,20,10,5,2,1}, S7:AC7))</f>
        <v>420</v>
      </c>
      <c r="AE7" s="33">
        <v>263336</v>
      </c>
      <c r="AF7" s="24">
        <f>IF(AND(COUNT(C7:E7)=0,COUNT(G7:I7)=0,COUNT(K7:M7)=0,COUNT(O7:Q7)=0,COUNT(S7:AC7)=0,AE7=""),"",(IF(COUNT(C7:E7)=0,0,SUMPRODUCT({5000,1000,500},C7:E7))+IF(COUNT(G7:I7)=0,0,SUMPRODUCT({5000,1000,500},G7:I7))+IF(COUNT(K7:M7)=0,0,SUMPRODUCT({5000,1000,500},K7:M7))+IF(COUNT(O7:Q7)=0,0,SUMPRODUCT({5000,1000,500},O7:Q7))+AD7)-N(AE7))</f>
        <v>84</v>
      </c>
      <c r="AG7" s="35" t="str">
        <f t="shared" si="0"/>
        <v>Excess</v>
      </c>
      <c r="AH7" s="38"/>
      <c r="AI7" s="36">
        <v>404702.49</v>
      </c>
      <c r="AJ7" s="37">
        <f>158588.02+246114.47</f>
        <v>404702.49</v>
      </c>
      <c r="AK7" s="26">
        <f t="shared" si="1"/>
        <v>0</v>
      </c>
      <c r="AL7" s="25" t="str">
        <f t="shared" si="2"/>
        <v>Matched</v>
      </c>
      <c r="AM7" s="38"/>
    </row>
    <row r="8" spans="1:39" ht="12.75" customHeight="1" x14ac:dyDescent="0.25">
      <c r="A8" s="31">
        <v>65299</v>
      </c>
      <c r="B8" s="32" t="str">
        <f>IF(A8="","",VLOOKUP(A8,'Employee Database'!A:B,2,FALSE))</f>
        <v>M Faisal</v>
      </c>
      <c r="C8" s="31">
        <v>23</v>
      </c>
      <c r="D8" s="31">
        <v>74</v>
      </c>
      <c r="E8" s="31">
        <v>10</v>
      </c>
      <c r="F8" s="39">
        <f>IF(COUNT(C8:E8)=0,0,SUMPRODUCT({5000,1000,500},C8:E8))</f>
        <v>194000</v>
      </c>
      <c r="G8" s="31"/>
      <c r="H8" s="31"/>
      <c r="I8" s="31"/>
      <c r="J8" s="39">
        <f>IF(COUNT(G8:I8)=0,0,SUMPRODUCT({5000,1000,500},G8:I8))</f>
        <v>0</v>
      </c>
      <c r="K8" s="31"/>
      <c r="L8" s="31"/>
      <c r="M8" s="31"/>
      <c r="N8" s="39">
        <f>IF(COUNT(K8:M8)=0,0,SUMPRODUCT({5000,1000,500},K8:M8))</f>
        <v>0</v>
      </c>
      <c r="O8" s="31"/>
      <c r="P8" s="31"/>
      <c r="Q8" s="31"/>
      <c r="R8" s="39">
        <f>IF(COUNT(O8:Q8)=0,0,SUMPRODUCT({5000,1000,500},O8:Q8))</f>
        <v>0</v>
      </c>
      <c r="S8" s="31"/>
      <c r="T8" s="31"/>
      <c r="U8" s="31"/>
      <c r="V8" s="31">
        <v>3</v>
      </c>
      <c r="W8" s="31"/>
      <c r="X8" s="31">
        <v>12</v>
      </c>
      <c r="Y8" s="31"/>
      <c r="Z8" s="31">
        <v>34</v>
      </c>
      <c r="AA8" s="31"/>
      <c r="AB8" s="31"/>
      <c r="AC8" s="31"/>
      <c r="AD8" s="34">
        <f>IF(COUNT(S8:AC8)=0,0,SUMPRODUCT({5000,1000,500,100,75,50,20,10,5,2,1}, S8:AC8))</f>
        <v>1240</v>
      </c>
      <c r="AE8" s="33">
        <v>195413</v>
      </c>
      <c r="AF8" s="24">
        <f>IF(AND(COUNT(C8:E8)=0,COUNT(G8:I8)=0,COUNT(K8:M8)=0,COUNT(O8:Q8)=0,COUNT(S8:AC8)=0,AE8=""),"",(IF(COUNT(C8:E8)=0,0,SUMPRODUCT({5000,1000,500},C8:E8))+IF(COUNT(G8:I8)=0,0,SUMPRODUCT({5000,1000,500},G8:I8))+IF(COUNT(K8:M8)=0,0,SUMPRODUCT({5000,1000,500},K8:M8))+IF(COUNT(O8:Q8)=0,0,SUMPRODUCT({5000,1000,500},O8:Q8))+AD8)-N(AE8))</f>
        <v>-173</v>
      </c>
      <c r="AG8" s="35" t="str">
        <f t="shared" si="0"/>
        <v>Short</v>
      </c>
      <c r="AH8" s="38"/>
      <c r="AI8" s="36">
        <v>203532.12</v>
      </c>
      <c r="AJ8" s="37">
        <f>152641.51+50890.61</f>
        <v>203532.12</v>
      </c>
      <c r="AK8" s="26">
        <f t="shared" si="1"/>
        <v>0</v>
      </c>
      <c r="AL8" s="25" t="str">
        <f t="shared" si="2"/>
        <v>Matched</v>
      </c>
      <c r="AM8" s="38"/>
    </row>
    <row r="9" spans="1:39" ht="12.75" customHeight="1" x14ac:dyDescent="0.25">
      <c r="A9" s="31">
        <v>63854</v>
      </c>
      <c r="B9" s="32" t="str">
        <f>IF(A9="","",VLOOKUP(A9,'Employee Database'!A:B,2,FALSE))</f>
        <v>Maham</v>
      </c>
      <c r="C9" s="31">
        <v>35</v>
      </c>
      <c r="D9" s="31">
        <v>69</v>
      </c>
      <c r="E9" s="31">
        <v>152</v>
      </c>
      <c r="F9" s="39">
        <f>IF(COUNT(C9:E9)=0,0,SUMPRODUCT({5000,1000,500},C9:E9))</f>
        <v>320000</v>
      </c>
      <c r="G9" s="31"/>
      <c r="H9" s="31"/>
      <c r="I9" s="31"/>
      <c r="J9" s="39">
        <f>IF(COUNT(G9:I9)=0,0,SUMPRODUCT({5000,1000,500},G9:I9))</f>
        <v>0</v>
      </c>
      <c r="K9" s="31"/>
      <c r="L9" s="31"/>
      <c r="M9" s="31"/>
      <c r="N9" s="39">
        <f>IF(COUNT(K9:M9)=0,0,SUMPRODUCT({5000,1000,500},K9:M9))</f>
        <v>0</v>
      </c>
      <c r="O9" s="31"/>
      <c r="P9" s="31"/>
      <c r="Q9" s="31"/>
      <c r="R9" s="39">
        <f>IF(COUNT(O9:Q9)=0,0,SUMPRODUCT({5000,1000,500},O9:Q9))</f>
        <v>0</v>
      </c>
      <c r="S9" s="31"/>
      <c r="T9" s="31"/>
      <c r="U9" s="31"/>
      <c r="V9" s="31"/>
      <c r="W9" s="31"/>
      <c r="X9" s="31">
        <v>4</v>
      </c>
      <c r="Y9" s="31"/>
      <c r="Z9" s="31">
        <v>31</v>
      </c>
      <c r="AA9" s="31"/>
      <c r="AB9" s="31"/>
      <c r="AC9" s="31"/>
      <c r="AD9" s="34">
        <f>IF(COUNT(S9:AC9)=0,0,SUMPRODUCT({5000,1000,500,100,75,50,20,10,5,2,1}, S9:AC9))</f>
        <v>510</v>
      </c>
      <c r="AE9" s="33">
        <v>320468</v>
      </c>
      <c r="AF9" s="24">
        <f>IF(AND(COUNT(C9:E9)=0,COUNT(G9:I9)=0,COUNT(K9:M9)=0,COUNT(O9:Q9)=0,COUNT(S9:AC9)=0,AE9=""),"",(IF(COUNT(C9:E9)=0,0,SUMPRODUCT({5000,1000,500},C9:E9))+IF(COUNT(G9:I9)=0,0,SUMPRODUCT({5000,1000,500},G9:I9))+IF(COUNT(K9:M9)=0,0,SUMPRODUCT({5000,1000,500},K9:M9))+IF(COUNT(O9:Q9)=0,0,SUMPRODUCT({5000,1000,500},O9:Q9))+AD9)-N(AE9))</f>
        <v>42</v>
      </c>
      <c r="AG9" s="35" t="str">
        <f t="shared" si="0"/>
        <v>Excess</v>
      </c>
      <c r="AH9" s="38"/>
      <c r="AI9" s="36">
        <v>688334.2</v>
      </c>
      <c r="AJ9" s="37">
        <f>193783.11+494551.09</f>
        <v>688334.2</v>
      </c>
      <c r="AK9" s="26">
        <f t="shared" si="1"/>
        <v>0</v>
      </c>
      <c r="AL9" s="25" t="str">
        <f t="shared" si="2"/>
        <v>Matched</v>
      </c>
      <c r="AM9" s="38"/>
    </row>
    <row r="10" spans="1:39" ht="12.75" customHeight="1" x14ac:dyDescent="0.25">
      <c r="A10" s="31">
        <v>68107</v>
      </c>
      <c r="B10" s="32" t="str">
        <f>IF(A10="","",VLOOKUP(A10,'Employee Database'!A:B,2,FALSE))</f>
        <v>M Harris</v>
      </c>
      <c r="C10" s="31">
        <v>5</v>
      </c>
      <c r="D10" s="31">
        <v>7</v>
      </c>
      <c r="E10" s="31">
        <v>1</v>
      </c>
      <c r="F10" s="39">
        <f>IF(COUNT(C10:E10)=0,0,SUMPRODUCT({5000,1000,500},C10:E10))</f>
        <v>32500</v>
      </c>
      <c r="G10" s="31"/>
      <c r="H10" s="31"/>
      <c r="I10" s="31"/>
      <c r="J10" s="39">
        <f>IF(COUNT(G10:I10)=0,0,SUMPRODUCT({5000,1000,500},G10:I10))</f>
        <v>0</v>
      </c>
      <c r="K10" s="31"/>
      <c r="L10" s="31"/>
      <c r="M10" s="31"/>
      <c r="N10" s="39">
        <f>IF(COUNT(K10:M10)=0,0,SUMPRODUCT({5000,1000,500},K10:M10))</f>
        <v>0</v>
      </c>
      <c r="O10" s="31"/>
      <c r="P10" s="31"/>
      <c r="Q10" s="31"/>
      <c r="R10" s="39">
        <f>IF(COUNT(O10:Q10)=0,0,SUMPRODUCT({5000,1000,500},O10:Q10))</f>
        <v>0</v>
      </c>
      <c r="S10" s="31"/>
      <c r="T10" s="31"/>
      <c r="U10" s="31"/>
      <c r="V10" s="31">
        <v>1</v>
      </c>
      <c r="W10" s="31"/>
      <c r="X10" s="31">
        <v>4</v>
      </c>
      <c r="Y10" s="31"/>
      <c r="Z10" s="31">
        <v>69</v>
      </c>
      <c r="AA10" s="31"/>
      <c r="AB10" s="31"/>
      <c r="AC10" s="31"/>
      <c r="AD10" s="34">
        <f>IF(COUNT(S10:AC10)=0,0,SUMPRODUCT({5000,1000,500,100,75,50,20,10,5,2,1}, S10:AC10))</f>
        <v>990</v>
      </c>
      <c r="AE10" s="33">
        <v>33475</v>
      </c>
      <c r="AF10" s="24">
        <f>IF(AND(COUNT(C10:E10)=0,COUNT(G10:I10)=0,COUNT(K10:M10)=0,COUNT(O10:Q10)=0,COUNT(S10:AC10)=0,AE10=""),"",(IF(COUNT(C10:E10)=0,0,SUMPRODUCT({5000,1000,500},C10:E10))+IF(COUNT(G10:I10)=0,0,SUMPRODUCT({5000,1000,500},G10:I10))+IF(COUNT(K10:M10)=0,0,SUMPRODUCT({5000,1000,500},K10:M10))+IF(COUNT(O10:Q10)=0,0,SUMPRODUCT({5000,1000,500},O10:Q10))+AD10)-N(AE10))</f>
        <v>15</v>
      </c>
      <c r="AG10" s="35" t="str">
        <f t="shared" si="0"/>
        <v>Excess</v>
      </c>
      <c r="AH10" s="38"/>
      <c r="AI10" s="36">
        <v>77411.62</v>
      </c>
      <c r="AJ10" s="37">
        <f>44408.89+33002.73</f>
        <v>77411.62</v>
      </c>
      <c r="AK10" s="26">
        <f t="shared" si="1"/>
        <v>0</v>
      </c>
      <c r="AL10" s="25" t="str">
        <f t="shared" si="2"/>
        <v>Matched</v>
      </c>
      <c r="AM10" s="38"/>
    </row>
    <row r="11" spans="1:39" ht="12.75" customHeight="1" x14ac:dyDescent="0.25">
      <c r="A11" s="31">
        <v>73196</v>
      </c>
      <c r="B11" s="32" t="str">
        <f>IF(A11="","",VLOOKUP(A11,'Employee Database'!A:B,2,FALSE))</f>
        <v>Asma</v>
      </c>
      <c r="C11" s="31">
        <v>30</v>
      </c>
      <c r="D11" s="31">
        <v>127</v>
      </c>
      <c r="E11" s="31">
        <v>21</v>
      </c>
      <c r="F11" s="39">
        <f>IF(COUNT(C11:E11)=0,0,SUMPRODUCT({5000,1000,500},C11:E11))</f>
        <v>287500</v>
      </c>
      <c r="G11" s="31"/>
      <c r="H11" s="31"/>
      <c r="I11" s="31"/>
      <c r="J11" s="39">
        <f>IF(COUNT(G11:I11)=0,0,SUMPRODUCT({5000,1000,500},G11:I11))</f>
        <v>0</v>
      </c>
      <c r="K11" s="31"/>
      <c r="L11" s="31"/>
      <c r="M11" s="31"/>
      <c r="N11" s="39">
        <f>IF(COUNT(K11:M11)=0,0,SUMPRODUCT({5000,1000,500},K11:M11))</f>
        <v>0</v>
      </c>
      <c r="O11" s="31"/>
      <c r="P11" s="31"/>
      <c r="Q11" s="31"/>
      <c r="R11" s="39">
        <f>IF(COUNT(O11:Q11)=0,0,SUMPRODUCT({5000,1000,500},O11:Q11))</f>
        <v>0</v>
      </c>
      <c r="S11" s="31"/>
      <c r="T11" s="31"/>
      <c r="U11" s="31"/>
      <c r="V11" s="31"/>
      <c r="W11" s="31"/>
      <c r="X11" s="31">
        <v>45</v>
      </c>
      <c r="Y11" s="31"/>
      <c r="Z11" s="31">
        <v>43</v>
      </c>
      <c r="AA11" s="31"/>
      <c r="AB11" s="31"/>
      <c r="AC11" s="31"/>
      <c r="AD11" s="34">
        <f>IF(COUNT(S11:AC11)=0,0,SUMPRODUCT({5000,1000,500,100,75,50,20,10,5,2,1}, S11:AC11))</f>
        <v>2680</v>
      </c>
      <c r="AE11" s="33">
        <v>290152</v>
      </c>
      <c r="AF11" s="24">
        <f>IF(AND(COUNT(C11:E11)=0,COUNT(G11:I11)=0,COUNT(K11:M11)=0,COUNT(O11:Q11)=0,COUNT(S11:AC11)=0,AE11=""),"",(IF(COUNT(C11:E11)=0,0,SUMPRODUCT({5000,1000,500},C11:E11))+IF(COUNT(G11:I11)=0,0,SUMPRODUCT({5000,1000,500},G11:I11))+IF(COUNT(K11:M11)=0,0,SUMPRODUCT({5000,1000,500},K11:M11))+IF(COUNT(O11:Q11)=0,0,SUMPRODUCT({5000,1000,500},O11:Q11))+AD11)-N(AE11))</f>
        <v>28</v>
      </c>
      <c r="AG11" s="35" t="str">
        <f t="shared" si="0"/>
        <v>Excess</v>
      </c>
      <c r="AH11" s="38"/>
      <c r="AI11" s="36">
        <v>643599.06999999995</v>
      </c>
      <c r="AJ11" s="37">
        <f>227250.41+416348.66</f>
        <v>643599.06999999995</v>
      </c>
      <c r="AK11" s="26">
        <f t="shared" si="1"/>
        <v>0</v>
      </c>
      <c r="AL11" s="25" t="str">
        <f t="shared" si="2"/>
        <v>Matched</v>
      </c>
      <c r="AM11" s="38"/>
    </row>
    <row r="12" spans="1:39" ht="12.75" customHeight="1" x14ac:dyDescent="0.25">
      <c r="A12" s="31">
        <v>67249</v>
      </c>
      <c r="B12" s="32" t="str">
        <f>IF(A12="","",VLOOKUP(A12,'Employee Database'!A:B,2,FALSE))</f>
        <v>Hanan Javaid</v>
      </c>
      <c r="C12" s="31">
        <v>29</v>
      </c>
      <c r="D12" s="31">
        <v>46</v>
      </c>
      <c r="E12" s="31">
        <v>1</v>
      </c>
      <c r="F12" s="39">
        <f>IF(COUNT(C12:E12)=0,0,SUMPRODUCT({5000,1000,500},C12:E12))</f>
        <v>191500</v>
      </c>
      <c r="G12" s="31"/>
      <c r="H12" s="31"/>
      <c r="I12" s="31"/>
      <c r="J12" s="39">
        <f>IF(COUNT(G12:I12)=0,0,SUMPRODUCT({5000,1000,500},G12:I12))</f>
        <v>0</v>
      </c>
      <c r="K12" s="31"/>
      <c r="L12" s="31"/>
      <c r="M12" s="31"/>
      <c r="N12" s="39">
        <f>IF(COUNT(K12:M12)=0,0,SUMPRODUCT({5000,1000,500},K12:M12))</f>
        <v>0</v>
      </c>
      <c r="O12" s="31"/>
      <c r="P12" s="31"/>
      <c r="Q12" s="31"/>
      <c r="R12" s="39">
        <f>IF(COUNT(O12:Q12)=0,0,SUMPRODUCT({5000,1000,500},O12:Q12))</f>
        <v>0</v>
      </c>
      <c r="S12" s="31"/>
      <c r="T12" s="31"/>
      <c r="U12" s="31"/>
      <c r="V12" s="31">
        <v>2</v>
      </c>
      <c r="W12" s="31"/>
      <c r="X12" s="31">
        <v>49</v>
      </c>
      <c r="Y12" s="31"/>
      <c r="Z12" s="31">
        <v>124</v>
      </c>
      <c r="AA12" s="31">
        <v>1</v>
      </c>
      <c r="AB12" s="31">
        <v>3</v>
      </c>
      <c r="AC12" s="31"/>
      <c r="AD12" s="34">
        <f>IF(COUNT(S12:AC12)=0,0,SUMPRODUCT({5000,1000,500,100,75,50,20,10,5,2,1}, S12:AC12))</f>
        <v>3901</v>
      </c>
      <c r="AE12" s="33">
        <v>195312</v>
      </c>
      <c r="AF12" s="24">
        <f>IF(AND(COUNT(C12:E12)=0,COUNT(G12:I12)=0,COUNT(K12:M12)=0,COUNT(O12:Q12)=0,COUNT(S12:AC12)=0,AE12=""),"",(IF(COUNT(C12:E12)=0,0,SUMPRODUCT({5000,1000,500},C12:E12))+IF(COUNT(G12:I12)=0,0,SUMPRODUCT({5000,1000,500},G12:I12))+IF(COUNT(K12:M12)=0,0,SUMPRODUCT({5000,1000,500},K12:M12))+IF(COUNT(O12:Q12)=0,0,SUMPRODUCT({5000,1000,500},O12:Q12))+AD12)-N(AE12))</f>
        <v>89</v>
      </c>
      <c r="AG12" s="35" t="str">
        <f t="shared" si="0"/>
        <v>Excess</v>
      </c>
      <c r="AH12" s="38"/>
      <c r="AI12" s="36">
        <v>156396.29</v>
      </c>
      <c r="AJ12" s="37">
        <f>95048.2+61348.09</f>
        <v>156396.28999999998</v>
      </c>
      <c r="AK12" s="26">
        <f t="shared" si="1"/>
        <v>2.9103830456733704E-11</v>
      </c>
      <c r="AL12" s="25" t="str">
        <f t="shared" si="2"/>
        <v>POS Excess</v>
      </c>
      <c r="AM12" s="38"/>
    </row>
    <row r="13" spans="1:39" ht="12.75" customHeight="1" x14ac:dyDescent="0.25">
      <c r="A13" s="31">
        <v>69213</v>
      </c>
      <c r="B13" s="32" t="str">
        <f>IF(A13="","",VLOOKUP(A13,'Employee Database'!A:B,2,FALSE))</f>
        <v>Muhammad Shahbaz</v>
      </c>
      <c r="C13" s="31"/>
      <c r="D13" s="31"/>
      <c r="E13" s="31"/>
      <c r="F13" s="39">
        <f>IF(COUNT(C13:E13)=0,0,SUMPRODUCT({5000,1000,500},C13:E13))</f>
        <v>0</v>
      </c>
      <c r="G13" s="31">
        <v>8</v>
      </c>
      <c r="H13" s="31">
        <v>29</v>
      </c>
      <c r="I13" s="31">
        <v>5</v>
      </c>
      <c r="J13" s="39">
        <f>IF(COUNT(G13:I13)=0,0,SUMPRODUCT({5000,1000,500},G13:I13))</f>
        <v>71500</v>
      </c>
      <c r="K13" s="31"/>
      <c r="L13" s="31"/>
      <c r="M13" s="31"/>
      <c r="N13" s="39">
        <f>IF(COUNT(K13:M13)=0,0,SUMPRODUCT({5000,1000,500},K13:M13))</f>
        <v>0</v>
      </c>
      <c r="O13" s="31"/>
      <c r="P13" s="31"/>
      <c r="Q13" s="31"/>
      <c r="R13" s="39">
        <f>IF(COUNT(O13:Q13)=0,0,SUMPRODUCT({5000,1000,500},O13:Q13))</f>
        <v>0</v>
      </c>
      <c r="S13" s="31"/>
      <c r="T13" s="31"/>
      <c r="U13" s="31"/>
      <c r="V13" s="31">
        <v>1</v>
      </c>
      <c r="W13" s="31"/>
      <c r="X13" s="31">
        <v>40</v>
      </c>
      <c r="Y13" s="31"/>
      <c r="Z13" s="31">
        <v>72</v>
      </c>
      <c r="AA13" s="31"/>
      <c r="AB13" s="31"/>
      <c r="AC13" s="31"/>
      <c r="AD13" s="34">
        <f>IF(COUNT(S13:AC13)=0,0,SUMPRODUCT({5000,1000,500,100,75,50,20,10,5,2,1}, S13:AC13))</f>
        <v>2820</v>
      </c>
      <c r="AE13" s="33">
        <v>74315</v>
      </c>
      <c r="AF13" s="24">
        <f>IF(AND(COUNT(C13:E13)=0,COUNT(G13:I13)=0,COUNT(K13:M13)=0,COUNT(O13:Q13)=0,COUNT(S13:AC13)=0,AE13=""),"",(IF(COUNT(C13:E13)=0,0,SUMPRODUCT({5000,1000,500},C13:E13))+IF(COUNT(G13:I13)=0,0,SUMPRODUCT({5000,1000,500},G13:I13))+IF(COUNT(K13:M13)=0,0,SUMPRODUCT({5000,1000,500},K13:M13))+IF(COUNT(O13:Q13)=0,0,SUMPRODUCT({5000,1000,500},O13:Q13))+AD13)-N(AE13))</f>
        <v>5</v>
      </c>
      <c r="AG13" s="35" t="str">
        <f t="shared" si="0"/>
        <v>Excess</v>
      </c>
      <c r="AH13" s="38"/>
      <c r="AI13" s="36">
        <f>124813.84+68419.57</f>
        <v>193233.41</v>
      </c>
      <c r="AJ13" s="37">
        <f>124813.84+68419.57</f>
        <v>193233.41</v>
      </c>
      <c r="AK13" s="26">
        <f t="shared" si="1"/>
        <v>0</v>
      </c>
      <c r="AL13" s="25" t="str">
        <f t="shared" si="2"/>
        <v>Matched</v>
      </c>
      <c r="AM13" s="38"/>
    </row>
    <row r="14" spans="1:39" ht="12.75" customHeight="1" x14ac:dyDescent="0.25">
      <c r="A14" s="31">
        <v>79593</v>
      </c>
      <c r="B14" s="32" t="str">
        <f>IF(A14="","",VLOOKUP(A14,'Employee Database'!A:B,2,FALSE))</f>
        <v>Amir</v>
      </c>
      <c r="C14" s="31"/>
      <c r="D14" s="31"/>
      <c r="E14" s="31"/>
      <c r="F14" s="39">
        <f>IF(COUNT(C14:E14)=0,0,SUMPRODUCT({5000,1000,500},C14:E14))</f>
        <v>0</v>
      </c>
      <c r="G14" s="31">
        <v>4</v>
      </c>
      <c r="H14" s="31">
        <v>32</v>
      </c>
      <c r="I14" s="31">
        <v>22</v>
      </c>
      <c r="J14" s="39">
        <f>IF(COUNT(G14:I14)=0,0,SUMPRODUCT({5000,1000,500},G14:I14))</f>
        <v>63000</v>
      </c>
      <c r="K14" s="31"/>
      <c r="L14" s="31"/>
      <c r="M14" s="31"/>
      <c r="N14" s="39">
        <f>IF(COUNT(K14:M14)=0,0,SUMPRODUCT({5000,1000,500},K14:M14))</f>
        <v>0</v>
      </c>
      <c r="O14" s="31"/>
      <c r="P14" s="31"/>
      <c r="Q14" s="31"/>
      <c r="R14" s="39">
        <f>IF(COUNT(O14:Q14)=0,0,SUMPRODUCT({5000,1000,500},O14:Q14))</f>
        <v>0</v>
      </c>
      <c r="S14" s="31"/>
      <c r="T14" s="31"/>
      <c r="U14" s="31"/>
      <c r="V14" s="31">
        <v>9</v>
      </c>
      <c r="W14" s="31"/>
      <c r="X14" s="31">
        <v>41</v>
      </c>
      <c r="Y14" s="31">
        <v>4</v>
      </c>
      <c r="Z14" s="31">
        <v>77</v>
      </c>
      <c r="AA14" s="31"/>
      <c r="AB14" s="31"/>
      <c r="AC14" s="31"/>
      <c r="AD14" s="34">
        <f>IF(COUNT(S14:AC14)=0,0,SUMPRODUCT({5000,1000,500,100,75,50,20,10,5,2,1}, S14:AC14))</f>
        <v>3800</v>
      </c>
      <c r="AE14" s="33">
        <v>66773</v>
      </c>
      <c r="AF14" s="24">
        <f>IF(AND(COUNT(C14:E14)=0,COUNT(G14:I14)=0,COUNT(K14:M14)=0,COUNT(O14:Q14)=0,COUNT(S14:AC14)=0,AE14=""),"",(IF(COUNT(C14:E14)=0,0,SUMPRODUCT({5000,1000,500},C14:E14))+IF(COUNT(G14:I14)=0,0,SUMPRODUCT({5000,1000,500},G14:I14))+IF(COUNT(K14:M14)=0,0,SUMPRODUCT({5000,1000,500},K14:M14))+IF(COUNT(O14:Q14)=0,0,SUMPRODUCT({5000,1000,500},O14:Q14))+AD14)-N(AE14))</f>
        <v>27</v>
      </c>
      <c r="AG14" s="35" t="str">
        <f t="shared" si="0"/>
        <v>Excess</v>
      </c>
      <c r="AH14" s="38"/>
      <c r="AI14" s="36">
        <v>49274.71</v>
      </c>
      <c r="AJ14" s="37">
        <v>49274.71</v>
      </c>
      <c r="AK14" s="26">
        <f t="shared" si="1"/>
        <v>0</v>
      </c>
      <c r="AL14" s="25" t="str">
        <f t="shared" si="2"/>
        <v>Matched</v>
      </c>
      <c r="AM14" s="38"/>
    </row>
    <row r="15" spans="1:39" ht="12.75" customHeight="1" x14ac:dyDescent="0.25">
      <c r="A15" s="31">
        <v>50394</v>
      </c>
      <c r="B15" s="32" t="str">
        <f>IF(A15="","",VLOOKUP(A15,'Employee Database'!A:B,2,FALSE))</f>
        <v>Qasir Ali</v>
      </c>
      <c r="C15" s="31"/>
      <c r="D15" s="31"/>
      <c r="E15" s="31"/>
      <c r="F15" s="39">
        <f>IF(COUNT(C15:E15)=0,0,SUMPRODUCT({5000,1000,500},C15:E15))</f>
        <v>0</v>
      </c>
      <c r="G15" s="31">
        <v>27</v>
      </c>
      <c r="H15" s="31">
        <v>35</v>
      </c>
      <c r="I15" s="31">
        <v>8</v>
      </c>
      <c r="J15" s="39">
        <f>IF(COUNT(G15:I15)=0,0,SUMPRODUCT({5000,1000,500},G15:I15))</f>
        <v>174000</v>
      </c>
      <c r="K15" s="31"/>
      <c r="L15" s="31"/>
      <c r="M15" s="31"/>
      <c r="N15" s="39">
        <f>IF(COUNT(K15:M15)=0,0,SUMPRODUCT({5000,1000,500},K15:M15))</f>
        <v>0</v>
      </c>
      <c r="O15" s="31"/>
      <c r="P15" s="31"/>
      <c r="Q15" s="31"/>
      <c r="R15" s="39">
        <f>IF(COUNT(O15:Q15)=0,0,SUMPRODUCT({5000,1000,500},O15:Q15))</f>
        <v>0</v>
      </c>
      <c r="S15" s="31"/>
      <c r="T15" s="31"/>
      <c r="U15" s="31"/>
      <c r="V15" s="31">
        <v>6</v>
      </c>
      <c r="W15" s="31"/>
      <c r="X15" s="31">
        <v>29</v>
      </c>
      <c r="Y15" s="31"/>
      <c r="Z15" s="31">
        <v>51</v>
      </c>
      <c r="AA15" s="31"/>
      <c r="AB15" s="31"/>
      <c r="AC15" s="31"/>
      <c r="AD15" s="34">
        <f>IF(COUNT(S15:AC15)=0,0,SUMPRODUCT({5000,1000,500,100,75,50,20,10,5,2,1}, S15:AC15))</f>
        <v>2560</v>
      </c>
      <c r="AE15" s="33">
        <v>176533</v>
      </c>
      <c r="AF15" s="24">
        <f>IF(AND(COUNT(C15:E15)=0,COUNT(G15:I15)=0,COUNT(K15:M15)=0,COUNT(O15:Q15)=0,COUNT(S15:AC15)=0,AE15=""),"",(IF(COUNT(C15:E15)=0,0,SUMPRODUCT({5000,1000,500},C15:E15))+IF(COUNT(G15:I15)=0,0,SUMPRODUCT({5000,1000,500},G15:I15))+IF(COUNT(K15:M15)=0,0,SUMPRODUCT({5000,1000,500},K15:M15))+IF(COUNT(O15:Q15)=0,0,SUMPRODUCT({5000,1000,500},O15:Q15))+AD15)-N(AE15))</f>
        <v>27</v>
      </c>
      <c r="AG15" s="35" t="str">
        <f t="shared" si="0"/>
        <v>Excess</v>
      </c>
      <c r="AH15" s="38"/>
      <c r="AI15" s="36">
        <v>334236.83</v>
      </c>
      <c r="AJ15" s="37">
        <f>298786.38+35450.45</f>
        <v>334236.83</v>
      </c>
      <c r="AK15" s="26">
        <f t="shared" si="1"/>
        <v>0</v>
      </c>
      <c r="AL15" s="25" t="str">
        <f t="shared" si="2"/>
        <v>Matched</v>
      </c>
      <c r="AM15" s="38"/>
    </row>
    <row r="16" spans="1:39" ht="12.75" customHeight="1" x14ac:dyDescent="0.25">
      <c r="A16" s="31">
        <v>69728</v>
      </c>
      <c r="B16" s="32" t="str">
        <f>IF(A16="","",VLOOKUP(A16,'Employee Database'!A:B,2,FALSE))</f>
        <v>Hafiz Hafeez Ur Rehman</v>
      </c>
      <c r="C16" s="31"/>
      <c r="D16" s="31"/>
      <c r="E16" s="31"/>
      <c r="F16" s="39">
        <f>IF(COUNT(C16:E16)=0,0,SUMPRODUCT({5000,1000,500},C16:E16))</f>
        <v>0</v>
      </c>
      <c r="G16" s="31">
        <v>18</v>
      </c>
      <c r="H16" s="31">
        <v>60</v>
      </c>
      <c r="I16" s="31">
        <v>18</v>
      </c>
      <c r="J16" s="39">
        <f>IF(COUNT(G16:I16)=0,0,SUMPRODUCT({5000,1000,500},G16:I16))</f>
        <v>159000</v>
      </c>
      <c r="K16" s="31"/>
      <c r="L16" s="31"/>
      <c r="M16" s="31"/>
      <c r="N16" s="39">
        <f>IF(COUNT(K16:M16)=0,0,SUMPRODUCT({5000,1000,500},K16:M16))</f>
        <v>0</v>
      </c>
      <c r="O16" s="31"/>
      <c r="P16" s="31"/>
      <c r="Q16" s="31"/>
      <c r="R16" s="39">
        <f>IF(COUNT(O16:Q16)=0,0,SUMPRODUCT({5000,1000,500},O16:Q16))</f>
        <v>0</v>
      </c>
      <c r="S16" s="31"/>
      <c r="T16" s="31"/>
      <c r="U16" s="31"/>
      <c r="V16" s="31">
        <v>10</v>
      </c>
      <c r="W16" s="31"/>
      <c r="X16" s="31">
        <v>42</v>
      </c>
      <c r="Y16" s="31">
        <v>1</v>
      </c>
      <c r="Z16" s="31">
        <v>54</v>
      </c>
      <c r="AA16" s="31"/>
      <c r="AB16" s="31"/>
      <c r="AC16" s="31"/>
      <c r="AD16" s="34">
        <f>IF(COUNT(S16:AC16)=0,0,SUMPRODUCT({5000,1000,500,100,75,50,20,10,5,2,1}, S16:AC16))</f>
        <v>3660</v>
      </c>
      <c r="AE16" s="33">
        <v>162641</v>
      </c>
      <c r="AF16" s="24">
        <f>IF(AND(COUNT(C16:E16)=0,COUNT(G16:I16)=0,COUNT(K16:M16)=0,COUNT(O16:Q16)=0,COUNT(S16:AC16)=0,AE16=""),"",(IF(COUNT(C16:E16)=0,0,SUMPRODUCT({5000,1000,500},C16:E16))+IF(COUNT(G16:I16)=0,0,SUMPRODUCT({5000,1000,500},G16:I16))+IF(COUNT(K16:M16)=0,0,SUMPRODUCT({5000,1000,500},K16:M16))+IF(COUNT(O16:Q16)=0,0,SUMPRODUCT({5000,1000,500},O16:Q16))+AD16)-N(AE16))</f>
        <v>19</v>
      </c>
      <c r="AG16" s="35" t="str">
        <f t="shared" si="0"/>
        <v>Excess</v>
      </c>
      <c r="AH16" s="38"/>
      <c r="AI16" s="36">
        <v>586927</v>
      </c>
      <c r="AJ16" s="37">
        <v>586927</v>
      </c>
      <c r="AK16" s="26">
        <f t="shared" si="1"/>
        <v>0</v>
      </c>
      <c r="AL16" s="25" t="str">
        <f t="shared" si="2"/>
        <v>Matched</v>
      </c>
      <c r="AM16" s="38"/>
    </row>
    <row r="17" spans="1:39" ht="12.75" customHeight="1" x14ac:dyDescent="0.25">
      <c r="A17" s="31">
        <v>71788</v>
      </c>
      <c r="B17" s="32" t="str">
        <f>IF(A17="","",VLOOKUP(A17,'Employee Database'!A:B,2,FALSE))</f>
        <v>Saaim</v>
      </c>
      <c r="C17" s="31"/>
      <c r="D17" s="31"/>
      <c r="E17" s="31"/>
      <c r="F17" s="39">
        <f>IF(COUNT(C17:E17)=0,0,SUMPRODUCT({5000,1000,500},C17:E17))</f>
        <v>0</v>
      </c>
      <c r="G17" s="31">
        <v>47</v>
      </c>
      <c r="H17" s="31">
        <v>58</v>
      </c>
      <c r="I17" s="31">
        <v>0</v>
      </c>
      <c r="J17" s="39">
        <f>IF(COUNT(G17:I17)=0,0,SUMPRODUCT({5000,1000,500},G17:I17))</f>
        <v>293000</v>
      </c>
      <c r="K17" s="31"/>
      <c r="L17" s="31"/>
      <c r="M17" s="31"/>
      <c r="N17" s="39">
        <f>IF(COUNT(K17:M17)=0,0,SUMPRODUCT({5000,1000,500},K17:M17))</f>
        <v>0</v>
      </c>
      <c r="O17" s="31"/>
      <c r="P17" s="31"/>
      <c r="Q17" s="31"/>
      <c r="R17" s="39">
        <f>IF(COUNT(O17:Q17)=0,0,SUMPRODUCT({5000,1000,500},O17:Q17))</f>
        <v>0</v>
      </c>
      <c r="S17" s="31"/>
      <c r="T17" s="31"/>
      <c r="U17" s="31"/>
      <c r="V17" s="31"/>
      <c r="W17" s="31"/>
      <c r="X17" s="31">
        <v>34</v>
      </c>
      <c r="Y17" s="31"/>
      <c r="Z17" s="31">
        <v>81</v>
      </c>
      <c r="AA17" s="31"/>
      <c r="AB17" s="31"/>
      <c r="AC17" s="31"/>
      <c r="AD17" s="34">
        <f>IF(COUNT(S17:AC17)=0,0,SUMPRODUCT({5000,1000,500,100,75,50,20,10,5,2,1}, S17:AC17))</f>
        <v>2510</v>
      </c>
      <c r="AE17" s="33">
        <v>295416</v>
      </c>
      <c r="AF17" s="24">
        <f>IF(AND(COUNT(C17:E17)=0,COUNT(G17:I17)=0,COUNT(K17:M17)=0,COUNT(O17:Q17)=0,COUNT(S17:AC17)=0,AE17=""),"",(IF(COUNT(C17:E17)=0,0,SUMPRODUCT({5000,1000,500},C17:E17))+IF(COUNT(G17:I17)=0,0,SUMPRODUCT({5000,1000,500},G17:I17))+IF(COUNT(K17:M17)=0,0,SUMPRODUCT({5000,1000,500},K17:M17))+IF(COUNT(O17:Q17)=0,0,SUMPRODUCT({5000,1000,500},O17:Q17))+AD17)-N(AE17))</f>
        <v>94</v>
      </c>
      <c r="AG17" s="35" t="str">
        <f t="shared" si="0"/>
        <v>Excess</v>
      </c>
      <c r="AH17" s="38"/>
      <c r="AI17" s="36">
        <v>613215.17000000004</v>
      </c>
      <c r="AJ17" s="37">
        <f>208225.87+404989.3</f>
        <v>613215.16999999993</v>
      </c>
      <c r="AK17" s="26">
        <f t="shared" si="1"/>
        <v>1.1641532182693481E-10</v>
      </c>
      <c r="AL17" s="25" t="str">
        <f t="shared" si="2"/>
        <v>POS Excess</v>
      </c>
      <c r="AM17" s="38"/>
    </row>
    <row r="18" spans="1:39" ht="12.75" customHeight="1" x14ac:dyDescent="0.25">
      <c r="A18" s="31">
        <v>50134</v>
      </c>
      <c r="B18" s="32" t="str">
        <f>IF(A18="","",VLOOKUP(A18,'Employee Database'!A:B,2,FALSE))</f>
        <v>Asif Abbas</v>
      </c>
      <c r="C18" s="31"/>
      <c r="D18" s="31"/>
      <c r="E18" s="31"/>
      <c r="F18" s="39">
        <f>IF(COUNT(C18:E18)=0,0,SUMPRODUCT({5000,1000,500},C18:E18))</f>
        <v>0</v>
      </c>
      <c r="G18" s="31">
        <v>9</v>
      </c>
      <c r="H18" s="31">
        <v>60</v>
      </c>
      <c r="I18" s="31">
        <v>13</v>
      </c>
      <c r="J18" s="39">
        <f>IF(COUNT(G18:I18)=0,0,SUMPRODUCT({5000,1000,500},G18:I18))</f>
        <v>111500</v>
      </c>
      <c r="K18" s="31"/>
      <c r="L18" s="31"/>
      <c r="M18" s="31"/>
      <c r="N18" s="39">
        <f>IF(COUNT(K18:M18)=0,0,SUMPRODUCT({5000,1000,500},K18:M18))</f>
        <v>0</v>
      </c>
      <c r="O18" s="31"/>
      <c r="P18" s="31"/>
      <c r="Q18" s="31"/>
      <c r="R18" s="39">
        <f>IF(COUNT(O18:Q18)=0,0,SUMPRODUCT({5000,1000,500},O18:Q18))</f>
        <v>0</v>
      </c>
      <c r="S18" s="31"/>
      <c r="T18" s="31"/>
      <c r="U18" s="31"/>
      <c r="V18" s="31"/>
      <c r="W18" s="31"/>
      <c r="X18" s="31">
        <v>29</v>
      </c>
      <c r="Y18" s="31">
        <v>1</v>
      </c>
      <c r="Z18" s="31">
        <v>39</v>
      </c>
      <c r="AA18" s="31"/>
      <c r="AB18" s="31"/>
      <c r="AC18" s="31"/>
      <c r="AD18" s="34">
        <f>IF(COUNT(S18:AC18)=0,0,SUMPRODUCT({5000,1000,500,100,75,50,20,10,5,2,1}, S18:AC18))</f>
        <v>1860</v>
      </c>
      <c r="AE18" s="33">
        <v>113350</v>
      </c>
      <c r="AF18" s="24">
        <f>IF(AND(COUNT(C18:E18)=0,COUNT(G18:I18)=0,COUNT(K18:M18)=0,COUNT(O18:Q18)=0,COUNT(S18:AC18)=0,AE18=""),"",(IF(COUNT(C18:E18)=0,0,SUMPRODUCT({5000,1000,500},C18:E18))+IF(COUNT(G18:I18)=0,0,SUMPRODUCT({5000,1000,500},G18:I18))+IF(COUNT(K18:M18)=0,0,SUMPRODUCT({5000,1000,500},K18:M18))+IF(COUNT(O18:Q18)=0,0,SUMPRODUCT({5000,1000,500},O18:Q18))+AD18)-N(AE18))</f>
        <v>10</v>
      </c>
      <c r="AG18" s="35" t="str">
        <f t="shared" si="0"/>
        <v>Excess</v>
      </c>
      <c r="AH18" s="38"/>
      <c r="AI18" s="36">
        <v>374954.62</v>
      </c>
      <c r="AJ18" s="37">
        <f>336129.62+38825</f>
        <v>374954.62</v>
      </c>
      <c r="AK18" s="26">
        <f t="shared" si="1"/>
        <v>0</v>
      </c>
      <c r="AL18" s="25" t="str">
        <f t="shared" si="2"/>
        <v>Matched</v>
      </c>
      <c r="AM18" s="38"/>
    </row>
    <row r="19" spans="1:39" ht="12.75" customHeight="1" x14ac:dyDescent="0.25">
      <c r="A19" s="31">
        <v>78242</v>
      </c>
      <c r="B19" s="32" t="str">
        <f>IF(A19="","",VLOOKUP(A19,'Employee Database'!A:B,2,FALSE))</f>
        <v>Hamad Mughal</v>
      </c>
      <c r="C19" s="31"/>
      <c r="D19" s="31"/>
      <c r="E19" s="31"/>
      <c r="F19" s="39">
        <f>IF(COUNT(C19:E19)=0,0,SUMPRODUCT({5000,1000,500},C19:E19))</f>
        <v>0</v>
      </c>
      <c r="G19" s="31">
        <v>32</v>
      </c>
      <c r="H19" s="31">
        <v>129</v>
      </c>
      <c r="I19" s="31">
        <v>14</v>
      </c>
      <c r="J19" s="39">
        <f>IF(COUNT(G19:I19)=0,0,SUMPRODUCT({5000,1000,500},G19:I19))</f>
        <v>296000</v>
      </c>
      <c r="K19" s="31"/>
      <c r="L19" s="31"/>
      <c r="M19" s="31"/>
      <c r="N19" s="39">
        <f>IF(COUNT(K19:M19)=0,0,SUMPRODUCT({5000,1000,500},K19:M19))</f>
        <v>0</v>
      </c>
      <c r="O19" s="31"/>
      <c r="P19" s="31"/>
      <c r="Q19" s="31"/>
      <c r="R19" s="39">
        <f>IF(COUNT(O19:Q19)=0,0,SUMPRODUCT({5000,1000,500},O19:Q19))</f>
        <v>0</v>
      </c>
      <c r="S19" s="31"/>
      <c r="T19" s="31"/>
      <c r="U19" s="31"/>
      <c r="V19" s="31">
        <v>27</v>
      </c>
      <c r="W19" s="31"/>
      <c r="X19" s="31">
        <v>227</v>
      </c>
      <c r="Y19" s="31"/>
      <c r="Z19" s="31">
        <v>244</v>
      </c>
      <c r="AA19" s="31"/>
      <c r="AB19" s="31"/>
      <c r="AC19" s="31"/>
      <c r="AD19" s="34">
        <f>IF(COUNT(S19:AC19)=0,0,SUMPRODUCT({5000,1000,500,100,75,50,20,10,5,2,1}, S19:AC19))</f>
        <v>16490</v>
      </c>
      <c r="AE19" s="33">
        <v>312476</v>
      </c>
      <c r="AF19" s="24">
        <f>IF(AND(COUNT(C19:E19)=0,COUNT(G19:I19)=0,COUNT(K19:M19)=0,COUNT(O19:Q19)=0,COUNT(S19:AC19)=0,AE19=""),"",(IF(COUNT(C19:E19)=0,0,SUMPRODUCT({5000,1000,500},C19:E19))+IF(COUNT(G19:I19)=0,0,SUMPRODUCT({5000,1000,500},G19:I19))+IF(COUNT(K19:M19)=0,0,SUMPRODUCT({5000,1000,500},K19:M19))+IF(COUNT(O19:Q19)=0,0,SUMPRODUCT({5000,1000,500},O19:Q19))+AD19)-N(AE19))</f>
        <v>14</v>
      </c>
      <c r="AG19" s="35" t="str">
        <f t="shared" si="0"/>
        <v>Excess</v>
      </c>
      <c r="AH19" s="38"/>
      <c r="AI19" s="36">
        <v>517515</v>
      </c>
      <c r="AJ19" s="37">
        <v>517515</v>
      </c>
      <c r="AK19" s="26">
        <f t="shared" si="1"/>
        <v>0</v>
      </c>
      <c r="AL19" s="25" t="str">
        <f t="shared" si="2"/>
        <v>Matched</v>
      </c>
      <c r="AM19" s="38"/>
    </row>
    <row r="20" spans="1:39" ht="12.75" customHeight="1" x14ac:dyDescent="0.25">
      <c r="A20" s="31">
        <v>68475</v>
      </c>
      <c r="B20" s="32" t="str">
        <f>IF(A20="","",VLOOKUP(A20,'Employee Database'!A:B,2,FALSE))</f>
        <v>M Azeem</v>
      </c>
      <c r="C20" s="31"/>
      <c r="D20" s="31"/>
      <c r="E20" s="31"/>
      <c r="F20" s="39">
        <f>IF(COUNT(C20:E20)=0,0,SUMPRODUCT({5000,1000,500},C20:E20))</f>
        <v>0</v>
      </c>
      <c r="G20" s="31">
        <v>36</v>
      </c>
      <c r="H20" s="31">
        <v>69</v>
      </c>
      <c r="I20" s="31">
        <v>23</v>
      </c>
      <c r="J20" s="39">
        <f>IF(COUNT(G20:I20)=0,0,SUMPRODUCT({5000,1000,500},G20:I20))</f>
        <v>260500</v>
      </c>
      <c r="K20" s="31"/>
      <c r="L20" s="31"/>
      <c r="M20" s="31"/>
      <c r="N20" s="39">
        <f>IF(COUNT(K20:M20)=0,0,SUMPRODUCT({5000,1000,500},K20:M20))</f>
        <v>0</v>
      </c>
      <c r="O20" s="31"/>
      <c r="P20" s="31"/>
      <c r="Q20" s="31"/>
      <c r="R20" s="39">
        <f>IF(COUNT(O20:Q20)=0,0,SUMPRODUCT({5000,1000,500},O20:Q20))</f>
        <v>0</v>
      </c>
      <c r="S20" s="31"/>
      <c r="T20" s="31"/>
      <c r="U20" s="31"/>
      <c r="V20" s="31">
        <v>3</v>
      </c>
      <c r="W20" s="31"/>
      <c r="X20" s="31">
        <v>10</v>
      </c>
      <c r="Y20" s="31"/>
      <c r="Z20" s="31">
        <v>10</v>
      </c>
      <c r="AA20" s="31"/>
      <c r="AB20" s="31"/>
      <c r="AC20" s="31"/>
      <c r="AD20" s="34">
        <f>IF(COUNT(S20:AC20)=0,0,SUMPRODUCT({5000,1000,500,100,75,50,20,10,5,2,1}, S20:AC20))</f>
        <v>900</v>
      </c>
      <c r="AE20" s="33">
        <v>261367</v>
      </c>
      <c r="AF20" s="24">
        <f>IF(AND(COUNT(C20:E20)=0,COUNT(G20:I20)=0,COUNT(K20:M20)=0,COUNT(O20:Q20)=0,COUNT(S20:AC20)=0,AE20=""),"",(IF(COUNT(C20:E20)=0,0,SUMPRODUCT({5000,1000,500},C20:E20))+IF(COUNT(G20:I20)=0,0,SUMPRODUCT({5000,1000,500},G20:I20))+IF(COUNT(K20:M20)=0,0,SUMPRODUCT({5000,1000,500},K20:M20))+IF(COUNT(O20:Q20)=0,0,SUMPRODUCT({5000,1000,500},O20:Q20))+AD20)-N(AE20))</f>
        <v>33</v>
      </c>
      <c r="AG20" s="35" t="str">
        <f t="shared" si="0"/>
        <v>Excess</v>
      </c>
      <c r="AH20" s="38"/>
      <c r="AI20" s="36">
        <v>504178.31</v>
      </c>
      <c r="AJ20" s="37">
        <v>504178.31</v>
      </c>
      <c r="AK20" s="26">
        <f t="shared" si="1"/>
        <v>0</v>
      </c>
      <c r="AL20" s="25" t="str">
        <f t="shared" si="2"/>
        <v>Matched</v>
      </c>
      <c r="AM20" s="38"/>
    </row>
    <row r="21" spans="1:39" ht="12.75" customHeight="1" x14ac:dyDescent="0.25">
      <c r="A21" s="31">
        <v>75768</v>
      </c>
      <c r="B21" s="32" t="str">
        <f>IF(A21="","",VLOOKUP(A21,'Employee Database'!A:B,2,FALSE))</f>
        <v>Zuhaib</v>
      </c>
      <c r="C21" s="31"/>
      <c r="D21" s="31"/>
      <c r="E21" s="31"/>
      <c r="F21" s="39">
        <f>IF(COUNT(C21:E21)=0,0,SUMPRODUCT({5000,1000,500},C21:E21))</f>
        <v>0</v>
      </c>
      <c r="G21" s="31">
        <v>46</v>
      </c>
      <c r="H21" s="31">
        <v>103</v>
      </c>
      <c r="I21" s="31">
        <v>9</v>
      </c>
      <c r="J21" s="39">
        <f>IF(COUNT(G21:I21)=0,0,SUMPRODUCT({5000,1000,500},G21:I21))</f>
        <v>337500</v>
      </c>
      <c r="K21" s="31"/>
      <c r="L21" s="31"/>
      <c r="M21" s="31"/>
      <c r="N21" s="39">
        <f>IF(COUNT(K21:M21)=0,0,SUMPRODUCT({5000,1000,500},K21:M21))</f>
        <v>0</v>
      </c>
      <c r="O21" s="31"/>
      <c r="P21" s="31"/>
      <c r="Q21" s="31"/>
      <c r="R21" s="39">
        <f>IF(COUNT(O21:Q21)=0,0,SUMPRODUCT({5000,1000,500},O21:Q21))</f>
        <v>0</v>
      </c>
      <c r="S21" s="31"/>
      <c r="T21" s="31"/>
      <c r="U21" s="31"/>
      <c r="V21" s="31"/>
      <c r="W21" s="31"/>
      <c r="X21" s="31"/>
      <c r="Y21" s="31"/>
      <c r="Z21" s="31">
        <v>29</v>
      </c>
      <c r="AA21" s="31"/>
      <c r="AB21" s="31"/>
      <c r="AC21" s="31"/>
      <c r="AD21" s="34">
        <f>IF(COUNT(S21:AC21)=0,0,SUMPRODUCT({5000,1000,500,100,75,50,20,10,5,2,1}, S21:AC21))</f>
        <v>290</v>
      </c>
      <c r="AE21" s="33">
        <v>337745</v>
      </c>
      <c r="AF21" s="24">
        <f>IF(AND(COUNT(C21:E21)=0,COUNT(G21:I21)=0,COUNT(K21:M21)=0,COUNT(O21:Q21)=0,COUNT(S21:AC21)=0,AE21=""),"",(IF(COUNT(C21:E21)=0,0,SUMPRODUCT({5000,1000,500},C21:E21))+IF(COUNT(G21:I21)=0,0,SUMPRODUCT({5000,1000,500},G21:I21))+IF(COUNT(K21:M21)=0,0,SUMPRODUCT({5000,1000,500},K21:M21))+IF(COUNT(O21:Q21)=0,0,SUMPRODUCT({5000,1000,500},O21:Q21))+AD21)-N(AE21))</f>
        <v>45</v>
      </c>
      <c r="AG21" s="35" t="str">
        <f t="shared" si="0"/>
        <v>Excess</v>
      </c>
      <c r="AH21" s="38"/>
      <c r="AI21" s="36">
        <v>749330.77</v>
      </c>
      <c r="AJ21" s="37">
        <v>749330.77</v>
      </c>
      <c r="AK21" s="26">
        <f t="shared" si="1"/>
        <v>0</v>
      </c>
      <c r="AL21" s="25" t="str">
        <f t="shared" si="2"/>
        <v>Matched</v>
      </c>
      <c r="AM21" s="38"/>
    </row>
    <row r="22" spans="1:39" ht="12.75" customHeight="1" x14ac:dyDescent="0.25">
      <c r="A22" s="31">
        <v>50524</v>
      </c>
      <c r="B22" s="32" t="str">
        <f>IF(A22="","",VLOOKUP(A22,'Employee Database'!A:B,2,FALSE))</f>
        <v>Allah Rakha</v>
      </c>
      <c r="C22" s="31"/>
      <c r="D22" s="31"/>
      <c r="E22" s="31"/>
      <c r="F22" s="39">
        <f>IF(COUNT(C22:E22)=0,0,SUMPRODUCT({5000,1000,500},C22:E22))</f>
        <v>0</v>
      </c>
      <c r="G22" s="31">
        <v>51</v>
      </c>
      <c r="H22" s="31">
        <v>60</v>
      </c>
      <c r="I22" s="31">
        <v>10</v>
      </c>
      <c r="J22" s="39">
        <f>IF(COUNT(G22:I22)=0,0,SUMPRODUCT({5000,1000,500},G22:I22))</f>
        <v>320000</v>
      </c>
      <c r="K22" s="31"/>
      <c r="L22" s="31"/>
      <c r="M22" s="31"/>
      <c r="N22" s="39">
        <f>IF(COUNT(K22:M22)=0,0,SUMPRODUCT({5000,1000,500},K22:M22))</f>
        <v>0</v>
      </c>
      <c r="O22" s="31"/>
      <c r="P22" s="31"/>
      <c r="Q22" s="31"/>
      <c r="R22" s="39">
        <f>IF(COUNT(O22:Q22)=0,0,SUMPRODUCT({5000,1000,500},O22:Q22))</f>
        <v>0</v>
      </c>
      <c r="S22" s="31"/>
      <c r="T22" s="31"/>
      <c r="U22" s="31"/>
      <c r="V22" s="31">
        <v>9</v>
      </c>
      <c r="W22" s="31"/>
      <c r="X22" s="31">
        <v>60</v>
      </c>
      <c r="Y22" s="31"/>
      <c r="Z22" s="31">
        <v>73</v>
      </c>
      <c r="AA22" s="31"/>
      <c r="AB22" s="31"/>
      <c r="AC22" s="31"/>
      <c r="AD22" s="34">
        <f>IF(COUNT(S22:AC22)=0,0,SUMPRODUCT({5000,1000,500,100,75,50,20,10,5,2,1}, S22:AC22))</f>
        <v>4630</v>
      </c>
      <c r="AE22" s="33">
        <v>324664</v>
      </c>
      <c r="AF22" s="24">
        <f>IF(AND(COUNT(C22:E22)=0,COUNT(G22:I22)=0,COUNT(K22:M22)=0,COUNT(O22:Q22)=0,COUNT(S22:AC22)=0,AE22=""),"",(IF(COUNT(C22:E22)=0,0,SUMPRODUCT({5000,1000,500},C22:E22))+IF(COUNT(G22:I22)=0,0,SUMPRODUCT({5000,1000,500},G22:I22))+IF(COUNT(K22:M22)=0,0,SUMPRODUCT({5000,1000,500},K22:M22))+IF(COUNT(O22:Q22)=0,0,SUMPRODUCT({5000,1000,500},O22:Q22))+AD22)-N(AE22))</f>
        <v>-34</v>
      </c>
      <c r="AG22" s="35" t="str">
        <f t="shared" si="0"/>
        <v>Short</v>
      </c>
      <c r="AH22" s="38"/>
      <c r="AI22" s="36">
        <f>47161.84+393795.47</f>
        <v>440957.30999999994</v>
      </c>
      <c r="AJ22" s="37">
        <f>253802.58+138229.29+48925.44</f>
        <v>440957.31</v>
      </c>
      <c r="AK22" s="26">
        <f t="shared" si="1"/>
        <v>-5.8207660913467407E-11</v>
      </c>
      <c r="AL22" s="25" t="str">
        <f t="shared" si="2"/>
        <v>Bank Short</v>
      </c>
      <c r="AM22" s="38"/>
    </row>
    <row r="23" spans="1:39" ht="12.75" customHeight="1" x14ac:dyDescent="0.25">
      <c r="A23" s="31">
        <v>67799</v>
      </c>
      <c r="B23" s="32" t="str">
        <f>IF(A23="","",VLOOKUP(A23,'Employee Database'!A:B,2,FALSE))</f>
        <v>Hassan Raza</v>
      </c>
      <c r="C23" s="31"/>
      <c r="D23" s="31"/>
      <c r="E23" s="31"/>
      <c r="F23" s="39">
        <f>IF(COUNT(C23:E23)=0,0,SUMPRODUCT({5000,1000,500},C23:E23))</f>
        <v>0</v>
      </c>
      <c r="G23" s="31">
        <v>20</v>
      </c>
      <c r="H23" s="31">
        <v>48</v>
      </c>
      <c r="I23" s="31">
        <v>8</v>
      </c>
      <c r="J23" s="39">
        <f>IF(COUNT(G23:I23)=0,0,SUMPRODUCT({5000,1000,500},G23:I23))</f>
        <v>152000</v>
      </c>
      <c r="K23" s="31"/>
      <c r="L23" s="31"/>
      <c r="M23" s="31"/>
      <c r="N23" s="39">
        <f>IF(COUNT(K23:M23)=0,0,SUMPRODUCT({5000,1000,500},K23:M23))</f>
        <v>0</v>
      </c>
      <c r="O23" s="31"/>
      <c r="P23" s="31"/>
      <c r="Q23" s="31"/>
      <c r="R23" s="39">
        <f>IF(COUNT(O23:Q23)=0,0,SUMPRODUCT({5000,1000,500},O23:Q23))</f>
        <v>0</v>
      </c>
      <c r="S23" s="31"/>
      <c r="T23" s="31"/>
      <c r="U23" s="31"/>
      <c r="V23" s="31"/>
      <c r="W23" s="31"/>
      <c r="X23" s="31">
        <v>19</v>
      </c>
      <c r="Y23" s="31"/>
      <c r="Z23" s="31">
        <v>56</v>
      </c>
      <c r="AA23" s="31"/>
      <c r="AB23" s="31"/>
      <c r="AC23" s="31"/>
      <c r="AD23" s="34">
        <f>IF(COUNT(S23:AC23)=0,0,SUMPRODUCT({5000,1000,500,100,75,50,20,10,5,2,1}, S23:AC23))</f>
        <v>1510</v>
      </c>
      <c r="AE23" s="33">
        <v>153504</v>
      </c>
      <c r="AF23" s="24">
        <f>IF(AND(COUNT(C23:E23)=0,COUNT(G23:I23)=0,COUNT(K23:M23)=0,COUNT(O23:Q23)=0,COUNT(S23:AC23)=0,AE23=""),"",(IF(COUNT(C23:E23)=0,0,SUMPRODUCT({5000,1000,500},C23:E23))+IF(COUNT(G23:I23)=0,0,SUMPRODUCT({5000,1000,500},G23:I23))+IF(COUNT(K23:M23)=0,0,SUMPRODUCT({5000,1000,500},K23:M23))+IF(COUNT(O23:Q23)=0,0,SUMPRODUCT({5000,1000,500},O23:Q23))+AD23)-N(AE23))</f>
        <v>6</v>
      </c>
      <c r="AG23" s="35" t="str">
        <f t="shared" si="0"/>
        <v>Excess</v>
      </c>
      <c r="AH23" s="38"/>
      <c r="AI23" s="36">
        <v>160753.45000000001</v>
      </c>
      <c r="AJ23" s="37">
        <f>112804.16+47949.29</f>
        <v>160753.45000000001</v>
      </c>
      <c r="AK23" s="26">
        <f t="shared" si="1"/>
        <v>0</v>
      </c>
      <c r="AL23" s="25" t="str">
        <f t="shared" si="2"/>
        <v>Matched</v>
      </c>
      <c r="AM23" s="38"/>
    </row>
    <row r="24" spans="1:39" ht="12.75" customHeight="1" x14ac:dyDescent="0.25">
      <c r="A24" s="31">
        <v>61648</v>
      </c>
      <c r="B24" s="32" t="str">
        <f>IF(A24="","",VLOOKUP(A24,'Employee Database'!A:B,2,FALSE))</f>
        <v>Rizwan</v>
      </c>
      <c r="C24" s="31"/>
      <c r="D24" s="31"/>
      <c r="E24" s="31"/>
      <c r="F24" s="39">
        <f>IF(COUNT(C24:E24)=0,0,SUMPRODUCT({5000,1000,500},C24:E24))</f>
        <v>0</v>
      </c>
      <c r="G24" s="31">
        <v>26</v>
      </c>
      <c r="H24" s="31">
        <v>33</v>
      </c>
      <c r="I24" s="31">
        <v>10</v>
      </c>
      <c r="J24" s="39">
        <f>IF(COUNT(G24:I24)=0,0,SUMPRODUCT({5000,1000,500},G24:I24))</f>
        <v>168000</v>
      </c>
      <c r="K24" s="31"/>
      <c r="L24" s="31"/>
      <c r="M24" s="31"/>
      <c r="N24" s="39">
        <f>IF(COUNT(K24:M24)=0,0,SUMPRODUCT({5000,1000,500},K24:M24))</f>
        <v>0</v>
      </c>
      <c r="O24" s="31"/>
      <c r="P24" s="31"/>
      <c r="Q24" s="31"/>
      <c r="R24" s="39">
        <f>IF(COUNT(O24:Q24)=0,0,SUMPRODUCT({5000,1000,500},O24:Q24))</f>
        <v>0</v>
      </c>
      <c r="S24" s="31"/>
      <c r="T24" s="31"/>
      <c r="U24" s="31"/>
      <c r="V24" s="31">
        <v>2</v>
      </c>
      <c r="W24" s="31"/>
      <c r="X24" s="31">
        <v>37</v>
      </c>
      <c r="Y24" s="31"/>
      <c r="Z24" s="31">
        <v>43</v>
      </c>
      <c r="AA24" s="31"/>
      <c r="AB24" s="31"/>
      <c r="AC24" s="31"/>
      <c r="AD24" s="34">
        <f>IF(COUNT(S24:AC24)=0,0,SUMPRODUCT({5000,1000,500,100,75,50,20,10,5,2,1}, S24:AC24))</f>
        <v>2480</v>
      </c>
      <c r="AE24" s="33">
        <v>170575</v>
      </c>
      <c r="AF24" s="24">
        <f>IF(AND(COUNT(C24:E24)=0,COUNT(G24:I24)=0,COUNT(K24:M24)=0,COUNT(O24:Q24)=0,COUNT(S24:AC24)=0,AE24=""),"",(IF(COUNT(C24:E24)=0,0,SUMPRODUCT({5000,1000,500},C24:E24))+IF(COUNT(G24:I24)=0,0,SUMPRODUCT({5000,1000,500},G24:I24))+IF(COUNT(K24:M24)=0,0,SUMPRODUCT({5000,1000,500},K24:M24))+IF(COUNT(O24:Q24)=0,0,SUMPRODUCT({5000,1000,500},O24:Q24))+AD24)-N(AE24))</f>
        <v>-95</v>
      </c>
      <c r="AG24" s="35" t="str">
        <f t="shared" si="0"/>
        <v>Short</v>
      </c>
      <c r="AH24" s="38"/>
      <c r="AI24" s="36">
        <v>428050.56</v>
      </c>
      <c r="AJ24" s="37">
        <f>99281.03+328769.53</f>
        <v>428050.56000000006</v>
      </c>
      <c r="AK24" s="26">
        <f t="shared" si="1"/>
        <v>-5.8207660913467407E-11</v>
      </c>
      <c r="AL24" s="25" t="str">
        <f t="shared" si="2"/>
        <v>Bank Short</v>
      </c>
      <c r="AM24" s="38"/>
    </row>
    <row r="25" spans="1:39" ht="12.75" customHeight="1" x14ac:dyDescent="0.25">
      <c r="A25" s="31">
        <v>53893</v>
      </c>
      <c r="B25" s="32" t="str">
        <f>IF(A25="","",VLOOKUP(A25,'Employee Database'!A:B,2,FALSE))</f>
        <v>M Binyameen</v>
      </c>
      <c r="C25" s="31"/>
      <c r="D25" s="31"/>
      <c r="E25" s="31"/>
      <c r="F25" s="39">
        <f>IF(COUNT(C25:E25)=0,0,SUMPRODUCT({5000,1000,500},C25:E25))</f>
        <v>0</v>
      </c>
      <c r="G25" s="31">
        <v>9</v>
      </c>
      <c r="H25" s="31">
        <v>64</v>
      </c>
      <c r="I25" s="31">
        <v>2</v>
      </c>
      <c r="J25" s="39">
        <f>IF(COUNT(G25:I25)=0,0,SUMPRODUCT({5000,1000,500},G25:I25))</f>
        <v>110000</v>
      </c>
      <c r="K25" s="31"/>
      <c r="L25" s="31"/>
      <c r="M25" s="31"/>
      <c r="N25" s="39">
        <f>IF(COUNT(K25:M25)=0,0,SUMPRODUCT({5000,1000,500},K25:M25))</f>
        <v>0</v>
      </c>
      <c r="O25" s="31"/>
      <c r="P25" s="31"/>
      <c r="Q25" s="31"/>
      <c r="R25" s="39">
        <f>IF(COUNT(O25:Q25)=0,0,SUMPRODUCT({5000,1000,500},O25:Q25))</f>
        <v>0</v>
      </c>
      <c r="S25" s="31"/>
      <c r="T25" s="31"/>
      <c r="U25" s="31"/>
      <c r="V25" s="31">
        <v>3</v>
      </c>
      <c r="W25" s="31"/>
      <c r="X25" s="31">
        <v>1</v>
      </c>
      <c r="Y25" s="31">
        <v>1</v>
      </c>
      <c r="Z25" s="31">
        <v>30</v>
      </c>
      <c r="AA25" s="31"/>
      <c r="AB25" s="31"/>
      <c r="AC25" s="31"/>
      <c r="AD25" s="34">
        <f>IF(COUNT(S25:AC25)=0,0,SUMPRODUCT({5000,1000,500,100,75,50,20,10,5,2,1}, S25:AC25))</f>
        <v>670</v>
      </c>
      <c r="AE25" s="33">
        <v>110648</v>
      </c>
      <c r="AF25" s="24">
        <f>IF(AND(COUNT(C25:E25)=0,COUNT(G25:I25)=0,COUNT(K25:M25)=0,COUNT(O25:Q25)=0,COUNT(S25:AC25)=0,AE25=""),"",(IF(COUNT(C25:E25)=0,0,SUMPRODUCT({5000,1000,500},C25:E25))+IF(COUNT(G25:I25)=0,0,SUMPRODUCT({5000,1000,500},G25:I25))+IF(COUNT(K25:M25)=0,0,SUMPRODUCT({5000,1000,500},K25:M25))+IF(COUNT(O25:Q25)=0,0,SUMPRODUCT({5000,1000,500},O25:Q25))+AD25)-N(AE25))</f>
        <v>22</v>
      </c>
      <c r="AG25" s="35" t="str">
        <f t="shared" si="0"/>
        <v>Excess</v>
      </c>
      <c r="AH25" s="38"/>
      <c r="AI25" s="36">
        <f>403613.54+56207.83</f>
        <v>459821.37</v>
      </c>
      <c r="AJ25" s="37">
        <f>123076.06+280537.48+56207.83</f>
        <v>459821.37</v>
      </c>
      <c r="AK25" s="26">
        <f t="shared" si="1"/>
        <v>0</v>
      </c>
      <c r="AL25" s="25" t="str">
        <f t="shared" si="2"/>
        <v>Matched</v>
      </c>
      <c r="AM25" s="38"/>
    </row>
    <row r="26" spans="1:39" ht="12.75" customHeight="1" x14ac:dyDescent="0.25">
      <c r="A26" s="31">
        <v>73679</v>
      </c>
      <c r="B26" s="32" t="str">
        <f>IF(A26="","",VLOOKUP(A26,'Employee Database'!A:B,2,FALSE))</f>
        <v>Imran Waqar</v>
      </c>
      <c r="C26" s="31"/>
      <c r="D26" s="31"/>
      <c r="E26" s="31"/>
      <c r="F26" s="39">
        <f>IF(COUNT(C26:E26)=0,0,SUMPRODUCT({5000,1000,500},C26:E26))</f>
        <v>0</v>
      </c>
      <c r="G26" s="31">
        <v>28</v>
      </c>
      <c r="H26" s="31">
        <v>85</v>
      </c>
      <c r="I26" s="31">
        <v>59</v>
      </c>
      <c r="J26" s="39">
        <f>IF(COUNT(G26:I26)=0,0,SUMPRODUCT({5000,1000,500},G26:I26))</f>
        <v>254500</v>
      </c>
      <c r="K26" s="31"/>
      <c r="L26" s="31"/>
      <c r="M26" s="31"/>
      <c r="N26" s="39">
        <f>IF(COUNT(K26:M26)=0,0,SUMPRODUCT({5000,1000,500},K26:M26))</f>
        <v>0</v>
      </c>
      <c r="O26" s="31"/>
      <c r="P26" s="31"/>
      <c r="Q26" s="31"/>
      <c r="R26" s="39">
        <f>IF(COUNT(O26:Q26)=0,0,SUMPRODUCT({5000,1000,500},O26:Q26))</f>
        <v>0</v>
      </c>
      <c r="S26" s="31"/>
      <c r="T26" s="31"/>
      <c r="U26" s="31"/>
      <c r="V26" s="31">
        <v>1</v>
      </c>
      <c r="W26" s="31"/>
      <c r="X26" s="31"/>
      <c r="Y26" s="31">
        <v>1</v>
      </c>
      <c r="Z26" s="31">
        <v>2</v>
      </c>
      <c r="AA26" s="31"/>
      <c r="AB26" s="31"/>
      <c r="AC26" s="31"/>
      <c r="AD26" s="34">
        <f>IF(COUNT(S26:AC26)=0,0,SUMPRODUCT({5000,1000,500,100,75,50,20,10,5,2,1}, S26:AC26))</f>
        <v>140</v>
      </c>
      <c r="AE26" s="33">
        <v>254594</v>
      </c>
      <c r="AF26" s="24">
        <f>IF(AND(COUNT(C26:E26)=0,COUNT(G26:I26)=0,COUNT(K26:M26)=0,COUNT(O26:Q26)=0,COUNT(S26:AC26)=0,AE26=""),"",(IF(COUNT(C26:E26)=0,0,SUMPRODUCT({5000,1000,500},C26:E26))+IF(COUNT(G26:I26)=0,0,SUMPRODUCT({5000,1000,500},G26:I26))+IF(COUNT(K26:M26)=0,0,SUMPRODUCT({5000,1000,500},K26:M26))+IF(COUNT(O26:Q26)=0,0,SUMPRODUCT({5000,1000,500},O26:Q26))+AD26)-N(AE26))</f>
        <v>46</v>
      </c>
      <c r="AG26" s="35" t="str">
        <f t="shared" si="0"/>
        <v>Excess</v>
      </c>
      <c r="AH26" s="38"/>
      <c r="AI26" s="36">
        <v>343492.72</v>
      </c>
      <c r="AJ26" s="37">
        <f>125865.18+65669.45+151958.09</f>
        <v>343492.72</v>
      </c>
      <c r="AK26" s="26">
        <f t="shared" si="1"/>
        <v>0</v>
      </c>
      <c r="AL26" s="25" t="str">
        <f t="shared" si="2"/>
        <v>Matched</v>
      </c>
      <c r="AM26" s="38"/>
    </row>
    <row r="27" spans="1:39" ht="12.75" customHeight="1" x14ac:dyDescent="0.25">
      <c r="A27" s="31">
        <v>50313</v>
      </c>
      <c r="B27" s="32" t="str">
        <f>IF(A27="","",VLOOKUP(A27,'Employee Database'!A:B,2,FALSE))</f>
        <v>Waseem Raza</v>
      </c>
      <c r="C27" s="31"/>
      <c r="D27" s="31"/>
      <c r="E27" s="31"/>
      <c r="F27" s="39">
        <f>IF(COUNT(C27:E27)=0,0,SUMPRODUCT({5000,1000,500},C27:E27))</f>
        <v>0</v>
      </c>
      <c r="G27" s="31"/>
      <c r="H27" s="31">
        <v>4</v>
      </c>
      <c r="I27" s="31">
        <v>1</v>
      </c>
      <c r="J27" s="39">
        <f>IF(COUNT(G27:I27)=0,0,SUMPRODUCT({5000,1000,500},G27:I27))</f>
        <v>4500</v>
      </c>
      <c r="K27" s="31"/>
      <c r="L27" s="31"/>
      <c r="M27" s="31"/>
      <c r="N27" s="39">
        <f>IF(COUNT(K27:M27)=0,0,SUMPRODUCT({5000,1000,500},K27:M27))</f>
        <v>0</v>
      </c>
      <c r="O27" s="31"/>
      <c r="P27" s="31"/>
      <c r="Q27" s="31"/>
      <c r="R27" s="39">
        <f>IF(COUNT(O27:Q27)=0,0,SUMPRODUCT({5000,1000,500},O27:Q27))</f>
        <v>0</v>
      </c>
      <c r="S27" s="31"/>
      <c r="T27" s="31"/>
      <c r="U27" s="31"/>
      <c r="V27" s="31">
        <v>1</v>
      </c>
      <c r="W27" s="31"/>
      <c r="X27" s="31">
        <v>6</v>
      </c>
      <c r="Y27" s="31"/>
      <c r="Z27" s="31">
        <v>2</v>
      </c>
      <c r="AA27" s="31"/>
      <c r="AB27" s="31"/>
      <c r="AC27" s="31"/>
      <c r="AD27" s="34">
        <f>IF(COUNT(S27:AC27)=0,0,SUMPRODUCT({5000,1000,500,100,75,50,20,10,5,2,1}, S27:AC27))</f>
        <v>420</v>
      </c>
      <c r="AE27" s="33">
        <v>4926</v>
      </c>
      <c r="AF27" s="24">
        <f>IF(AND(COUNT(C27:E27)=0,COUNT(G27:I27)=0,COUNT(K27:M27)=0,COUNT(O27:Q27)=0,COUNT(S27:AC27)=0,AE27=""),"",(IF(COUNT(C27:E27)=0,0,SUMPRODUCT({5000,1000,500},C27:E27))+IF(COUNT(G27:I27)=0,0,SUMPRODUCT({5000,1000,500},G27:I27))+IF(COUNT(K27:M27)=0,0,SUMPRODUCT({5000,1000,500},K27:M27))+IF(COUNT(O27:Q27)=0,0,SUMPRODUCT({5000,1000,500},O27:Q27))+AD27)-N(AE27))</f>
        <v>-6</v>
      </c>
      <c r="AG27" s="35" t="str">
        <f t="shared" si="0"/>
        <v>Short</v>
      </c>
      <c r="AH27" s="38"/>
      <c r="AI27" s="36"/>
      <c r="AJ27" s="37"/>
      <c r="AK27" s="26" t="str">
        <f t="shared" si="1"/>
        <v/>
      </c>
      <c r="AL27" s="25" t="str">
        <f t="shared" si="2"/>
        <v/>
      </c>
      <c r="AM27" s="38"/>
    </row>
    <row r="28" spans="1:39" ht="12.75" customHeight="1" x14ac:dyDescent="0.25">
      <c r="A28" s="31"/>
      <c r="B28" s="32" t="str">
        <f>IF(A28="","",VLOOKUP(A28,'Employee Database'!A:B,2,FALSE))</f>
        <v/>
      </c>
      <c r="C28" s="31"/>
      <c r="D28" s="31"/>
      <c r="E28" s="31"/>
      <c r="F28" s="39">
        <f>IF(COUNT(C28:E28)=0,0,SUMPRODUCT({5000,1000,500},C28:E28))</f>
        <v>0</v>
      </c>
      <c r="G28" s="31"/>
      <c r="H28" s="31"/>
      <c r="I28" s="31"/>
      <c r="J28" s="39">
        <f>IF(COUNT(G28:I28)=0,0,SUMPRODUCT({5000,1000,500},G28:I28))</f>
        <v>0</v>
      </c>
      <c r="K28" s="31"/>
      <c r="L28" s="31"/>
      <c r="M28" s="31"/>
      <c r="N28" s="39">
        <f>IF(COUNT(K28:M28)=0,0,SUMPRODUCT({5000,1000,500},K28:M28))</f>
        <v>0</v>
      </c>
      <c r="O28" s="31"/>
      <c r="P28" s="31"/>
      <c r="Q28" s="31"/>
      <c r="R28" s="39">
        <f>IF(COUNT(O28:Q28)=0,0,SUMPRODUCT({5000,1000,500},O28:Q28))</f>
        <v>0</v>
      </c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4">
        <f>IF(COUNT(S28:AC28)=0,0,SUMPRODUCT({5000,1000,500,100,75,50,20,10,5,2,1}, S28:AC28))</f>
        <v>0</v>
      </c>
      <c r="AE28" s="33"/>
      <c r="AF28" s="24" t="str">
        <f>IF(AND(COUNT(C28:E28)=0,COUNT(G28:I28)=0,COUNT(K28:M28)=0,COUNT(O28:Q28)=0,COUNT(S28:AC28)=0,AE28=""),"",(IF(COUNT(C28:E28)=0,0,SUMPRODUCT({5000,1000,500},C28:E28))+IF(COUNT(G28:I28)=0,0,SUMPRODUCT({5000,1000,500},G28:I28))+IF(COUNT(K28:M28)=0,0,SUMPRODUCT({5000,1000,500},K28:M28))+IF(COUNT(O28:Q28)=0,0,SUMPRODUCT({5000,1000,500},O28:Q28))+AD28)-N(AE28))</f>
        <v/>
      </c>
      <c r="AG28" s="35" t="str">
        <f t="shared" si="0"/>
        <v/>
      </c>
      <c r="AH28" s="38"/>
      <c r="AI28" s="36"/>
      <c r="AJ28" s="37"/>
      <c r="AK28" s="26" t="str">
        <f t="shared" si="1"/>
        <v/>
      </c>
      <c r="AL28" s="25" t="str">
        <f t="shared" si="2"/>
        <v/>
      </c>
      <c r="AM28" s="38"/>
    </row>
    <row r="29" spans="1:39" ht="12.75" customHeight="1" x14ac:dyDescent="0.25">
      <c r="A29" s="31"/>
      <c r="B29" s="32" t="str">
        <f>IF(A29="","",VLOOKUP(A29,'Employee Database'!A:B,2,FALSE))</f>
        <v/>
      </c>
      <c r="C29" s="31"/>
      <c r="D29" s="31"/>
      <c r="E29" s="31"/>
      <c r="F29" s="39">
        <f>IF(COUNT(C29:E29)=0,0,SUMPRODUCT({5000,1000,500},C29:E29))</f>
        <v>0</v>
      </c>
      <c r="G29" s="31"/>
      <c r="H29" s="31"/>
      <c r="I29" s="31"/>
      <c r="J29" s="39">
        <f>IF(COUNT(G29:I29)=0,0,SUMPRODUCT({5000,1000,500},G29:I29))</f>
        <v>0</v>
      </c>
      <c r="K29" s="31"/>
      <c r="L29" s="31"/>
      <c r="M29" s="31"/>
      <c r="N29" s="39">
        <f>IF(COUNT(K29:M29)=0,0,SUMPRODUCT({5000,1000,500},K29:M29))</f>
        <v>0</v>
      </c>
      <c r="O29" s="31"/>
      <c r="P29" s="31"/>
      <c r="Q29" s="31"/>
      <c r="R29" s="39">
        <f>IF(COUNT(O29:Q29)=0,0,SUMPRODUCT({5000,1000,500},O29:Q29))</f>
        <v>0</v>
      </c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4">
        <f>IF(COUNT(S29:AC29)=0,0,SUMPRODUCT({5000,1000,500,100,75,50,20,10,5,2,1}, S29:AC29))</f>
        <v>0</v>
      </c>
      <c r="AE29" s="33"/>
      <c r="AF29" s="24" t="str">
        <f>IF(AND(COUNT(C29:E29)=0,COUNT(G29:I29)=0,COUNT(K29:M29)=0,COUNT(O29:Q29)=0,COUNT(S29:AC29)=0,AE29=""),"",(IF(COUNT(C29:E29)=0,0,SUMPRODUCT({5000,1000,500},C29:E29))+IF(COUNT(G29:I29)=0,0,SUMPRODUCT({5000,1000,500},G29:I29))+IF(COUNT(K29:M29)=0,0,SUMPRODUCT({5000,1000,500},K29:M29))+IF(COUNT(O29:Q29)=0,0,SUMPRODUCT({5000,1000,500},O29:Q29))+AD29)-N(AE29))</f>
        <v/>
      </c>
      <c r="AG29" s="35" t="str">
        <f t="shared" si="0"/>
        <v/>
      </c>
      <c r="AH29" s="38"/>
      <c r="AI29" s="36"/>
      <c r="AJ29" s="37"/>
      <c r="AK29" s="26" t="str">
        <f t="shared" si="1"/>
        <v/>
      </c>
      <c r="AL29" s="25" t="str">
        <f t="shared" si="2"/>
        <v/>
      </c>
      <c r="AM29" s="38"/>
    </row>
    <row r="30" spans="1:39" ht="12.75" customHeight="1" x14ac:dyDescent="0.25">
      <c r="A30" s="31"/>
      <c r="B30" s="32" t="str">
        <f>IF(A30="","",VLOOKUP(A30,'Employee Database'!A:B,2,FALSE))</f>
        <v/>
      </c>
      <c r="C30" s="31"/>
      <c r="D30" s="31"/>
      <c r="E30" s="31"/>
      <c r="F30" s="39">
        <f>IF(COUNT(C30:E30)=0,0,SUMPRODUCT({5000,1000,500},C30:E30))</f>
        <v>0</v>
      </c>
      <c r="G30" s="31"/>
      <c r="H30" s="31"/>
      <c r="I30" s="31"/>
      <c r="J30" s="39">
        <f>IF(COUNT(G30:I30)=0,0,SUMPRODUCT({5000,1000,500},G30:I30))</f>
        <v>0</v>
      </c>
      <c r="K30" s="31"/>
      <c r="L30" s="31"/>
      <c r="M30" s="31"/>
      <c r="N30" s="39">
        <f>IF(COUNT(K30:M30)=0,0,SUMPRODUCT({5000,1000,500},K30:M30))</f>
        <v>0</v>
      </c>
      <c r="O30" s="31"/>
      <c r="P30" s="31"/>
      <c r="Q30" s="31"/>
      <c r="R30" s="39">
        <f>IF(COUNT(O30:Q30)=0,0,SUMPRODUCT({5000,1000,500},O30:Q30))</f>
        <v>0</v>
      </c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4">
        <f>IF(COUNT(S30:AC30)=0,0,SUMPRODUCT({5000,1000,500,100,75,50,20,10,5,2,1}, S30:AC30))</f>
        <v>0</v>
      </c>
      <c r="AE30" s="33"/>
      <c r="AF30" s="24" t="str">
        <f>IF(AND(COUNT(C30:E30)=0,COUNT(G30:I30)=0,COUNT(K30:M30)=0,COUNT(O30:Q30)=0,COUNT(S30:AC30)=0,AE30=""),"",(IF(COUNT(C30:E30)=0,0,SUMPRODUCT({5000,1000,500},C30:E30))+IF(COUNT(G30:I30)=0,0,SUMPRODUCT({5000,1000,500},G30:I30))+IF(COUNT(K30:M30)=0,0,SUMPRODUCT({5000,1000,500},K30:M30))+IF(COUNT(O30:Q30)=0,0,SUMPRODUCT({5000,1000,500},O30:Q30))+AD30)-N(AE30))</f>
        <v/>
      </c>
      <c r="AG30" s="35" t="str">
        <f t="shared" si="0"/>
        <v/>
      </c>
      <c r="AH30" s="38"/>
      <c r="AI30" s="36"/>
      <c r="AJ30" s="37"/>
      <c r="AK30" s="26" t="str">
        <f t="shared" si="1"/>
        <v/>
      </c>
      <c r="AL30" s="25" t="str">
        <f t="shared" si="2"/>
        <v/>
      </c>
      <c r="AM30" s="38"/>
    </row>
    <row r="31" spans="1:39" ht="12.75" customHeight="1" x14ac:dyDescent="0.25">
      <c r="A31" s="31"/>
      <c r="B31" s="32" t="str">
        <f>IF(A31="","",VLOOKUP(A31,'Employee Database'!A:B,2,FALSE))</f>
        <v/>
      </c>
      <c r="C31" s="31"/>
      <c r="D31" s="31"/>
      <c r="E31" s="31"/>
      <c r="F31" s="39">
        <f>IF(COUNT(C31:E31)=0,0,SUMPRODUCT({5000,1000,500},C31:E31))</f>
        <v>0</v>
      </c>
      <c r="G31" s="31"/>
      <c r="H31" s="31"/>
      <c r="I31" s="31"/>
      <c r="J31" s="39">
        <f>IF(COUNT(G31:I31)=0,0,SUMPRODUCT({5000,1000,500},G31:I31))</f>
        <v>0</v>
      </c>
      <c r="K31" s="31"/>
      <c r="L31" s="31"/>
      <c r="M31" s="31"/>
      <c r="N31" s="39">
        <f>IF(COUNT(K31:M31)=0,0,SUMPRODUCT({5000,1000,500},K31:M31))</f>
        <v>0</v>
      </c>
      <c r="O31" s="31"/>
      <c r="P31" s="31"/>
      <c r="Q31" s="31"/>
      <c r="R31" s="39">
        <f>IF(COUNT(O31:Q31)=0,0,SUMPRODUCT({5000,1000,500},O31:Q31))</f>
        <v>0</v>
      </c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4">
        <f>IF(COUNT(S31:AC31)=0,0,SUMPRODUCT({5000,1000,500,100,75,50,20,10,5,2,1}, S31:AC31))</f>
        <v>0</v>
      </c>
      <c r="AE31" s="33"/>
      <c r="AF31" s="24" t="str">
        <f>IF(AND(COUNT(C31:E31)=0,COUNT(G31:I31)=0,COUNT(K31:M31)=0,COUNT(O31:Q31)=0,COUNT(S31:AC31)=0,AE31=""),"",(IF(COUNT(C31:E31)=0,0,SUMPRODUCT({5000,1000,500},C31:E31))+IF(COUNT(G31:I31)=0,0,SUMPRODUCT({5000,1000,500},G31:I31))+IF(COUNT(K31:M31)=0,0,SUMPRODUCT({5000,1000,500},K31:M31))+IF(COUNT(O31:Q31)=0,0,SUMPRODUCT({5000,1000,500},O31:Q31))+AD31)-N(AE31))</f>
        <v/>
      </c>
      <c r="AG31" s="35" t="str">
        <f t="shared" si="0"/>
        <v/>
      </c>
      <c r="AH31" s="38"/>
      <c r="AI31" s="36"/>
      <c r="AJ31" s="37"/>
      <c r="AK31" s="26" t="str">
        <f t="shared" si="1"/>
        <v/>
      </c>
      <c r="AL31" s="25" t="str">
        <f t="shared" si="2"/>
        <v/>
      </c>
      <c r="AM31" s="38"/>
    </row>
    <row r="32" spans="1:39" ht="12.75" customHeight="1" x14ac:dyDescent="0.25">
      <c r="A32" s="31"/>
      <c r="B32" s="32" t="str">
        <f>IF(A32="","",VLOOKUP(A32,'Employee Database'!A:B,2,FALSE))</f>
        <v/>
      </c>
      <c r="C32" s="31"/>
      <c r="D32" s="31"/>
      <c r="E32" s="31"/>
      <c r="F32" s="39">
        <f>IF(COUNT(C32:E32)=0,0,SUMPRODUCT({5000,1000,500},C32:E32))</f>
        <v>0</v>
      </c>
      <c r="G32" s="31"/>
      <c r="H32" s="31"/>
      <c r="I32" s="31"/>
      <c r="J32" s="39">
        <f>IF(COUNT(G32:I32)=0,0,SUMPRODUCT({5000,1000,500},G32:I32))</f>
        <v>0</v>
      </c>
      <c r="K32" s="31"/>
      <c r="L32" s="31"/>
      <c r="M32" s="31"/>
      <c r="N32" s="39">
        <f>IF(COUNT(K32:M32)=0,0,SUMPRODUCT({5000,1000,500},K32:M32))</f>
        <v>0</v>
      </c>
      <c r="O32" s="31"/>
      <c r="P32" s="31"/>
      <c r="Q32" s="31"/>
      <c r="R32" s="39">
        <f>IF(COUNT(O32:Q32)=0,0,SUMPRODUCT({5000,1000,500},O32:Q32))</f>
        <v>0</v>
      </c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4">
        <f>IF(COUNT(S32:AC32)=0,0,SUMPRODUCT({5000,1000,500,100,75,50,20,10,5,2,1}, S32:AC32))</f>
        <v>0</v>
      </c>
      <c r="AE32" s="33"/>
      <c r="AF32" s="24" t="str">
        <f>IF(AND(COUNT(C32:E32)=0,COUNT(G32:I32)=0,COUNT(K32:M32)=0,COUNT(O32:Q32)=0,COUNT(S32:AC32)=0,AE32=""),"",(IF(COUNT(C32:E32)=0,0,SUMPRODUCT({5000,1000,500},C32:E32))+IF(COUNT(G32:I32)=0,0,SUMPRODUCT({5000,1000,500},G32:I32))+IF(COUNT(K32:M32)=0,0,SUMPRODUCT({5000,1000,500},K32:M32))+IF(COUNT(O32:Q32)=0,0,SUMPRODUCT({5000,1000,500},O32:Q32))+AD32)-N(AE32))</f>
        <v/>
      </c>
      <c r="AG32" s="35" t="str">
        <f t="shared" si="0"/>
        <v/>
      </c>
      <c r="AH32" s="38"/>
      <c r="AI32" s="36"/>
      <c r="AJ32" s="37"/>
      <c r="AK32" s="26" t="str">
        <f t="shared" si="1"/>
        <v/>
      </c>
      <c r="AL32" s="25" t="str">
        <f t="shared" si="2"/>
        <v/>
      </c>
      <c r="AM32" s="38"/>
    </row>
    <row r="33" spans="1:39" ht="12.75" customHeight="1" x14ac:dyDescent="0.25">
      <c r="A33" s="31"/>
      <c r="B33" s="32" t="str">
        <f>IF(A33="","",VLOOKUP(A33,'Employee Database'!A:B,2,FALSE))</f>
        <v/>
      </c>
      <c r="C33" s="31"/>
      <c r="D33" s="31"/>
      <c r="E33" s="31"/>
      <c r="F33" s="39">
        <f>IF(COUNT(C33:E33)=0,0,SUMPRODUCT({5000,1000,500},C33:E33))</f>
        <v>0</v>
      </c>
      <c r="G33" s="31"/>
      <c r="H33" s="31"/>
      <c r="I33" s="31"/>
      <c r="J33" s="39">
        <f>IF(COUNT(G33:I33)=0,0,SUMPRODUCT({5000,1000,500},G33:I33))</f>
        <v>0</v>
      </c>
      <c r="K33" s="31"/>
      <c r="L33" s="31"/>
      <c r="M33" s="31"/>
      <c r="N33" s="39">
        <f>IF(COUNT(K33:M33)=0,0,SUMPRODUCT({5000,1000,500},K33:M33))</f>
        <v>0</v>
      </c>
      <c r="O33" s="31"/>
      <c r="P33" s="31"/>
      <c r="Q33" s="31"/>
      <c r="R33" s="39">
        <f>IF(COUNT(O33:Q33)=0,0,SUMPRODUCT({5000,1000,500},O33:Q33))</f>
        <v>0</v>
      </c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4">
        <f>IF(COUNT(S33:AC33)=0,0,SUMPRODUCT({5000,1000,500,100,75,50,20,10,5,2,1}, S33:AC33))</f>
        <v>0</v>
      </c>
      <c r="AE33" s="33"/>
      <c r="AF33" s="24" t="str">
        <f>IF(AND(COUNT(C33:E33)=0,COUNT(G33:I33)=0,COUNT(K33:M33)=0,COUNT(O33:Q33)=0,COUNT(S33:AC33)=0,AE33=""),"",(IF(COUNT(C33:E33)=0,0,SUMPRODUCT({5000,1000,500},C33:E33))+IF(COUNT(G33:I33)=0,0,SUMPRODUCT({5000,1000,500},G33:I33))+IF(COUNT(K33:M33)=0,0,SUMPRODUCT({5000,1000,500},K33:M33))+IF(COUNT(O33:Q33)=0,0,SUMPRODUCT({5000,1000,500},O33:Q33))+AD33)-N(AE33))</f>
        <v/>
      </c>
      <c r="AG33" s="35" t="str">
        <f t="shared" si="0"/>
        <v/>
      </c>
      <c r="AH33" s="38"/>
      <c r="AI33" s="36"/>
      <c r="AJ33" s="37"/>
      <c r="AK33" s="26" t="str">
        <f t="shared" si="1"/>
        <v/>
      </c>
      <c r="AL33" s="25" t="str">
        <f t="shared" si="2"/>
        <v/>
      </c>
      <c r="AM33" s="38"/>
    </row>
    <row r="34" spans="1:39" ht="12.75" customHeight="1" x14ac:dyDescent="0.25">
      <c r="A34" s="31"/>
      <c r="B34" s="32" t="str">
        <f>IF(A34="","",VLOOKUP(A34,'Employee Database'!A:B,2,FALSE))</f>
        <v/>
      </c>
      <c r="C34" s="31"/>
      <c r="D34" s="31"/>
      <c r="E34" s="31"/>
      <c r="F34" s="39">
        <f>IF(COUNT(C34:E34)=0,0,SUMPRODUCT({5000,1000,500},C34:E34))</f>
        <v>0</v>
      </c>
      <c r="G34" s="31"/>
      <c r="H34" s="31"/>
      <c r="I34" s="31"/>
      <c r="J34" s="39">
        <f>IF(COUNT(G34:I34)=0,0,SUMPRODUCT({5000,1000,500},G34:I34))</f>
        <v>0</v>
      </c>
      <c r="K34" s="31"/>
      <c r="L34" s="31"/>
      <c r="M34" s="31"/>
      <c r="N34" s="39">
        <f>IF(COUNT(K34:M34)=0,0,SUMPRODUCT({5000,1000,500},K34:M34))</f>
        <v>0</v>
      </c>
      <c r="O34" s="31"/>
      <c r="P34" s="31"/>
      <c r="Q34" s="31"/>
      <c r="R34" s="39">
        <f>IF(COUNT(O34:Q34)=0,0,SUMPRODUCT({5000,1000,500},O34:Q34))</f>
        <v>0</v>
      </c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4">
        <f>IF(COUNT(S34:AC34)=0,0,SUMPRODUCT({5000,1000,500,100,75,50,20,10,5,2,1}, S34:AC34))</f>
        <v>0</v>
      </c>
      <c r="AE34" s="33"/>
      <c r="AF34" s="24" t="str">
        <f>IF(AND(COUNT(C34:E34)=0,COUNT(G34:I34)=0,COUNT(K34:M34)=0,COUNT(O34:Q34)=0,COUNT(S34:AC34)=0,AE34=""),"",(IF(COUNT(C34:E34)=0,0,SUMPRODUCT({5000,1000,500},C34:E34))+IF(COUNT(G34:I34)=0,0,SUMPRODUCT({5000,1000,500},G34:I34))+IF(COUNT(K34:M34)=0,0,SUMPRODUCT({5000,1000,500},K34:M34))+IF(COUNT(O34:Q34)=0,0,SUMPRODUCT({5000,1000,500},O34:Q34))+AD34)-N(AE34))</f>
        <v/>
      </c>
      <c r="AG34" s="35" t="str">
        <f t="shared" si="0"/>
        <v/>
      </c>
      <c r="AH34" s="38"/>
      <c r="AI34" s="36"/>
      <c r="AJ34" s="37"/>
      <c r="AK34" s="26" t="str">
        <f t="shared" si="1"/>
        <v/>
      </c>
      <c r="AL34" s="25" t="str">
        <f t="shared" si="2"/>
        <v/>
      </c>
      <c r="AM34" s="38"/>
    </row>
    <row r="35" spans="1:39" ht="22.5" customHeight="1" x14ac:dyDescent="0.25">
      <c r="A35" s="27" t="s">
        <v>24</v>
      </c>
      <c r="B35" s="27" t="s">
        <v>24</v>
      </c>
      <c r="C35" s="28">
        <f t="shared" ref="C35:AF35" si="3">SUM(C5:C34)</f>
        <v>235</v>
      </c>
      <c r="D35" s="28">
        <f t="shared" si="3"/>
        <v>523</v>
      </c>
      <c r="E35" s="28">
        <f t="shared" si="3"/>
        <v>196</v>
      </c>
      <c r="F35" s="40">
        <f t="shared" si="3"/>
        <v>1796000</v>
      </c>
      <c r="G35" s="28">
        <f t="shared" si="3"/>
        <v>361</v>
      </c>
      <c r="H35" s="28">
        <f t="shared" si="3"/>
        <v>869</v>
      </c>
      <c r="I35" s="28">
        <f t="shared" si="3"/>
        <v>202</v>
      </c>
      <c r="J35" s="40">
        <f t="shared" si="3"/>
        <v>2775000</v>
      </c>
      <c r="K35" s="28">
        <f t="shared" si="3"/>
        <v>0</v>
      </c>
      <c r="L35" s="28">
        <f t="shared" si="3"/>
        <v>0</v>
      </c>
      <c r="M35" s="28">
        <f t="shared" si="3"/>
        <v>0</v>
      </c>
      <c r="N35" s="40">
        <f t="shared" si="3"/>
        <v>0</v>
      </c>
      <c r="O35" s="28">
        <f t="shared" si="3"/>
        <v>0</v>
      </c>
      <c r="P35" s="28">
        <f t="shared" si="3"/>
        <v>0</v>
      </c>
      <c r="Q35" s="28">
        <f t="shared" si="3"/>
        <v>0</v>
      </c>
      <c r="R35" s="40">
        <f t="shared" si="3"/>
        <v>0</v>
      </c>
      <c r="S35" s="28">
        <f t="shared" si="3"/>
        <v>0</v>
      </c>
      <c r="T35" s="28">
        <f t="shared" si="3"/>
        <v>0</v>
      </c>
      <c r="U35" s="28">
        <f t="shared" si="3"/>
        <v>0</v>
      </c>
      <c r="V35" s="28">
        <f t="shared" si="3"/>
        <v>78</v>
      </c>
      <c r="W35" s="28">
        <f t="shared" si="3"/>
        <v>0</v>
      </c>
      <c r="X35" s="28">
        <f t="shared" si="3"/>
        <v>760</v>
      </c>
      <c r="Y35" s="28">
        <f t="shared" si="3"/>
        <v>8</v>
      </c>
      <c r="Z35" s="28">
        <f t="shared" si="3"/>
        <v>1253</v>
      </c>
      <c r="AA35" s="28">
        <f t="shared" si="3"/>
        <v>1</v>
      </c>
      <c r="AB35" s="28">
        <f t="shared" si="3"/>
        <v>3</v>
      </c>
      <c r="AC35" s="28">
        <f t="shared" si="3"/>
        <v>0</v>
      </c>
      <c r="AD35" s="40">
        <f t="shared" si="3"/>
        <v>58501</v>
      </c>
      <c r="AE35" s="41">
        <f t="shared" si="3"/>
        <v>4629193</v>
      </c>
      <c r="AF35" s="29">
        <f t="shared" si="3"/>
        <v>308</v>
      </c>
      <c r="AG35" s="27" t="s">
        <v>24</v>
      </c>
      <c r="AH35" s="27" t="s">
        <v>24</v>
      </c>
      <c r="AI35" s="28">
        <f>SUM(AI5:AI34)</f>
        <v>9367169.8899999987</v>
      </c>
      <c r="AJ35" s="28">
        <f>SUM(AJ5:AJ34)</f>
        <v>9367169.8899999987</v>
      </c>
      <c r="AK35" s="28">
        <f>SUM(AK5:AK34)</f>
        <v>2.9103830456733704E-11</v>
      </c>
      <c r="AL35" s="28">
        <f>AJ35+AE35</f>
        <v>13996362.889999999</v>
      </c>
      <c r="AM35" s="28">
        <f>SUM(AM5:AM34)</f>
        <v>0</v>
      </c>
    </row>
  </sheetData>
  <sheetProtection algorithmName="SHA-512" hashValue="EeZ5S41VqZ7BpoMSqmB54VK4MlhlMNZFLRFbc6veP4GXrXktMqNDed6m1jUTQFeSpjgjdoxbTLKeJo+2PZKWUQ==" saltValue="VoeevveEvaGYlqZTFBxmKg==" spinCount="100000" sheet="1" objects="1" scenarios="1"/>
  <mergeCells count="9">
    <mergeCell ref="S3:AC3"/>
    <mergeCell ref="AD3:AG3"/>
    <mergeCell ref="AH3:AM3"/>
    <mergeCell ref="A1:B1"/>
    <mergeCell ref="A3:B3"/>
    <mergeCell ref="C3:F3"/>
    <mergeCell ref="G3:J3"/>
    <mergeCell ref="K3:N3"/>
    <mergeCell ref="O3:R3"/>
  </mergeCells>
  <conditionalFormatting sqref="A5">
    <cfRule type="duplicateValues" dxfId="72" priority="3"/>
    <cfRule type="duplicateValues" dxfId="71" priority="4"/>
  </conditionalFormatting>
  <conditionalFormatting sqref="A6">
    <cfRule type="duplicateValues" dxfId="70" priority="5"/>
    <cfRule type="duplicateValues" dxfId="69" priority="6"/>
  </conditionalFormatting>
  <conditionalFormatting sqref="A7:A34">
    <cfRule type="duplicateValues" dxfId="68" priority="1"/>
    <cfRule type="duplicateValues" dxfId="67" priority="2"/>
  </conditionalFormatting>
  <conditionalFormatting sqref="A35">
    <cfRule type="duplicateValues" dxfId="66" priority="7"/>
  </conditionalFormatting>
  <dataValidations count="1">
    <dataValidation type="list" allowBlank="1" showInputMessage="1" showErrorMessage="1" sqref="A1:B1" xr:uid="{00000000-0002-0000-1700-000000000000}">
      <formula1>Locations</formula1>
    </dataValidation>
  </dataValidations>
  <pageMargins left="0.75" right="0.75" top="1" bottom="1" header="0.5" footer="0.5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>
    <tabColor rgb="FFFF0000"/>
  </sheetPr>
  <dimension ref="A1:AM35"/>
  <sheetViews>
    <sheetView showGridLines="0" topLeftCell="A4" zoomScale="85" zoomScaleNormal="85" workbookViewId="0">
      <pane xSplit="2" topLeftCell="P1" activePane="topRight" state="frozen"/>
      <selection activeCell="A4" sqref="A4"/>
      <selection pane="topRight" activeCell="AE5" sqref="AE5:AE25"/>
    </sheetView>
  </sheetViews>
  <sheetFormatPr defaultRowHeight="15" x14ac:dyDescent="0.25"/>
  <cols>
    <col min="1" max="1" width="11.85546875" customWidth="1"/>
    <col min="2" max="2" width="20.5703125" customWidth="1"/>
    <col min="6" max="6" width="14.42578125" bestFit="1" customWidth="1"/>
    <col min="10" max="10" width="14.42578125" bestFit="1" customWidth="1"/>
    <col min="14" max="14" width="14.42578125" bestFit="1" customWidth="1"/>
    <col min="18" max="18" width="14.42578125" bestFit="1" customWidth="1"/>
    <col min="30" max="31" width="18" customWidth="1"/>
    <col min="32" max="32" width="20" customWidth="1"/>
    <col min="33" max="33" width="14" customWidth="1"/>
    <col min="35" max="35" width="18" customWidth="1"/>
    <col min="36" max="36" width="22" customWidth="1"/>
    <col min="37" max="37" width="16" customWidth="1"/>
    <col min="38" max="38" width="14" customWidth="1"/>
  </cols>
  <sheetData>
    <row r="1" spans="1:39" ht="43.5" customHeight="1" x14ac:dyDescent="0.25">
      <c r="A1" s="48" t="s">
        <v>306</v>
      </c>
      <c r="B1" s="48"/>
    </row>
    <row r="2" spans="1:39" ht="13.5" customHeight="1" x14ac:dyDescent="0.25">
      <c r="A2" s="30">
        <f>'22'!A2+1</f>
        <v>46226</v>
      </c>
    </row>
    <row r="3" spans="1:39" ht="24" customHeight="1" x14ac:dyDescent="0.25">
      <c r="A3" s="49" t="s">
        <v>0</v>
      </c>
      <c r="B3" s="49"/>
      <c r="C3" s="49" t="s">
        <v>93</v>
      </c>
      <c r="D3" s="50"/>
      <c r="E3" s="50"/>
      <c r="F3" s="50"/>
      <c r="G3" s="49" t="s">
        <v>94</v>
      </c>
      <c r="H3" s="50"/>
      <c r="I3" s="50"/>
      <c r="J3" s="50"/>
      <c r="K3" s="49" t="s">
        <v>95</v>
      </c>
      <c r="L3" s="50"/>
      <c r="M3" s="50"/>
      <c r="N3" s="50"/>
      <c r="O3" s="49" t="s">
        <v>96</v>
      </c>
      <c r="P3" s="50"/>
      <c r="Q3" s="50"/>
      <c r="R3" s="50"/>
      <c r="S3" s="45" t="s">
        <v>1</v>
      </c>
      <c r="T3" s="46"/>
      <c r="U3" s="46"/>
      <c r="V3" s="46"/>
      <c r="W3" s="46"/>
      <c r="X3" s="46"/>
      <c r="Y3" s="46"/>
      <c r="Z3" s="46"/>
      <c r="AA3" s="46"/>
      <c r="AB3" s="46"/>
      <c r="AC3" s="46"/>
      <c r="AD3" s="47" t="s">
        <v>97</v>
      </c>
      <c r="AE3" s="46"/>
      <c r="AF3" s="46"/>
      <c r="AG3" s="46"/>
      <c r="AH3" s="47" t="s">
        <v>98</v>
      </c>
      <c r="AI3" s="46"/>
      <c r="AJ3" s="46"/>
      <c r="AK3" s="46"/>
      <c r="AL3" s="46"/>
      <c r="AM3" s="46"/>
    </row>
    <row r="4" spans="1:39" ht="27.95" customHeight="1" x14ac:dyDescent="0.25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92</v>
      </c>
      <c r="G4" s="1" t="s">
        <v>5</v>
      </c>
      <c r="H4" s="1" t="s">
        <v>6</v>
      </c>
      <c r="I4" s="1" t="s">
        <v>7</v>
      </c>
      <c r="J4" s="1" t="s">
        <v>92</v>
      </c>
      <c r="K4" s="1" t="s">
        <v>5</v>
      </c>
      <c r="L4" s="1" t="s">
        <v>6</v>
      </c>
      <c r="M4" s="1" t="s">
        <v>7</v>
      </c>
      <c r="N4" s="1" t="s">
        <v>92</v>
      </c>
      <c r="O4" s="1" t="s">
        <v>5</v>
      </c>
      <c r="P4" s="1" t="s">
        <v>6</v>
      </c>
      <c r="Q4" s="1" t="s">
        <v>7</v>
      </c>
      <c r="R4" s="1" t="s">
        <v>92</v>
      </c>
      <c r="S4" s="1" t="s">
        <v>5</v>
      </c>
      <c r="T4" s="1" t="s">
        <v>6</v>
      </c>
      <c r="U4" s="1" t="s">
        <v>7</v>
      </c>
      <c r="V4" s="1" t="s">
        <v>8</v>
      </c>
      <c r="W4" s="1" t="s">
        <v>9</v>
      </c>
      <c r="X4" s="1" t="s">
        <v>10</v>
      </c>
      <c r="Y4" s="1" t="s">
        <v>11</v>
      </c>
      <c r="Z4" s="1" t="s">
        <v>12</v>
      </c>
      <c r="AA4" s="1" t="s">
        <v>13</v>
      </c>
      <c r="AB4" s="1" t="s">
        <v>14</v>
      </c>
      <c r="AC4" s="1" t="s">
        <v>15</v>
      </c>
      <c r="AD4" s="1" t="s">
        <v>16</v>
      </c>
      <c r="AE4" s="1" t="s">
        <v>17</v>
      </c>
      <c r="AF4" s="1" t="s">
        <v>18</v>
      </c>
      <c r="AG4" s="1" t="s">
        <v>19</v>
      </c>
      <c r="AH4" s="1" t="s">
        <v>20</v>
      </c>
      <c r="AI4" s="4" t="s">
        <v>99</v>
      </c>
      <c r="AJ4" s="1" t="s">
        <v>21</v>
      </c>
      <c r="AK4" s="1" t="s">
        <v>22</v>
      </c>
      <c r="AL4" s="1" t="s">
        <v>23</v>
      </c>
      <c r="AM4" s="4" t="s">
        <v>100</v>
      </c>
    </row>
    <row r="5" spans="1:39" ht="12.75" customHeight="1" x14ac:dyDescent="0.25">
      <c r="A5" s="31">
        <v>68107</v>
      </c>
      <c r="B5" s="32" t="str">
        <f>IF(A5="","",VLOOKUP(A5,'Employee Database'!A:B,2,FALSE))</f>
        <v>M Harris</v>
      </c>
      <c r="C5" s="31">
        <v>30</v>
      </c>
      <c r="D5" s="31">
        <v>110</v>
      </c>
      <c r="E5" s="31">
        <v>15</v>
      </c>
      <c r="F5" s="39">
        <f>IF(COUNT(C5:E5)=0,0,SUMPRODUCT({5000,1000,500},C5:E5))</f>
        <v>267500</v>
      </c>
      <c r="G5" s="31"/>
      <c r="H5" s="31"/>
      <c r="I5" s="31"/>
      <c r="J5" s="39">
        <f>IF(COUNT(G5:I5)=0,0,SUMPRODUCT({5000,1000,500},G5:I5))</f>
        <v>0</v>
      </c>
      <c r="K5" s="31"/>
      <c r="L5" s="31"/>
      <c r="M5" s="31"/>
      <c r="N5" s="39">
        <f>IF(COUNT(K5:M5)=0,0,SUMPRODUCT({5000,1000,500},K5:M5))</f>
        <v>0</v>
      </c>
      <c r="O5" s="31"/>
      <c r="P5" s="31"/>
      <c r="Q5" s="31"/>
      <c r="R5" s="39">
        <f>IF(COUNT(O5:Q5)=0,0,SUMPRODUCT({5000,1000,500},O5:Q5))</f>
        <v>0</v>
      </c>
      <c r="S5" s="31"/>
      <c r="T5" s="31"/>
      <c r="U5" s="31"/>
      <c r="V5" s="31"/>
      <c r="W5" s="31"/>
      <c r="X5" s="31">
        <v>25</v>
      </c>
      <c r="Y5" s="31"/>
      <c r="Z5" s="31">
        <v>58</v>
      </c>
      <c r="AA5" s="31"/>
      <c r="AB5" s="31">
        <v>2</v>
      </c>
      <c r="AC5" s="31"/>
      <c r="AD5" s="34">
        <f>IF(COUNT(S5:AC5)=0,0,SUMPRODUCT({5000,1000,500,100,75,50,20,10,5,2,1}, S5:AC5))</f>
        <v>1834</v>
      </c>
      <c r="AE5" s="33">
        <v>269355</v>
      </c>
      <c r="AF5" s="24">
        <f>IF(AND(COUNT(C5:E5)=0,COUNT(G5:I5)=0,COUNT(K5:M5)=0,COUNT(O5:Q5)=0,COUNT(S5:AC5)=0,AE5=""),"",(IF(COUNT(C5:E5)=0,0,SUMPRODUCT({5000,1000,500},C5:E5))+IF(COUNT(G5:I5)=0,0,SUMPRODUCT({5000,1000,500},G5:I5))+IF(COUNT(K5:M5)=0,0,SUMPRODUCT({5000,1000,500},K5:M5))+IF(COUNT(O5:Q5)=0,0,SUMPRODUCT({5000,1000,500},O5:Q5))+AD5)-N(AE5))</f>
        <v>-21</v>
      </c>
      <c r="AG5" s="35" t="str">
        <f t="shared" ref="AG5:AG34" si="0">IF(AF5="","",IF(AF5&gt;0,"Excess",IF(AF5&lt;0,"Short","Balanced")))</f>
        <v>Short</v>
      </c>
      <c r="AH5" s="38"/>
      <c r="AI5" s="36">
        <v>472682.86</v>
      </c>
      <c r="AJ5" s="37">
        <f>145245.55+327437.31</f>
        <v>472682.86</v>
      </c>
      <c r="AK5" s="26">
        <f t="shared" ref="AK5:AK34" si="1">IF(AND(AI5="",AJ5=""),"",N(AI5)-N(AJ5))</f>
        <v>0</v>
      </c>
      <c r="AL5" s="25" t="str">
        <f t="shared" ref="AL5:AL34" si="2">IF(AK5="","",IF(AK5&gt;0,"POS Excess",IF(AK5&lt;0,"Bank Short","Matched")))</f>
        <v>Matched</v>
      </c>
      <c r="AM5" s="38"/>
    </row>
    <row r="6" spans="1:39" ht="12.75" customHeight="1" x14ac:dyDescent="0.25">
      <c r="A6" s="31">
        <v>57653</v>
      </c>
      <c r="B6" s="32" t="str">
        <f>IF(A6="","",VLOOKUP(A6,'Employee Database'!A:B,2,FALSE))</f>
        <v>Amanat ali</v>
      </c>
      <c r="C6" s="31">
        <v>55</v>
      </c>
      <c r="D6" s="31">
        <v>206</v>
      </c>
      <c r="E6" s="31">
        <v>9</v>
      </c>
      <c r="F6" s="39">
        <f>IF(COUNT(C6:E6)=0,0,SUMPRODUCT({5000,1000,500},C6:E6))</f>
        <v>485500</v>
      </c>
      <c r="G6" s="31"/>
      <c r="H6" s="31"/>
      <c r="I6" s="31"/>
      <c r="J6" s="39">
        <f>IF(COUNT(G6:I6)=0,0,SUMPRODUCT({5000,1000,500},G6:I6))</f>
        <v>0</v>
      </c>
      <c r="K6" s="31"/>
      <c r="L6" s="31"/>
      <c r="M6" s="31"/>
      <c r="N6" s="39">
        <f>IF(COUNT(K6:M6)=0,0,SUMPRODUCT({5000,1000,500},K6:M6))</f>
        <v>0</v>
      </c>
      <c r="O6" s="31"/>
      <c r="P6" s="31"/>
      <c r="Q6" s="31"/>
      <c r="R6" s="39">
        <f>IF(COUNT(O6:Q6)=0,0,SUMPRODUCT({5000,1000,500},O6:Q6))</f>
        <v>0</v>
      </c>
      <c r="S6" s="31"/>
      <c r="T6" s="31"/>
      <c r="U6" s="31"/>
      <c r="V6" s="31"/>
      <c r="W6" s="31"/>
      <c r="X6" s="31"/>
      <c r="Y6" s="31"/>
      <c r="Z6" s="31">
        <v>43</v>
      </c>
      <c r="AA6" s="31"/>
      <c r="AB6" s="31"/>
      <c r="AC6" s="31"/>
      <c r="AD6" s="34">
        <f>IF(COUNT(S6:AC6)=0,0,SUMPRODUCT({5000,1000,500,100,75,50,20,10,5,2,1}, S6:AC6))</f>
        <v>430</v>
      </c>
      <c r="AE6" s="33">
        <v>485909</v>
      </c>
      <c r="AF6" s="24">
        <f>IF(AND(COUNT(C6:E6)=0,COUNT(G6:I6)=0,COUNT(K6:M6)=0,COUNT(O6:Q6)=0,COUNT(S6:AC6)=0,AE6=""),"",(IF(COUNT(C6:E6)=0,0,SUMPRODUCT({5000,1000,500},C6:E6))+IF(COUNT(G6:I6)=0,0,SUMPRODUCT({5000,1000,500},G6:I6))+IF(COUNT(K6:M6)=0,0,SUMPRODUCT({5000,1000,500},K6:M6))+IF(COUNT(O6:Q6)=0,0,SUMPRODUCT({5000,1000,500},O6:Q6))+AD6)-N(AE6))</f>
        <v>21</v>
      </c>
      <c r="AG6" s="35" t="str">
        <f t="shared" si="0"/>
        <v>Excess</v>
      </c>
      <c r="AH6" s="38"/>
      <c r="AI6" s="36">
        <v>781592.25</v>
      </c>
      <c r="AJ6" s="37">
        <f>324261.55+457330.7</f>
        <v>781592.25</v>
      </c>
      <c r="AK6" s="26">
        <f t="shared" si="1"/>
        <v>0</v>
      </c>
      <c r="AL6" s="25" t="str">
        <f t="shared" si="2"/>
        <v>Matched</v>
      </c>
      <c r="AM6" s="38"/>
    </row>
    <row r="7" spans="1:39" ht="12.75" customHeight="1" x14ac:dyDescent="0.25">
      <c r="A7" s="31">
        <v>56189</v>
      </c>
      <c r="B7" s="32" t="str">
        <f>IF(A7="","",VLOOKUP(A7,'Employee Database'!A:B,2,FALSE))</f>
        <v>Iffat Sultan</v>
      </c>
      <c r="C7" s="31">
        <v>25</v>
      </c>
      <c r="D7" s="31">
        <v>41</v>
      </c>
      <c r="E7" s="31"/>
      <c r="F7" s="39">
        <f>IF(COUNT(C7:E7)=0,0,SUMPRODUCT({5000,1000,500},C7:E7))</f>
        <v>166000</v>
      </c>
      <c r="G7" s="31"/>
      <c r="H7" s="31"/>
      <c r="I7" s="31"/>
      <c r="J7" s="39">
        <f>IF(COUNT(G7:I7)=0,0,SUMPRODUCT({5000,1000,500},G7:I7))</f>
        <v>0</v>
      </c>
      <c r="K7" s="31"/>
      <c r="L7" s="31"/>
      <c r="M7" s="31"/>
      <c r="N7" s="39">
        <f>IF(COUNT(K7:M7)=0,0,SUMPRODUCT({5000,1000,500},K7:M7))</f>
        <v>0</v>
      </c>
      <c r="O7" s="31"/>
      <c r="P7" s="31"/>
      <c r="Q7" s="31"/>
      <c r="R7" s="39">
        <f>IF(COUNT(O7:Q7)=0,0,SUMPRODUCT({5000,1000,500},O7:Q7))</f>
        <v>0</v>
      </c>
      <c r="S7" s="31"/>
      <c r="T7" s="31"/>
      <c r="U7" s="31"/>
      <c r="V7" s="31"/>
      <c r="W7" s="31"/>
      <c r="X7" s="31">
        <v>61</v>
      </c>
      <c r="Y7" s="31"/>
      <c r="Z7" s="31">
        <v>4</v>
      </c>
      <c r="AA7" s="31"/>
      <c r="AB7" s="31"/>
      <c r="AC7" s="31"/>
      <c r="AD7" s="34">
        <f>IF(COUNT(S7:AC7)=0,0,SUMPRODUCT({5000,1000,500,100,75,50,20,10,5,2,1}, S7:AC7))</f>
        <v>3090</v>
      </c>
      <c r="AE7" s="33">
        <v>169132</v>
      </c>
      <c r="AF7" s="24">
        <f>IF(AND(COUNT(C7:E7)=0,COUNT(G7:I7)=0,COUNT(K7:M7)=0,COUNT(O7:Q7)=0,COUNT(S7:AC7)=0,AE7=""),"",(IF(COUNT(C7:E7)=0,0,SUMPRODUCT({5000,1000,500},C7:E7))+IF(COUNT(G7:I7)=0,0,SUMPRODUCT({5000,1000,500},G7:I7))+IF(COUNT(K7:M7)=0,0,SUMPRODUCT({5000,1000,500},K7:M7))+IF(COUNT(O7:Q7)=0,0,SUMPRODUCT({5000,1000,500},O7:Q7))+AD7)-N(AE7))</f>
        <v>-42</v>
      </c>
      <c r="AG7" s="35" t="str">
        <f t="shared" si="0"/>
        <v>Short</v>
      </c>
      <c r="AH7" s="38"/>
      <c r="AI7" s="36">
        <v>336346.62</v>
      </c>
      <c r="AJ7" s="37">
        <f>1198.2+179959.62+155188.8</f>
        <v>336346.62</v>
      </c>
      <c r="AK7" s="26">
        <f t="shared" si="1"/>
        <v>0</v>
      </c>
      <c r="AL7" s="25" t="str">
        <f t="shared" si="2"/>
        <v>Matched</v>
      </c>
      <c r="AM7" s="38"/>
    </row>
    <row r="8" spans="1:39" ht="12.75" customHeight="1" x14ac:dyDescent="0.25">
      <c r="A8" s="31">
        <v>58112</v>
      </c>
      <c r="B8" s="32" t="str">
        <f>IF(A8="","",VLOOKUP(A8,'Employee Database'!A:B,2,FALSE))</f>
        <v>Shama</v>
      </c>
      <c r="C8" s="31">
        <v>36</v>
      </c>
      <c r="D8" s="31">
        <v>157</v>
      </c>
      <c r="E8" s="31">
        <v>21</v>
      </c>
      <c r="F8" s="39">
        <f>IF(COUNT(C8:E8)=0,0,SUMPRODUCT({5000,1000,500},C8:E8))</f>
        <v>347500</v>
      </c>
      <c r="G8" s="31"/>
      <c r="H8" s="31"/>
      <c r="I8" s="31"/>
      <c r="J8" s="39">
        <f>IF(COUNT(G8:I8)=0,0,SUMPRODUCT({5000,1000,500},G8:I8))</f>
        <v>0</v>
      </c>
      <c r="K8" s="31"/>
      <c r="L8" s="31"/>
      <c r="M8" s="31"/>
      <c r="N8" s="39">
        <f>IF(COUNT(K8:M8)=0,0,SUMPRODUCT({5000,1000,500},K8:M8))</f>
        <v>0</v>
      </c>
      <c r="O8" s="31"/>
      <c r="P8" s="31"/>
      <c r="Q8" s="31"/>
      <c r="R8" s="39">
        <f>IF(COUNT(O8:Q8)=0,0,SUMPRODUCT({5000,1000,500},O8:Q8))</f>
        <v>0</v>
      </c>
      <c r="S8" s="31"/>
      <c r="T8" s="31"/>
      <c r="U8" s="31"/>
      <c r="V8" s="31"/>
      <c r="W8" s="31"/>
      <c r="X8" s="31">
        <v>11</v>
      </c>
      <c r="Y8" s="31"/>
      <c r="Z8" s="31">
        <v>22</v>
      </c>
      <c r="AA8" s="31"/>
      <c r="AB8" s="31"/>
      <c r="AC8" s="31"/>
      <c r="AD8" s="34">
        <f>IF(COUNT(S8:AC8)=0,0,SUMPRODUCT({5000,1000,500,100,75,50,20,10,5,2,1}, S8:AC8))</f>
        <v>770</v>
      </c>
      <c r="AE8" s="33">
        <v>348265</v>
      </c>
      <c r="AF8" s="24">
        <f>IF(AND(COUNT(C8:E8)=0,COUNT(G8:I8)=0,COUNT(K8:M8)=0,COUNT(O8:Q8)=0,COUNT(S8:AC8)=0,AE8=""),"",(IF(COUNT(C8:E8)=0,0,SUMPRODUCT({5000,1000,500},C8:E8))+IF(COUNT(G8:I8)=0,0,SUMPRODUCT({5000,1000,500},G8:I8))+IF(COUNT(K8:M8)=0,0,SUMPRODUCT({5000,1000,500},K8:M8))+IF(COUNT(O8:Q8)=0,0,SUMPRODUCT({5000,1000,500},O8:Q8))+AD8)-N(AE8))</f>
        <v>5</v>
      </c>
      <c r="AG8" s="35" t="str">
        <f t="shared" si="0"/>
        <v>Excess</v>
      </c>
      <c r="AH8" s="38"/>
      <c r="AI8" s="36">
        <v>577720.71</v>
      </c>
      <c r="AJ8" s="37">
        <f>236382.77+341337.94</f>
        <v>577720.71</v>
      </c>
      <c r="AK8" s="26">
        <f t="shared" si="1"/>
        <v>0</v>
      </c>
      <c r="AL8" s="25" t="str">
        <f t="shared" si="2"/>
        <v>Matched</v>
      </c>
      <c r="AM8" s="38"/>
    </row>
    <row r="9" spans="1:39" ht="12.75" customHeight="1" x14ac:dyDescent="0.25">
      <c r="A9" s="31">
        <v>63854</v>
      </c>
      <c r="B9" s="32" t="str">
        <f>IF(A9="","",VLOOKUP(A9,'Employee Database'!A:B,2,FALSE))</f>
        <v>Maham</v>
      </c>
      <c r="C9" s="31">
        <v>23</v>
      </c>
      <c r="D9" s="31">
        <v>39</v>
      </c>
      <c r="E9" s="31">
        <v>13</v>
      </c>
      <c r="F9" s="39">
        <f>IF(COUNT(C9:E9)=0,0,SUMPRODUCT({5000,1000,500},C9:E9))</f>
        <v>160500</v>
      </c>
      <c r="G9" s="31"/>
      <c r="H9" s="31"/>
      <c r="I9" s="31"/>
      <c r="J9" s="39">
        <f>IF(COUNT(G9:I9)=0,0,SUMPRODUCT({5000,1000,500},G9:I9))</f>
        <v>0</v>
      </c>
      <c r="K9" s="31"/>
      <c r="L9" s="31"/>
      <c r="M9" s="31"/>
      <c r="N9" s="39">
        <f>IF(COUNT(K9:M9)=0,0,SUMPRODUCT({5000,1000,500},K9:M9))</f>
        <v>0</v>
      </c>
      <c r="O9" s="31"/>
      <c r="P9" s="31"/>
      <c r="Q9" s="31"/>
      <c r="R9" s="39">
        <f>IF(COUNT(O9:Q9)=0,0,SUMPRODUCT({5000,1000,500},O9:Q9))</f>
        <v>0</v>
      </c>
      <c r="S9" s="31"/>
      <c r="T9" s="31"/>
      <c r="U9" s="31"/>
      <c r="V9" s="31"/>
      <c r="W9" s="31"/>
      <c r="X9" s="31">
        <v>22</v>
      </c>
      <c r="Y9" s="31">
        <v>1</v>
      </c>
      <c r="Z9" s="31">
        <v>48</v>
      </c>
      <c r="AA9" s="31"/>
      <c r="AB9" s="31"/>
      <c r="AC9" s="31"/>
      <c r="AD9" s="34">
        <f>IF(COUNT(S9:AC9)=0,0,SUMPRODUCT({5000,1000,500,100,75,50,20,10,5,2,1}, S9:AC9))</f>
        <v>1600</v>
      </c>
      <c r="AE9" s="33">
        <v>162086</v>
      </c>
      <c r="AF9" s="24">
        <f>IF(AND(COUNT(C9:E9)=0,COUNT(G9:I9)=0,COUNT(K9:M9)=0,COUNT(O9:Q9)=0,COUNT(S9:AC9)=0,AE9=""),"",(IF(COUNT(C9:E9)=0,0,SUMPRODUCT({5000,1000,500},C9:E9))+IF(COUNT(G9:I9)=0,0,SUMPRODUCT({5000,1000,500},G9:I9))+IF(COUNT(K9:M9)=0,0,SUMPRODUCT({5000,1000,500},K9:M9))+IF(COUNT(O9:Q9)=0,0,SUMPRODUCT({5000,1000,500},O9:Q9))+AD9)-N(AE9))</f>
        <v>14</v>
      </c>
      <c r="AG9" s="35" t="str">
        <f t="shared" si="0"/>
        <v>Excess</v>
      </c>
      <c r="AH9" s="38"/>
      <c r="AI9" s="36">
        <v>326983.40000000002</v>
      </c>
      <c r="AJ9" s="37">
        <f>233440.14+93543.26</f>
        <v>326983.40000000002</v>
      </c>
      <c r="AK9" s="26">
        <f t="shared" si="1"/>
        <v>0</v>
      </c>
      <c r="AL9" s="25" t="str">
        <f t="shared" si="2"/>
        <v>Matched</v>
      </c>
      <c r="AM9" s="38"/>
    </row>
    <row r="10" spans="1:39" ht="12.75" customHeight="1" x14ac:dyDescent="0.25">
      <c r="A10" s="31">
        <v>59257</v>
      </c>
      <c r="B10" s="32" t="str">
        <f>IF(A10="","",VLOOKUP(A10,'Employee Database'!A:B,2,FALSE))</f>
        <v>Saddiqa Maryam</v>
      </c>
      <c r="C10" s="31">
        <v>28</v>
      </c>
      <c r="D10" s="31">
        <v>121</v>
      </c>
      <c r="E10" s="31">
        <v>10</v>
      </c>
      <c r="F10" s="39">
        <f>IF(COUNT(C10:E10)=0,0,SUMPRODUCT({5000,1000,500},C10:E10))</f>
        <v>266000</v>
      </c>
      <c r="G10" s="31"/>
      <c r="H10" s="31"/>
      <c r="I10" s="31"/>
      <c r="J10" s="39">
        <f>IF(COUNT(G10:I10)=0,0,SUMPRODUCT({5000,1000,500},G10:I10))</f>
        <v>0</v>
      </c>
      <c r="K10" s="31"/>
      <c r="L10" s="31"/>
      <c r="M10" s="31"/>
      <c r="N10" s="39">
        <f>IF(COUNT(K10:M10)=0,0,SUMPRODUCT({5000,1000,500},K10:M10))</f>
        <v>0</v>
      </c>
      <c r="O10" s="31"/>
      <c r="P10" s="31"/>
      <c r="Q10" s="31"/>
      <c r="R10" s="39">
        <f>IF(COUNT(O10:Q10)=0,0,SUMPRODUCT({5000,1000,500},O10:Q10))</f>
        <v>0</v>
      </c>
      <c r="S10" s="31"/>
      <c r="T10" s="31"/>
      <c r="U10" s="31"/>
      <c r="V10" s="31">
        <v>12</v>
      </c>
      <c r="W10" s="31"/>
      <c r="X10" s="31">
        <v>41</v>
      </c>
      <c r="Y10" s="31">
        <v>1</v>
      </c>
      <c r="Z10" s="31">
        <v>22</v>
      </c>
      <c r="AA10" s="31"/>
      <c r="AB10" s="31"/>
      <c r="AC10" s="31"/>
      <c r="AD10" s="34">
        <f>IF(COUNT(S10:AC10)=0,0,SUMPRODUCT({5000,1000,500,100,75,50,20,10,5,2,1}, S10:AC10))</f>
        <v>3490</v>
      </c>
      <c r="AE10" s="33">
        <v>269454</v>
      </c>
      <c r="AF10" s="24">
        <f>IF(AND(COUNT(C10:E10)=0,COUNT(G10:I10)=0,COUNT(K10:M10)=0,COUNT(O10:Q10)=0,COUNT(S10:AC10)=0,AE10=""),"",(IF(COUNT(C10:E10)=0,0,SUMPRODUCT({5000,1000,500},C10:E10))+IF(COUNT(G10:I10)=0,0,SUMPRODUCT({5000,1000,500},G10:I10))+IF(COUNT(K10:M10)=0,0,SUMPRODUCT({5000,1000,500},K10:M10))+IF(COUNT(O10:Q10)=0,0,SUMPRODUCT({5000,1000,500},O10:Q10))+AD10)-N(AE10))</f>
        <v>36</v>
      </c>
      <c r="AG10" s="35" t="str">
        <f t="shared" si="0"/>
        <v>Excess</v>
      </c>
      <c r="AH10" s="38"/>
      <c r="AI10" s="36">
        <v>480017.15</v>
      </c>
      <c r="AJ10" s="37">
        <v>480017.15</v>
      </c>
      <c r="AK10" s="26">
        <f t="shared" si="1"/>
        <v>0</v>
      </c>
      <c r="AL10" s="25" t="str">
        <f t="shared" si="2"/>
        <v>Matched</v>
      </c>
      <c r="AM10" s="38"/>
    </row>
    <row r="11" spans="1:39" ht="12.75" customHeight="1" x14ac:dyDescent="0.25">
      <c r="A11" s="31">
        <v>67249</v>
      </c>
      <c r="B11" s="32" t="str">
        <f>IF(A11="","",VLOOKUP(A11,'Employee Database'!A:B,2,FALSE))</f>
        <v>Hanan Javaid</v>
      </c>
      <c r="C11" s="31">
        <v>33</v>
      </c>
      <c r="D11" s="31">
        <v>145</v>
      </c>
      <c r="E11" s="31">
        <v>14</v>
      </c>
      <c r="F11" s="39">
        <f>IF(COUNT(C11:E11)=0,0,SUMPRODUCT({5000,1000,500},C11:E11))</f>
        <v>317000</v>
      </c>
      <c r="G11" s="31"/>
      <c r="H11" s="31"/>
      <c r="I11" s="31"/>
      <c r="J11" s="39">
        <f>IF(COUNT(G11:I11)=0,0,SUMPRODUCT({5000,1000,500},G11:I11))</f>
        <v>0</v>
      </c>
      <c r="K11" s="31"/>
      <c r="L11" s="31"/>
      <c r="M11" s="31"/>
      <c r="N11" s="39">
        <f>IF(COUNT(K11:M11)=0,0,SUMPRODUCT({5000,1000,500},K11:M11))</f>
        <v>0</v>
      </c>
      <c r="O11" s="31"/>
      <c r="P11" s="31"/>
      <c r="Q11" s="31"/>
      <c r="R11" s="39">
        <f>IF(COUNT(O11:Q11)=0,0,SUMPRODUCT({5000,1000,500},O11:Q11))</f>
        <v>0</v>
      </c>
      <c r="S11" s="31"/>
      <c r="T11" s="31"/>
      <c r="U11" s="31"/>
      <c r="V11" s="31">
        <v>4</v>
      </c>
      <c r="W11" s="31"/>
      <c r="X11" s="31">
        <v>9</v>
      </c>
      <c r="Y11" s="31"/>
      <c r="Z11" s="31">
        <v>64</v>
      </c>
      <c r="AA11" s="31"/>
      <c r="AB11" s="31"/>
      <c r="AC11" s="31"/>
      <c r="AD11" s="34">
        <f>IF(COUNT(S11:AC11)=0,0,SUMPRODUCT({5000,1000,500,100,75,50,20,10,5,2,1}, S11:AC11))</f>
        <v>1490</v>
      </c>
      <c r="AE11" s="33">
        <v>318487</v>
      </c>
      <c r="AF11" s="24">
        <f>IF(AND(COUNT(C11:E11)=0,COUNT(G11:I11)=0,COUNT(K11:M11)=0,COUNT(O11:Q11)=0,COUNT(S11:AC11)=0,AE11=""),"",(IF(COUNT(C11:E11)=0,0,SUMPRODUCT({5000,1000,500},C11:E11))+IF(COUNT(G11:I11)=0,0,SUMPRODUCT({5000,1000,500},G11:I11))+IF(COUNT(K11:M11)=0,0,SUMPRODUCT({5000,1000,500},K11:M11))+IF(COUNT(O11:Q11)=0,0,SUMPRODUCT({5000,1000,500},O11:Q11))+AD11)-N(AE11))</f>
        <v>3</v>
      </c>
      <c r="AG11" s="35" t="str">
        <f t="shared" si="0"/>
        <v>Excess</v>
      </c>
      <c r="AH11" s="38"/>
      <c r="AI11" s="36">
        <v>505629.11</v>
      </c>
      <c r="AJ11" s="37">
        <f>298204.1+207425.01</f>
        <v>505629.11</v>
      </c>
      <c r="AK11" s="26">
        <f t="shared" si="1"/>
        <v>0</v>
      </c>
      <c r="AL11" s="25" t="str">
        <f t="shared" si="2"/>
        <v>Matched</v>
      </c>
      <c r="AM11" s="38"/>
    </row>
    <row r="12" spans="1:39" ht="12.75" customHeight="1" x14ac:dyDescent="0.25">
      <c r="A12" s="31">
        <v>77423</v>
      </c>
      <c r="B12" s="32" t="str">
        <f>IF(A12="","",VLOOKUP(A12,'Employee Database'!A:B,2,FALSE))</f>
        <v>Shoaib Akhtar</v>
      </c>
      <c r="C12" s="31">
        <v>37</v>
      </c>
      <c r="D12" s="31">
        <v>61</v>
      </c>
      <c r="E12" s="31">
        <v>22</v>
      </c>
      <c r="F12" s="39">
        <f>IF(COUNT(C12:E12)=0,0,SUMPRODUCT({5000,1000,500},C12:E12))</f>
        <v>257000</v>
      </c>
      <c r="G12" s="31"/>
      <c r="H12" s="31"/>
      <c r="I12" s="31"/>
      <c r="J12" s="39">
        <f>IF(COUNT(G12:I12)=0,0,SUMPRODUCT({5000,1000,500},G12:I12))</f>
        <v>0</v>
      </c>
      <c r="K12" s="31"/>
      <c r="L12" s="31"/>
      <c r="M12" s="31"/>
      <c r="N12" s="39">
        <f>IF(COUNT(K12:M12)=0,0,SUMPRODUCT({5000,1000,500},K12:M12))</f>
        <v>0</v>
      </c>
      <c r="O12" s="31"/>
      <c r="P12" s="31"/>
      <c r="Q12" s="31"/>
      <c r="R12" s="39">
        <f>IF(COUNT(O12:Q12)=0,0,SUMPRODUCT({5000,1000,500},O12:Q12))</f>
        <v>0</v>
      </c>
      <c r="S12" s="31"/>
      <c r="T12" s="31"/>
      <c r="U12" s="31"/>
      <c r="V12" s="31">
        <v>12</v>
      </c>
      <c r="W12" s="31"/>
      <c r="X12" s="31">
        <v>12</v>
      </c>
      <c r="Y12" s="31"/>
      <c r="Z12" s="31">
        <v>70</v>
      </c>
      <c r="AA12" s="31"/>
      <c r="AB12" s="31"/>
      <c r="AC12" s="31"/>
      <c r="AD12" s="34">
        <f>IF(COUNT(S12:AC12)=0,0,SUMPRODUCT({5000,1000,500,100,75,50,20,10,5,2,1}, S12:AC12))</f>
        <v>2500</v>
      </c>
      <c r="AE12" s="33">
        <v>259435</v>
      </c>
      <c r="AF12" s="24">
        <f>IF(AND(COUNT(C12:E12)=0,COUNT(G12:I12)=0,COUNT(K12:M12)=0,COUNT(O12:Q12)=0,COUNT(S12:AC12)=0,AE12=""),"",(IF(COUNT(C12:E12)=0,0,SUMPRODUCT({5000,1000,500},C12:E12))+IF(COUNT(G12:I12)=0,0,SUMPRODUCT({5000,1000,500},G12:I12))+IF(COUNT(K12:M12)=0,0,SUMPRODUCT({5000,1000,500},K12:M12))+IF(COUNT(O12:Q12)=0,0,SUMPRODUCT({5000,1000,500},O12:Q12))+AD12)-N(AE12))</f>
        <v>65</v>
      </c>
      <c r="AG12" s="35" t="str">
        <f t="shared" si="0"/>
        <v>Excess</v>
      </c>
      <c r="AH12" s="38"/>
      <c r="AI12" s="36">
        <v>302139.09000000003</v>
      </c>
      <c r="AJ12" s="37">
        <f>167995.62+134143.47</f>
        <v>302139.08999999997</v>
      </c>
      <c r="AK12" s="26">
        <f t="shared" si="1"/>
        <v>5.8207660913467407E-11</v>
      </c>
      <c r="AL12" s="25" t="str">
        <f t="shared" si="2"/>
        <v>POS Excess</v>
      </c>
      <c r="AM12" s="38"/>
    </row>
    <row r="13" spans="1:39" ht="12.75" customHeight="1" x14ac:dyDescent="0.25">
      <c r="A13" s="31">
        <v>50313</v>
      </c>
      <c r="B13" s="32" t="str">
        <f>IF(A13="","",VLOOKUP(A13,'Employee Database'!A:B,2,FALSE))</f>
        <v>Waseem Raza</v>
      </c>
      <c r="C13" s="31">
        <v>35</v>
      </c>
      <c r="D13" s="31"/>
      <c r="E13" s="31"/>
      <c r="F13" s="39">
        <f>IF(COUNT(C13:E13)=0,0,SUMPRODUCT({5000,1000,500},C13:E13))</f>
        <v>175000</v>
      </c>
      <c r="G13" s="31"/>
      <c r="H13" s="31">
        <v>8</v>
      </c>
      <c r="I13" s="31">
        <v>2</v>
      </c>
      <c r="J13" s="39">
        <f>IF(COUNT(G13:I13)=0,0,SUMPRODUCT({5000,1000,500},G13:I13))</f>
        <v>9000</v>
      </c>
      <c r="K13" s="31"/>
      <c r="L13" s="31"/>
      <c r="M13" s="31"/>
      <c r="N13" s="39">
        <f>IF(COUNT(K13:M13)=0,0,SUMPRODUCT({5000,1000,500},K13:M13))</f>
        <v>0</v>
      </c>
      <c r="O13" s="31"/>
      <c r="P13" s="31"/>
      <c r="Q13" s="31"/>
      <c r="R13" s="39">
        <f>IF(COUNT(O13:Q13)=0,0,SUMPRODUCT({5000,1000,500},O13:Q13))</f>
        <v>0</v>
      </c>
      <c r="S13" s="31"/>
      <c r="T13" s="31"/>
      <c r="U13" s="31"/>
      <c r="V13" s="31">
        <v>5</v>
      </c>
      <c r="W13" s="31"/>
      <c r="X13" s="31">
        <v>16</v>
      </c>
      <c r="Y13" s="31"/>
      <c r="Z13" s="31">
        <v>5</v>
      </c>
      <c r="AA13" s="31"/>
      <c r="AB13" s="31"/>
      <c r="AC13" s="31"/>
      <c r="AD13" s="34">
        <f>IF(COUNT(S13:AC13)=0,0,SUMPRODUCT({5000,1000,500,100,75,50,20,10,5,2,1}, S13:AC13))</f>
        <v>1350</v>
      </c>
      <c r="AE13" s="33">
        <v>185343</v>
      </c>
      <c r="AF13" s="24">
        <f>IF(AND(COUNT(C13:E13)=0,COUNT(G13:I13)=0,COUNT(K13:M13)=0,COUNT(O13:Q13)=0,COUNT(S13:AC13)=0,AE13=""),"",(IF(COUNT(C13:E13)=0,0,SUMPRODUCT({5000,1000,500},C13:E13))+IF(COUNT(G13:I13)=0,0,SUMPRODUCT({5000,1000,500},G13:I13))+IF(COUNT(K13:M13)=0,0,SUMPRODUCT({5000,1000,500},K13:M13))+IF(COUNT(O13:Q13)=0,0,SUMPRODUCT({5000,1000,500},O13:Q13))+AD13)-N(AE13))</f>
        <v>7</v>
      </c>
      <c r="AG13" s="35" t="str">
        <f t="shared" si="0"/>
        <v>Excess</v>
      </c>
      <c r="AH13" s="38"/>
      <c r="AI13" s="36"/>
      <c r="AJ13" s="37"/>
      <c r="AK13" s="26" t="str">
        <f t="shared" si="1"/>
        <v/>
      </c>
      <c r="AL13" s="25" t="str">
        <f t="shared" si="2"/>
        <v/>
      </c>
      <c r="AM13" s="38"/>
    </row>
    <row r="14" spans="1:39" ht="12.75" customHeight="1" x14ac:dyDescent="0.25">
      <c r="A14" s="31">
        <v>74612</v>
      </c>
      <c r="B14" s="32" t="e">
        <f>IF(A14="","",VLOOKUP(A14,'Employee Database'!A:B,2,FALSE))</f>
        <v>#N/A</v>
      </c>
      <c r="C14" s="31"/>
      <c r="D14" s="31"/>
      <c r="E14" s="31"/>
      <c r="F14" s="39">
        <f>IF(COUNT(C14:E14)=0,0,SUMPRODUCT({5000,1000,500},C14:E14))</f>
        <v>0</v>
      </c>
      <c r="G14" s="31">
        <v>17</v>
      </c>
      <c r="H14" s="31">
        <v>26</v>
      </c>
      <c r="I14" s="31">
        <v>5</v>
      </c>
      <c r="J14" s="39">
        <f>IF(COUNT(G14:I14)=0,0,SUMPRODUCT({5000,1000,500},G14:I14))</f>
        <v>113500</v>
      </c>
      <c r="K14" s="31"/>
      <c r="L14" s="31"/>
      <c r="M14" s="31"/>
      <c r="N14" s="39">
        <f>IF(COUNT(K14:M14)=0,0,SUMPRODUCT({5000,1000,500},K14:M14))</f>
        <v>0</v>
      </c>
      <c r="O14" s="31"/>
      <c r="P14" s="31"/>
      <c r="Q14" s="31"/>
      <c r="R14" s="39">
        <f>IF(COUNT(O14:Q14)=0,0,SUMPRODUCT({5000,1000,500},O14:Q14))</f>
        <v>0</v>
      </c>
      <c r="S14" s="31"/>
      <c r="T14" s="31"/>
      <c r="U14" s="31"/>
      <c r="V14" s="31"/>
      <c r="W14" s="31"/>
      <c r="X14" s="31">
        <v>61</v>
      </c>
      <c r="Y14" s="31"/>
      <c r="Z14" s="31">
        <v>18</v>
      </c>
      <c r="AA14" s="31"/>
      <c r="AB14" s="31"/>
      <c r="AC14" s="31"/>
      <c r="AD14" s="34">
        <f>IF(COUNT(S14:AC14)=0,0,SUMPRODUCT({5000,1000,500,100,75,50,20,10,5,2,1}, S14:AC14))</f>
        <v>3230</v>
      </c>
      <c r="AE14" s="33">
        <v>116824</v>
      </c>
      <c r="AF14" s="24">
        <f>IF(AND(COUNT(C14:E14)=0,COUNT(G14:I14)=0,COUNT(K14:M14)=0,COUNT(O14:Q14)=0,COUNT(S14:AC14)=0,AE14=""),"",(IF(COUNT(C14:E14)=0,0,SUMPRODUCT({5000,1000,500},C14:E14))+IF(COUNT(G14:I14)=0,0,SUMPRODUCT({5000,1000,500},G14:I14))+IF(COUNT(K14:M14)=0,0,SUMPRODUCT({5000,1000,500},K14:M14))+IF(COUNT(O14:Q14)=0,0,SUMPRODUCT({5000,1000,500},O14:Q14))+AD14)-N(AE14))</f>
        <v>-94</v>
      </c>
      <c r="AG14" s="35" t="str">
        <f t="shared" si="0"/>
        <v>Short</v>
      </c>
      <c r="AH14" s="38"/>
      <c r="AI14" s="36">
        <v>235807</v>
      </c>
      <c r="AJ14" s="37">
        <f>165521+70286</f>
        <v>235807</v>
      </c>
      <c r="AK14" s="26">
        <f t="shared" si="1"/>
        <v>0</v>
      </c>
      <c r="AL14" s="25" t="str">
        <f t="shared" si="2"/>
        <v>Matched</v>
      </c>
      <c r="AM14" s="38"/>
    </row>
    <row r="15" spans="1:39" ht="12.75" customHeight="1" x14ac:dyDescent="0.25">
      <c r="A15" s="31">
        <v>50524</v>
      </c>
      <c r="B15" s="32" t="str">
        <f>IF(A15="","",VLOOKUP(A15,'Employee Database'!A:B,2,FALSE))</f>
        <v>Allah Rakha</v>
      </c>
      <c r="C15" s="31"/>
      <c r="D15" s="31"/>
      <c r="E15" s="31"/>
      <c r="F15" s="39">
        <f>IF(COUNT(C15:E15)=0,0,SUMPRODUCT({5000,1000,500},C15:E15))</f>
        <v>0</v>
      </c>
      <c r="G15" s="31">
        <v>27</v>
      </c>
      <c r="H15" s="31">
        <v>27</v>
      </c>
      <c r="I15" s="31">
        <v>7</v>
      </c>
      <c r="J15" s="39">
        <f>IF(COUNT(G15:I15)=0,0,SUMPRODUCT({5000,1000,500},G15:I15))</f>
        <v>165500</v>
      </c>
      <c r="K15" s="31"/>
      <c r="L15" s="31"/>
      <c r="M15" s="31"/>
      <c r="N15" s="39">
        <f>IF(COUNT(K15:M15)=0,0,SUMPRODUCT({5000,1000,500},K15:M15))</f>
        <v>0</v>
      </c>
      <c r="O15" s="31"/>
      <c r="P15" s="31"/>
      <c r="Q15" s="31"/>
      <c r="R15" s="39">
        <f>IF(COUNT(O15:Q15)=0,0,SUMPRODUCT({5000,1000,500},O15:Q15))</f>
        <v>0</v>
      </c>
      <c r="S15" s="31"/>
      <c r="T15" s="31"/>
      <c r="U15" s="31"/>
      <c r="V15" s="31">
        <v>20</v>
      </c>
      <c r="W15" s="31"/>
      <c r="X15" s="31">
        <v>101</v>
      </c>
      <c r="Y15" s="31">
        <v>1</v>
      </c>
      <c r="Z15" s="31">
        <v>61</v>
      </c>
      <c r="AA15" s="31"/>
      <c r="AB15" s="31"/>
      <c r="AC15" s="31"/>
      <c r="AD15" s="34">
        <f>IF(COUNT(S15:AC15)=0,0,SUMPRODUCT({5000,1000,500,100,75,50,20,10,5,2,1}, S15:AC15))</f>
        <v>7680</v>
      </c>
      <c r="AE15" s="33">
        <v>173165</v>
      </c>
      <c r="AF15" s="24">
        <f>IF(AND(COUNT(C15:E15)=0,COUNT(G15:I15)=0,COUNT(K15:M15)=0,COUNT(O15:Q15)=0,COUNT(S15:AC15)=0,AE15=""),"",(IF(COUNT(C15:E15)=0,0,SUMPRODUCT({5000,1000,500},C15:E15))+IF(COUNT(G15:I15)=0,0,SUMPRODUCT({5000,1000,500},G15:I15))+IF(COUNT(K15:M15)=0,0,SUMPRODUCT({5000,1000,500},K15:M15))+IF(COUNT(O15:Q15)=0,0,SUMPRODUCT({5000,1000,500},O15:Q15))+AD15)-N(AE15))</f>
        <v>15</v>
      </c>
      <c r="AG15" s="35" t="str">
        <f t="shared" si="0"/>
        <v>Excess</v>
      </c>
      <c r="AH15" s="38"/>
      <c r="AI15" s="36">
        <v>368735</v>
      </c>
      <c r="AJ15" s="37">
        <f>86656+282078+1</f>
        <v>368735</v>
      </c>
      <c r="AK15" s="26">
        <f t="shared" si="1"/>
        <v>0</v>
      </c>
      <c r="AL15" s="25" t="str">
        <f t="shared" si="2"/>
        <v>Matched</v>
      </c>
      <c r="AM15" s="38"/>
    </row>
    <row r="16" spans="1:39" ht="12.75" customHeight="1" x14ac:dyDescent="0.25">
      <c r="A16" s="31">
        <v>68475</v>
      </c>
      <c r="B16" s="32" t="str">
        <f>IF(A16="","",VLOOKUP(A16,'Employee Database'!A:B,2,FALSE))</f>
        <v>M Azeem</v>
      </c>
      <c r="C16" s="31"/>
      <c r="D16" s="31"/>
      <c r="E16" s="31"/>
      <c r="F16" s="39">
        <f>IF(COUNT(C16:E16)=0,0,SUMPRODUCT({5000,1000,500},C16:E16))</f>
        <v>0</v>
      </c>
      <c r="G16" s="31">
        <v>7</v>
      </c>
      <c r="H16" s="31">
        <v>13</v>
      </c>
      <c r="I16" s="31">
        <v>15</v>
      </c>
      <c r="J16" s="39">
        <f>IF(COUNT(G16:I16)=0,0,SUMPRODUCT({5000,1000,500},G16:I16))</f>
        <v>55500</v>
      </c>
      <c r="K16" s="31"/>
      <c r="L16" s="31"/>
      <c r="M16" s="31"/>
      <c r="N16" s="39">
        <f>IF(COUNT(K16:M16)=0,0,SUMPRODUCT({5000,1000,500},K16:M16))</f>
        <v>0</v>
      </c>
      <c r="O16" s="31"/>
      <c r="P16" s="31"/>
      <c r="Q16" s="31"/>
      <c r="R16" s="39">
        <f>IF(COUNT(O16:Q16)=0,0,SUMPRODUCT({5000,1000,500},O16:Q16))</f>
        <v>0</v>
      </c>
      <c r="S16" s="31"/>
      <c r="T16" s="31"/>
      <c r="U16" s="31"/>
      <c r="V16" s="31">
        <v>33</v>
      </c>
      <c r="W16" s="31"/>
      <c r="X16" s="31">
        <v>9</v>
      </c>
      <c r="Y16" s="31"/>
      <c r="Z16" s="31">
        <v>5</v>
      </c>
      <c r="AA16" s="31"/>
      <c r="AB16" s="31"/>
      <c r="AC16" s="31"/>
      <c r="AD16" s="34">
        <f>IF(COUNT(S16:AC16)=0,0,SUMPRODUCT({5000,1000,500,100,75,50,20,10,5,2,1}, S16:AC16))</f>
        <v>3800</v>
      </c>
      <c r="AE16" s="33">
        <v>59378</v>
      </c>
      <c r="AF16" s="24">
        <f>IF(AND(COUNT(C16:E16)=0,COUNT(G16:I16)=0,COUNT(K16:M16)=0,COUNT(O16:Q16)=0,COUNT(S16:AC16)=0,AE16=""),"",(IF(COUNT(C16:E16)=0,0,SUMPRODUCT({5000,1000,500},C16:E16))+IF(COUNT(G16:I16)=0,0,SUMPRODUCT({5000,1000,500},G16:I16))+IF(COUNT(K16:M16)=0,0,SUMPRODUCT({5000,1000,500},K16:M16))+IF(COUNT(O16:Q16)=0,0,SUMPRODUCT({5000,1000,500},O16:Q16))+AD16)-N(AE16))</f>
        <v>-78</v>
      </c>
      <c r="AG16" s="35" t="str">
        <f t="shared" si="0"/>
        <v>Short</v>
      </c>
      <c r="AH16" s="38"/>
      <c r="AI16" s="36">
        <v>33878</v>
      </c>
      <c r="AJ16" s="37">
        <v>33878</v>
      </c>
      <c r="AK16" s="26">
        <f t="shared" si="1"/>
        <v>0</v>
      </c>
      <c r="AL16" s="25" t="str">
        <f t="shared" si="2"/>
        <v>Matched</v>
      </c>
      <c r="AM16" s="38"/>
    </row>
    <row r="17" spans="1:39" ht="12.75" customHeight="1" x14ac:dyDescent="0.25">
      <c r="A17" s="31">
        <v>63374</v>
      </c>
      <c r="B17" s="32" t="str">
        <f>IF(A17="","",VLOOKUP(A17,'Employee Database'!A:B,2,FALSE))</f>
        <v>Aftab Ali</v>
      </c>
      <c r="C17" s="31"/>
      <c r="D17" s="31"/>
      <c r="E17" s="31"/>
      <c r="F17" s="39">
        <f>IF(COUNT(C17:E17)=0,0,SUMPRODUCT({5000,1000,500},C17:E17))</f>
        <v>0</v>
      </c>
      <c r="G17" s="31">
        <v>42</v>
      </c>
      <c r="H17" s="31">
        <v>74</v>
      </c>
      <c r="I17" s="31">
        <v>218</v>
      </c>
      <c r="J17" s="39">
        <f>IF(COUNT(G17:I17)=0,0,SUMPRODUCT({5000,1000,500},G17:I17))</f>
        <v>393000</v>
      </c>
      <c r="K17" s="31"/>
      <c r="L17" s="31"/>
      <c r="M17" s="31"/>
      <c r="N17" s="39">
        <f>IF(COUNT(K17:M17)=0,0,SUMPRODUCT({5000,1000,500},K17:M17))</f>
        <v>0</v>
      </c>
      <c r="O17" s="31"/>
      <c r="P17" s="31"/>
      <c r="Q17" s="31"/>
      <c r="R17" s="39">
        <f>IF(COUNT(O17:Q17)=0,0,SUMPRODUCT({5000,1000,500},O17:Q17))</f>
        <v>0</v>
      </c>
      <c r="S17" s="31"/>
      <c r="T17" s="31"/>
      <c r="U17" s="31"/>
      <c r="V17" s="31">
        <v>4</v>
      </c>
      <c r="W17" s="31"/>
      <c r="X17" s="31">
        <v>40</v>
      </c>
      <c r="Y17" s="31"/>
      <c r="Z17" s="31">
        <v>56</v>
      </c>
      <c r="AA17" s="31"/>
      <c r="AB17" s="31"/>
      <c r="AC17" s="31"/>
      <c r="AD17" s="34">
        <f>IF(COUNT(S17:AC17)=0,0,SUMPRODUCT({5000,1000,500,100,75,50,20,10,5,2,1}, S17:AC17))</f>
        <v>2960</v>
      </c>
      <c r="AE17" s="33">
        <v>395954</v>
      </c>
      <c r="AF17" s="24">
        <f>IF(AND(COUNT(C17:E17)=0,COUNT(G17:I17)=0,COUNT(K17:M17)=0,COUNT(O17:Q17)=0,COUNT(S17:AC17)=0,AE17=""),"",(IF(COUNT(C17:E17)=0,0,SUMPRODUCT({5000,1000,500},C17:E17))+IF(COUNT(G17:I17)=0,0,SUMPRODUCT({5000,1000,500},G17:I17))+IF(COUNT(K17:M17)=0,0,SUMPRODUCT({5000,1000,500},K17:M17))+IF(COUNT(O17:Q17)=0,0,SUMPRODUCT({5000,1000,500},O17:Q17))+AD17)-N(AE17))</f>
        <v>6</v>
      </c>
      <c r="AG17" s="35" t="str">
        <f t="shared" si="0"/>
        <v>Excess</v>
      </c>
      <c r="AH17" s="38"/>
      <c r="AI17" s="36">
        <f>606753+110985</f>
        <v>717738</v>
      </c>
      <c r="AJ17" s="37">
        <f>33146+77839+606753</f>
        <v>717738</v>
      </c>
      <c r="AK17" s="26">
        <f t="shared" si="1"/>
        <v>0</v>
      </c>
      <c r="AL17" s="25" t="str">
        <f t="shared" si="2"/>
        <v>Matched</v>
      </c>
      <c r="AM17" s="38"/>
    </row>
    <row r="18" spans="1:39" ht="12.75" customHeight="1" x14ac:dyDescent="0.25">
      <c r="A18" s="31">
        <v>77424</v>
      </c>
      <c r="B18" s="32" t="str">
        <f>IF(A18="","",VLOOKUP(A18,'Employee Database'!A:B,2,FALSE))</f>
        <v>M Husnain</v>
      </c>
      <c r="C18" s="31"/>
      <c r="D18" s="31"/>
      <c r="E18" s="31"/>
      <c r="F18" s="39">
        <f>IF(COUNT(C18:E18)=0,0,SUMPRODUCT({5000,1000,500},C18:E18))</f>
        <v>0</v>
      </c>
      <c r="G18" s="31">
        <v>10</v>
      </c>
      <c r="H18" s="31">
        <v>103</v>
      </c>
      <c r="I18" s="31">
        <v>10</v>
      </c>
      <c r="J18" s="39">
        <f>IF(COUNT(G18:I18)=0,0,SUMPRODUCT({5000,1000,500},G18:I18))</f>
        <v>158000</v>
      </c>
      <c r="K18" s="31"/>
      <c r="L18" s="31"/>
      <c r="M18" s="31"/>
      <c r="N18" s="39">
        <f>IF(COUNT(K18:M18)=0,0,SUMPRODUCT({5000,1000,500},K18:M18))</f>
        <v>0</v>
      </c>
      <c r="O18" s="31"/>
      <c r="P18" s="31"/>
      <c r="Q18" s="31"/>
      <c r="R18" s="39">
        <f>IF(COUNT(O18:Q18)=0,0,SUMPRODUCT({5000,1000,500},O18:Q18))</f>
        <v>0</v>
      </c>
      <c r="S18" s="31"/>
      <c r="T18" s="31"/>
      <c r="U18" s="31"/>
      <c r="V18" s="31">
        <v>5</v>
      </c>
      <c r="W18" s="31"/>
      <c r="X18" s="31">
        <v>51</v>
      </c>
      <c r="Y18" s="31"/>
      <c r="Z18" s="31">
        <v>35</v>
      </c>
      <c r="AA18" s="31"/>
      <c r="AB18" s="31"/>
      <c r="AC18" s="31"/>
      <c r="AD18" s="34">
        <f>IF(COUNT(S18:AC18)=0,0,SUMPRODUCT({5000,1000,500,100,75,50,20,10,5,2,1}, S18:AC18))</f>
        <v>3400</v>
      </c>
      <c r="AE18" s="33">
        <v>161434</v>
      </c>
      <c r="AF18" s="24">
        <f>IF(AND(COUNT(C18:E18)=0,COUNT(G18:I18)=0,COUNT(K18:M18)=0,COUNT(O18:Q18)=0,COUNT(S18:AC18)=0,AE18=""),"",(IF(COUNT(C18:E18)=0,0,SUMPRODUCT({5000,1000,500},C18:E18))+IF(COUNT(G18:I18)=0,0,SUMPRODUCT({5000,1000,500},G18:I18))+IF(COUNT(K18:M18)=0,0,SUMPRODUCT({5000,1000,500},K18:M18))+IF(COUNT(O18:Q18)=0,0,SUMPRODUCT({5000,1000,500},O18:Q18))+AD18)-N(AE18))</f>
        <v>-34</v>
      </c>
      <c r="AG18" s="35" t="str">
        <f t="shared" si="0"/>
        <v>Short</v>
      </c>
      <c r="AH18" s="38"/>
      <c r="AI18" s="36">
        <v>140804</v>
      </c>
      <c r="AJ18" s="37">
        <f>2698+83405+54701</f>
        <v>140804</v>
      </c>
      <c r="AK18" s="26">
        <f t="shared" si="1"/>
        <v>0</v>
      </c>
      <c r="AL18" s="25" t="str">
        <f t="shared" si="2"/>
        <v>Matched</v>
      </c>
      <c r="AM18" s="38"/>
    </row>
    <row r="19" spans="1:39" ht="12.75" customHeight="1" x14ac:dyDescent="0.25">
      <c r="A19" s="31">
        <v>67250</v>
      </c>
      <c r="B19" s="32" t="str">
        <f>IF(A19="","",VLOOKUP(A19,'Employee Database'!A:B,2,FALSE))</f>
        <v>M Fiaz</v>
      </c>
      <c r="C19" s="31"/>
      <c r="D19" s="31"/>
      <c r="E19" s="31"/>
      <c r="F19" s="39">
        <f>IF(COUNT(C19:E19)=0,0,SUMPRODUCT({5000,1000,500},C19:E19))</f>
        <v>0</v>
      </c>
      <c r="G19" s="31">
        <v>31</v>
      </c>
      <c r="H19" s="31">
        <v>65</v>
      </c>
      <c r="I19" s="31">
        <v>8</v>
      </c>
      <c r="J19" s="39">
        <f>IF(COUNT(G19:I19)=0,0,SUMPRODUCT({5000,1000,500},G19:I19))</f>
        <v>224000</v>
      </c>
      <c r="K19" s="31"/>
      <c r="L19" s="31"/>
      <c r="M19" s="31"/>
      <c r="N19" s="39">
        <f>IF(COUNT(K19:M19)=0,0,SUMPRODUCT({5000,1000,500},K19:M19))</f>
        <v>0</v>
      </c>
      <c r="O19" s="31"/>
      <c r="P19" s="31"/>
      <c r="Q19" s="31"/>
      <c r="R19" s="39">
        <f>IF(COUNT(O19:Q19)=0,0,SUMPRODUCT({5000,1000,500},O19:Q19))</f>
        <v>0</v>
      </c>
      <c r="S19" s="31"/>
      <c r="T19" s="31"/>
      <c r="U19" s="31"/>
      <c r="V19" s="31"/>
      <c r="W19" s="31"/>
      <c r="X19" s="31">
        <v>11</v>
      </c>
      <c r="Y19" s="31"/>
      <c r="Z19" s="31">
        <v>7</v>
      </c>
      <c r="AA19" s="31"/>
      <c r="AB19" s="31"/>
      <c r="AC19" s="31"/>
      <c r="AD19" s="34">
        <f>IF(COUNT(S19:AC19)=0,0,SUMPRODUCT({5000,1000,500,100,75,50,20,10,5,2,1}, S19:AC19))</f>
        <v>620</v>
      </c>
      <c r="AE19" s="33">
        <v>224686</v>
      </c>
      <c r="AF19" s="24">
        <f>IF(AND(COUNT(C19:E19)=0,COUNT(G19:I19)=0,COUNT(K19:M19)=0,COUNT(O19:Q19)=0,COUNT(S19:AC19)=0,AE19=""),"",(IF(COUNT(C19:E19)=0,0,SUMPRODUCT({5000,1000,500},C19:E19))+IF(COUNT(G19:I19)=0,0,SUMPRODUCT({5000,1000,500},G19:I19))+IF(COUNT(K19:M19)=0,0,SUMPRODUCT({5000,1000,500},K19:M19))+IF(COUNT(O19:Q19)=0,0,SUMPRODUCT({5000,1000,500},O19:Q19))+AD19)-N(AE19))</f>
        <v>-66</v>
      </c>
      <c r="AG19" s="35" t="str">
        <f t="shared" si="0"/>
        <v>Short</v>
      </c>
      <c r="AH19" s="38"/>
      <c r="AI19" s="36">
        <f>490007+78089</f>
        <v>568096</v>
      </c>
      <c r="AJ19" s="37">
        <f>463698+26308+78089+1</f>
        <v>568096</v>
      </c>
      <c r="AK19" s="26">
        <f t="shared" si="1"/>
        <v>0</v>
      </c>
      <c r="AL19" s="25" t="str">
        <f t="shared" si="2"/>
        <v>Matched</v>
      </c>
      <c r="AM19" s="38"/>
    </row>
    <row r="20" spans="1:39" ht="12.75" customHeight="1" x14ac:dyDescent="0.25">
      <c r="A20" s="31">
        <v>75768</v>
      </c>
      <c r="B20" s="32" t="str">
        <f>IF(A20="","",VLOOKUP(A20,'Employee Database'!A:B,2,FALSE))</f>
        <v>Zuhaib</v>
      </c>
      <c r="C20" s="31"/>
      <c r="D20" s="31"/>
      <c r="E20" s="31"/>
      <c r="F20" s="39">
        <f>IF(COUNT(C20:E20)=0,0,SUMPRODUCT({5000,1000,500},C20:E20))</f>
        <v>0</v>
      </c>
      <c r="G20" s="31">
        <v>68</v>
      </c>
      <c r="H20" s="31">
        <v>88</v>
      </c>
      <c r="I20" s="31">
        <v>66</v>
      </c>
      <c r="J20" s="39">
        <f>IF(COUNT(G20:I20)=0,0,SUMPRODUCT({5000,1000,500},G20:I20))</f>
        <v>461000</v>
      </c>
      <c r="K20" s="31"/>
      <c r="L20" s="31"/>
      <c r="M20" s="31"/>
      <c r="N20" s="39">
        <f>IF(COUNT(K20:M20)=0,0,SUMPRODUCT({5000,1000,500},K20:M20))</f>
        <v>0</v>
      </c>
      <c r="O20" s="31"/>
      <c r="P20" s="31"/>
      <c r="Q20" s="31"/>
      <c r="R20" s="39">
        <f>IF(COUNT(O20:Q20)=0,0,SUMPRODUCT({5000,1000,500},O20:Q20))</f>
        <v>0</v>
      </c>
      <c r="S20" s="31"/>
      <c r="T20" s="31"/>
      <c r="U20" s="31"/>
      <c r="V20" s="31">
        <v>2</v>
      </c>
      <c r="W20" s="31"/>
      <c r="X20" s="31">
        <v>2</v>
      </c>
      <c r="Y20" s="31">
        <v>1</v>
      </c>
      <c r="Z20" s="31">
        <v>12</v>
      </c>
      <c r="AA20" s="31"/>
      <c r="AB20" s="31"/>
      <c r="AC20" s="31"/>
      <c r="AD20" s="34">
        <f>IF(COUNT(S20:AC20)=0,0,SUMPRODUCT({5000,1000,500,100,75,50,20,10,5,2,1}, S20:AC20))</f>
        <v>440</v>
      </c>
      <c r="AE20" s="33">
        <v>461370</v>
      </c>
      <c r="AF20" s="24">
        <f>IF(AND(COUNT(C20:E20)=0,COUNT(G20:I20)=0,COUNT(K20:M20)=0,COUNT(O20:Q20)=0,COUNT(S20:AC20)=0,AE20=""),"",(IF(COUNT(C20:E20)=0,0,SUMPRODUCT({5000,1000,500},C20:E20))+IF(COUNT(G20:I20)=0,0,SUMPRODUCT({5000,1000,500},G20:I20))+IF(COUNT(K20:M20)=0,0,SUMPRODUCT({5000,1000,500},K20:M20))+IF(COUNT(O20:Q20)=0,0,SUMPRODUCT({5000,1000,500},O20:Q20))+AD20)-N(AE20))</f>
        <v>70</v>
      </c>
      <c r="AG20" s="35" t="str">
        <f t="shared" si="0"/>
        <v>Excess</v>
      </c>
      <c r="AH20" s="38"/>
      <c r="AI20" s="36">
        <v>907398</v>
      </c>
      <c r="AJ20" s="37">
        <v>907398</v>
      </c>
      <c r="AK20" s="26">
        <f t="shared" si="1"/>
        <v>0</v>
      </c>
      <c r="AL20" s="25" t="str">
        <f t="shared" si="2"/>
        <v>Matched</v>
      </c>
      <c r="AM20" s="38"/>
    </row>
    <row r="21" spans="1:39" ht="12.75" customHeight="1" x14ac:dyDescent="0.25">
      <c r="A21" s="31">
        <v>78242</v>
      </c>
      <c r="B21" s="32" t="str">
        <f>IF(A21="","",VLOOKUP(A21,'Employee Database'!A:B,2,FALSE))</f>
        <v>Hamad Mughal</v>
      </c>
      <c r="C21" s="31"/>
      <c r="D21" s="31"/>
      <c r="E21" s="31"/>
      <c r="F21" s="39">
        <f>IF(COUNT(C21:E21)=0,0,SUMPRODUCT({5000,1000,500},C21:E21))</f>
        <v>0</v>
      </c>
      <c r="G21" s="31">
        <v>17</v>
      </c>
      <c r="H21" s="31">
        <v>80</v>
      </c>
      <c r="I21" s="31">
        <v>40</v>
      </c>
      <c r="J21" s="39">
        <f>IF(COUNT(G21:I21)=0,0,SUMPRODUCT({5000,1000,500},G21:I21))</f>
        <v>185000</v>
      </c>
      <c r="K21" s="31"/>
      <c r="L21" s="31"/>
      <c r="M21" s="31"/>
      <c r="N21" s="39">
        <f>IF(COUNT(K21:M21)=0,0,SUMPRODUCT({5000,1000,500},K21:M21))</f>
        <v>0</v>
      </c>
      <c r="O21" s="31"/>
      <c r="P21" s="31"/>
      <c r="Q21" s="31"/>
      <c r="R21" s="39">
        <f>IF(COUNT(O21:Q21)=0,0,SUMPRODUCT({5000,1000,500},O21:Q21))</f>
        <v>0</v>
      </c>
      <c r="S21" s="31"/>
      <c r="T21" s="31"/>
      <c r="U21" s="31"/>
      <c r="V21" s="31">
        <v>1</v>
      </c>
      <c r="W21" s="31"/>
      <c r="X21" s="31">
        <v>3</v>
      </c>
      <c r="Y21" s="31"/>
      <c r="Z21" s="31">
        <v>36</v>
      </c>
      <c r="AA21" s="31"/>
      <c r="AB21" s="31"/>
      <c r="AC21" s="31"/>
      <c r="AD21" s="34">
        <f>IF(COUNT(S21:AC21)=0,0,SUMPRODUCT({5000,1000,500,100,75,50,20,10,5,2,1}, S21:AC21))</f>
        <v>610</v>
      </c>
      <c r="AE21" s="33">
        <v>185517</v>
      </c>
      <c r="AF21" s="24">
        <f>IF(AND(COUNT(C21:E21)=0,COUNT(G21:I21)=0,COUNT(K21:M21)=0,COUNT(O21:Q21)=0,COUNT(S21:AC21)=0,AE21=""),"",(IF(COUNT(C21:E21)=0,0,SUMPRODUCT({5000,1000,500},C21:E21))+IF(COUNT(G21:I21)=0,0,SUMPRODUCT({5000,1000,500},G21:I21))+IF(COUNT(K21:M21)=0,0,SUMPRODUCT({5000,1000,500},K21:M21))+IF(COUNT(O21:Q21)=0,0,SUMPRODUCT({5000,1000,500},O21:Q21))+AD21)-N(AE21))</f>
        <v>93</v>
      </c>
      <c r="AG21" s="35" t="str">
        <f t="shared" si="0"/>
        <v>Excess</v>
      </c>
      <c r="AH21" s="38"/>
      <c r="AI21" s="36">
        <f>146612+169438</f>
        <v>316050</v>
      </c>
      <c r="AJ21" s="37">
        <f>169438+146612</f>
        <v>316050</v>
      </c>
      <c r="AK21" s="26">
        <f t="shared" si="1"/>
        <v>0</v>
      </c>
      <c r="AL21" s="25" t="str">
        <f t="shared" si="2"/>
        <v>Matched</v>
      </c>
      <c r="AM21" s="38"/>
    </row>
    <row r="22" spans="1:39" ht="12.75" customHeight="1" x14ac:dyDescent="0.25">
      <c r="A22" s="31">
        <v>61648</v>
      </c>
      <c r="B22" s="32" t="str">
        <f>IF(A22="","",VLOOKUP(A22,'Employee Database'!A:B,2,FALSE))</f>
        <v>Rizwan</v>
      </c>
      <c r="C22" s="31"/>
      <c r="D22" s="31"/>
      <c r="E22" s="31"/>
      <c r="F22" s="39">
        <f>IF(COUNT(C22:E22)=0,0,SUMPRODUCT({5000,1000,500},C22:E22))</f>
        <v>0</v>
      </c>
      <c r="G22" s="31">
        <v>58</v>
      </c>
      <c r="H22" s="31">
        <v>90</v>
      </c>
      <c r="I22" s="31">
        <v>20</v>
      </c>
      <c r="J22" s="39">
        <f>IF(COUNT(G22:I22)=0,0,SUMPRODUCT({5000,1000,500},G22:I22))</f>
        <v>390000</v>
      </c>
      <c r="K22" s="31"/>
      <c r="L22" s="31"/>
      <c r="M22" s="31"/>
      <c r="N22" s="39">
        <f>IF(COUNT(K22:M22)=0,0,SUMPRODUCT({5000,1000,500},K22:M22))</f>
        <v>0</v>
      </c>
      <c r="O22" s="31"/>
      <c r="P22" s="31"/>
      <c r="Q22" s="31"/>
      <c r="R22" s="39">
        <f>IF(COUNT(O22:Q22)=0,0,SUMPRODUCT({5000,1000,500},O22:Q22))</f>
        <v>0</v>
      </c>
      <c r="S22" s="31"/>
      <c r="T22" s="31"/>
      <c r="U22" s="31"/>
      <c r="V22" s="31">
        <v>2</v>
      </c>
      <c r="W22" s="31"/>
      <c r="X22" s="31">
        <v>40</v>
      </c>
      <c r="Y22" s="31"/>
      <c r="Z22" s="31">
        <v>20</v>
      </c>
      <c r="AA22" s="31"/>
      <c r="AB22" s="31"/>
      <c r="AC22" s="31"/>
      <c r="AD22" s="34">
        <f>IF(COUNT(S22:AC22)=0,0,SUMPRODUCT({5000,1000,500,100,75,50,20,10,5,2,1}, S22:AC22))</f>
        <v>2400</v>
      </c>
      <c r="AE22" s="33">
        <v>392256</v>
      </c>
      <c r="AF22" s="24">
        <f>IF(AND(COUNT(C22:E22)=0,COUNT(G22:I22)=0,COUNT(K22:M22)=0,COUNT(O22:Q22)=0,COUNT(S22:AC22)=0,AE22=""),"",(IF(COUNT(C22:E22)=0,0,SUMPRODUCT({5000,1000,500},C22:E22))+IF(COUNT(G22:I22)=0,0,SUMPRODUCT({5000,1000,500},G22:I22))+IF(COUNT(K22:M22)=0,0,SUMPRODUCT({5000,1000,500},K22:M22))+IF(COUNT(O22:Q22)=0,0,SUMPRODUCT({5000,1000,500},O22:Q22))+AD22)-N(AE22))</f>
        <v>144</v>
      </c>
      <c r="AG22" s="35" t="str">
        <f t="shared" si="0"/>
        <v>Excess</v>
      </c>
      <c r="AH22" s="38"/>
      <c r="AI22" s="36">
        <v>732844</v>
      </c>
      <c r="AJ22" s="37">
        <f>301452+431392</f>
        <v>732844</v>
      </c>
      <c r="AK22" s="26">
        <f t="shared" si="1"/>
        <v>0</v>
      </c>
      <c r="AL22" s="25" t="str">
        <f t="shared" si="2"/>
        <v>Matched</v>
      </c>
      <c r="AM22" s="38"/>
    </row>
    <row r="23" spans="1:39" ht="12.75" customHeight="1" x14ac:dyDescent="0.25">
      <c r="A23" s="31">
        <v>71788</v>
      </c>
      <c r="B23" s="32" t="str">
        <f>IF(A23="","",VLOOKUP(A23,'Employee Database'!A:B,2,FALSE))</f>
        <v>Saaim</v>
      </c>
      <c r="C23" s="31"/>
      <c r="D23" s="31"/>
      <c r="E23" s="31"/>
      <c r="F23" s="39">
        <f>IF(COUNT(C23:E23)=0,0,SUMPRODUCT({5000,1000,500},C23:E23))</f>
        <v>0</v>
      </c>
      <c r="G23" s="31">
        <v>30</v>
      </c>
      <c r="H23" s="31">
        <v>112</v>
      </c>
      <c r="I23" s="31">
        <v>11</v>
      </c>
      <c r="J23" s="39">
        <f>IF(COUNT(G23:I23)=0,0,SUMPRODUCT({5000,1000,500},G23:I23))</f>
        <v>267500</v>
      </c>
      <c r="K23" s="31"/>
      <c r="L23" s="31"/>
      <c r="M23" s="31"/>
      <c r="N23" s="39">
        <f>IF(COUNT(K23:M23)=0,0,SUMPRODUCT({5000,1000,500},K23:M23))</f>
        <v>0</v>
      </c>
      <c r="O23" s="31"/>
      <c r="P23" s="31"/>
      <c r="Q23" s="31"/>
      <c r="R23" s="39">
        <f>IF(COUNT(O23:Q23)=0,0,SUMPRODUCT({5000,1000,500},O23:Q23))</f>
        <v>0</v>
      </c>
      <c r="S23" s="31"/>
      <c r="T23" s="31"/>
      <c r="U23" s="31"/>
      <c r="V23" s="31">
        <v>3</v>
      </c>
      <c r="W23" s="31"/>
      <c r="X23" s="31">
        <v>44</v>
      </c>
      <c r="Y23" s="31"/>
      <c r="Z23" s="31">
        <v>21</v>
      </c>
      <c r="AA23" s="31"/>
      <c r="AB23" s="31"/>
      <c r="AC23" s="31"/>
      <c r="AD23" s="34">
        <f>IF(COUNT(S23:AC23)=0,0,SUMPRODUCT({5000,1000,500,100,75,50,20,10,5,2,1}, S23:AC23))</f>
        <v>2710</v>
      </c>
      <c r="AE23" s="33">
        <v>270243</v>
      </c>
      <c r="AF23" s="24">
        <f>IF(AND(COUNT(C23:E23)=0,COUNT(G23:I23)=0,COUNT(K23:M23)=0,COUNT(O23:Q23)=0,COUNT(S23:AC23)=0,AE23=""),"",(IF(COUNT(C23:E23)=0,0,SUMPRODUCT({5000,1000,500},C23:E23))+IF(COUNT(G23:I23)=0,0,SUMPRODUCT({5000,1000,500},G23:I23))+IF(COUNT(K23:M23)=0,0,SUMPRODUCT({5000,1000,500},K23:M23))+IF(COUNT(O23:Q23)=0,0,SUMPRODUCT({5000,1000,500},O23:Q23))+AD23)-N(AE23))</f>
        <v>-33</v>
      </c>
      <c r="AG23" s="35" t="str">
        <f t="shared" si="0"/>
        <v>Short</v>
      </c>
      <c r="AH23" s="38"/>
      <c r="AI23" s="36">
        <f>609296+100657</f>
        <v>709953</v>
      </c>
      <c r="AJ23" s="37">
        <f>132459+100657+476837</f>
        <v>709953</v>
      </c>
      <c r="AK23" s="26">
        <f t="shared" si="1"/>
        <v>0</v>
      </c>
      <c r="AL23" s="25" t="str">
        <f t="shared" si="2"/>
        <v>Matched</v>
      </c>
      <c r="AM23" s="38"/>
    </row>
    <row r="24" spans="1:39" ht="12.75" customHeight="1" x14ac:dyDescent="0.25">
      <c r="A24" s="31">
        <v>53893</v>
      </c>
      <c r="B24" s="32" t="str">
        <f>IF(A24="","",VLOOKUP(A24,'Employee Database'!A:B,2,FALSE))</f>
        <v>M Binyameen</v>
      </c>
      <c r="C24" s="31"/>
      <c r="D24" s="31"/>
      <c r="E24" s="31"/>
      <c r="F24" s="39">
        <f>IF(COUNT(C24:E24)=0,0,SUMPRODUCT({5000,1000,500},C24:E24))</f>
        <v>0</v>
      </c>
      <c r="G24" s="31">
        <v>42</v>
      </c>
      <c r="H24" s="31">
        <v>110</v>
      </c>
      <c r="I24" s="31">
        <v>17</v>
      </c>
      <c r="J24" s="39">
        <f>IF(COUNT(G24:I24)=0,0,SUMPRODUCT({5000,1000,500},G24:I24))</f>
        <v>328500</v>
      </c>
      <c r="K24" s="31"/>
      <c r="L24" s="31"/>
      <c r="M24" s="31"/>
      <c r="N24" s="39">
        <f>IF(COUNT(K24:M24)=0,0,SUMPRODUCT({5000,1000,500},K24:M24))</f>
        <v>0</v>
      </c>
      <c r="O24" s="31"/>
      <c r="P24" s="31"/>
      <c r="Q24" s="31"/>
      <c r="R24" s="39">
        <f>IF(COUNT(O24:Q24)=0,0,SUMPRODUCT({5000,1000,500},O24:Q24))</f>
        <v>0</v>
      </c>
      <c r="S24" s="31"/>
      <c r="T24" s="31"/>
      <c r="U24" s="31"/>
      <c r="V24" s="31">
        <v>4</v>
      </c>
      <c r="W24" s="31"/>
      <c r="X24" s="31">
        <v>1</v>
      </c>
      <c r="Y24" s="31">
        <v>1</v>
      </c>
      <c r="Z24" s="31">
        <v>41</v>
      </c>
      <c r="AA24" s="31"/>
      <c r="AB24" s="31"/>
      <c r="AC24" s="31"/>
      <c r="AD24" s="34">
        <f>IF(COUNT(S24:AC24)=0,0,SUMPRODUCT({5000,1000,500,100,75,50,20,10,5,2,1}, S24:AC24))</f>
        <v>880</v>
      </c>
      <c r="AE24" s="33">
        <v>329369</v>
      </c>
      <c r="AF24" s="24">
        <f>IF(AND(COUNT(C24:E24)=0,COUNT(G24:I24)=0,COUNT(K24:M24)=0,COUNT(O24:Q24)=0,COUNT(S24:AC24)=0,AE24=""),"",(IF(COUNT(C24:E24)=0,0,SUMPRODUCT({5000,1000,500},C24:E24))+IF(COUNT(G24:I24)=0,0,SUMPRODUCT({5000,1000,500},G24:I24))+IF(COUNT(K24:M24)=0,0,SUMPRODUCT({5000,1000,500},K24:M24))+IF(COUNT(O24:Q24)=0,0,SUMPRODUCT({5000,1000,500},O24:Q24))+AD24)-N(AE24))</f>
        <v>11</v>
      </c>
      <c r="AG24" s="35" t="str">
        <f t="shared" si="0"/>
        <v>Excess</v>
      </c>
      <c r="AH24" s="38"/>
      <c r="AI24" s="36">
        <v>681049</v>
      </c>
      <c r="AJ24" s="37">
        <f>9999+209715+461334+1</f>
        <v>681049</v>
      </c>
      <c r="AK24" s="26">
        <f t="shared" si="1"/>
        <v>0</v>
      </c>
      <c r="AL24" s="25" t="str">
        <f t="shared" si="2"/>
        <v>Matched</v>
      </c>
      <c r="AM24" s="38"/>
    </row>
    <row r="25" spans="1:39" ht="12.75" customHeight="1" x14ac:dyDescent="0.25">
      <c r="A25" s="31">
        <v>69728</v>
      </c>
      <c r="B25" s="32" t="str">
        <f>IF(A25="","",VLOOKUP(A25,'Employee Database'!A:B,2,FALSE))</f>
        <v>Hafiz Hafeez Ur Rehman</v>
      </c>
      <c r="C25" s="31"/>
      <c r="D25" s="31"/>
      <c r="E25" s="31"/>
      <c r="F25" s="39">
        <f>IF(COUNT(C25:E25)=0,0,SUMPRODUCT({5000,1000,500},C25:E25))</f>
        <v>0</v>
      </c>
      <c r="G25" s="31">
        <v>12</v>
      </c>
      <c r="H25" s="31">
        <v>33</v>
      </c>
      <c r="I25" s="31">
        <v>13</v>
      </c>
      <c r="J25" s="39">
        <f>IF(COUNT(G25:I25)=0,0,SUMPRODUCT({5000,1000,500},G25:I25))</f>
        <v>99500</v>
      </c>
      <c r="K25" s="31"/>
      <c r="L25" s="31"/>
      <c r="M25" s="31"/>
      <c r="N25" s="39">
        <f>IF(COUNT(K25:M25)=0,0,SUMPRODUCT({5000,1000,500},K25:M25))</f>
        <v>0</v>
      </c>
      <c r="O25" s="31"/>
      <c r="P25" s="31"/>
      <c r="Q25" s="31"/>
      <c r="R25" s="39">
        <f>IF(COUNT(O25:Q25)=0,0,SUMPRODUCT({5000,1000,500},O25:Q25))</f>
        <v>0</v>
      </c>
      <c r="S25" s="31"/>
      <c r="T25" s="31"/>
      <c r="U25" s="31"/>
      <c r="V25" s="31">
        <v>9</v>
      </c>
      <c r="W25" s="31"/>
      <c r="X25" s="31">
        <v>322</v>
      </c>
      <c r="Y25" s="31"/>
      <c r="Z25" s="31">
        <v>624</v>
      </c>
      <c r="AA25" s="31"/>
      <c r="AB25" s="31"/>
      <c r="AC25" s="31"/>
      <c r="AD25" s="34">
        <f>IF(COUNT(S25:AC25)=0,0,SUMPRODUCT({5000,1000,500,100,75,50,20,10,5,2,1}, S25:AC25))</f>
        <v>23240</v>
      </c>
      <c r="AE25" s="33">
        <v>122735</v>
      </c>
      <c r="AF25" s="24">
        <f>IF(AND(COUNT(C25:E25)=0,COUNT(G25:I25)=0,COUNT(K25:M25)=0,COUNT(O25:Q25)=0,COUNT(S25:AC25)=0,AE25=""),"",(IF(COUNT(C25:E25)=0,0,SUMPRODUCT({5000,1000,500},C25:E25))+IF(COUNT(G25:I25)=0,0,SUMPRODUCT({5000,1000,500},G25:I25))+IF(COUNT(K25:M25)=0,0,SUMPRODUCT({5000,1000,500},K25:M25))+IF(COUNT(O25:Q25)=0,0,SUMPRODUCT({5000,1000,500},O25:Q25))+AD25)-N(AE25))</f>
        <v>5</v>
      </c>
      <c r="AG25" s="35" t="str">
        <f t="shared" si="0"/>
        <v>Excess</v>
      </c>
      <c r="AH25" s="38"/>
      <c r="AI25" s="36">
        <f>94025+209416</f>
        <v>303441</v>
      </c>
      <c r="AJ25" s="37">
        <f>17108+24749+69275+192307+2</f>
        <v>303441</v>
      </c>
      <c r="AK25" s="26">
        <f t="shared" si="1"/>
        <v>0</v>
      </c>
      <c r="AL25" s="25" t="str">
        <f t="shared" si="2"/>
        <v>Matched</v>
      </c>
      <c r="AM25" s="38"/>
    </row>
    <row r="26" spans="1:39" ht="12.75" customHeight="1" x14ac:dyDescent="0.25">
      <c r="A26" s="31"/>
      <c r="B26" s="32" t="str">
        <f>IF(A26="","",VLOOKUP(A26,'Employee Database'!A:B,2,FALSE))</f>
        <v/>
      </c>
      <c r="C26" s="31"/>
      <c r="D26" s="31"/>
      <c r="E26" s="31"/>
      <c r="F26" s="39">
        <f>IF(COUNT(C26:E26)=0,0,SUMPRODUCT({5000,1000,500},C26:E26))</f>
        <v>0</v>
      </c>
      <c r="G26" s="31"/>
      <c r="H26" s="31"/>
      <c r="I26" s="31"/>
      <c r="J26" s="39">
        <f>IF(COUNT(G26:I26)=0,0,SUMPRODUCT({5000,1000,500},G26:I26))</f>
        <v>0</v>
      </c>
      <c r="K26" s="31"/>
      <c r="L26" s="31"/>
      <c r="M26" s="31"/>
      <c r="N26" s="39">
        <f>IF(COUNT(K26:M26)=0,0,SUMPRODUCT({5000,1000,500},K26:M26))</f>
        <v>0</v>
      </c>
      <c r="O26" s="31"/>
      <c r="P26" s="31"/>
      <c r="Q26" s="31"/>
      <c r="R26" s="39">
        <f>IF(COUNT(O26:Q26)=0,0,SUMPRODUCT({5000,1000,500},O26:Q26))</f>
        <v>0</v>
      </c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4">
        <f>IF(COUNT(S26:AC26)=0,0,SUMPRODUCT({5000,1000,500,100,75,50,20,10,5,2,1}, S26:AC26))</f>
        <v>0</v>
      </c>
      <c r="AE26" s="33"/>
      <c r="AF26" s="24" t="str">
        <f>IF(AND(COUNT(C26:E26)=0,COUNT(G26:I26)=0,COUNT(K26:M26)=0,COUNT(O26:Q26)=0,COUNT(S26:AC26)=0,AE26=""),"",(IF(COUNT(C26:E26)=0,0,SUMPRODUCT({5000,1000,500},C26:E26))+IF(COUNT(G26:I26)=0,0,SUMPRODUCT({5000,1000,500},G26:I26))+IF(COUNT(K26:M26)=0,0,SUMPRODUCT({5000,1000,500},K26:M26))+IF(COUNT(O26:Q26)=0,0,SUMPRODUCT({5000,1000,500},O26:Q26))+AD26)-N(AE26))</f>
        <v/>
      </c>
      <c r="AG26" s="35" t="str">
        <f t="shared" si="0"/>
        <v/>
      </c>
      <c r="AH26" s="38"/>
      <c r="AI26" s="36"/>
      <c r="AJ26" s="37"/>
      <c r="AK26" s="26" t="str">
        <f t="shared" si="1"/>
        <v/>
      </c>
      <c r="AL26" s="25" t="str">
        <f t="shared" si="2"/>
        <v/>
      </c>
      <c r="AM26" s="38"/>
    </row>
    <row r="27" spans="1:39" ht="12.75" customHeight="1" x14ac:dyDescent="0.25">
      <c r="A27" s="31"/>
      <c r="B27" s="32" t="str">
        <f>IF(A27="","",VLOOKUP(A27,'Employee Database'!A:B,2,FALSE))</f>
        <v/>
      </c>
      <c r="C27" s="31"/>
      <c r="D27" s="31"/>
      <c r="E27" s="31"/>
      <c r="F27" s="39">
        <f>IF(COUNT(C27:E27)=0,0,SUMPRODUCT({5000,1000,500},C27:E27))</f>
        <v>0</v>
      </c>
      <c r="G27" s="31"/>
      <c r="H27" s="31"/>
      <c r="I27" s="31"/>
      <c r="J27" s="39">
        <f>IF(COUNT(G27:I27)=0,0,SUMPRODUCT({5000,1000,500},G27:I27))</f>
        <v>0</v>
      </c>
      <c r="K27" s="31"/>
      <c r="L27" s="31"/>
      <c r="M27" s="31"/>
      <c r="N27" s="39">
        <f>IF(COUNT(K27:M27)=0,0,SUMPRODUCT({5000,1000,500},K27:M27))</f>
        <v>0</v>
      </c>
      <c r="O27" s="31"/>
      <c r="P27" s="31"/>
      <c r="Q27" s="31"/>
      <c r="R27" s="39">
        <f>IF(COUNT(O27:Q27)=0,0,SUMPRODUCT({5000,1000,500},O27:Q27))</f>
        <v>0</v>
      </c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4">
        <f>IF(COUNT(S27:AC27)=0,0,SUMPRODUCT({5000,1000,500,100,75,50,20,10,5,2,1}, S27:AC27))</f>
        <v>0</v>
      </c>
      <c r="AE27" s="33"/>
      <c r="AF27" s="24" t="str">
        <f>IF(AND(COUNT(C27:E27)=0,COUNT(G27:I27)=0,COUNT(K27:M27)=0,COUNT(O27:Q27)=0,COUNT(S27:AC27)=0,AE27=""),"",(IF(COUNT(C27:E27)=0,0,SUMPRODUCT({5000,1000,500},C27:E27))+IF(COUNT(G27:I27)=0,0,SUMPRODUCT({5000,1000,500},G27:I27))+IF(COUNT(K27:M27)=0,0,SUMPRODUCT({5000,1000,500},K27:M27))+IF(COUNT(O27:Q27)=0,0,SUMPRODUCT({5000,1000,500},O27:Q27))+AD27)-N(AE27))</f>
        <v/>
      </c>
      <c r="AG27" s="35" t="str">
        <f t="shared" si="0"/>
        <v/>
      </c>
      <c r="AH27" s="38"/>
      <c r="AI27" s="36"/>
      <c r="AJ27" s="37"/>
      <c r="AK27" s="26" t="str">
        <f t="shared" si="1"/>
        <v/>
      </c>
      <c r="AL27" s="25" t="str">
        <f t="shared" si="2"/>
        <v/>
      </c>
      <c r="AM27" s="38"/>
    </row>
    <row r="28" spans="1:39" ht="12.75" customHeight="1" x14ac:dyDescent="0.25">
      <c r="A28" s="31"/>
      <c r="B28" s="32" t="str">
        <f>IF(A28="","",VLOOKUP(A28,'Employee Database'!A:B,2,FALSE))</f>
        <v/>
      </c>
      <c r="C28" s="31"/>
      <c r="D28" s="31"/>
      <c r="E28" s="31"/>
      <c r="F28" s="39">
        <f>IF(COUNT(C28:E28)=0,0,SUMPRODUCT({5000,1000,500},C28:E28))</f>
        <v>0</v>
      </c>
      <c r="G28" s="31"/>
      <c r="H28" s="31"/>
      <c r="I28" s="31"/>
      <c r="J28" s="39">
        <f>IF(COUNT(G28:I28)=0,0,SUMPRODUCT({5000,1000,500},G28:I28))</f>
        <v>0</v>
      </c>
      <c r="K28" s="31"/>
      <c r="L28" s="31"/>
      <c r="M28" s="31"/>
      <c r="N28" s="39">
        <f>IF(COUNT(K28:M28)=0,0,SUMPRODUCT({5000,1000,500},K28:M28))</f>
        <v>0</v>
      </c>
      <c r="O28" s="31"/>
      <c r="P28" s="31"/>
      <c r="Q28" s="31"/>
      <c r="R28" s="39">
        <f>IF(COUNT(O28:Q28)=0,0,SUMPRODUCT({5000,1000,500},O28:Q28))</f>
        <v>0</v>
      </c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4">
        <f>IF(COUNT(S28:AC28)=0,0,SUMPRODUCT({5000,1000,500,100,75,50,20,10,5,2,1}, S28:AC28))</f>
        <v>0</v>
      </c>
      <c r="AE28" s="33"/>
      <c r="AF28" s="24" t="str">
        <f>IF(AND(COUNT(C28:E28)=0,COUNT(G28:I28)=0,COUNT(K28:M28)=0,COUNT(O28:Q28)=0,COUNT(S28:AC28)=0,AE28=""),"",(IF(COUNT(C28:E28)=0,0,SUMPRODUCT({5000,1000,500},C28:E28))+IF(COUNT(G28:I28)=0,0,SUMPRODUCT({5000,1000,500},G28:I28))+IF(COUNT(K28:M28)=0,0,SUMPRODUCT({5000,1000,500},K28:M28))+IF(COUNT(O28:Q28)=0,0,SUMPRODUCT({5000,1000,500},O28:Q28))+AD28)-N(AE28))</f>
        <v/>
      </c>
      <c r="AG28" s="35" t="str">
        <f t="shared" si="0"/>
        <v/>
      </c>
      <c r="AH28" s="38"/>
      <c r="AI28" s="36"/>
      <c r="AJ28" s="37"/>
      <c r="AK28" s="26" t="str">
        <f t="shared" si="1"/>
        <v/>
      </c>
      <c r="AL28" s="25" t="str">
        <f t="shared" si="2"/>
        <v/>
      </c>
      <c r="AM28" s="38"/>
    </row>
    <row r="29" spans="1:39" ht="12.75" customHeight="1" x14ac:dyDescent="0.25">
      <c r="A29" s="31"/>
      <c r="B29" s="32" t="str">
        <f>IF(A29="","",VLOOKUP(A29,'Employee Database'!A:B,2,FALSE))</f>
        <v/>
      </c>
      <c r="C29" s="31"/>
      <c r="D29" s="31"/>
      <c r="E29" s="31"/>
      <c r="F29" s="39">
        <f>IF(COUNT(C29:E29)=0,0,SUMPRODUCT({5000,1000,500},C29:E29))</f>
        <v>0</v>
      </c>
      <c r="G29" s="31"/>
      <c r="H29" s="31"/>
      <c r="I29" s="31"/>
      <c r="J29" s="39">
        <f>IF(COUNT(G29:I29)=0,0,SUMPRODUCT({5000,1000,500},G29:I29))</f>
        <v>0</v>
      </c>
      <c r="K29" s="31"/>
      <c r="L29" s="31"/>
      <c r="M29" s="31"/>
      <c r="N29" s="39">
        <f>IF(COUNT(K29:M29)=0,0,SUMPRODUCT({5000,1000,500},K29:M29))</f>
        <v>0</v>
      </c>
      <c r="O29" s="31"/>
      <c r="P29" s="31"/>
      <c r="Q29" s="31"/>
      <c r="R29" s="39">
        <f>IF(COUNT(O29:Q29)=0,0,SUMPRODUCT({5000,1000,500},O29:Q29))</f>
        <v>0</v>
      </c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4">
        <f>IF(COUNT(S29:AC29)=0,0,SUMPRODUCT({5000,1000,500,100,75,50,20,10,5,2,1}, S29:AC29))</f>
        <v>0</v>
      </c>
      <c r="AE29" s="33"/>
      <c r="AF29" s="24" t="str">
        <f>IF(AND(COUNT(C29:E29)=0,COUNT(G29:I29)=0,COUNT(K29:M29)=0,COUNT(O29:Q29)=0,COUNT(S29:AC29)=0,AE29=""),"",(IF(COUNT(C29:E29)=0,0,SUMPRODUCT({5000,1000,500},C29:E29))+IF(COUNT(G29:I29)=0,0,SUMPRODUCT({5000,1000,500},G29:I29))+IF(COUNT(K29:M29)=0,0,SUMPRODUCT({5000,1000,500},K29:M29))+IF(COUNT(O29:Q29)=0,0,SUMPRODUCT({5000,1000,500},O29:Q29))+AD29)-N(AE29))</f>
        <v/>
      </c>
      <c r="AG29" s="35" t="str">
        <f t="shared" si="0"/>
        <v/>
      </c>
      <c r="AH29" s="38"/>
      <c r="AI29" s="36"/>
      <c r="AJ29" s="37"/>
      <c r="AK29" s="26" t="str">
        <f t="shared" si="1"/>
        <v/>
      </c>
      <c r="AL29" s="25" t="str">
        <f t="shared" si="2"/>
        <v/>
      </c>
      <c r="AM29" s="38"/>
    </row>
    <row r="30" spans="1:39" ht="12.75" customHeight="1" x14ac:dyDescent="0.25">
      <c r="A30" s="31"/>
      <c r="B30" s="32" t="str">
        <f>IF(A30="","",VLOOKUP(A30,'Employee Database'!A:B,2,FALSE))</f>
        <v/>
      </c>
      <c r="C30" s="31"/>
      <c r="D30" s="31"/>
      <c r="E30" s="31"/>
      <c r="F30" s="39">
        <f>IF(COUNT(C30:E30)=0,0,SUMPRODUCT({5000,1000,500},C30:E30))</f>
        <v>0</v>
      </c>
      <c r="G30" s="31"/>
      <c r="H30" s="31"/>
      <c r="I30" s="31"/>
      <c r="J30" s="39">
        <f>IF(COUNT(G30:I30)=0,0,SUMPRODUCT({5000,1000,500},G30:I30))</f>
        <v>0</v>
      </c>
      <c r="K30" s="31"/>
      <c r="L30" s="31"/>
      <c r="M30" s="31"/>
      <c r="N30" s="39">
        <f>IF(COUNT(K30:M30)=0,0,SUMPRODUCT({5000,1000,500},K30:M30))</f>
        <v>0</v>
      </c>
      <c r="O30" s="31"/>
      <c r="P30" s="31"/>
      <c r="Q30" s="31"/>
      <c r="R30" s="39">
        <f>IF(COUNT(O30:Q30)=0,0,SUMPRODUCT({5000,1000,500},O30:Q30))</f>
        <v>0</v>
      </c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4">
        <f>IF(COUNT(S30:AC30)=0,0,SUMPRODUCT({5000,1000,500,100,75,50,20,10,5,2,1}, S30:AC30))</f>
        <v>0</v>
      </c>
      <c r="AE30" s="33"/>
      <c r="AF30" s="24" t="str">
        <f>IF(AND(COUNT(C30:E30)=0,COUNT(G30:I30)=0,COUNT(K30:M30)=0,COUNT(O30:Q30)=0,COUNT(S30:AC30)=0,AE30=""),"",(IF(COUNT(C30:E30)=0,0,SUMPRODUCT({5000,1000,500},C30:E30))+IF(COUNT(G30:I30)=0,0,SUMPRODUCT({5000,1000,500},G30:I30))+IF(COUNT(K30:M30)=0,0,SUMPRODUCT({5000,1000,500},K30:M30))+IF(COUNT(O30:Q30)=0,0,SUMPRODUCT({5000,1000,500},O30:Q30))+AD30)-N(AE30))</f>
        <v/>
      </c>
      <c r="AG30" s="35" t="str">
        <f t="shared" si="0"/>
        <v/>
      </c>
      <c r="AH30" s="38"/>
      <c r="AI30" s="36"/>
      <c r="AJ30" s="37"/>
      <c r="AK30" s="26" t="str">
        <f t="shared" si="1"/>
        <v/>
      </c>
      <c r="AL30" s="25" t="str">
        <f t="shared" si="2"/>
        <v/>
      </c>
      <c r="AM30" s="38"/>
    </row>
    <row r="31" spans="1:39" ht="12.75" customHeight="1" x14ac:dyDescent="0.25">
      <c r="A31" s="31"/>
      <c r="B31" s="32" t="str">
        <f>IF(A31="","",VLOOKUP(A31,'Employee Database'!A:B,2,FALSE))</f>
        <v/>
      </c>
      <c r="C31" s="31"/>
      <c r="D31" s="31"/>
      <c r="E31" s="31"/>
      <c r="F31" s="39">
        <f>IF(COUNT(C31:E31)=0,0,SUMPRODUCT({5000,1000,500},C31:E31))</f>
        <v>0</v>
      </c>
      <c r="G31" s="31"/>
      <c r="H31" s="31"/>
      <c r="I31" s="31"/>
      <c r="J31" s="39">
        <f>IF(COUNT(G31:I31)=0,0,SUMPRODUCT({5000,1000,500},G31:I31))</f>
        <v>0</v>
      </c>
      <c r="K31" s="31"/>
      <c r="L31" s="31"/>
      <c r="M31" s="31"/>
      <c r="N31" s="39">
        <f>IF(COUNT(K31:M31)=0,0,SUMPRODUCT({5000,1000,500},K31:M31))</f>
        <v>0</v>
      </c>
      <c r="O31" s="31"/>
      <c r="P31" s="31"/>
      <c r="Q31" s="31"/>
      <c r="R31" s="39">
        <f>IF(COUNT(O31:Q31)=0,0,SUMPRODUCT({5000,1000,500},O31:Q31))</f>
        <v>0</v>
      </c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4">
        <f>IF(COUNT(S31:AC31)=0,0,SUMPRODUCT({5000,1000,500,100,75,50,20,10,5,2,1}, S31:AC31))</f>
        <v>0</v>
      </c>
      <c r="AE31" s="33"/>
      <c r="AF31" s="24" t="str">
        <f>IF(AND(COUNT(C31:E31)=0,COUNT(G31:I31)=0,COUNT(K31:M31)=0,COUNT(O31:Q31)=0,COUNT(S31:AC31)=0,AE31=""),"",(IF(COUNT(C31:E31)=0,0,SUMPRODUCT({5000,1000,500},C31:E31))+IF(COUNT(G31:I31)=0,0,SUMPRODUCT({5000,1000,500},G31:I31))+IF(COUNT(K31:M31)=0,0,SUMPRODUCT({5000,1000,500},K31:M31))+IF(COUNT(O31:Q31)=0,0,SUMPRODUCT({5000,1000,500},O31:Q31))+AD31)-N(AE31))</f>
        <v/>
      </c>
      <c r="AG31" s="35" t="str">
        <f t="shared" si="0"/>
        <v/>
      </c>
      <c r="AH31" s="38"/>
      <c r="AI31" s="36"/>
      <c r="AJ31" s="37"/>
      <c r="AK31" s="26" t="str">
        <f t="shared" si="1"/>
        <v/>
      </c>
      <c r="AL31" s="25" t="str">
        <f t="shared" si="2"/>
        <v/>
      </c>
      <c r="AM31" s="38"/>
    </row>
    <row r="32" spans="1:39" ht="12.75" customHeight="1" x14ac:dyDescent="0.25">
      <c r="A32" s="31"/>
      <c r="B32" s="32" t="str">
        <f>IF(A32="","",VLOOKUP(A32,'Employee Database'!A:B,2,FALSE))</f>
        <v/>
      </c>
      <c r="C32" s="31"/>
      <c r="D32" s="31"/>
      <c r="E32" s="31"/>
      <c r="F32" s="39">
        <f>IF(COUNT(C32:E32)=0,0,SUMPRODUCT({5000,1000,500},C32:E32))</f>
        <v>0</v>
      </c>
      <c r="G32" s="31"/>
      <c r="H32" s="31"/>
      <c r="I32" s="31"/>
      <c r="J32" s="39">
        <f>IF(COUNT(G32:I32)=0,0,SUMPRODUCT({5000,1000,500},G32:I32))</f>
        <v>0</v>
      </c>
      <c r="K32" s="31"/>
      <c r="L32" s="31"/>
      <c r="M32" s="31"/>
      <c r="N32" s="39">
        <f>IF(COUNT(K32:M32)=0,0,SUMPRODUCT({5000,1000,500},K32:M32))</f>
        <v>0</v>
      </c>
      <c r="O32" s="31"/>
      <c r="P32" s="31"/>
      <c r="Q32" s="31"/>
      <c r="R32" s="39">
        <f>IF(COUNT(O32:Q32)=0,0,SUMPRODUCT({5000,1000,500},O32:Q32))</f>
        <v>0</v>
      </c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4">
        <f>IF(COUNT(S32:AC32)=0,0,SUMPRODUCT({5000,1000,500,100,75,50,20,10,5,2,1}, S32:AC32))</f>
        <v>0</v>
      </c>
      <c r="AE32" s="33"/>
      <c r="AF32" s="24" t="str">
        <f>IF(AND(COUNT(C32:E32)=0,COUNT(G32:I32)=0,COUNT(K32:M32)=0,COUNT(O32:Q32)=0,COUNT(S32:AC32)=0,AE32=""),"",(IF(COUNT(C32:E32)=0,0,SUMPRODUCT({5000,1000,500},C32:E32))+IF(COUNT(G32:I32)=0,0,SUMPRODUCT({5000,1000,500},G32:I32))+IF(COUNT(K32:M32)=0,0,SUMPRODUCT({5000,1000,500},K32:M32))+IF(COUNT(O32:Q32)=0,0,SUMPRODUCT({5000,1000,500},O32:Q32))+AD32)-N(AE32))</f>
        <v/>
      </c>
      <c r="AG32" s="35" t="str">
        <f t="shared" si="0"/>
        <v/>
      </c>
      <c r="AH32" s="38"/>
      <c r="AI32" s="36"/>
      <c r="AJ32" s="37"/>
      <c r="AK32" s="26" t="str">
        <f t="shared" si="1"/>
        <v/>
      </c>
      <c r="AL32" s="25" t="str">
        <f t="shared" si="2"/>
        <v/>
      </c>
      <c r="AM32" s="38"/>
    </row>
    <row r="33" spans="1:39" ht="12.75" customHeight="1" x14ac:dyDescent="0.25">
      <c r="A33" s="31"/>
      <c r="B33" s="32" t="str">
        <f>IF(A33="","",VLOOKUP(A33,'Employee Database'!A:B,2,FALSE))</f>
        <v/>
      </c>
      <c r="C33" s="31"/>
      <c r="D33" s="31"/>
      <c r="E33" s="31"/>
      <c r="F33" s="39">
        <f>IF(COUNT(C33:E33)=0,0,SUMPRODUCT({5000,1000,500},C33:E33))</f>
        <v>0</v>
      </c>
      <c r="G33" s="31"/>
      <c r="H33" s="31"/>
      <c r="I33" s="31"/>
      <c r="J33" s="39">
        <f>IF(COUNT(G33:I33)=0,0,SUMPRODUCT({5000,1000,500},G33:I33))</f>
        <v>0</v>
      </c>
      <c r="K33" s="31"/>
      <c r="L33" s="31"/>
      <c r="M33" s="31"/>
      <c r="N33" s="39">
        <f>IF(COUNT(K33:M33)=0,0,SUMPRODUCT({5000,1000,500},K33:M33))</f>
        <v>0</v>
      </c>
      <c r="O33" s="31"/>
      <c r="P33" s="31"/>
      <c r="Q33" s="31"/>
      <c r="R33" s="39">
        <f>IF(COUNT(O33:Q33)=0,0,SUMPRODUCT({5000,1000,500},O33:Q33))</f>
        <v>0</v>
      </c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4">
        <f>IF(COUNT(S33:AC33)=0,0,SUMPRODUCT({5000,1000,500,100,75,50,20,10,5,2,1}, S33:AC33))</f>
        <v>0</v>
      </c>
      <c r="AE33" s="33"/>
      <c r="AF33" s="24" t="str">
        <f>IF(AND(COUNT(C33:E33)=0,COUNT(G33:I33)=0,COUNT(K33:M33)=0,COUNT(O33:Q33)=0,COUNT(S33:AC33)=0,AE33=""),"",(IF(COUNT(C33:E33)=0,0,SUMPRODUCT({5000,1000,500},C33:E33))+IF(COUNT(G33:I33)=0,0,SUMPRODUCT({5000,1000,500},G33:I33))+IF(COUNT(K33:M33)=0,0,SUMPRODUCT({5000,1000,500},K33:M33))+IF(COUNT(O33:Q33)=0,0,SUMPRODUCT({5000,1000,500},O33:Q33))+AD33)-N(AE33))</f>
        <v/>
      </c>
      <c r="AG33" s="35" t="str">
        <f t="shared" si="0"/>
        <v/>
      </c>
      <c r="AH33" s="38"/>
      <c r="AI33" s="36"/>
      <c r="AJ33" s="37"/>
      <c r="AK33" s="26" t="str">
        <f t="shared" si="1"/>
        <v/>
      </c>
      <c r="AL33" s="25" t="str">
        <f t="shared" si="2"/>
        <v/>
      </c>
      <c r="AM33" s="38"/>
    </row>
    <row r="34" spans="1:39" ht="12.75" customHeight="1" x14ac:dyDescent="0.25">
      <c r="A34" s="31"/>
      <c r="B34" s="32" t="str">
        <f>IF(A34="","",VLOOKUP(A34,'Employee Database'!A:B,2,FALSE))</f>
        <v/>
      </c>
      <c r="C34" s="31"/>
      <c r="D34" s="31"/>
      <c r="E34" s="31"/>
      <c r="F34" s="39">
        <f>IF(COUNT(C34:E34)=0,0,SUMPRODUCT({5000,1000,500},C34:E34))</f>
        <v>0</v>
      </c>
      <c r="G34" s="31"/>
      <c r="H34" s="31"/>
      <c r="I34" s="31"/>
      <c r="J34" s="39">
        <f>IF(COUNT(G34:I34)=0,0,SUMPRODUCT({5000,1000,500},G34:I34))</f>
        <v>0</v>
      </c>
      <c r="K34" s="31"/>
      <c r="L34" s="31"/>
      <c r="M34" s="31"/>
      <c r="N34" s="39">
        <f>IF(COUNT(K34:M34)=0,0,SUMPRODUCT({5000,1000,500},K34:M34))</f>
        <v>0</v>
      </c>
      <c r="O34" s="31"/>
      <c r="P34" s="31"/>
      <c r="Q34" s="31"/>
      <c r="R34" s="39">
        <f>IF(COUNT(O34:Q34)=0,0,SUMPRODUCT({5000,1000,500},O34:Q34))</f>
        <v>0</v>
      </c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4">
        <f>IF(COUNT(S34:AC34)=0,0,SUMPRODUCT({5000,1000,500,100,75,50,20,10,5,2,1}, S34:AC34))</f>
        <v>0</v>
      </c>
      <c r="AE34" s="33"/>
      <c r="AF34" s="24" t="str">
        <f>IF(AND(COUNT(C34:E34)=0,COUNT(G34:I34)=0,COUNT(K34:M34)=0,COUNT(O34:Q34)=0,COUNT(S34:AC34)=0,AE34=""),"",(IF(COUNT(C34:E34)=0,0,SUMPRODUCT({5000,1000,500},C34:E34))+IF(COUNT(G34:I34)=0,0,SUMPRODUCT({5000,1000,500},G34:I34))+IF(COUNT(K34:M34)=0,0,SUMPRODUCT({5000,1000,500},K34:M34))+IF(COUNT(O34:Q34)=0,0,SUMPRODUCT({5000,1000,500},O34:Q34))+AD34)-N(AE34))</f>
        <v/>
      </c>
      <c r="AG34" s="35" t="str">
        <f t="shared" si="0"/>
        <v/>
      </c>
      <c r="AH34" s="38"/>
      <c r="AI34" s="36"/>
      <c r="AJ34" s="37"/>
      <c r="AK34" s="26" t="str">
        <f t="shared" si="1"/>
        <v/>
      </c>
      <c r="AL34" s="25" t="str">
        <f t="shared" si="2"/>
        <v/>
      </c>
      <c r="AM34" s="38"/>
    </row>
    <row r="35" spans="1:39" ht="22.5" customHeight="1" x14ac:dyDescent="0.25">
      <c r="A35" s="27" t="s">
        <v>24</v>
      </c>
      <c r="B35" s="27" t="s">
        <v>24</v>
      </c>
      <c r="C35" s="28">
        <f t="shared" ref="C35:AF35" si="3">SUM(C5:C34)</f>
        <v>302</v>
      </c>
      <c r="D35" s="28">
        <f t="shared" si="3"/>
        <v>880</v>
      </c>
      <c r="E35" s="28">
        <f t="shared" si="3"/>
        <v>104</v>
      </c>
      <c r="F35" s="40">
        <f t="shared" si="3"/>
        <v>2442000</v>
      </c>
      <c r="G35" s="28">
        <f t="shared" si="3"/>
        <v>361</v>
      </c>
      <c r="H35" s="28">
        <f t="shared" si="3"/>
        <v>829</v>
      </c>
      <c r="I35" s="28">
        <f t="shared" si="3"/>
        <v>432</v>
      </c>
      <c r="J35" s="40">
        <f t="shared" si="3"/>
        <v>2850000</v>
      </c>
      <c r="K35" s="28">
        <f t="shared" si="3"/>
        <v>0</v>
      </c>
      <c r="L35" s="28">
        <f t="shared" si="3"/>
        <v>0</v>
      </c>
      <c r="M35" s="28">
        <f t="shared" si="3"/>
        <v>0</v>
      </c>
      <c r="N35" s="40">
        <f t="shared" si="3"/>
        <v>0</v>
      </c>
      <c r="O35" s="28">
        <f t="shared" si="3"/>
        <v>0</v>
      </c>
      <c r="P35" s="28">
        <f t="shared" si="3"/>
        <v>0</v>
      </c>
      <c r="Q35" s="28">
        <f t="shared" si="3"/>
        <v>0</v>
      </c>
      <c r="R35" s="40">
        <f t="shared" si="3"/>
        <v>0</v>
      </c>
      <c r="S35" s="28">
        <f t="shared" si="3"/>
        <v>0</v>
      </c>
      <c r="T35" s="28">
        <f t="shared" si="3"/>
        <v>0</v>
      </c>
      <c r="U35" s="28">
        <f t="shared" si="3"/>
        <v>0</v>
      </c>
      <c r="V35" s="28">
        <f t="shared" si="3"/>
        <v>116</v>
      </c>
      <c r="W35" s="28">
        <f t="shared" si="3"/>
        <v>0</v>
      </c>
      <c r="X35" s="28">
        <f t="shared" si="3"/>
        <v>882</v>
      </c>
      <c r="Y35" s="28">
        <f t="shared" si="3"/>
        <v>5</v>
      </c>
      <c r="Z35" s="28">
        <f t="shared" si="3"/>
        <v>1272</v>
      </c>
      <c r="AA35" s="28">
        <f t="shared" si="3"/>
        <v>0</v>
      </c>
      <c r="AB35" s="28">
        <f t="shared" si="3"/>
        <v>2</v>
      </c>
      <c r="AC35" s="28">
        <f t="shared" si="3"/>
        <v>0</v>
      </c>
      <c r="AD35" s="40">
        <f t="shared" si="3"/>
        <v>68524</v>
      </c>
      <c r="AE35" s="41">
        <f t="shared" si="3"/>
        <v>5360397</v>
      </c>
      <c r="AF35" s="29">
        <f t="shared" si="3"/>
        <v>127</v>
      </c>
      <c r="AG35" s="27" t="s">
        <v>24</v>
      </c>
      <c r="AH35" s="27" t="s">
        <v>24</v>
      </c>
      <c r="AI35" s="28">
        <f>SUM(AI5:AI34)</f>
        <v>9498904.1899999995</v>
      </c>
      <c r="AJ35" s="28">
        <f>SUM(AJ5:AJ34)</f>
        <v>9498904.1899999995</v>
      </c>
      <c r="AK35" s="28">
        <f>SUM(AK5:AK34)</f>
        <v>5.8207660913467407E-11</v>
      </c>
      <c r="AL35" s="28">
        <f>AJ35+AE35</f>
        <v>14859301.189999999</v>
      </c>
      <c r="AM35" s="28">
        <f>SUM(AM5:AM34)</f>
        <v>0</v>
      </c>
    </row>
  </sheetData>
  <sheetProtection algorithmName="SHA-512" hashValue="oX8gzxc1x2x50A3T6LPi3b9iHNITLE7fAhI3O9/YN57ZJOb0ftQ1zFIJr08+13+x9ewYBXJ0xWObU3kkriwmgQ==" saltValue="BrG1MEklELaCXg7hd3TGMA==" spinCount="100000" sheet="1" objects="1" scenarios="1"/>
  <mergeCells count="9">
    <mergeCell ref="S3:AC3"/>
    <mergeCell ref="AD3:AG3"/>
    <mergeCell ref="AH3:AM3"/>
    <mergeCell ref="A1:B1"/>
    <mergeCell ref="A3:B3"/>
    <mergeCell ref="C3:F3"/>
    <mergeCell ref="G3:J3"/>
    <mergeCell ref="K3:N3"/>
    <mergeCell ref="O3:R3"/>
  </mergeCells>
  <conditionalFormatting sqref="A5">
    <cfRule type="duplicateValues" dxfId="65" priority="3"/>
    <cfRule type="duplicateValues" dxfId="64" priority="4"/>
  </conditionalFormatting>
  <conditionalFormatting sqref="A6">
    <cfRule type="duplicateValues" dxfId="63" priority="5"/>
    <cfRule type="duplicateValues" dxfId="62" priority="6"/>
  </conditionalFormatting>
  <conditionalFormatting sqref="A7:A34">
    <cfRule type="duplicateValues" dxfId="61" priority="1"/>
    <cfRule type="duplicateValues" dxfId="60" priority="2"/>
  </conditionalFormatting>
  <conditionalFormatting sqref="A35">
    <cfRule type="duplicateValues" dxfId="59" priority="7"/>
  </conditionalFormatting>
  <dataValidations count="1">
    <dataValidation type="list" allowBlank="1" showInputMessage="1" showErrorMessage="1" sqref="A1:B1" xr:uid="{00000000-0002-0000-1800-000000000000}">
      <formula1>Locations</formula1>
    </dataValidation>
  </dataValidations>
  <pageMargins left="0.75" right="0.75" top="1" bottom="1" header="0.5" footer="0.5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>
    <tabColor rgb="FFFF0000"/>
  </sheetPr>
  <dimension ref="A1:AM35"/>
  <sheetViews>
    <sheetView showGridLines="0" zoomScale="85" zoomScaleNormal="85" workbookViewId="0">
      <pane xSplit="2" topLeftCell="AA1" activePane="topRight" state="frozen"/>
      <selection activeCell="A4" sqref="A4"/>
      <selection pane="topRight" activeCell="AM22" sqref="A22:XFD22"/>
    </sheetView>
  </sheetViews>
  <sheetFormatPr defaultRowHeight="15" x14ac:dyDescent="0.25"/>
  <cols>
    <col min="1" max="1" width="11.85546875" customWidth="1"/>
    <col min="2" max="2" width="20.5703125" customWidth="1"/>
    <col min="6" max="6" width="14.42578125" bestFit="1" customWidth="1"/>
    <col min="10" max="10" width="14.42578125" bestFit="1" customWidth="1"/>
    <col min="14" max="14" width="14.42578125" bestFit="1" customWidth="1"/>
    <col min="18" max="18" width="14.42578125" bestFit="1" customWidth="1"/>
    <col min="30" max="31" width="18" customWidth="1"/>
    <col min="32" max="32" width="20" customWidth="1"/>
    <col min="33" max="33" width="14" customWidth="1"/>
    <col min="35" max="35" width="18" customWidth="1"/>
    <col min="36" max="36" width="22" customWidth="1"/>
    <col min="37" max="37" width="16" customWidth="1"/>
    <col min="38" max="38" width="14" customWidth="1"/>
  </cols>
  <sheetData>
    <row r="1" spans="1:39" ht="43.5" customHeight="1" x14ac:dyDescent="0.25">
      <c r="A1" s="48" t="s">
        <v>306</v>
      </c>
      <c r="B1" s="48"/>
    </row>
    <row r="2" spans="1:39" ht="13.5" customHeight="1" x14ac:dyDescent="0.25">
      <c r="A2" s="30">
        <f>'23'!A2+1</f>
        <v>46227</v>
      </c>
    </row>
    <row r="3" spans="1:39" ht="24" customHeight="1" x14ac:dyDescent="0.25">
      <c r="A3" s="49" t="s">
        <v>0</v>
      </c>
      <c r="B3" s="49"/>
      <c r="C3" s="49" t="s">
        <v>93</v>
      </c>
      <c r="D3" s="50"/>
      <c r="E3" s="50"/>
      <c r="F3" s="50"/>
      <c r="G3" s="49" t="s">
        <v>94</v>
      </c>
      <c r="H3" s="50"/>
      <c r="I3" s="50"/>
      <c r="J3" s="50"/>
      <c r="K3" s="49" t="s">
        <v>95</v>
      </c>
      <c r="L3" s="50"/>
      <c r="M3" s="50"/>
      <c r="N3" s="50"/>
      <c r="O3" s="49" t="s">
        <v>96</v>
      </c>
      <c r="P3" s="50"/>
      <c r="Q3" s="50"/>
      <c r="R3" s="50"/>
      <c r="S3" s="45" t="s">
        <v>1</v>
      </c>
      <c r="T3" s="46"/>
      <c r="U3" s="46"/>
      <c r="V3" s="46"/>
      <c r="W3" s="46"/>
      <c r="X3" s="46"/>
      <c r="Y3" s="46"/>
      <c r="Z3" s="46"/>
      <c r="AA3" s="46"/>
      <c r="AB3" s="46"/>
      <c r="AC3" s="46"/>
      <c r="AD3" s="47" t="s">
        <v>97</v>
      </c>
      <c r="AE3" s="46"/>
      <c r="AF3" s="46"/>
      <c r="AG3" s="46"/>
      <c r="AH3" s="47" t="s">
        <v>98</v>
      </c>
      <c r="AI3" s="46"/>
      <c r="AJ3" s="46"/>
      <c r="AK3" s="46"/>
      <c r="AL3" s="46"/>
      <c r="AM3" s="46"/>
    </row>
    <row r="4" spans="1:39" ht="27.95" customHeight="1" x14ac:dyDescent="0.25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92</v>
      </c>
      <c r="G4" s="1" t="s">
        <v>5</v>
      </c>
      <c r="H4" s="1" t="s">
        <v>6</v>
      </c>
      <c r="I4" s="1" t="s">
        <v>7</v>
      </c>
      <c r="J4" s="1" t="s">
        <v>92</v>
      </c>
      <c r="K4" s="1" t="s">
        <v>5</v>
      </c>
      <c r="L4" s="1" t="s">
        <v>6</v>
      </c>
      <c r="M4" s="1" t="s">
        <v>7</v>
      </c>
      <c r="N4" s="1" t="s">
        <v>92</v>
      </c>
      <c r="O4" s="1" t="s">
        <v>5</v>
      </c>
      <c r="P4" s="1" t="s">
        <v>6</v>
      </c>
      <c r="Q4" s="1" t="s">
        <v>7</v>
      </c>
      <c r="R4" s="1" t="s">
        <v>92</v>
      </c>
      <c r="S4" s="1" t="s">
        <v>5</v>
      </c>
      <c r="T4" s="1" t="s">
        <v>6</v>
      </c>
      <c r="U4" s="1" t="s">
        <v>7</v>
      </c>
      <c r="V4" s="1" t="s">
        <v>8</v>
      </c>
      <c r="W4" s="1" t="s">
        <v>9</v>
      </c>
      <c r="X4" s="1" t="s">
        <v>10</v>
      </c>
      <c r="Y4" s="1" t="s">
        <v>11</v>
      </c>
      <c r="Z4" s="1" t="s">
        <v>12</v>
      </c>
      <c r="AA4" s="1" t="s">
        <v>13</v>
      </c>
      <c r="AB4" s="1" t="s">
        <v>14</v>
      </c>
      <c r="AC4" s="1" t="s">
        <v>15</v>
      </c>
      <c r="AD4" s="1" t="s">
        <v>16</v>
      </c>
      <c r="AE4" s="1" t="s">
        <v>17</v>
      </c>
      <c r="AF4" s="1" t="s">
        <v>18</v>
      </c>
      <c r="AG4" s="1" t="s">
        <v>19</v>
      </c>
      <c r="AH4" s="1" t="s">
        <v>20</v>
      </c>
      <c r="AI4" s="4" t="s">
        <v>99</v>
      </c>
      <c r="AJ4" s="1" t="s">
        <v>21</v>
      </c>
      <c r="AK4" s="1" t="s">
        <v>22</v>
      </c>
      <c r="AL4" s="1" t="s">
        <v>23</v>
      </c>
      <c r="AM4" s="4" t="s">
        <v>100</v>
      </c>
    </row>
    <row r="5" spans="1:39" ht="12.75" customHeight="1" x14ac:dyDescent="0.25">
      <c r="A5" s="31">
        <v>68107</v>
      </c>
      <c r="B5" s="32" t="str">
        <f>IF(A5="","",VLOOKUP(A5,'Employee Database'!A:B,2,FALSE))</f>
        <v>M Harris</v>
      </c>
      <c r="C5" s="31">
        <v>39</v>
      </c>
      <c r="D5" s="31">
        <v>156</v>
      </c>
      <c r="E5" s="31">
        <v>21</v>
      </c>
      <c r="F5" s="39">
        <f>IF(COUNT(C5:E5)=0,0,SUMPRODUCT({5000,1000,500},C5:E5))</f>
        <v>361500</v>
      </c>
      <c r="G5" s="31"/>
      <c r="H5" s="31"/>
      <c r="I5" s="31"/>
      <c r="J5" s="39">
        <f>IF(COUNT(G5:I5)=0,0,SUMPRODUCT({5000,1000,500},G5:I5))</f>
        <v>0</v>
      </c>
      <c r="K5" s="31"/>
      <c r="L5" s="31"/>
      <c r="M5" s="31"/>
      <c r="N5" s="39">
        <f>IF(COUNT(K5:M5)=0,0,SUMPRODUCT({5000,1000,500},K5:M5))</f>
        <v>0</v>
      </c>
      <c r="O5" s="31"/>
      <c r="P5" s="31"/>
      <c r="Q5" s="31"/>
      <c r="R5" s="39">
        <f>IF(COUNT(O5:Q5)=0,0,SUMPRODUCT({5000,1000,500},O5:Q5))</f>
        <v>0</v>
      </c>
      <c r="S5" s="31"/>
      <c r="T5" s="31"/>
      <c r="U5" s="31"/>
      <c r="V5" s="31">
        <v>1</v>
      </c>
      <c r="W5" s="31"/>
      <c r="X5" s="31">
        <v>7</v>
      </c>
      <c r="Y5" s="31"/>
      <c r="Z5" s="31">
        <v>32</v>
      </c>
      <c r="AA5" s="31"/>
      <c r="AB5" s="31">
        <v>3</v>
      </c>
      <c r="AC5" s="31"/>
      <c r="AD5" s="34">
        <f>IF(COUNT(S5:AC5)=0,0,SUMPRODUCT({5000,1000,500,100,75,50,20,10,5,2,1}, S5:AC5))</f>
        <v>776</v>
      </c>
      <c r="AE5" s="33">
        <v>362239</v>
      </c>
      <c r="AF5" s="24">
        <f>IF(AND(COUNT(C5:E5)=0,COUNT(G5:I5)=0,COUNT(K5:M5)=0,COUNT(O5:Q5)=0,COUNT(S5:AC5)=0,AE5=""),"",(IF(COUNT(C5:E5)=0,0,SUMPRODUCT({5000,1000,500},C5:E5))+IF(COUNT(G5:I5)=0,0,SUMPRODUCT({5000,1000,500},G5:I5))+IF(COUNT(K5:M5)=0,0,SUMPRODUCT({5000,1000,500},K5:M5))+IF(COUNT(O5:Q5)=0,0,SUMPRODUCT({5000,1000,500},O5:Q5))+AD5)-N(AE5))</f>
        <v>37</v>
      </c>
      <c r="AG5" s="35" t="str">
        <f t="shared" ref="AG5:AG34" si="0">IF(AF5="","",IF(AF5&gt;0,"Excess",IF(AF5&lt;0,"Short","Balanced")))</f>
        <v>Excess</v>
      </c>
      <c r="AH5" s="38"/>
      <c r="AI5" s="36">
        <v>465738.53</v>
      </c>
      <c r="AJ5" s="37">
        <v>465738.53</v>
      </c>
      <c r="AK5" s="26">
        <f t="shared" ref="AK5:AK33" si="1">IF(AND(AI5="",AJ5=""),"",N(AI5)-N(AJ5))</f>
        <v>0</v>
      </c>
      <c r="AL5" s="25" t="str">
        <f t="shared" ref="AL5:AL33" si="2">IF(AK5="","",IF(AK5&gt;0,"POS Excess",IF(AK5&lt;0,"Bank Short","Matched")))</f>
        <v>Matched</v>
      </c>
      <c r="AM5" s="38"/>
    </row>
    <row r="6" spans="1:39" ht="12.75" customHeight="1" x14ac:dyDescent="0.25">
      <c r="A6" s="31">
        <v>65299</v>
      </c>
      <c r="B6" s="32" t="str">
        <f>IF(A6="","",VLOOKUP(A6,'Employee Database'!A:B,2,FALSE))</f>
        <v>M Faisal</v>
      </c>
      <c r="C6" s="31">
        <v>41</v>
      </c>
      <c r="D6" s="31">
        <v>77</v>
      </c>
      <c r="E6" s="31">
        <v>8</v>
      </c>
      <c r="F6" s="39">
        <f>IF(COUNT(C6:E6)=0,0,SUMPRODUCT({5000,1000,500},C6:E6))</f>
        <v>286000</v>
      </c>
      <c r="G6" s="31"/>
      <c r="H6" s="31"/>
      <c r="I6" s="31"/>
      <c r="J6" s="39">
        <f>IF(COUNT(G6:I6)=0,0,SUMPRODUCT({5000,1000,500},G6:I6))</f>
        <v>0</v>
      </c>
      <c r="K6" s="31"/>
      <c r="L6" s="31"/>
      <c r="M6" s="31"/>
      <c r="N6" s="39">
        <f>IF(COUNT(K6:M6)=0,0,SUMPRODUCT({5000,1000,500},K6:M6))</f>
        <v>0</v>
      </c>
      <c r="O6" s="31"/>
      <c r="P6" s="31"/>
      <c r="Q6" s="31"/>
      <c r="R6" s="39">
        <f>IF(COUNT(O6:Q6)=0,0,SUMPRODUCT({5000,1000,500},O6:Q6))</f>
        <v>0</v>
      </c>
      <c r="S6" s="31"/>
      <c r="T6" s="31"/>
      <c r="U6" s="31"/>
      <c r="V6" s="31">
        <v>3</v>
      </c>
      <c r="W6" s="31"/>
      <c r="X6" s="31">
        <v>45</v>
      </c>
      <c r="Y6" s="31">
        <v>1</v>
      </c>
      <c r="Z6" s="31">
        <v>74</v>
      </c>
      <c r="AA6" s="31"/>
      <c r="AB6" s="31"/>
      <c r="AC6" s="31"/>
      <c r="AD6" s="34">
        <f>IF(COUNT(S6:AC6)=0,0,SUMPRODUCT({5000,1000,500,100,75,50,20,10,5,2,1}, S6:AC6))</f>
        <v>3310</v>
      </c>
      <c r="AE6" s="33">
        <v>289289</v>
      </c>
      <c r="AF6" s="24">
        <f>IF(AND(COUNT(C6:E6)=0,COUNT(G6:I6)=0,COUNT(K6:M6)=0,COUNT(O6:Q6)=0,COUNT(S6:AC6)=0,AE6=""),"",(IF(COUNT(C6:E6)=0,0,SUMPRODUCT({5000,1000,500},C6:E6))+IF(COUNT(G6:I6)=0,0,SUMPRODUCT({5000,1000,500},G6:I6))+IF(COUNT(K6:M6)=0,0,SUMPRODUCT({5000,1000,500},K6:M6))+IF(COUNT(O6:Q6)=0,0,SUMPRODUCT({5000,1000,500},O6:Q6))+AD6)-N(AE6))</f>
        <v>21</v>
      </c>
      <c r="AG6" s="35" t="str">
        <f t="shared" si="0"/>
        <v>Excess</v>
      </c>
      <c r="AH6" s="38"/>
      <c r="AI6" s="36">
        <f>531758.69+6564.27</f>
        <v>538322.96</v>
      </c>
      <c r="AJ6" s="37">
        <f>6564.27+531758.69</f>
        <v>538322.96</v>
      </c>
      <c r="AK6" s="26">
        <f t="shared" si="1"/>
        <v>0</v>
      </c>
      <c r="AL6" s="25" t="str">
        <f t="shared" si="2"/>
        <v>Matched</v>
      </c>
      <c r="AM6" s="38"/>
    </row>
    <row r="7" spans="1:39" ht="12.75" customHeight="1" x14ac:dyDescent="0.25">
      <c r="A7" s="31">
        <v>56189</v>
      </c>
      <c r="B7" s="32" t="str">
        <f>IF(A7="","",VLOOKUP(A7,'Employee Database'!A:B,2,FALSE))</f>
        <v>Iffat Sultan</v>
      </c>
      <c r="C7" s="31">
        <v>12</v>
      </c>
      <c r="D7" s="31">
        <v>49</v>
      </c>
      <c r="E7" s="31">
        <v>1</v>
      </c>
      <c r="F7" s="39">
        <f>IF(COUNT(C7:E7)=0,0,SUMPRODUCT({5000,1000,500},C7:E7))</f>
        <v>109500</v>
      </c>
      <c r="G7" s="31"/>
      <c r="H7" s="31"/>
      <c r="I7" s="31"/>
      <c r="J7" s="39">
        <f>IF(COUNT(G7:I7)=0,0,SUMPRODUCT({5000,1000,500},G7:I7))</f>
        <v>0</v>
      </c>
      <c r="K7" s="31"/>
      <c r="L7" s="31"/>
      <c r="M7" s="31"/>
      <c r="N7" s="39">
        <f>IF(COUNT(K7:M7)=0,0,SUMPRODUCT({5000,1000,500},K7:M7))</f>
        <v>0</v>
      </c>
      <c r="O7" s="31"/>
      <c r="P7" s="31"/>
      <c r="Q7" s="31"/>
      <c r="R7" s="39">
        <f>IF(COUNT(O7:Q7)=0,0,SUMPRODUCT({5000,1000,500},O7:Q7))</f>
        <v>0</v>
      </c>
      <c r="S7" s="31"/>
      <c r="T7" s="31"/>
      <c r="U7" s="31"/>
      <c r="V7" s="31">
        <v>1</v>
      </c>
      <c r="W7" s="31"/>
      <c r="X7" s="31">
        <v>12</v>
      </c>
      <c r="Y7" s="31"/>
      <c r="Z7" s="31">
        <v>65</v>
      </c>
      <c r="AA7" s="31"/>
      <c r="AB7" s="31"/>
      <c r="AC7" s="31"/>
      <c r="AD7" s="34">
        <f>IF(COUNT(S7:AC7)=0,0,SUMPRODUCT({5000,1000,500,100,75,50,20,10,5,2,1}, S7:AC7))</f>
        <v>1350</v>
      </c>
      <c r="AE7" s="33">
        <v>110828</v>
      </c>
      <c r="AF7" s="24">
        <f>IF(AND(COUNT(C7:E7)=0,COUNT(G7:I7)=0,COUNT(K7:M7)=0,COUNT(O7:Q7)=0,COUNT(S7:AC7)=0,AE7=""),"",(IF(COUNT(C7:E7)=0,0,SUMPRODUCT({5000,1000,500},C7:E7))+IF(COUNT(G7:I7)=0,0,SUMPRODUCT({5000,1000,500},G7:I7))+IF(COUNT(K7:M7)=0,0,SUMPRODUCT({5000,1000,500},K7:M7))+IF(COUNT(O7:Q7)=0,0,SUMPRODUCT({5000,1000,500},O7:Q7))+AD7)-N(AE7))</f>
        <v>22</v>
      </c>
      <c r="AG7" s="35" t="str">
        <f t="shared" si="0"/>
        <v>Excess</v>
      </c>
      <c r="AH7" s="38"/>
      <c r="AI7" s="36">
        <v>197567.38</v>
      </c>
      <c r="AJ7" s="37">
        <v>197567.38</v>
      </c>
      <c r="AK7" s="26">
        <f t="shared" si="1"/>
        <v>0</v>
      </c>
      <c r="AL7" s="25" t="str">
        <f t="shared" si="2"/>
        <v>Matched</v>
      </c>
      <c r="AM7" s="38"/>
    </row>
    <row r="8" spans="1:39" ht="12.75" customHeight="1" x14ac:dyDescent="0.25">
      <c r="A8" s="31">
        <v>77423</v>
      </c>
      <c r="B8" s="32" t="str">
        <f>IF(A8="","",VLOOKUP(A8,'Employee Database'!A:B,2,FALSE))</f>
        <v>Shoaib Akhtar</v>
      </c>
      <c r="C8" s="31">
        <v>37</v>
      </c>
      <c r="D8" s="31">
        <v>21</v>
      </c>
      <c r="E8" s="31">
        <v>17</v>
      </c>
      <c r="F8" s="39">
        <f>IF(COUNT(C8:E8)=0,0,SUMPRODUCT({5000,1000,500},C8:E8))</f>
        <v>214500</v>
      </c>
      <c r="G8" s="31"/>
      <c r="H8" s="31"/>
      <c r="I8" s="31"/>
      <c r="J8" s="39">
        <f>IF(COUNT(G8:I8)=0,0,SUMPRODUCT({5000,1000,500},G8:I8))</f>
        <v>0</v>
      </c>
      <c r="K8" s="31"/>
      <c r="L8" s="31"/>
      <c r="M8" s="31"/>
      <c r="N8" s="39">
        <f>IF(COUNT(K8:M8)=0,0,SUMPRODUCT({5000,1000,500},K8:M8))</f>
        <v>0</v>
      </c>
      <c r="O8" s="31"/>
      <c r="P8" s="31"/>
      <c r="Q8" s="31"/>
      <c r="R8" s="39">
        <f>IF(COUNT(O8:Q8)=0,0,SUMPRODUCT({5000,1000,500},O8:Q8))</f>
        <v>0</v>
      </c>
      <c r="S8" s="31"/>
      <c r="T8" s="31"/>
      <c r="U8" s="31"/>
      <c r="V8" s="31"/>
      <c r="W8" s="31"/>
      <c r="X8" s="31"/>
      <c r="Y8" s="31"/>
      <c r="Z8" s="31">
        <v>15</v>
      </c>
      <c r="AA8" s="31"/>
      <c r="AB8" s="31"/>
      <c r="AC8" s="31"/>
      <c r="AD8" s="34">
        <f>IF(COUNT(S8:AC8)=0,0,SUMPRODUCT({5000,1000,500,100,75,50,20,10,5,2,1}, S8:AC8))</f>
        <v>150</v>
      </c>
      <c r="AE8" s="33">
        <v>214794</v>
      </c>
      <c r="AF8" s="24">
        <f>IF(AND(COUNT(C8:E8)=0,COUNT(G8:I8)=0,COUNT(K8:M8)=0,COUNT(O8:Q8)=0,COUNT(S8:AC8)=0,AE8=""),"",(IF(COUNT(C8:E8)=0,0,SUMPRODUCT({5000,1000,500},C8:E8))+IF(COUNT(G8:I8)=0,0,SUMPRODUCT({5000,1000,500},G8:I8))+IF(COUNT(K8:M8)=0,0,SUMPRODUCT({5000,1000,500},K8:M8))+IF(COUNT(O8:Q8)=0,0,SUMPRODUCT({5000,1000,500},O8:Q8))+AD8)-N(AE8))</f>
        <v>-144</v>
      </c>
      <c r="AG8" s="35" t="str">
        <f t="shared" si="0"/>
        <v>Short</v>
      </c>
      <c r="AH8" s="38"/>
      <c r="AI8" s="36">
        <f>25106.1+290370.56</f>
        <v>315476.65999999997</v>
      </c>
      <c r="AJ8" s="37">
        <f>25106.1+290370.56</f>
        <v>315476.65999999997</v>
      </c>
      <c r="AK8" s="26">
        <f t="shared" si="1"/>
        <v>0</v>
      </c>
      <c r="AL8" s="25" t="str">
        <f t="shared" si="2"/>
        <v>Matched</v>
      </c>
      <c r="AM8" s="38"/>
    </row>
    <row r="9" spans="1:39" ht="12.75" customHeight="1" x14ac:dyDescent="0.25">
      <c r="A9" s="31">
        <v>58112</v>
      </c>
      <c r="B9" s="32" t="str">
        <f>IF(A9="","",VLOOKUP(A9,'Employee Database'!A:B,2,FALSE))</f>
        <v>Shama</v>
      </c>
      <c r="C9" s="31">
        <v>14</v>
      </c>
      <c r="D9" s="31">
        <v>28</v>
      </c>
      <c r="E9" s="31">
        <v>8</v>
      </c>
      <c r="F9" s="39">
        <f>IF(COUNT(C9:E9)=0,0,SUMPRODUCT({5000,1000,500},C9:E9))</f>
        <v>102000</v>
      </c>
      <c r="G9" s="31"/>
      <c r="H9" s="31"/>
      <c r="I9" s="31"/>
      <c r="J9" s="39">
        <f>IF(COUNT(G9:I9)=0,0,SUMPRODUCT({5000,1000,500},G9:I9))</f>
        <v>0</v>
      </c>
      <c r="K9" s="31"/>
      <c r="L9" s="31"/>
      <c r="M9" s="31"/>
      <c r="N9" s="39">
        <f>IF(COUNT(K9:M9)=0,0,SUMPRODUCT({5000,1000,500},K9:M9))</f>
        <v>0</v>
      </c>
      <c r="O9" s="31"/>
      <c r="P9" s="31"/>
      <c r="Q9" s="31"/>
      <c r="R9" s="39">
        <f>IF(COUNT(O9:Q9)=0,0,SUMPRODUCT({5000,1000,500},O9:Q9))</f>
        <v>0</v>
      </c>
      <c r="S9" s="31"/>
      <c r="T9" s="31"/>
      <c r="U9" s="31"/>
      <c r="V9" s="31">
        <v>3</v>
      </c>
      <c r="W9" s="31"/>
      <c r="X9" s="31">
        <v>12</v>
      </c>
      <c r="Y9" s="31"/>
      <c r="Z9" s="31">
        <v>6</v>
      </c>
      <c r="AA9" s="31"/>
      <c r="AB9" s="31"/>
      <c r="AC9" s="31"/>
      <c r="AD9" s="34">
        <f>IF(COUNT(S9:AC9)=0,0,SUMPRODUCT({5000,1000,500,100,75,50,20,10,5,2,1}, S9:AC9))</f>
        <v>960</v>
      </c>
      <c r="AE9" s="33">
        <v>102924</v>
      </c>
      <c r="AF9" s="24">
        <f>IF(AND(COUNT(C9:E9)=0,COUNT(G9:I9)=0,COUNT(K9:M9)=0,COUNT(O9:Q9)=0,COUNT(S9:AC9)=0,AE9=""),"",(IF(COUNT(C9:E9)=0,0,SUMPRODUCT({5000,1000,500},C9:E9))+IF(COUNT(G9:I9)=0,0,SUMPRODUCT({5000,1000,500},G9:I9))+IF(COUNT(K9:M9)=0,0,SUMPRODUCT({5000,1000,500},K9:M9))+IF(COUNT(O9:Q9)=0,0,SUMPRODUCT({5000,1000,500},O9:Q9))+AD9)-N(AE9))</f>
        <v>36</v>
      </c>
      <c r="AG9" s="35" t="str">
        <f t="shared" si="0"/>
        <v>Excess</v>
      </c>
      <c r="AH9" s="38"/>
      <c r="AI9" s="36">
        <f>2222.77+96879.78</f>
        <v>99102.55</v>
      </c>
      <c r="AJ9" s="37">
        <f>24925.28+2222.77+171+71783.5</f>
        <v>99102.55</v>
      </c>
      <c r="AK9" s="26">
        <f t="shared" si="1"/>
        <v>0</v>
      </c>
      <c r="AL9" s="25" t="str">
        <f t="shared" si="2"/>
        <v>Matched</v>
      </c>
      <c r="AM9" s="38"/>
    </row>
    <row r="10" spans="1:39" ht="12.75" customHeight="1" x14ac:dyDescent="0.25">
      <c r="A10" s="31">
        <v>71205</v>
      </c>
      <c r="B10" s="32" t="str">
        <f>IF(A10="","",VLOOKUP(A10,'Employee Database'!A:B,2,FALSE))</f>
        <v>M Yaqoob</v>
      </c>
      <c r="C10" s="31">
        <v>0</v>
      </c>
      <c r="D10" s="31">
        <v>2</v>
      </c>
      <c r="E10" s="31">
        <v>2</v>
      </c>
      <c r="F10" s="39">
        <f>IF(COUNT(C10:E10)=0,0,SUMPRODUCT({5000,1000,500},C10:E10))</f>
        <v>3000</v>
      </c>
      <c r="G10" s="31"/>
      <c r="H10" s="31"/>
      <c r="I10" s="31"/>
      <c r="J10" s="39">
        <f>IF(COUNT(G10:I10)=0,0,SUMPRODUCT({5000,1000,500},G10:I10))</f>
        <v>0</v>
      </c>
      <c r="K10" s="31"/>
      <c r="L10" s="31"/>
      <c r="M10" s="31"/>
      <c r="N10" s="39">
        <f>IF(COUNT(K10:M10)=0,0,SUMPRODUCT({5000,1000,500},K10:M10))</f>
        <v>0</v>
      </c>
      <c r="O10" s="31"/>
      <c r="P10" s="31"/>
      <c r="Q10" s="31"/>
      <c r="R10" s="39">
        <f>IF(COUNT(O10:Q10)=0,0,SUMPRODUCT({5000,1000,500},O10:Q10))</f>
        <v>0</v>
      </c>
      <c r="S10" s="31"/>
      <c r="T10" s="31"/>
      <c r="U10" s="31"/>
      <c r="V10" s="31"/>
      <c r="W10" s="31"/>
      <c r="X10" s="31">
        <v>2</v>
      </c>
      <c r="Y10" s="31"/>
      <c r="Z10" s="31">
        <v>5</v>
      </c>
      <c r="AA10" s="31"/>
      <c r="AB10" s="31"/>
      <c r="AC10" s="31"/>
      <c r="AD10" s="34">
        <f>IF(COUNT(S10:AC10)=0,0,SUMPRODUCT({5000,1000,500,100,75,50,20,10,5,2,1}, S10:AC10))</f>
        <v>150</v>
      </c>
      <c r="AE10" s="33">
        <v>3153</v>
      </c>
      <c r="AF10" s="24">
        <f>IF(AND(COUNT(C10:E10)=0,COUNT(G10:I10)=0,COUNT(K10:M10)=0,COUNT(O10:Q10)=0,COUNT(S10:AC10)=0,AE10=""),"",(IF(COUNT(C10:E10)=0,0,SUMPRODUCT({5000,1000,500},C10:E10))+IF(COUNT(G10:I10)=0,0,SUMPRODUCT({5000,1000,500},G10:I10))+IF(COUNT(K10:M10)=0,0,SUMPRODUCT({5000,1000,500},K10:M10))+IF(COUNT(O10:Q10)=0,0,SUMPRODUCT({5000,1000,500},O10:Q10))+AD10)-N(AE10))</f>
        <v>-3</v>
      </c>
      <c r="AG10" s="35" t="str">
        <f t="shared" si="0"/>
        <v>Short</v>
      </c>
      <c r="AH10" s="38"/>
      <c r="AI10" s="36">
        <v>64010.18</v>
      </c>
      <c r="AJ10" s="37">
        <v>64010.18</v>
      </c>
      <c r="AK10" s="26">
        <f t="shared" si="1"/>
        <v>0</v>
      </c>
      <c r="AL10" s="25" t="str">
        <f t="shared" si="2"/>
        <v>Matched</v>
      </c>
      <c r="AM10" s="38"/>
    </row>
    <row r="11" spans="1:39" ht="12.75" customHeight="1" x14ac:dyDescent="0.25">
      <c r="A11" s="31">
        <v>50266</v>
      </c>
      <c r="B11" s="32" t="str">
        <f>IF(A11="","",VLOOKUP(A11,'Employee Database'!A:B,2,FALSE))</f>
        <v>Riaz</v>
      </c>
      <c r="C11" s="31">
        <v>7</v>
      </c>
      <c r="D11" s="31">
        <v>51</v>
      </c>
      <c r="E11" s="31">
        <v>17</v>
      </c>
      <c r="F11" s="39">
        <f>IF(COUNT(C11:E11)=0,0,SUMPRODUCT({5000,1000,500},C11:E11))</f>
        <v>94500</v>
      </c>
      <c r="G11" s="31"/>
      <c r="H11" s="31"/>
      <c r="I11" s="31"/>
      <c r="J11" s="39">
        <f>IF(COUNT(G11:I11)=0,0,SUMPRODUCT({5000,1000,500},G11:I11))</f>
        <v>0</v>
      </c>
      <c r="K11" s="31"/>
      <c r="L11" s="31"/>
      <c r="M11" s="31"/>
      <c r="N11" s="39">
        <f>IF(COUNT(K11:M11)=0,0,SUMPRODUCT({5000,1000,500},K11:M11))</f>
        <v>0</v>
      </c>
      <c r="O11" s="31"/>
      <c r="P11" s="31"/>
      <c r="Q11" s="31"/>
      <c r="R11" s="39">
        <f>IF(COUNT(O11:Q11)=0,0,SUMPRODUCT({5000,1000,500},O11:Q11))</f>
        <v>0</v>
      </c>
      <c r="S11" s="31"/>
      <c r="T11" s="31"/>
      <c r="U11" s="31"/>
      <c r="V11" s="31">
        <v>2</v>
      </c>
      <c r="W11" s="31"/>
      <c r="X11" s="31">
        <v>36</v>
      </c>
      <c r="Y11" s="31">
        <v>1</v>
      </c>
      <c r="Z11" s="31">
        <v>69</v>
      </c>
      <c r="AA11" s="31"/>
      <c r="AB11" s="31"/>
      <c r="AC11" s="31"/>
      <c r="AD11" s="34">
        <f>IF(COUNT(S11:AC11)=0,0,SUMPRODUCT({5000,1000,500,100,75,50,20,10,5,2,1}, S11:AC11))</f>
        <v>2710</v>
      </c>
      <c r="AE11" s="33">
        <v>97241</v>
      </c>
      <c r="AF11" s="24">
        <f>IF(AND(COUNT(C11:E11)=0,COUNT(G11:I11)=0,COUNT(K11:M11)=0,COUNT(O11:Q11)=0,COUNT(S11:AC11)=0,AE11=""),"",(IF(COUNT(C11:E11)=0,0,SUMPRODUCT({5000,1000,500},C11:E11))+IF(COUNT(G11:I11)=0,0,SUMPRODUCT({5000,1000,500},G11:I11))+IF(COUNT(K11:M11)=0,0,SUMPRODUCT({5000,1000,500},K11:M11))+IF(COUNT(O11:Q11)=0,0,SUMPRODUCT({5000,1000,500},O11:Q11))+AD11)-N(AE11))</f>
        <v>-31</v>
      </c>
      <c r="AG11" s="35" t="str">
        <f t="shared" si="0"/>
        <v>Short</v>
      </c>
      <c r="AH11" s="38"/>
      <c r="AI11" s="36">
        <v>79636.02</v>
      </c>
      <c r="AJ11" s="37">
        <v>79636.02</v>
      </c>
      <c r="AK11" s="26">
        <f t="shared" si="1"/>
        <v>0</v>
      </c>
      <c r="AL11" s="25" t="str">
        <f t="shared" si="2"/>
        <v>Matched</v>
      </c>
      <c r="AM11" s="38"/>
    </row>
    <row r="12" spans="1:39" ht="12.75" customHeight="1" x14ac:dyDescent="0.25">
      <c r="A12" s="31">
        <v>57653</v>
      </c>
      <c r="B12" s="32" t="str">
        <f>IF(A12="","",VLOOKUP(A12,'Employee Database'!A:B,2,FALSE))</f>
        <v>Amanat ali</v>
      </c>
      <c r="C12" s="31">
        <v>13</v>
      </c>
      <c r="D12" s="31">
        <v>52</v>
      </c>
      <c r="E12" s="31">
        <v>32</v>
      </c>
      <c r="F12" s="39">
        <f>IF(COUNT(C12:E12)=0,0,SUMPRODUCT({5000,1000,500},C12:E12))</f>
        <v>133000</v>
      </c>
      <c r="G12" s="31"/>
      <c r="H12" s="31"/>
      <c r="I12" s="31"/>
      <c r="J12" s="39">
        <f>IF(COUNT(G12:I12)=0,0,SUMPRODUCT({5000,1000,500},G12:I12))</f>
        <v>0</v>
      </c>
      <c r="K12" s="31"/>
      <c r="L12" s="31"/>
      <c r="M12" s="31"/>
      <c r="N12" s="39">
        <f>IF(COUNT(K12:M12)=0,0,SUMPRODUCT({5000,1000,500},K12:M12))</f>
        <v>0</v>
      </c>
      <c r="O12" s="31"/>
      <c r="P12" s="31"/>
      <c r="Q12" s="31"/>
      <c r="R12" s="39">
        <f>IF(COUNT(O12:Q12)=0,0,SUMPRODUCT({5000,1000,500},O12:Q12))</f>
        <v>0</v>
      </c>
      <c r="S12" s="31"/>
      <c r="T12" s="31"/>
      <c r="U12" s="31"/>
      <c r="V12" s="31">
        <v>2</v>
      </c>
      <c r="W12" s="31"/>
      <c r="X12" s="31">
        <v>17</v>
      </c>
      <c r="Y12" s="31"/>
      <c r="Z12" s="31">
        <v>98</v>
      </c>
      <c r="AA12" s="31"/>
      <c r="AB12" s="31"/>
      <c r="AC12" s="31"/>
      <c r="AD12" s="34">
        <f>IF(COUNT(S12:AC12)=0,0,SUMPRODUCT({5000,1000,500,100,75,50,20,10,5,2,1}, S12:AC12))</f>
        <v>2030</v>
      </c>
      <c r="AE12" s="33">
        <v>134995</v>
      </c>
      <c r="AF12" s="24">
        <f>IF(AND(COUNT(C12:E12)=0,COUNT(G12:I12)=0,COUNT(K12:M12)=0,COUNT(O12:Q12)=0,COUNT(S12:AC12)=0,AE12=""),"",(IF(COUNT(C12:E12)=0,0,SUMPRODUCT({5000,1000,500},C12:E12))+IF(COUNT(G12:I12)=0,0,SUMPRODUCT({5000,1000,500},G12:I12))+IF(COUNT(K12:M12)=0,0,SUMPRODUCT({5000,1000,500},K12:M12))+IF(COUNT(O12:Q12)=0,0,SUMPRODUCT({5000,1000,500},O12:Q12))+AD12)-N(AE12))</f>
        <v>35</v>
      </c>
      <c r="AG12" s="35" t="str">
        <f t="shared" si="0"/>
        <v>Excess</v>
      </c>
      <c r="AH12" s="38"/>
      <c r="AI12" s="36">
        <v>464619.63</v>
      </c>
      <c r="AJ12" s="37">
        <v>672899.2</v>
      </c>
      <c r="AK12" s="26">
        <f t="shared" si="1"/>
        <v>-208279.56999999995</v>
      </c>
      <c r="AL12" s="25" t="str">
        <f t="shared" si="2"/>
        <v>Bank Short</v>
      </c>
      <c r="AM12" s="38"/>
    </row>
    <row r="13" spans="1:39" ht="12.75" customHeight="1" x14ac:dyDescent="0.25">
      <c r="A13" s="31">
        <v>73196</v>
      </c>
      <c r="B13" s="32" t="str">
        <f>IF(A13="","",VLOOKUP(A13,'Employee Database'!A:B,2,FALSE))</f>
        <v>Asma</v>
      </c>
      <c r="C13" s="31">
        <v>21</v>
      </c>
      <c r="D13" s="31">
        <v>139</v>
      </c>
      <c r="E13" s="31">
        <v>29</v>
      </c>
      <c r="F13" s="39">
        <f>IF(COUNT(C13:E13)=0,0,SUMPRODUCT({5000,1000,500},C13:E13))</f>
        <v>258500</v>
      </c>
      <c r="G13" s="31"/>
      <c r="H13" s="31"/>
      <c r="I13" s="31"/>
      <c r="J13" s="39">
        <f>IF(COUNT(G13:I13)=0,0,SUMPRODUCT({5000,1000,500},G13:I13))</f>
        <v>0</v>
      </c>
      <c r="K13" s="31"/>
      <c r="L13" s="31"/>
      <c r="M13" s="31"/>
      <c r="N13" s="39">
        <f>IF(COUNT(K13:M13)=0,0,SUMPRODUCT({5000,1000,500},K13:M13))</f>
        <v>0</v>
      </c>
      <c r="O13" s="31"/>
      <c r="P13" s="31"/>
      <c r="Q13" s="31"/>
      <c r="R13" s="39">
        <f>IF(COUNT(O13:Q13)=0,0,SUMPRODUCT({5000,1000,500},O13:Q13))</f>
        <v>0</v>
      </c>
      <c r="S13" s="31"/>
      <c r="T13" s="31"/>
      <c r="U13" s="31"/>
      <c r="V13" s="31">
        <v>4</v>
      </c>
      <c r="W13" s="31"/>
      <c r="X13" s="31">
        <v>35</v>
      </c>
      <c r="Y13" s="31"/>
      <c r="Z13" s="31">
        <v>5</v>
      </c>
      <c r="AA13" s="31"/>
      <c r="AB13" s="31"/>
      <c r="AC13" s="31"/>
      <c r="AD13" s="34">
        <f>IF(COUNT(S13:AC13)=0,0,SUMPRODUCT({5000,1000,500,100,75,50,20,10,5,2,1}, S13:AC13))</f>
        <v>2200</v>
      </c>
      <c r="AE13" s="33">
        <v>260672</v>
      </c>
      <c r="AF13" s="24">
        <f>IF(AND(COUNT(C13:E13)=0,COUNT(G13:I13)=0,COUNT(K13:M13)=0,COUNT(O13:Q13)=0,COUNT(S13:AC13)=0,AE13=""),"",(IF(COUNT(C13:E13)=0,0,SUMPRODUCT({5000,1000,500},C13:E13))+IF(COUNT(G13:I13)=0,0,SUMPRODUCT({5000,1000,500},G13:I13))+IF(COUNT(K13:M13)=0,0,SUMPRODUCT({5000,1000,500},K13:M13))+IF(COUNT(O13:Q13)=0,0,SUMPRODUCT({5000,1000,500},O13:Q13))+AD13)-N(AE13))</f>
        <v>28</v>
      </c>
      <c r="AG13" s="35" t="str">
        <f t="shared" si="0"/>
        <v>Excess</v>
      </c>
      <c r="AH13" s="38"/>
      <c r="AI13" s="36">
        <v>292109.36</v>
      </c>
      <c r="AJ13" s="37">
        <f>1734.75+290374.61</f>
        <v>292109.36</v>
      </c>
      <c r="AK13" s="26">
        <f t="shared" si="1"/>
        <v>0</v>
      </c>
      <c r="AL13" s="25" t="str">
        <f t="shared" si="2"/>
        <v>Matched</v>
      </c>
      <c r="AM13" s="38"/>
    </row>
    <row r="14" spans="1:39" ht="12.75" customHeight="1" x14ac:dyDescent="0.25">
      <c r="A14" s="31">
        <v>75768</v>
      </c>
      <c r="B14" s="32" t="str">
        <f>IF(A14="","",VLOOKUP(A14,'Employee Database'!A:B,2,FALSE))</f>
        <v>Zuhaib</v>
      </c>
      <c r="C14" s="31"/>
      <c r="D14" s="31"/>
      <c r="E14" s="31"/>
      <c r="F14" s="39">
        <f>IF(COUNT(C14:E14)=0,0,SUMPRODUCT({5000,1000,500},C14:E14))</f>
        <v>0</v>
      </c>
      <c r="G14" s="31">
        <v>40</v>
      </c>
      <c r="H14" s="31">
        <v>113</v>
      </c>
      <c r="I14" s="31">
        <v>38</v>
      </c>
      <c r="J14" s="39">
        <f>IF(COUNT(G14:I14)=0,0,SUMPRODUCT({5000,1000,500},G14:I14))</f>
        <v>332000</v>
      </c>
      <c r="K14" s="31"/>
      <c r="L14" s="31"/>
      <c r="M14" s="31"/>
      <c r="N14" s="39">
        <f>IF(COUNT(K14:M14)=0,0,SUMPRODUCT({5000,1000,500},K14:M14))</f>
        <v>0</v>
      </c>
      <c r="O14" s="31"/>
      <c r="P14" s="31"/>
      <c r="Q14" s="31"/>
      <c r="R14" s="39">
        <f>IF(COUNT(O14:Q14)=0,0,SUMPRODUCT({5000,1000,500},O14:Q14))</f>
        <v>0</v>
      </c>
      <c r="S14" s="31"/>
      <c r="T14" s="31"/>
      <c r="U14" s="31"/>
      <c r="V14" s="31"/>
      <c r="W14" s="31"/>
      <c r="X14" s="31">
        <v>61</v>
      </c>
      <c r="Y14" s="31"/>
      <c r="Z14" s="31">
        <v>49</v>
      </c>
      <c r="AA14" s="31"/>
      <c r="AB14" s="31"/>
      <c r="AC14" s="31"/>
      <c r="AD14" s="34">
        <f>IF(COUNT(S14:AC14)=0,0,SUMPRODUCT({5000,1000,500,100,75,50,20,10,5,2,1}, S14:AC14))</f>
        <v>3540</v>
      </c>
      <c r="AE14" s="33">
        <v>335508</v>
      </c>
      <c r="AF14" s="24">
        <f>IF(AND(COUNT(C14:E14)=0,COUNT(G14:I14)=0,COUNT(K14:M14)=0,COUNT(O14:Q14)=0,COUNT(S14:AC14)=0,AE14=""),"",(IF(COUNT(C14:E14)=0,0,SUMPRODUCT({5000,1000,500},C14:E14))+IF(COUNT(G14:I14)=0,0,SUMPRODUCT({5000,1000,500},G14:I14))+IF(COUNT(K14:M14)=0,0,SUMPRODUCT({5000,1000,500},K14:M14))+IF(COUNT(O14:Q14)=0,0,SUMPRODUCT({5000,1000,500},O14:Q14))+AD14)-N(AE14))</f>
        <v>32</v>
      </c>
      <c r="AG14" s="35" t="str">
        <f t="shared" si="0"/>
        <v>Excess</v>
      </c>
      <c r="AH14" s="38"/>
      <c r="AI14" s="36">
        <v>794844.51</v>
      </c>
      <c r="AJ14" s="37">
        <v>794844.51</v>
      </c>
      <c r="AK14" s="26">
        <f t="shared" si="1"/>
        <v>0</v>
      </c>
      <c r="AL14" s="25" t="str">
        <f t="shared" si="2"/>
        <v>Matched</v>
      </c>
      <c r="AM14" s="38"/>
    </row>
    <row r="15" spans="1:39" ht="12.75" customHeight="1" x14ac:dyDescent="0.25">
      <c r="A15" s="44">
        <v>74612</v>
      </c>
      <c r="B15" s="32" t="e">
        <f>IF(A15="","",VLOOKUP(A15,'Employee Database'!A:B,2,FALSE))</f>
        <v>#N/A</v>
      </c>
      <c r="C15" s="31"/>
      <c r="D15" s="31"/>
      <c r="E15" s="31"/>
      <c r="F15" s="39">
        <f>IF(COUNT(C15:E15)=0,0,SUMPRODUCT({5000,1000,500},C15:E15))</f>
        <v>0</v>
      </c>
      <c r="G15" s="31">
        <v>18</v>
      </c>
      <c r="H15" s="31">
        <v>33</v>
      </c>
      <c r="I15" s="31">
        <v>6</v>
      </c>
      <c r="J15" s="39">
        <f>IF(COUNT(G15:I15)=0,0,SUMPRODUCT({5000,1000,500},G15:I15))</f>
        <v>126000</v>
      </c>
      <c r="K15" s="31"/>
      <c r="L15" s="31"/>
      <c r="M15" s="31"/>
      <c r="N15" s="39">
        <f>IF(COUNT(K15:M15)=0,0,SUMPRODUCT({5000,1000,500},K15:M15))</f>
        <v>0</v>
      </c>
      <c r="O15" s="31"/>
      <c r="P15" s="31"/>
      <c r="Q15" s="31"/>
      <c r="R15" s="39">
        <f>IF(COUNT(O15:Q15)=0,0,SUMPRODUCT({5000,1000,500},O15:Q15))</f>
        <v>0</v>
      </c>
      <c r="S15" s="31"/>
      <c r="T15" s="31"/>
      <c r="U15" s="31"/>
      <c r="V15" s="31">
        <v>12</v>
      </c>
      <c r="W15" s="31"/>
      <c r="X15" s="31">
        <v>42</v>
      </c>
      <c r="Y15" s="31"/>
      <c r="Z15" s="31">
        <v>65</v>
      </c>
      <c r="AA15" s="31"/>
      <c r="AB15" s="31"/>
      <c r="AC15" s="31"/>
      <c r="AD15" s="34">
        <f>IF(COUNT(S15:AC15)=0,0,SUMPRODUCT({5000,1000,500,100,75,50,20,10,5,2,1}, S15:AC15))</f>
        <v>3950</v>
      </c>
      <c r="AE15" s="33">
        <v>129919</v>
      </c>
      <c r="AF15" s="24">
        <f>IF(AND(COUNT(C15:E15)=0,COUNT(G15:I15)=0,COUNT(K15:M15)=0,COUNT(O15:Q15)=0,COUNT(S15:AC15)=0,AE15=""),"",(IF(COUNT(C15:E15)=0,0,SUMPRODUCT({5000,1000,500},C15:E15))+IF(COUNT(G15:I15)=0,0,SUMPRODUCT({5000,1000,500},G15:I15))+IF(COUNT(K15:M15)=0,0,SUMPRODUCT({5000,1000,500},K15:M15))+IF(COUNT(O15:Q15)=0,0,SUMPRODUCT({5000,1000,500},O15:Q15))+AD15)-N(AE15))</f>
        <v>31</v>
      </c>
      <c r="AG15" s="35" t="str">
        <f t="shared" si="0"/>
        <v>Excess</v>
      </c>
      <c r="AH15" s="38"/>
      <c r="AI15" s="36">
        <v>462464.12</v>
      </c>
      <c r="AJ15" s="37">
        <v>462464.12300000002</v>
      </c>
      <c r="AK15" s="26">
        <f t="shared" si="1"/>
        <v>-3.0000000260770321E-3</v>
      </c>
      <c r="AL15" s="25" t="str">
        <f t="shared" si="2"/>
        <v>Bank Short</v>
      </c>
      <c r="AM15" s="38"/>
    </row>
    <row r="16" spans="1:39" ht="12.75" customHeight="1" x14ac:dyDescent="0.25">
      <c r="A16" s="31">
        <v>71788</v>
      </c>
      <c r="B16" s="32" t="str">
        <f>IF(A16="","",VLOOKUP(A16,'Employee Database'!A:B,2,FALSE))</f>
        <v>Saaim</v>
      </c>
      <c r="C16" s="31"/>
      <c r="D16" s="31"/>
      <c r="E16" s="31"/>
      <c r="F16" s="39">
        <f>IF(COUNT(C16:E16)=0,0,SUMPRODUCT({5000,1000,500},C16:E16))</f>
        <v>0</v>
      </c>
      <c r="G16" s="31">
        <v>21</v>
      </c>
      <c r="H16" s="31">
        <v>85</v>
      </c>
      <c r="I16" s="31">
        <v>41</v>
      </c>
      <c r="J16" s="39">
        <f>IF(COUNT(G16:I16)=0,0,SUMPRODUCT({5000,1000,500},G16:I16))</f>
        <v>210500</v>
      </c>
      <c r="K16" s="31"/>
      <c r="L16" s="31"/>
      <c r="M16" s="31"/>
      <c r="N16" s="39">
        <f>IF(COUNT(K16:M16)=0,0,SUMPRODUCT({5000,1000,500},K16:M16))</f>
        <v>0</v>
      </c>
      <c r="O16" s="31"/>
      <c r="P16" s="31"/>
      <c r="Q16" s="31"/>
      <c r="R16" s="39">
        <f>IF(COUNT(O16:Q16)=0,0,SUMPRODUCT({5000,1000,500},O16:Q16))</f>
        <v>0</v>
      </c>
      <c r="S16" s="31"/>
      <c r="T16" s="31"/>
      <c r="U16" s="31"/>
      <c r="V16" s="31">
        <v>9</v>
      </c>
      <c r="W16" s="31"/>
      <c r="X16" s="31">
        <v>75</v>
      </c>
      <c r="Y16" s="31">
        <v>17</v>
      </c>
      <c r="Z16" s="31">
        <v>216</v>
      </c>
      <c r="AA16" s="31"/>
      <c r="AB16" s="31"/>
      <c r="AC16" s="31"/>
      <c r="AD16" s="34">
        <f>IF(COUNT(S16:AC16)=0,0,SUMPRODUCT({5000,1000,500,100,75,50,20,10,5,2,1}, S16:AC16))</f>
        <v>7150</v>
      </c>
      <c r="AE16" s="33">
        <v>217694</v>
      </c>
      <c r="AF16" s="24">
        <f>IF(AND(COUNT(C16:E16)=0,COUNT(G16:I16)=0,COUNT(K16:M16)=0,COUNT(O16:Q16)=0,COUNT(S16:AC16)=0,AE16=""),"",(IF(COUNT(C16:E16)=0,0,SUMPRODUCT({5000,1000,500},C16:E16))+IF(COUNT(G16:I16)=0,0,SUMPRODUCT({5000,1000,500},G16:I16))+IF(COUNT(K16:M16)=0,0,SUMPRODUCT({5000,1000,500},K16:M16))+IF(COUNT(O16:Q16)=0,0,SUMPRODUCT({5000,1000,500},O16:Q16))+AD16)-N(AE16))</f>
        <v>-44</v>
      </c>
      <c r="AG16" s="35" t="str">
        <f t="shared" si="0"/>
        <v>Short</v>
      </c>
      <c r="AH16" s="38"/>
      <c r="AI16" s="36">
        <f>11447+990928.21</f>
        <v>1002375.21</v>
      </c>
      <c r="AJ16" s="37">
        <f>605719.85+385208.36+3398+8049</f>
        <v>1002375.21</v>
      </c>
      <c r="AK16" s="26">
        <f t="shared" si="1"/>
        <v>0</v>
      </c>
      <c r="AL16" s="25" t="str">
        <f t="shared" si="2"/>
        <v>Matched</v>
      </c>
      <c r="AM16" s="38"/>
    </row>
    <row r="17" spans="1:39" ht="12.75" customHeight="1" x14ac:dyDescent="0.25">
      <c r="A17" s="31">
        <v>73679</v>
      </c>
      <c r="B17" s="32" t="str">
        <f>IF(A17="","",VLOOKUP(A17,'Employee Database'!A:B,2,FALSE))</f>
        <v>Imran Waqar</v>
      </c>
      <c r="C17" s="31"/>
      <c r="D17" s="31"/>
      <c r="E17" s="31"/>
      <c r="F17" s="39">
        <f>IF(COUNT(C17:E17)=0,0,SUMPRODUCT({5000,1000,500},C17:E17))</f>
        <v>0</v>
      </c>
      <c r="G17" s="31">
        <v>30</v>
      </c>
      <c r="H17" s="31">
        <v>118</v>
      </c>
      <c r="I17" s="31">
        <v>37</v>
      </c>
      <c r="J17" s="39">
        <f>IF(COUNT(G17:I17)=0,0,SUMPRODUCT({5000,1000,500},G17:I17))</f>
        <v>286500</v>
      </c>
      <c r="K17" s="31"/>
      <c r="L17" s="31"/>
      <c r="M17" s="31"/>
      <c r="N17" s="39">
        <f>IF(COUNT(K17:M17)=0,0,SUMPRODUCT({5000,1000,500},K17:M17))</f>
        <v>0</v>
      </c>
      <c r="O17" s="31"/>
      <c r="P17" s="31"/>
      <c r="Q17" s="31"/>
      <c r="R17" s="39">
        <f>IF(COUNT(O17:Q17)=0,0,SUMPRODUCT({5000,1000,500},O17:Q17))</f>
        <v>0</v>
      </c>
      <c r="S17" s="31"/>
      <c r="T17" s="31"/>
      <c r="U17" s="31"/>
      <c r="V17" s="31">
        <v>66</v>
      </c>
      <c r="W17" s="31"/>
      <c r="X17" s="31">
        <v>49</v>
      </c>
      <c r="Y17" s="31"/>
      <c r="Z17" s="31">
        <v>66</v>
      </c>
      <c r="AA17" s="31"/>
      <c r="AB17" s="31"/>
      <c r="AC17" s="31"/>
      <c r="AD17" s="34">
        <f>IF(COUNT(S17:AC17)=0,0,SUMPRODUCT({5000,1000,500,100,75,50,20,10,5,2,1}, S17:AC17))</f>
        <v>9710</v>
      </c>
      <c r="AE17" s="33">
        <v>296201</v>
      </c>
      <c r="AF17" s="24">
        <f>IF(AND(COUNT(C17:E17)=0,COUNT(G17:I17)=0,COUNT(K17:M17)=0,COUNT(O17:Q17)=0,COUNT(S17:AC17)=0,AE17=""),"",(IF(COUNT(C17:E17)=0,0,SUMPRODUCT({5000,1000,500},C17:E17))+IF(COUNT(G17:I17)=0,0,SUMPRODUCT({5000,1000,500},G17:I17))+IF(COUNT(K17:M17)=0,0,SUMPRODUCT({5000,1000,500},K17:M17))+IF(COUNT(O17:Q17)=0,0,SUMPRODUCT({5000,1000,500},O17:Q17))+AD17)-N(AE17))</f>
        <v>9</v>
      </c>
      <c r="AG17" s="35" t="str">
        <f t="shared" si="0"/>
        <v>Excess</v>
      </c>
      <c r="AH17" s="38"/>
      <c r="AI17" s="36">
        <v>697296.64</v>
      </c>
      <c r="AJ17" s="37">
        <f>341437.27+355859.37</f>
        <v>697296.64</v>
      </c>
      <c r="AK17" s="26">
        <f t="shared" si="1"/>
        <v>0</v>
      </c>
      <c r="AL17" s="25" t="str">
        <f t="shared" si="2"/>
        <v>Matched</v>
      </c>
      <c r="AM17" s="38"/>
    </row>
    <row r="18" spans="1:39" ht="12.75" customHeight="1" x14ac:dyDescent="0.25">
      <c r="A18" s="31">
        <v>68475</v>
      </c>
      <c r="B18" s="32" t="str">
        <f>IF(A18="","",VLOOKUP(A18,'Employee Database'!A:B,2,FALSE))</f>
        <v>M Azeem</v>
      </c>
      <c r="C18" s="31"/>
      <c r="D18" s="31"/>
      <c r="E18" s="31"/>
      <c r="F18" s="39">
        <f>IF(COUNT(C18:E18)=0,0,SUMPRODUCT({5000,1000,500},C18:E18))</f>
        <v>0</v>
      </c>
      <c r="G18" s="31">
        <v>7</v>
      </c>
      <c r="H18" s="31">
        <v>9</v>
      </c>
      <c r="I18" s="31">
        <v>14</v>
      </c>
      <c r="J18" s="39">
        <f>IF(COUNT(G18:I18)=0,0,SUMPRODUCT({5000,1000,500},G18:I18))</f>
        <v>51000</v>
      </c>
      <c r="K18" s="31"/>
      <c r="L18" s="31"/>
      <c r="M18" s="31"/>
      <c r="N18" s="39">
        <f>IF(COUNT(K18:M18)=0,0,SUMPRODUCT({5000,1000,500},K18:M18))</f>
        <v>0</v>
      </c>
      <c r="O18" s="31"/>
      <c r="P18" s="31"/>
      <c r="Q18" s="31"/>
      <c r="R18" s="39">
        <f>IF(COUNT(O18:Q18)=0,0,SUMPRODUCT({5000,1000,500},O18:Q18))</f>
        <v>0</v>
      </c>
      <c r="S18" s="31"/>
      <c r="T18" s="31"/>
      <c r="U18" s="31"/>
      <c r="V18" s="31">
        <v>3</v>
      </c>
      <c r="W18" s="31"/>
      <c r="X18" s="31">
        <v>8</v>
      </c>
      <c r="Y18" s="31"/>
      <c r="Z18" s="31">
        <v>70</v>
      </c>
      <c r="AA18" s="31"/>
      <c r="AB18" s="31"/>
      <c r="AC18" s="31"/>
      <c r="AD18" s="34">
        <f>IF(COUNT(S18:AC18)=0,0,SUMPRODUCT({5000,1000,500,100,75,50,20,10,5,2,1}, S18:AC18))</f>
        <v>1400</v>
      </c>
      <c r="AE18" s="33">
        <v>52435</v>
      </c>
      <c r="AF18" s="24">
        <f>IF(AND(COUNT(C18:E18)=0,COUNT(G18:I18)=0,COUNT(K18:M18)=0,COUNT(O18:Q18)=0,COUNT(S18:AC18)=0,AE18=""),"",(IF(COUNT(C18:E18)=0,0,SUMPRODUCT({5000,1000,500},C18:E18))+IF(COUNT(G18:I18)=0,0,SUMPRODUCT({5000,1000,500},G18:I18))+IF(COUNT(K18:M18)=0,0,SUMPRODUCT({5000,1000,500},K18:M18))+IF(COUNT(O18:Q18)=0,0,SUMPRODUCT({5000,1000,500},O18:Q18))+AD18)-N(AE18))</f>
        <v>-35</v>
      </c>
      <c r="AG18" s="35" t="str">
        <f t="shared" si="0"/>
        <v>Short</v>
      </c>
      <c r="AH18" s="38"/>
      <c r="AI18" s="36">
        <v>55038.45</v>
      </c>
      <c r="AJ18" s="37">
        <f>19442.63+35595.82</f>
        <v>55038.45</v>
      </c>
      <c r="AK18" s="26">
        <f t="shared" si="1"/>
        <v>0</v>
      </c>
      <c r="AL18" s="25" t="str">
        <f t="shared" si="2"/>
        <v>Matched</v>
      </c>
      <c r="AM18" s="38"/>
    </row>
    <row r="19" spans="1:39" ht="12.75" customHeight="1" x14ac:dyDescent="0.25">
      <c r="A19" s="31">
        <v>50313</v>
      </c>
      <c r="B19" s="32" t="str">
        <f>IF(A19="","",VLOOKUP(A19,'Employee Database'!A:B,2,FALSE))</f>
        <v>Waseem Raza</v>
      </c>
      <c r="C19" s="31"/>
      <c r="D19" s="31"/>
      <c r="E19" s="31"/>
      <c r="F19" s="39">
        <f>IF(COUNT(C19:E19)=0,0,SUMPRODUCT({5000,1000,500},C19:E19))</f>
        <v>0</v>
      </c>
      <c r="G19" s="31">
        <v>22</v>
      </c>
      <c r="H19" s="31">
        <v>40</v>
      </c>
      <c r="I19" s="31">
        <v>0</v>
      </c>
      <c r="J19" s="39">
        <f>IF(COUNT(G19:I19)=0,0,SUMPRODUCT({5000,1000,500},G19:I19))</f>
        <v>150000</v>
      </c>
      <c r="K19" s="31"/>
      <c r="L19" s="31"/>
      <c r="M19" s="31"/>
      <c r="N19" s="39">
        <f>IF(COUNT(K19:M19)=0,0,SUMPRODUCT({5000,1000,500},K19:M19))</f>
        <v>0</v>
      </c>
      <c r="O19" s="31"/>
      <c r="P19" s="31"/>
      <c r="Q19" s="31"/>
      <c r="R19" s="39">
        <f>IF(COUNT(O19:Q19)=0,0,SUMPRODUCT({5000,1000,500},O19:Q19))</f>
        <v>0</v>
      </c>
      <c r="S19" s="31"/>
      <c r="T19" s="31"/>
      <c r="U19" s="31"/>
      <c r="V19" s="31">
        <v>1</v>
      </c>
      <c r="W19" s="31"/>
      <c r="X19" s="31">
        <v>1</v>
      </c>
      <c r="Y19" s="31"/>
      <c r="Z19" s="31">
        <v>2</v>
      </c>
      <c r="AA19" s="31"/>
      <c r="AB19" s="31"/>
      <c r="AC19" s="31"/>
      <c r="AD19" s="34">
        <f>IF(COUNT(S19:AC19)=0,0,SUMPRODUCT({5000,1000,500,100,75,50,20,10,5,2,1}, S19:AC19))</f>
        <v>170</v>
      </c>
      <c r="AE19" s="33">
        <v>150172</v>
      </c>
      <c r="AF19" s="24">
        <f>IF(AND(COUNT(C19:E19)=0,COUNT(G19:I19)=0,COUNT(K19:M19)=0,COUNT(O19:Q19)=0,COUNT(S19:AC19)=0,AE19=""),"",(IF(COUNT(C19:E19)=0,0,SUMPRODUCT({5000,1000,500},C19:E19))+IF(COUNT(G19:I19)=0,0,SUMPRODUCT({5000,1000,500},G19:I19))+IF(COUNT(K19:M19)=0,0,SUMPRODUCT({5000,1000,500},K19:M19))+IF(COUNT(O19:Q19)=0,0,SUMPRODUCT({5000,1000,500},O19:Q19))+AD19)-N(AE19))</f>
        <v>-2</v>
      </c>
      <c r="AG19" s="35" t="str">
        <f t="shared" si="0"/>
        <v>Short</v>
      </c>
      <c r="AH19" s="38"/>
      <c r="AI19" s="36">
        <v>208279.57</v>
      </c>
      <c r="AJ19" s="37"/>
      <c r="AK19" s="26">
        <f t="shared" si="1"/>
        <v>208279.57</v>
      </c>
      <c r="AL19" s="25" t="str">
        <f t="shared" si="2"/>
        <v>POS Excess</v>
      </c>
      <c r="AM19" s="38"/>
    </row>
    <row r="20" spans="1:39" ht="12.75" customHeight="1" x14ac:dyDescent="0.25">
      <c r="A20" s="31">
        <v>50134</v>
      </c>
      <c r="B20" s="32" t="str">
        <f>IF(A20="","",VLOOKUP(A20,'Employee Database'!A:B,2,FALSE))</f>
        <v>Asif Abbas</v>
      </c>
      <c r="C20" s="31"/>
      <c r="D20" s="31"/>
      <c r="E20" s="31"/>
      <c r="F20" s="39">
        <f>IF(COUNT(C20:E20)=0,0,SUMPRODUCT({5000,1000,500},C20:E20))</f>
        <v>0</v>
      </c>
      <c r="G20" s="31">
        <v>28</v>
      </c>
      <c r="H20" s="31">
        <v>144</v>
      </c>
      <c r="I20" s="31">
        <v>3</v>
      </c>
      <c r="J20" s="39">
        <f>IF(COUNT(G20:I20)=0,0,SUMPRODUCT({5000,1000,500},G20:I20))</f>
        <v>285500</v>
      </c>
      <c r="K20" s="31"/>
      <c r="L20" s="31"/>
      <c r="M20" s="31"/>
      <c r="N20" s="39">
        <f>IF(COUNT(K20:M20)=0,0,SUMPRODUCT({5000,1000,500},K20:M20))</f>
        <v>0</v>
      </c>
      <c r="O20" s="31"/>
      <c r="P20" s="31"/>
      <c r="Q20" s="31"/>
      <c r="R20" s="39">
        <f>IF(COUNT(O20:Q20)=0,0,SUMPRODUCT({5000,1000,500},O20:Q20))</f>
        <v>0</v>
      </c>
      <c r="S20" s="31"/>
      <c r="T20" s="31"/>
      <c r="U20" s="31"/>
      <c r="V20" s="31">
        <v>1</v>
      </c>
      <c r="W20" s="31"/>
      <c r="X20" s="31">
        <v>213</v>
      </c>
      <c r="Y20" s="31"/>
      <c r="Z20" s="31">
        <v>302</v>
      </c>
      <c r="AA20" s="31"/>
      <c r="AB20" s="31"/>
      <c r="AC20" s="31"/>
      <c r="AD20" s="34">
        <f>IF(COUNT(S20:AC20)=0,0,SUMPRODUCT({5000,1000,500,100,75,50,20,10,5,2,1}, S20:AC20))</f>
        <v>13770</v>
      </c>
      <c r="AE20" s="33">
        <v>299305</v>
      </c>
      <c r="AF20" s="24">
        <f>IF(AND(COUNT(C20:E20)=0,COUNT(G20:I20)=0,COUNT(K20:M20)=0,COUNT(O20:Q20)=0,COUNT(S20:AC20)=0,AE20=""),"",(IF(COUNT(C20:E20)=0,0,SUMPRODUCT({5000,1000,500},C20:E20))+IF(COUNT(G20:I20)=0,0,SUMPRODUCT({5000,1000,500},G20:I20))+IF(COUNT(K20:M20)=0,0,SUMPRODUCT({5000,1000,500},K20:M20))+IF(COUNT(O20:Q20)=0,0,SUMPRODUCT({5000,1000,500},O20:Q20))+AD20)-N(AE20))</f>
        <v>-35</v>
      </c>
      <c r="AG20" s="35" t="str">
        <f t="shared" si="0"/>
        <v>Short</v>
      </c>
      <c r="AH20" s="38"/>
      <c r="AI20" s="36">
        <v>987298.36</v>
      </c>
      <c r="AJ20" s="37">
        <v>987298.36</v>
      </c>
      <c r="AK20" s="26">
        <f t="shared" si="1"/>
        <v>0</v>
      </c>
      <c r="AL20" s="25" t="str">
        <f t="shared" si="2"/>
        <v>Matched</v>
      </c>
      <c r="AM20" s="38"/>
    </row>
    <row r="21" spans="1:39" ht="12.75" customHeight="1" x14ac:dyDescent="0.25">
      <c r="A21" s="31">
        <v>63374</v>
      </c>
      <c r="B21" s="32" t="str">
        <f>IF(A21="","",VLOOKUP(A21,'Employee Database'!A:B,2,FALSE))</f>
        <v>Aftab Ali</v>
      </c>
      <c r="C21" s="31"/>
      <c r="D21" s="31"/>
      <c r="E21" s="31"/>
      <c r="F21" s="39">
        <f>IF(COUNT(C21:E21)=0,0,SUMPRODUCT({5000,1000,500},C21:E21))</f>
        <v>0</v>
      </c>
      <c r="G21" s="31">
        <v>18</v>
      </c>
      <c r="H21" s="31">
        <v>46</v>
      </c>
      <c r="I21" s="31">
        <v>7</v>
      </c>
      <c r="J21" s="39">
        <f>IF(COUNT(G21:I21)=0,0,SUMPRODUCT({5000,1000,500},G21:I21))</f>
        <v>139500</v>
      </c>
      <c r="K21" s="31"/>
      <c r="L21" s="31"/>
      <c r="M21" s="31"/>
      <c r="N21" s="39">
        <f>IF(COUNT(K21:M21)=0,0,SUMPRODUCT({5000,1000,500},K21:M21))</f>
        <v>0</v>
      </c>
      <c r="O21" s="31"/>
      <c r="P21" s="31"/>
      <c r="Q21" s="31"/>
      <c r="R21" s="39">
        <f>IF(COUNT(O21:Q21)=0,0,SUMPRODUCT({5000,1000,500},O21:Q21))</f>
        <v>0</v>
      </c>
      <c r="S21" s="31"/>
      <c r="T21" s="31"/>
      <c r="U21" s="31"/>
      <c r="V21" s="31">
        <v>1</v>
      </c>
      <c r="W21" s="31"/>
      <c r="X21" s="31">
        <v>57</v>
      </c>
      <c r="Y21" s="31"/>
      <c r="Z21" s="31">
        <v>30</v>
      </c>
      <c r="AA21" s="31"/>
      <c r="AB21" s="31"/>
      <c r="AC21" s="31"/>
      <c r="AD21" s="34">
        <f>IF(COUNT(S21:AC21)=0,0,SUMPRODUCT({5000,1000,500,100,75,50,20,10,5,2,1}, S21:AC21))</f>
        <v>3250</v>
      </c>
      <c r="AE21" s="33">
        <v>142743</v>
      </c>
      <c r="AF21" s="24">
        <f>IF(AND(COUNT(C21:E21)=0,COUNT(G21:I21)=0,COUNT(K21:M21)=0,COUNT(O21:Q21)=0,COUNT(S21:AC21)=0,AE21=""),"",(IF(COUNT(C21:E21)=0,0,SUMPRODUCT({5000,1000,500},C21:E21))+IF(COUNT(G21:I21)=0,0,SUMPRODUCT({5000,1000,500},G21:I21))+IF(COUNT(K21:M21)=0,0,SUMPRODUCT({5000,1000,500},K21:M21))+IF(COUNT(O21:Q21)=0,0,SUMPRODUCT({5000,1000,500},O21:Q21))+AD21)-N(AE21))</f>
        <v>7</v>
      </c>
      <c r="AG21" s="35" t="str">
        <f t="shared" si="0"/>
        <v>Excess</v>
      </c>
      <c r="AH21" s="38"/>
      <c r="AI21" s="36">
        <v>306402.56</v>
      </c>
      <c r="AJ21" s="37">
        <f>129969.46+176433.1</f>
        <v>306402.56</v>
      </c>
      <c r="AK21" s="26">
        <f t="shared" si="1"/>
        <v>0</v>
      </c>
      <c r="AL21" s="25" t="str">
        <f t="shared" si="2"/>
        <v>Matched</v>
      </c>
      <c r="AM21" s="38"/>
    </row>
    <row r="22" spans="1:39" ht="12.75" customHeight="1" x14ac:dyDescent="0.25">
      <c r="A22" s="31">
        <v>50524</v>
      </c>
      <c r="B22" s="32" t="str">
        <f>IF(A22="","",VLOOKUP(A22,'Employee Database'!A:B,2,FALSE))</f>
        <v>Allah Rakha</v>
      </c>
      <c r="C22" s="31"/>
      <c r="D22" s="31"/>
      <c r="E22" s="31"/>
      <c r="F22" s="39">
        <f>IF(COUNT(C22:E22)=0,0,SUMPRODUCT({5000,1000,500},C22:E22))</f>
        <v>0</v>
      </c>
      <c r="G22" s="31">
        <v>20</v>
      </c>
      <c r="H22" s="31">
        <v>48</v>
      </c>
      <c r="I22" s="31">
        <v>1</v>
      </c>
      <c r="J22" s="39">
        <f>IF(COUNT(G22:I22)=0,0,SUMPRODUCT({5000,1000,500},G22:I22))</f>
        <v>148500</v>
      </c>
      <c r="K22" s="31"/>
      <c r="L22" s="31"/>
      <c r="M22" s="31"/>
      <c r="N22" s="39">
        <f>IF(COUNT(K22:M22)=0,0,SUMPRODUCT({5000,1000,500},K22:M22))</f>
        <v>0</v>
      </c>
      <c r="O22" s="31"/>
      <c r="P22" s="31"/>
      <c r="Q22" s="31"/>
      <c r="R22" s="39">
        <f>IF(COUNT(O22:Q22)=0,0,SUMPRODUCT({5000,1000,500},O22:Q22))</f>
        <v>0</v>
      </c>
      <c r="S22" s="31"/>
      <c r="T22" s="31"/>
      <c r="U22" s="31"/>
      <c r="V22" s="31">
        <v>3</v>
      </c>
      <c r="W22" s="31"/>
      <c r="X22" s="31">
        <v>14</v>
      </c>
      <c r="Y22" s="31">
        <v>1</v>
      </c>
      <c r="Z22" s="31">
        <v>52</v>
      </c>
      <c r="AA22" s="31"/>
      <c r="AB22" s="31"/>
      <c r="AC22" s="31"/>
      <c r="AD22" s="34">
        <f>IF(COUNT(S22:AC22)=0,0,SUMPRODUCT({5000,1000,500,100,75,50,20,10,5,2,1}, S22:AC22))</f>
        <v>1540</v>
      </c>
      <c r="AE22" s="33">
        <v>149992</v>
      </c>
      <c r="AF22" s="24">
        <f>IF(AND(COUNT(C22:E22)=0,COUNT(G22:I22)=0,COUNT(K22:M22)=0,COUNT(O22:Q22)=0,COUNT(S22:AC22)=0,AE22=""),"",(IF(COUNT(C22:E22)=0,0,SUMPRODUCT({5000,1000,500},C22:E22))+IF(COUNT(G22:I22)=0,0,SUMPRODUCT({5000,1000,500},G22:I22))+IF(COUNT(K22:M22)=0,0,SUMPRODUCT({5000,1000,500},K22:M22))+IF(COUNT(O22:Q22)=0,0,SUMPRODUCT({5000,1000,500},O22:Q22))+AD22)-N(AE22))</f>
        <v>48</v>
      </c>
      <c r="AG22" s="35" t="str">
        <f t="shared" si="0"/>
        <v>Excess</v>
      </c>
      <c r="AH22" s="38"/>
      <c r="AI22" s="36">
        <f>77603.85+382809.87</f>
        <v>460413.72</v>
      </c>
      <c r="AJ22" s="37">
        <f>46572+336237.87</f>
        <v>382809.87</v>
      </c>
      <c r="AK22" s="26">
        <f t="shared" si="1"/>
        <v>77603.849999999977</v>
      </c>
      <c r="AL22" s="25" t="str">
        <f t="shared" si="2"/>
        <v>POS Excess</v>
      </c>
      <c r="AM22" s="38"/>
    </row>
    <row r="23" spans="1:39" ht="12.75" customHeight="1" x14ac:dyDescent="0.25">
      <c r="A23" s="31">
        <v>67250</v>
      </c>
      <c r="B23" s="32" t="str">
        <f>IF(A23="","",VLOOKUP(A23,'Employee Database'!A:B,2,FALSE))</f>
        <v>M Fiaz</v>
      </c>
      <c r="C23" s="31"/>
      <c r="D23" s="31"/>
      <c r="E23" s="31"/>
      <c r="F23" s="39">
        <f>IF(COUNT(C23:E23)=0,0,SUMPRODUCT({5000,1000,500},C23:E23))</f>
        <v>0</v>
      </c>
      <c r="G23" s="31">
        <v>6</v>
      </c>
      <c r="H23" s="31">
        <v>91</v>
      </c>
      <c r="I23" s="31">
        <v>6</v>
      </c>
      <c r="J23" s="39">
        <f>IF(COUNT(G23:I23)=0,0,SUMPRODUCT({5000,1000,500},G23:I23))</f>
        <v>124000</v>
      </c>
      <c r="K23" s="31"/>
      <c r="L23" s="31"/>
      <c r="M23" s="31"/>
      <c r="N23" s="39">
        <f>IF(COUNT(K23:M23)=0,0,SUMPRODUCT({5000,1000,500},K23:M23))</f>
        <v>0</v>
      </c>
      <c r="O23" s="31"/>
      <c r="P23" s="31"/>
      <c r="Q23" s="31"/>
      <c r="R23" s="39">
        <f>IF(COUNT(O23:Q23)=0,0,SUMPRODUCT({5000,1000,500},O23:Q23))</f>
        <v>0</v>
      </c>
      <c r="S23" s="31"/>
      <c r="T23" s="31"/>
      <c r="U23" s="31"/>
      <c r="V23" s="31">
        <v>1</v>
      </c>
      <c r="W23" s="31"/>
      <c r="X23" s="31">
        <v>13</v>
      </c>
      <c r="Y23" s="31"/>
      <c r="Z23" s="31">
        <v>81</v>
      </c>
      <c r="AA23" s="31"/>
      <c r="AB23" s="31"/>
      <c r="AC23" s="31"/>
      <c r="AD23" s="34">
        <f>IF(COUNT(S23:AC23)=0,0,SUMPRODUCT({5000,1000,500,100,75,50,20,10,5,2,1}, S23:AC23))</f>
        <v>1560</v>
      </c>
      <c r="AE23" s="33">
        <v>125565</v>
      </c>
      <c r="AF23" s="24">
        <f>IF(AND(COUNT(C23:E23)=0,COUNT(G23:I23)=0,COUNT(K23:M23)=0,COUNT(O23:Q23)=0,COUNT(S23:AC23)=0,AE23=""),"",(IF(COUNT(C23:E23)=0,0,SUMPRODUCT({5000,1000,500},C23:E23))+IF(COUNT(G23:I23)=0,0,SUMPRODUCT({5000,1000,500},G23:I23))+IF(COUNT(K23:M23)=0,0,SUMPRODUCT({5000,1000,500},K23:M23))+IF(COUNT(O23:Q23)=0,0,SUMPRODUCT({5000,1000,500},O23:Q23))+AD23)-N(AE23))</f>
        <v>-5</v>
      </c>
      <c r="AG23" s="35" t="str">
        <f t="shared" si="0"/>
        <v>Short</v>
      </c>
      <c r="AH23" s="38"/>
      <c r="AI23" s="36">
        <f>123406.94+228932.21</f>
        <v>352339.15</v>
      </c>
      <c r="AJ23" s="37">
        <f>123406.94+228932.21</f>
        <v>352339.15</v>
      </c>
      <c r="AK23" s="26">
        <f t="shared" si="1"/>
        <v>0</v>
      </c>
      <c r="AL23" s="25" t="str">
        <f t="shared" si="2"/>
        <v>Matched</v>
      </c>
      <c r="AM23" s="38"/>
    </row>
    <row r="24" spans="1:39" ht="12.75" customHeight="1" x14ac:dyDescent="0.25">
      <c r="A24" s="31">
        <v>77424</v>
      </c>
      <c r="B24" s="32" t="str">
        <f>IF(A24="","",VLOOKUP(A24,'Employee Database'!A:B,2,FALSE))</f>
        <v>M Husnain</v>
      </c>
      <c r="C24" s="31"/>
      <c r="D24" s="31"/>
      <c r="E24" s="31"/>
      <c r="F24" s="39">
        <f>IF(COUNT(C24:E24)=0,0,SUMPRODUCT({5000,1000,500},C24:E24))</f>
        <v>0</v>
      </c>
      <c r="G24" s="31">
        <v>18</v>
      </c>
      <c r="H24" s="31">
        <v>124</v>
      </c>
      <c r="I24" s="31">
        <v>26</v>
      </c>
      <c r="J24" s="39">
        <f>IF(COUNT(G24:I24)=0,0,SUMPRODUCT({5000,1000,500},G24:I24))</f>
        <v>227000</v>
      </c>
      <c r="K24" s="31"/>
      <c r="L24" s="31"/>
      <c r="M24" s="31"/>
      <c r="N24" s="39">
        <f>IF(COUNT(K24:M24)=0,0,SUMPRODUCT({5000,1000,500},K24:M24))</f>
        <v>0</v>
      </c>
      <c r="O24" s="31"/>
      <c r="P24" s="31"/>
      <c r="Q24" s="31"/>
      <c r="R24" s="39">
        <f>IF(COUNT(O24:Q24)=0,0,SUMPRODUCT({5000,1000,500},O24:Q24))</f>
        <v>0</v>
      </c>
      <c r="S24" s="31"/>
      <c r="T24" s="31"/>
      <c r="U24" s="31"/>
      <c r="V24" s="31"/>
      <c r="W24" s="31"/>
      <c r="X24" s="31">
        <v>2</v>
      </c>
      <c r="Y24" s="31"/>
      <c r="Z24" s="31">
        <v>70</v>
      </c>
      <c r="AA24" s="31"/>
      <c r="AB24" s="31"/>
      <c r="AC24" s="31"/>
      <c r="AD24" s="34">
        <f>IF(COUNT(S24:AC24)=0,0,SUMPRODUCT({5000,1000,500,100,75,50,20,10,5,2,1}, S24:AC24))</f>
        <v>800</v>
      </c>
      <c r="AE24" s="33">
        <v>227780</v>
      </c>
      <c r="AF24" s="24">
        <f>IF(AND(COUNT(C24:E24)=0,COUNT(G24:I24)=0,COUNT(K24:M24)=0,COUNT(O24:Q24)=0,COUNT(S24:AC24)=0,AE24=""),"",(IF(COUNT(C24:E24)=0,0,SUMPRODUCT({5000,1000,500},C24:E24))+IF(COUNT(G24:I24)=0,0,SUMPRODUCT({5000,1000,500},G24:I24))+IF(COUNT(K24:M24)=0,0,SUMPRODUCT({5000,1000,500},K24:M24))+IF(COUNT(O24:Q24)=0,0,SUMPRODUCT({5000,1000,500},O24:Q24))+AD24)-N(AE24))</f>
        <v>20</v>
      </c>
      <c r="AG24" s="35" t="str">
        <f t="shared" si="0"/>
        <v>Excess</v>
      </c>
      <c r="AH24" s="38"/>
      <c r="AI24" s="36">
        <f>183322.14+122823.54</f>
        <v>306145.68</v>
      </c>
      <c r="AJ24" s="37">
        <f>183322.14+122823.54</f>
        <v>306145.68</v>
      </c>
      <c r="AK24" s="26">
        <f t="shared" si="1"/>
        <v>0</v>
      </c>
      <c r="AL24" s="25" t="str">
        <f t="shared" si="2"/>
        <v>Matched</v>
      </c>
      <c r="AM24" s="38"/>
    </row>
    <row r="25" spans="1:39" ht="12.75" customHeight="1" x14ac:dyDescent="0.25">
      <c r="A25" s="31">
        <v>79593</v>
      </c>
      <c r="B25" s="32" t="str">
        <f>IF(A25="","",VLOOKUP(A25,'Employee Database'!A:B,2,FALSE))</f>
        <v>Amir</v>
      </c>
      <c r="C25" s="31"/>
      <c r="D25" s="31"/>
      <c r="E25" s="31"/>
      <c r="F25" s="39">
        <f>IF(COUNT(C25:E25)=0,0,SUMPRODUCT({5000,1000,500},C25:E25))</f>
        <v>0</v>
      </c>
      <c r="G25" s="31">
        <v>24</v>
      </c>
      <c r="H25" s="31">
        <v>109</v>
      </c>
      <c r="I25" s="31">
        <v>13</v>
      </c>
      <c r="J25" s="39">
        <f>IF(COUNT(G25:I25)=0,0,SUMPRODUCT({5000,1000,500},G25:I25))</f>
        <v>235500</v>
      </c>
      <c r="K25" s="31"/>
      <c r="L25" s="31"/>
      <c r="M25" s="31"/>
      <c r="N25" s="39">
        <f>IF(COUNT(K25:M25)=0,0,SUMPRODUCT({5000,1000,500},K25:M25))</f>
        <v>0</v>
      </c>
      <c r="O25" s="31"/>
      <c r="P25" s="31"/>
      <c r="Q25" s="31"/>
      <c r="R25" s="39">
        <f>IF(COUNT(O25:Q25)=0,0,SUMPRODUCT({5000,1000,500},O25:Q25))</f>
        <v>0</v>
      </c>
      <c r="S25" s="31"/>
      <c r="T25" s="31"/>
      <c r="U25" s="31"/>
      <c r="V25" s="31">
        <v>1</v>
      </c>
      <c r="W25" s="31"/>
      <c r="X25" s="31">
        <v>11</v>
      </c>
      <c r="Y25" s="31"/>
      <c r="Z25" s="31">
        <v>61</v>
      </c>
      <c r="AA25" s="31"/>
      <c r="AB25" s="31"/>
      <c r="AC25" s="31"/>
      <c r="AD25" s="34">
        <f>IF(COUNT(S25:AC25)=0,0,SUMPRODUCT({5000,1000,500,100,75,50,20,10,5,2,1}, S25:AC25))</f>
        <v>1260</v>
      </c>
      <c r="AE25" s="33">
        <v>236732</v>
      </c>
      <c r="AF25" s="24">
        <f>IF(AND(COUNT(C25:E25)=0,COUNT(G25:I25)=0,COUNT(K25:M25)=0,COUNT(O25:Q25)=0,COUNT(S25:AC25)=0,AE25=""),"",(IF(COUNT(C25:E25)=0,0,SUMPRODUCT({5000,1000,500},C25:E25))+IF(COUNT(G25:I25)=0,0,SUMPRODUCT({5000,1000,500},G25:I25))+IF(COUNT(K25:M25)=0,0,SUMPRODUCT({5000,1000,500},K25:M25))+IF(COUNT(O25:Q25)=0,0,SUMPRODUCT({5000,1000,500},O25:Q25))+AD25)-N(AE25))</f>
        <v>28</v>
      </c>
      <c r="AG25" s="35" t="str">
        <f t="shared" si="0"/>
        <v>Excess</v>
      </c>
      <c r="AH25" s="38"/>
      <c r="AI25" s="36">
        <v>711223.13</v>
      </c>
      <c r="AJ25" s="37">
        <f>90253.31+620969.82</f>
        <v>711223.12999999989</v>
      </c>
      <c r="AK25" s="26">
        <f t="shared" si="1"/>
        <v>1.1641532182693481E-10</v>
      </c>
      <c r="AL25" s="25" t="str">
        <f t="shared" si="2"/>
        <v>POS Excess</v>
      </c>
      <c r="AM25" s="38"/>
    </row>
    <row r="26" spans="1:39" ht="12.75" customHeight="1" x14ac:dyDescent="0.25">
      <c r="A26" s="31">
        <v>69728</v>
      </c>
      <c r="B26" s="32" t="str">
        <f>IF(A26="","",VLOOKUP(A26,'Employee Database'!A:B,2,FALSE))</f>
        <v>Hafiz Hafeez Ur Rehman</v>
      </c>
      <c r="C26" s="31"/>
      <c r="D26" s="31"/>
      <c r="E26" s="31"/>
      <c r="F26" s="39">
        <f>IF(COUNT(C26:E26)=0,0,SUMPRODUCT({5000,1000,500},C26:E26))</f>
        <v>0</v>
      </c>
      <c r="G26" s="31">
        <v>19</v>
      </c>
      <c r="H26" s="31">
        <v>55</v>
      </c>
      <c r="I26" s="31">
        <v>10</v>
      </c>
      <c r="J26" s="39">
        <f>IF(COUNT(G26:I26)=0,0,SUMPRODUCT({5000,1000,500},G26:I26))</f>
        <v>155000</v>
      </c>
      <c r="K26" s="31"/>
      <c r="L26" s="31"/>
      <c r="M26" s="31"/>
      <c r="N26" s="39">
        <f>IF(COUNT(K26:M26)=0,0,SUMPRODUCT({5000,1000,500},K26:M26))</f>
        <v>0</v>
      </c>
      <c r="O26" s="31"/>
      <c r="P26" s="31"/>
      <c r="Q26" s="31"/>
      <c r="R26" s="39">
        <f>IF(COUNT(O26:Q26)=0,0,SUMPRODUCT({5000,1000,500},O26:Q26))</f>
        <v>0</v>
      </c>
      <c r="S26" s="31"/>
      <c r="T26" s="31"/>
      <c r="U26" s="31"/>
      <c r="V26" s="31"/>
      <c r="W26" s="31"/>
      <c r="X26" s="31">
        <v>76</v>
      </c>
      <c r="Y26" s="31"/>
      <c r="Z26" s="31">
        <v>48</v>
      </c>
      <c r="AA26" s="31"/>
      <c r="AB26" s="31"/>
      <c r="AC26" s="31"/>
      <c r="AD26" s="34">
        <f>IF(COUNT(S26:AC26)=0,0,SUMPRODUCT({5000,1000,500,100,75,50,20,10,5,2,1}, S26:AC26))</f>
        <v>4280</v>
      </c>
      <c r="AE26" s="33">
        <v>159306</v>
      </c>
      <c r="AF26" s="24">
        <f>IF(AND(COUNT(C26:E26)=0,COUNT(G26:I26)=0,COUNT(K26:M26)=0,COUNT(O26:Q26)=0,COUNT(S26:AC26)=0,AE26=""),"",(IF(COUNT(C26:E26)=0,0,SUMPRODUCT({5000,1000,500},C26:E26))+IF(COUNT(G26:I26)=0,0,SUMPRODUCT({5000,1000,500},G26:I26))+IF(COUNT(K26:M26)=0,0,SUMPRODUCT({5000,1000,500},K26:M26))+IF(COUNT(O26:Q26)=0,0,SUMPRODUCT({5000,1000,500},O26:Q26))+AD26)-N(AE26))</f>
        <v>-26</v>
      </c>
      <c r="AG26" s="35" t="str">
        <f t="shared" si="0"/>
        <v>Short</v>
      </c>
      <c r="AH26" s="38"/>
      <c r="AI26" s="36">
        <f>101871.34+213822.46+218831.38</f>
        <v>534525.17999999993</v>
      </c>
      <c r="AJ26" s="37">
        <f>8208+210623.38+209473.46+4349+101871.34</f>
        <v>534525.17999999993</v>
      </c>
      <c r="AK26" s="26">
        <f t="shared" si="1"/>
        <v>0</v>
      </c>
      <c r="AL26" s="25" t="str">
        <f t="shared" si="2"/>
        <v>Matched</v>
      </c>
      <c r="AM26" s="38"/>
    </row>
    <row r="27" spans="1:39" ht="12.75" customHeight="1" x14ac:dyDescent="0.25">
      <c r="A27" s="31">
        <v>61648</v>
      </c>
      <c r="B27" s="32" t="str">
        <f>IF(A27="","",VLOOKUP(A27,'Employee Database'!A:B,2,FALSE))</f>
        <v>Rizwan</v>
      </c>
      <c r="C27" s="31"/>
      <c r="D27" s="31"/>
      <c r="E27" s="31"/>
      <c r="F27" s="39">
        <f>IF(COUNT(C27:E27)=0,0,SUMPRODUCT({5000,1000,500},C27:E27))</f>
        <v>0</v>
      </c>
      <c r="G27" s="31">
        <v>33</v>
      </c>
      <c r="H27" s="31">
        <v>88</v>
      </c>
      <c r="I27" s="31">
        <v>4</v>
      </c>
      <c r="J27" s="39">
        <f>IF(COUNT(G27:I27)=0,0,SUMPRODUCT({5000,1000,500},G27:I27))</f>
        <v>255000</v>
      </c>
      <c r="K27" s="31"/>
      <c r="L27" s="31"/>
      <c r="M27" s="31"/>
      <c r="N27" s="39">
        <f>IF(COUNT(K27:M27)=0,0,SUMPRODUCT({5000,1000,500},K27:M27))</f>
        <v>0</v>
      </c>
      <c r="O27" s="31"/>
      <c r="P27" s="31"/>
      <c r="Q27" s="31"/>
      <c r="R27" s="39">
        <f>IF(COUNT(O27:Q27)=0,0,SUMPRODUCT({5000,1000,500},O27:Q27))</f>
        <v>0</v>
      </c>
      <c r="S27" s="31"/>
      <c r="T27" s="31"/>
      <c r="U27" s="31"/>
      <c r="V27" s="31">
        <v>7</v>
      </c>
      <c r="W27" s="31"/>
      <c r="X27" s="31">
        <v>83</v>
      </c>
      <c r="Y27" s="31"/>
      <c r="Z27" s="31">
        <v>127</v>
      </c>
      <c r="AA27" s="31"/>
      <c r="AB27" s="31"/>
      <c r="AC27" s="31"/>
      <c r="AD27" s="34">
        <f>IF(COUNT(S27:AC27)=0,0,SUMPRODUCT({5000,1000,500,100,75,50,20,10,5,2,1}, S27:AC27))</f>
        <v>6120</v>
      </c>
      <c r="AE27" s="33">
        <v>261150</v>
      </c>
      <c r="AF27" s="24">
        <f>IF(AND(COUNT(C27:E27)=0,COUNT(G27:I27)=0,COUNT(K27:M27)=0,COUNT(O27:Q27)=0,COUNT(S27:AC27)=0,AE27=""),"",(IF(COUNT(C27:E27)=0,0,SUMPRODUCT({5000,1000,500},C27:E27))+IF(COUNT(G27:I27)=0,0,SUMPRODUCT({5000,1000,500},G27:I27))+IF(COUNT(K27:M27)=0,0,SUMPRODUCT({5000,1000,500},K27:M27))+IF(COUNT(O27:Q27)=0,0,SUMPRODUCT({5000,1000,500},O27:Q27))+AD27)-N(AE27))</f>
        <v>-30</v>
      </c>
      <c r="AG27" s="35" t="str">
        <f t="shared" si="0"/>
        <v>Short</v>
      </c>
      <c r="AH27" s="38"/>
      <c r="AI27" s="36">
        <v>936147.23</v>
      </c>
      <c r="AJ27" s="37">
        <f>504014.66+432132.57</f>
        <v>936147.23</v>
      </c>
      <c r="AK27" s="26">
        <f t="shared" si="1"/>
        <v>0</v>
      </c>
      <c r="AL27" s="25" t="str">
        <f t="shared" si="2"/>
        <v>Matched</v>
      </c>
      <c r="AM27" s="38"/>
    </row>
    <row r="28" spans="1:39" ht="12.75" customHeight="1" x14ac:dyDescent="0.25">
      <c r="A28" s="31"/>
      <c r="B28" s="32" t="str">
        <f>IF(A28="","",VLOOKUP(A28,'Employee Database'!A:B,2,FALSE))</f>
        <v/>
      </c>
      <c r="C28" s="31"/>
      <c r="D28" s="31"/>
      <c r="E28" s="31"/>
      <c r="F28" s="39">
        <f>IF(COUNT(C28:E28)=0,0,SUMPRODUCT({5000,1000,500},C28:E28))</f>
        <v>0</v>
      </c>
      <c r="G28" s="31"/>
      <c r="H28" s="31"/>
      <c r="I28" s="31"/>
      <c r="J28" s="39">
        <f>IF(COUNT(G28:I28)=0,0,SUMPRODUCT({5000,1000,500},G28:I28))</f>
        <v>0</v>
      </c>
      <c r="K28" s="31"/>
      <c r="L28" s="31"/>
      <c r="M28" s="31"/>
      <c r="N28" s="39">
        <f>IF(COUNT(K28:M28)=0,0,SUMPRODUCT({5000,1000,500},K28:M28))</f>
        <v>0</v>
      </c>
      <c r="O28" s="31"/>
      <c r="P28" s="31"/>
      <c r="Q28" s="31"/>
      <c r="R28" s="39">
        <f>IF(COUNT(O28:Q28)=0,0,SUMPRODUCT({5000,1000,500},O28:Q28))</f>
        <v>0</v>
      </c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4">
        <f>IF(COUNT(S28:AC28)=0,0,SUMPRODUCT({5000,1000,500,100,75,50,20,10,5,2,1}, S28:AC28))</f>
        <v>0</v>
      </c>
      <c r="AE28" s="33"/>
      <c r="AF28" s="24" t="str">
        <f>IF(AND(COUNT(C28:E28)=0,COUNT(G28:I28)=0,COUNT(K28:M28)=0,COUNT(O28:Q28)=0,COUNT(S28:AC28)=0,AE28=""),"",(IF(COUNT(C28:E28)=0,0,SUMPRODUCT({5000,1000,500},C28:E28))+IF(COUNT(G28:I28)=0,0,SUMPRODUCT({5000,1000,500},G28:I28))+IF(COUNT(K28:M28)=0,0,SUMPRODUCT({5000,1000,500},K28:M28))+IF(COUNT(O28:Q28)=0,0,SUMPRODUCT({5000,1000,500},O28:Q28))+AD28)-N(AE28))</f>
        <v/>
      </c>
      <c r="AG28" s="35" t="str">
        <f t="shared" si="0"/>
        <v/>
      </c>
      <c r="AH28" s="38"/>
      <c r="AI28" s="36"/>
      <c r="AJ28" s="37"/>
      <c r="AK28" s="26" t="str">
        <f t="shared" si="1"/>
        <v/>
      </c>
      <c r="AL28" s="25" t="str">
        <f t="shared" si="2"/>
        <v/>
      </c>
      <c r="AM28" s="38"/>
    </row>
    <row r="29" spans="1:39" ht="12.75" customHeight="1" x14ac:dyDescent="0.25">
      <c r="A29" s="31"/>
      <c r="B29" s="32" t="str">
        <f>IF(A29="","",VLOOKUP(A29,'Employee Database'!A:B,2,FALSE))</f>
        <v/>
      </c>
      <c r="C29" s="31"/>
      <c r="D29" s="31"/>
      <c r="E29" s="31"/>
      <c r="F29" s="39">
        <f>IF(COUNT(C29:E29)=0,0,SUMPRODUCT({5000,1000,500},C29:E29))</f>
        <v>0</v>
      </c>
      <c r="G29" s="31"/>
      <c r="H29" s="31"/>
      <c r="I29" s="31"/>
      <c r="J29" s="39">
        <f>IF(COUNT(G29:I29)=0,0,SUMPRODUCT({5000,1000,500},G29:I29))</f>
        <v>0</v>
      </c>
      <c r="K29" s="31"/>
      <c r="L29" s="31"/>
      <c r="M29" s="31"/>
      <c r="N29" s="39">
        <f>IF(COUNT(K29:M29)=0,0,SUMPRODUCT({5000,1000,500},K29:M29))</f>
        <v>0</v>
      </c>
      <c r="O29" s="31"/>
      <c r="P29" s="31"/>
      <c r="Q29" s="31"/>
      <c r="R29" s="39">
        <f>IF(COUNT(O29:Q29)=0,0,SUMPRODUCT({5000,1000,500},O29:Q29))</f>
        <v>0</v>
      </c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4">
        <f>IF(COUNT(S29:AC29)=0,0,SUMPRODUCT({5000,1000,500,100,75,50,20,10,5,2,1}, S29:AC29))</f>
        <v>0</v>
      </c>
      <c r="AE29" s="33"/>
      <c r="AF29" s="24" t="str">
        <f>IF(AND(COUNT(C29:E29)=0,COUNT(G29:I29)=0,COUNT(K29:M29)=0,COUNT(O29:Q29)=0,COUNT(S29:AC29)=0,AE29=""),"",(IF(COUNT(C29:E29)=0,0,SUMPRODUCT({5000,1000,500},C29:E29))+IF(COUNT(G29:I29)=0,0,SUMPRODUCT({5000,1000,500},G29:I29))+IF(COUNT(K29:M29)=0,0,SUMPRODUCT({5000,1000,500},K29:M29))+IF(COUNT(O29:Q29)=0,0,SUMPRODUCT({5000,1000,500},O29:Q29))+AD29)-N(AE29))</f>
        <v/>
      </c>
      <c r="AG29" s="35" t="str">
        <f t="shared" si="0"/>
        <v/>
      </c>
      <c r="AH29" s="38"/>
      <c r="AI29" s="36"/>
      <c r="AJ29" s="37"/>
      <c r="AK29" s="26" t="str">
        <f t="shared" si="1"/>
        <v/>
      </c>
      <c r="AL29" s="25" t="str">
        <f t="shared" si="2"/>
        <v/>
      </c>
      <c r="AM29" s="38"/>
    </row>
    <row r="30" spans="1:39" ht="12.75" customHeight="1" x14ac:dyDescent="0.25">
      <c r="A30" s="31"/>
      <c r="B30" s="32" t="str">
        <f>IF(A30="","",VLOOKUP(A30,'Employee Database'!A:B,2,FALSE))</f>
        <v/>
      </c>
      <c r="C30" s="31"/>
      <c r="D30" s="31"/>
      <c r="E30" s="31"/>
      <c r="F30" s="39">
        <f>IF(COUNT(C30:E30)=0,0,SUMPRODUCT({5000,1000,500},C30:E30))</f>
        <v>0</v>
      </c>
      <c r="G30" s="31"/>
      <c r="H30" s="31"/>
      <c r="I30" s="31"/>
      <c r="J30" s="39">
        <f>IF(COUNT(G30:I30)=0,0,SUMPRODUCT({5000,1000,500},G30:I30))</f>
        <v>0</v>
      </c>
      <c r="K30" s="31"/>
      <c r="L30" s="31"/>
      <c r="M30" s="31"/>
      <c r="N30" s="39">
        <f>IF(COUNT(K30:M30)=0,0,SUMPRODUCT({5000,1000,500},K30:M30))</f>
        <v>0</v>
      </c>
      <c r="O30" s="31"/>
      <c r="P30" s="31"/>
      <c r="Q30" s="31"/>
      <c r="R30" s="39">
        <f>IF(COUNT(O30:Q30)=0,0,SUMPRODUCT({5000,1000,500},O30:Q30))</f>
        <v>0</v>
      </c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4">
        <f>IF(COUNT(S30:AC30)=0,0,SUMPRODUCT({5000,1000,500,100,75,50,20,10,5,2,1}, S30:AC30))</f>
        <v>0</v>
      </c>
      <c r="AE30" s="33"/>
      <c r="AF30" s="24" t="str">
        <f>IF(AND(COUNT(C30:E30)=0,COUNT(G30:I30)=0,COUNT(K30:M30)=0,COUNT(O30:Q30)=0,COUNT(S30:AC30)=0,AE30=""),"",(IF(COUNT(C30:E30)=0,0,SUMPRODUCT({5000,1000,500},C30:E30))+IF(COUNT(G30:I30)=0,0,SUMPRODUCT({5000,1000,500},G30:I30))+IF(COUNT(K30:M30)=0,0,SUMPRODUCT({5000,1000,500},K30:M30))+IF(COUNT(O30:Q30)=0,0,SUMPRODUCT({5000,1000,500},O30:Q30))+AD30)-N(AE30))</f>
        <v/>
      </c>
      <c r="AG30" s="35" t="str">
        <f t="shared" si="0"/>
        <v/>
      </c>
      <c r="AH30" s="38"/>
      <c r="AI30" s="36"/>
      <c r="AJ30" s="37"/>
      <c r="AK30" s="26" t="str">
        <f t="shared" si="1"/>
        <v/>
      </c>
      <c r="AL30" s="25" t="str">
        <f t="shared" si="2"/>
        <v/>
      </c>
      <c r="AM30" s="38"/>
    </row>
    <row r="31" spans="1:39" ht="12.75" customHeight="1" x14ac:dyDescent="0.25">
      <c r="A31" s="31"/>
      <c r="B31" s="32" t="str">
        <f>IF(A31="","",VLOOKUP(A31,'Employee Database'!A:B,2,FALSE))</f>
        <v/>
      </c>
      <c r="C31" s="31"/>
      <c r="D31" s="31"/>
      <c r="E31" s="31"/>
      <c r="F31" s="39">
        <f>IF(COUNT(C31:E31)=0,0,SUMPRODUCT({5000,1000,500},C31:E31))</f>
        <v>0</v>
      </c>
      <c r="G31" s="31"/>
      <c r="H31" s="31"/>
      <c r="I31" s="31"/>
      <c r="J31" s="39">
        <f>IF(COUNT(G31:I31)=0,0,SUMPRODUCT({5000,1000,500},G31:I31))</f>
        <v>0</v>
      </c>
      <c r="K31" s="31"/>
      <c r="L31" s="31"/>
      <c r="M31" s="31"/>
      <c r="N31" s="39">
        <f>IF(COUNT(K31:M31)=0,0,SUMPRODUCT({5000,1000,500},K31:M31))</f>
        <v>0</v>
      </c>
      <c r="O31" s="31"/>
      <c r="P31" s="31"/>
      <c r="Q31" s="31"/>
      <c r="R31" s="39">
        <f>IF(COUNT(O31:Q31)=0,0,SUMPRODUCT({5000,1000,500},O31:Q31))</f>
        <v>0</v>
      </c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4">
        <f>IF(COUNT(S31:AC31)=0,0,SUMPRODUCT({5000,1000,500,100,75,50,20,10,5,2,1}, S31:AC31))</f>
        <v>0</v>
      </c>
      <c r="AE31" s="33"/>
      <c r="AF31" s="24" t="str">
        <f>IF(AND(COUNT(C31:E31)=0,COUNT(G31:I31)=0,COUNT(K31:M31)=0,COUNT(O31:Q31)=0,COUNT(S31:AC31)=0,AE31=""),"",(IF(COUNT(C31:E31)=0,0,SUMPRODUCT({5000,1000,500},C31:E31))+IF(COUNT(G31:I31)=0,0,SUMPRODUCT({5000,1000,500},G31:I31))+IF(COUNT(K31:M31)=0,0,SUMPRODUCT({5000,1000,500},K31:M31))+IF(COUNT(O31:Q31)=0,0,SUMPRODUCT({5000,1000,500},O31:Q31))+AD31)-N(AE31))</f>
        <v/>
      </c>
      <c r="AG31" s="35" t="str">
        <f t="shared" si="0"/>
        <v/>
      </c>
      <c r="AH31" s="38"/>
      <c r="AI31" s="36"/>
      <c r="AJ31" s="37"/>
      <c r="AK31" s="26" t="str">
        <f t="shared" si="1"/>
        <v/>
      </c>
      <c r="AL31" s="25" t="str">
        <f t="shared" si="2"/>
        <v/>
      </c>
      <c r="AM31" s="38"/>
    </row>
    <row r="32" spans="1:39" ht="12.75" customHeight="1" x14ac:dyDescent="0.25">
      <c r="A32" s="31"/>
      <c r="B32" s="32" t="str">
        <f>IF(A32="","",VLOOKUP(A32,'Employee Database'!A:B,2,FALSE))</f>
        <v/>
      </c>
      <c r="C32" s="31"/>
      <c r="D32" s="31"/>
      <c r="E32" s="31"/>
      <c r="F32" s="39">
        <f>IF(COUNT(C32:E32)=0,0,SUMPRODUCT({5000,1000,500},C32:E32))</f>
        <v>0</v>
      </c>
      <c r="G32" s="31"/>
      <c r="H32" s="31"/>
      <c r="I32" s="31"/>
      <c r="J32" s="39">
        <f>IF(COUNT(G32:I32)=0,0,SUMPRODUCT({5000,1000,500},G32:I32))</f>
        <v>0</v>
      </c>
      <c r="K32" s="31"/>
      <c r="L32" s="31"/>
      <c r="M32" s="31"/>
      <c r="N32" s="39">
        <f>IF(COUNT(K32:M32)=0,0,SUMPRODUCT({5000,1000,500},K32:M32))</f>
        <v>0</v>
      </c>
      <c r="O32" s="31"/>
      <c r="P32" s="31"/>
      <c r="Q32" s="31"/>
      <c r="R32" s="39">
        <f>IF(COUNT(O32:Q32)=0,0,SUMPRODUCT({5000,1000,500},O32:Q32))</f>
        <v>0</v>
      </c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4">
        <f>IF(COUNT(S32:AC32)=0,0,SUMPRODUCT({5000,1000,500,100,75,50,20,10,5,2,1}, S32:AC32))</f>
        <v>0</v>
      </c>
      <c r="AE32" s="33"/>
      <c r="AF32" s="24" t="str">
        <f>IF(AND(COUNT(C32:E32)=0,COUNT(G32:I32)=0,COUNT(K32:M32)=0,COUNT(O32:Q32)=0,COUNT(S32:AC32)=0,AE32=""),"",(IF(COUNT(C32:E32)=0,0,SUMPRODUCT({5000,1000,500},C32:E32))+IF(COUNT(G32:I32)=0,0,SUMPRODUCT({5000,1000,500},G32:I32))+IF(COUNT(K32:M32)=0,0,SUMPRODUCT({5000,1000,500},K32:M32))+IF(COUNT(O32:Q32)=0,0,SUMPRODUCT({5000,1000,500},O32:Q32))+AD32)-N(AE32))</f>
        <v/>
      </c>
      <c r="AG32" s="35" t="str">
        <f t="shared" si="0"/>
        <v/>
      </c>
      <c r="AH32" s="38"/>
      <c r="AI32" s="36"/>
      <c r="AJ32" s="37"/>
      <c r="AK32" s="26" t="str">
        <f t="shared" si="1"/>
        <v/>
      </c>
      <c r="AL32" s="25" t="str">
        <f t="shared" si="2"/>
        <v/>
      </c>
      <c r="AM32" s="38"/>
    </row>
    <row r="33" spans="1:39" ht="12.75" customHeight="1" x14ac:dyDescent="0.25">
      <c r="A33" s="31"/>
      <c r="B33" s="32" t="str">
        <f>IF(A33="","",VLOOKUP(A33,'Employee Database'!A:B,2,FALSE))</f>
        <v/>
      </c>
      <c r="C33" s="31"/>
      <c r="D33" s="31"/>
      <c r="E33" s="31"/>
      <c r="F33" s="39">
        <f>IF(COUNT(C33:E33)=0,0,SUMPRODUCT({5000,1000,500},C33:E33))</f>
        <v>0</v>
      </c>
      <c r="G33" s="31"/>
      <c r="H33" s="31"/>
      <c r="I33" s="31"/>
      <c r="J33" s="39">
        <f>IF(COUNT(G33:I33)=0,0,SUMPRODUCT({5000,1000,500},G33:I33))</f>
        <v>0</v>
      </c>
      <c r="K33" s="31"/>
      <c r="L33" s="31"/>
      <c r="M33" s="31"/>
      <c r="N33" s="39">
        <f>IF(COUNT(K33:M33)=0,0,SUMPRODUCT({5000,1000,500},K33:M33))</f>
        <v>0</v>
      </c>
      <c r="O33" s="31"/>
      <c r="P33" s="31"/>
      <c r="Q33" s="31"/>
      <c r="R33" s="39">
        <f>IF(COUNT(O33:Q33)=0,0,SUMPRODUCT({5000,1000,500},O33:Q33))</f>
        <v>0</v>
      </c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4">
        <f>IF(COUNT(S33:AC33)=0,0,SUMPRODUCT({5000,1000,500,100,75,50,20,10,5,2,1}, S33:AC33))</f>
        <v>0</v>
      </c>
      <c r="AE33" s="33"/>
      <c r="AF33" s="24" t="str">
        <f>IF(AND(COUNT(C33:E33)=0,COUNT(G33:I33)=0,COUNT(K33:M33)=0,COUNT(O33:Q33)=0,COUNT(S33:AC33)=0,AE33=""),"",(IF(COUNT(C33:E33)=0,0,SUMPRODUCT({5000,1000,500},C33:E33))+IF(COUNT(G33:I33)=0,0,SUMPRODUCT({5000,1000,500},G33:I33))+IF(COUNT(K33:M33)=0,0,SUMPRODUCT({5000,1000,500},K33:M33))+IF(COUNT(O33:Q33)=0,0,SUMPRODUCT({5000,1000,500},O33:Q33))+AD33)-N(AE33))</f>
        <v/>
      </c>
      <c r="AG33" s="35" t="str">
        <f t="shared" si="0"/>
        <v/>
      </c>
      <c r="AH33" s="38"/>
      <c r="AI33" s="36"/>
      <c r="AJ33" s="37"/>
      <c r="AK33" s="26" t="str">
        <f t="shared" si="1"/>
        <v/>
      </c>
      <c r="AL33" s="25" t="str">
        <f t="shared" si="2"/>
        <v/>
      </c>
      <c r="AM33" s="38"/>
    </row>
    <row r="34" spans="1:39" ht="12.75" customHeight="1" x14ac:dyDescent="0.25">
      <c r="A34" s="31"/>
      <c r="B34" s="32" t="str">
        <f>IF(A34="","",VLOOKUP(A34,'Employee Database'!A:B,2,FALSE))</f>
        <v/>
      </c>
      <c r="C34" s="31"/>
      <c r="D34" s="31"/>
      <c r="E34" s="31"/>
      <c r="F34" s="39">
        <f>IF(COUNT(C34:E34)=0,0,SUMPRODUCT({5000,1000,500},C34:E34))</f>
        <v>0</v>
      </c>
      <c r="G34" s="31"/>
      <c r="H34" s="31"/>
      <c r="I34" s="31"/>
      <c r="J34" s="39">
        <f>IF(COUNT(G34:I34)=0,0,SUMPRODUCT({5000,1000,500},G34:I34))</f>
        <v>0</v>
      </c>
      <c r="K34" s="31"/>
      <c r="L34" s="31"/>
      <c r="M34" s="31"/>
      <c r="N34" s="39">
        <f>IF(COUNT(K34:M34)=0,0,SUMPRODUCT({5000,1000,500},K34:M34))</f>
        <v>0</v>
      </c>
      <c r="O34" s="31"/>
      <c r="P34" s="31"/>
      <c r="Q34" s="31"/>
      <c r="R34" s="39">
        <f>IF(COUNT(O34:Q34)=0,0,SUMPRODUCT({5000,1000,500},O34:Q34))</f>
        <v>0</v>
      </c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4">
        <f>IF(COUNT(S34:AC34)=0,0,SUMPRODUCT({5000,1000,500,100,75,50,20,10,5,2,1}, S34:AC34))</f>
        <v>0</v>
      </c>
      <c r="AE34" s="33"/>
      <c r="AF34" s="24" t="str">
        <f>IF(AND(COUNT(C34:E34)=0,COUNT(G34:I34)=0,COUNT(K34:M34)=0,COUNT(O34:Q34)=0,COUNT(S34:AC34)=0,AE34=""),"",(IF(COUNT(C34:E34)=0,0,SUMPRODUCT({5000,1000,500},C34:E34))+IF(COUNT(G34:I34)=0,0,SUMPRODUCT({5000,1000,500},G34:I34))+IF(COUNT(K34:M34)=0,0,SUMPRODUCT({5000,1000,500},K34:M34))+IF(COUNT(O34:Q34)=0,0,SUMPRODUCT({5000,1000,500},O34:Q34))+AD34)-N(AE34))</f>
        <v/>
      </c>
      <c r="AG34" s="35" t="str">
        <f t="shared" si="0"/>
        <v/>
      </c>
      <c r="AH34" s="38"/>
      <c r="AI34" s="36"/>
      <c r="AJ34" s="37"/>
      <c r="AK34" s="26"/>
      <c r="AL34" s="25"/>
      <c r="AM34" s="38"/>
    </row>
    <row r="35" spans="1:39" ht="22.5" customHeight="1" x14ac:dyDescent="0.25">
      <c r="A35" s="27" t="s">
        <v>24</v>
      </c>
      <c r="B35" s="27" t="s">
        <v>24</v>
      </c>
      <c r="C35" s="28">
        <f t="shared" ref="C35:AF35" si="3">SUM(C5:C34)</f>
        <v>184</v>
      </c>
      <c r="D35" s="28">
        <f t="shared" si="3"/>
        <v>575</v>
      </c>
      <c r="E35" s="28">
        <f t="shared" si="3"/>
        <v>135</v>
      </c>
      <c r="F35" s="40">
        <f t="shared" si="3"/>
        <v>1562500</v>
      </c>
      <c r="G35" s="28">
        <f t="shared" si="3"/>
        <v>304</v>
      </c>
      <c r="H35" s="28">
        <f t="shared" si="3"/>
        <v>1103</v>
      </c>
      <c r="I35" s="28">
        <f t="shared" si="3"/>
        <v>206</v>
      </c>
      <c r="J35" s="40">
        <f t="shared" si="3"/>
        <v>2726000</v>
      </c>
      <c r="K35" s="28">
        <f t="shared" si="3"/>
        <v>0</v>
      </c>
      <c r="L35" s="28">
        <f t="shared" si="3"/>
        <v>0</v>
      </c>
      <c r="M35" s="28">
        <f t="shared" si="3"/>
        <v>0</v>
      </c>
      <c r="N35" s="40">
        <f t="shared" si="3"/>
        <v>0</v>
      </c>
      <c r="O35" s="28">
        <f t="shared" si="3"/>
        <v>0</v>
      </c>
      <c r="P35" s="28">
        <f t="shared" si="3"/>
        <v>0</v>
      </c>
      <c r="Q35" s="28">
        <f t="shared" si="3"/>
        <v>0</v>
      </c>
      <c r="R35" s="40">
        <f t="shared" si="3"/>
        <v>0</v>
      </c>
      <c r="S35" s="28">
        <f t="shared" si="3"/>
        <v>0</v>
      </c>
      <c r="T35" s="28">
        <f t="shared" si="3"/>
        <v>0</v>
      </c>
      <c r="U35" s="28">
        <f t="shared" si="3"/>
        <v>0</v>
      </c>
      <c r="V35" s="28">
        <f t="shared" si="3"/>
        <v>121</v>
      </c>
      <c r="W35" s="28">
        <f t="shared" si="3"/>
        <v>0</v>
      </c>
      <c r="X35" s="28">
        <f t="shared" si="3"/>
        <v>871</v>
      </c>
      <c r="Y35" s="28">
        <f t="shared" si="3"/>
        <v>20</v>
      </c>
      <c r="Z35" s="28">
        <f t="shared" si="3"/>
        <v>1608</v>
      </c>
      <c r="AA35" s="28">
        <f t="shared" si="3"/>
        <v>0</v>
      </c>
      <c r="AB35" s="28">
        <f t="shared" si="3"/>
        <v>3</v>
      </c>
      <c r="AC35" s="28">
        <f t="shared" si="3"/>
        <v>0</v>
      </c>
      <c r="AD35" s="40">
        <f t="shared" si="3"/>
        <v>72136</v>
      </c>
      <c r="AE35" s="41">
        <f t="shared" si="3"/>
        <v>4360637</v>
      </c>
      <c r="AF35" s="29">
        <f t="shared" si="3"/>
        <v>-1</v>
      </c>
      <c r="AG35" s="27" t="s">
        <v>24</v>
      </c>
      <c r="AH35" s="27" t="s">
        <v>24</v>
      </c>
      <c r="AI35" s="28">
        <f>SUM(AI5:AI34)</f>
        <v>10331376.780000001</v>
      </c>
      <c r="AJ35" s="28">
        <f>SUM(AJ5:AJ34)</f>
        <v>10253772.933</v>
      </c>
      <c r="AK35" s="28">
        <f>SUM(AK5:AK34)</f>
        <v>77603.847000000125</v>
      </c>
      <c r="AL35" s="28">
        <f>AJ35+AE35</f>
        <v>14614409.933</v>
      </c>
      <c r="AM35" s="28">
        <f>SUM(AM5:AM34)</f>
        <v>0</v>
      </c>
    </row>
  </sheetData>
  <sheetProtection algorithmName="SHA-512" hashValue="61vPWQG7CVdEKpPKJZeBoy0M+WFj965ydMWZBVGXY8egiin8uLSAuSmd4kRn/w1bk37AWbKVH+JpUkHP5/jFyQ==" saltValue="66gucWWc2lHSvl0u3ZoT9g==" spinCount="100000" sheet="1" objects="1" scenarios="1"/>
  <mergeCells count="9">
    <mergeCell ref="S3:AC3"/>
    <mergeCell ref="AD3:AG3"/>
    <mergeCell ref="AH3:AM3"/>
    <mergeCell ref="A1:B1"/>
    <mergeCell ref="A3:B3"/>
    <mergeCell ref="C3:F3"/>
    <mergeCell ref="G3:J3"/>
    <mergeCell ref="K3:N3"/>
    <mergeCell ref="O3:R3"/>
  </mergeCells>
  <conditionalFormatting sqref="A5">
    <cfRule type="duplicateValues" dxfId="58" priority="5"/>
    <cfRule type="duplicateValues" dxfId="57" priority="6"/>
  </conditionalFormatting>
  <conditionalFormatting sqref="A6">
    <cfRule type="duplicateValues" dxfId="56" priority="7"/>
    <cfRule type="duplicateValues" dxfId="55" priority="8"/>
  </conditionalFormatting>
  <conditionalFormatting sqref="A7:A14 A16:A34">
    <cfRule type="duplicateValues" dxfId="54" priority="3"/>
    <cfRule type="duplicateValues" dxfId="53" priority="4"/>
  </conditionalFormatting>
  <conditionalFormatting sqref="A15">
    <cfRule type="duplicateValues" dxfId="52" priority="1"/>
  </conditionalFormatting>
  <conditionalFormatting sqref="A35">
    <cfRule type="duplicateValues" dxfId="51" priority="9"/>
  </conditionalFormatting>
  <dataValidations disablePrompts="1" count="1">
    <dataValidation type="list" allowBlank="1" showInputMessage="1" showErrorMessage="1" sqref="A1:B1" xr:uid="{00000000-0002-0000-1900-000000000000}">
      <formula1>Locations</formula1>
    </dataValidation>
  </dataValidations>
  <pageMargins left="0.75" right="0.75" top="1" bottom="1" header="0.5" footer="0.5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>
    <tabColor rgb="FFFF0000"/>
  </sheetPr>
  <dimension ref="A1:AM35"/>
  <sheetViews>
    <sheetView showGridLines="0" topLeftCell="A13" zoomScale="85" zoomScaleNormal="85" workbookViewId="0">
      <pane xSplit="2" topLeftCell="P1" activePane="topRight" state="frozen"/>
      <selection activeCell="A4" sqref="A4"/>
      <selection pane="topRight" activeCell="AE5" sqref="AE5:AE28"/>
    </sheetView>
  </sheetViews>
  <sheetFormatPr defaultRowHeight="15" x14ac:dyDescent="0.25"/>
  <cols>
    <col min="1" max="1" width="11.85546875" customWidth="1"/>
    <col min="2" max="2" width="20.5703125" customWidth="1"/>
    <col min="6" max="6" width="14.42578125" bestFit="1" customWidth="1"/>
    <col min="10" max="10" width="14.42578125" bestFit="1" customWidth="1"/>
    <col min="14" max="14" width="14.42578125" bestFit="1" customWidth="1"/>
    <col min="18" max="18" width="14.42578125" bestFit="1" customWidth="1"/>
    <col min="30" max="31" width="18" customWidth="1"/>
    <col min="32" max="32" width="20" customWidth="1"/>
    <col min="33" max="33" width="14" customWidth="1"/>
    <col min="35" max="35" width="18" customWidth="1"/>
    <col min="36" max="36" width="22" customWidth="1"/>
    <col min="37" max="37" width="16" customWidth="1"/>
    <col min="38" max="38" width="14" customWidth="1"/>
  </cols>
  <sheetData>
    <row r="1" spans="1:39" ht="43.5" customHeight="1" x14ac:dyDescent="0.25">
      <c r="A1" s="48" t="s">
        <v>306</v>
      </c>
      <c r="B1" s="48"/>
    </row>
    <row r="2" spans="1:39" ht="13.5" customHeight="1" x14ac:dyDescent="0.25">
      <c r="A2" s="30">
        <f>'24'!A2+1</f>
        <v>46228</v>
      </c>
    </row>
    <row r="3" spans="1:39" ht="24" customHeight="1" x14ac:dyDescent="0.25">
      <c r="A3" s="49" t="s">
        <v>0</v>
      </c>
      <c r="B3" s="49"/>
      <c r="C3" s="49" t="s">
        <v>93</v>
      </c>
      <c r="D3" s="50"/>
      <c r="E3" s="50"/>
      <c r="F3" s="50"/>
      <c r="G3" s="49" t="s">
        <v>94</v>
      </c>
      <c r="H3" s="50"/>
      <c r="I3" s="50"/>
      <c r="J3" s="50"/>
      <c r="K3" s="49" t="s">
        <v>95</v>
      </c>
      <c r="L3" s="50"/>
      <c r="M3" s="50"/>
      <c r="N3" s="50"/>
      <c r="O3" s="49" t="s">
        <v>96</v>
      </c>
      <c r="P3" s="50"/>
      <c r="Q3" s="50"/>
      <c r="R3" s="50"/>
      <c r="S3" s="45" t="s">
        <v>1</v>
      </c>
      <c r="T3" s="46"/>
      <c r="U3" s="46"/>
      <c r="V3" s="46"/>
      <c r="W3" s="46"/>
      <c r="X3" s="46"/>
      <c r="Y3" s="46"/>
      <c r="Z3" s="46"/>
      <c r="AA3" s="46"/>
      <c r="AB3" s="46"/>
      <c r="AC3" s="46"/>
      <c r="AD3" s="47" t="s">
        <v>97</v>
      </c>
      <c r="AE3" s="46"/>
      <c r="AF3" s="46"/>
      <c r="AG3" s="46"/>
      <c r="AH3" s="47" t="s">
        <v>98</v>
      </c>
      <c r="AI3" s="46"/>
      <c r="AJ3" s="46"/>
      <c r="AK3" s="46"/>
      <c r="AL3" s="46"/>
      <c r="AM3" s="46"/>
    </row>
    <row r="4" spans="1:39" ht="27.95" customHeight="1" x14ac:dyDescent="0.25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92</v>
      </c>
      <c r="G4" s="1" t="s">
        <v>5</v>
      </c>
      <c r="H4" s="1" t="s">
        <v>6</v>
      </c>
      <c r="I4" s="1" t="s">
        <v>7</v>
      </c>
      <c r="J4" s="1" t="s">
        <v>92</v>
      </c>
      <c r="K4" s="1" t="s">
        <v>5</v>
      </c>
      <c r="L4" s="1" t="s">
        <v>6</v>
      </c>
      <c r="M4" s="1" t="s">
        <v>7</v>
      </c>
      <c r="N4" s="1" t="s">
        <v>92</v>
      </c>
      <c r="O4" s="1" t="s">
        <v>5</v>
      </c>
      <c r="P4" s="1" t="s">
        <v>6</v>
      </c>
      <c r="Q4" s="1" t="s">
        <v>7</v>
      </c>
      <c r="R4" s="1" t="s">
        <v>92</v>
      </c>
      <c r="S4" s="1" t="s">
        <v>5</v>
      </c>
      <c r="T4" s="1" t="s">
        <v>6</v>
      </c>
      <c r="U4" s="1" t="s">
        <v>7</v>
      </c>
      <c r="V4" s="1" t="s">
        <v>8</v>
      </c>
      <c r="W4" s="1" t="s">
        <v>9</v>
      </c>
      <c r="X4" s="1" t="s">
        <v>10</v>
      </c>
      <c r="Y4" s="1" t="s">
        <v>11</v>
      </c>
      <c r="Z4" s="1" t="s">
        <v>12</v>
      </c>
      <c r="AA4" s="1" t="s">
        <v>13</v>
      </c>
      <c r="AB4" s="1" t="s">
        <v>14</v>
      </c>
      <c r="AC4" s="1" t="s">
        <v>15</v>
      </c>
      <c r="AD4" s="1" t="s">
        <v>16</v>
      </c>
      <c r="AE4" s="1" t="s">
        <v>17</v>
      </c>
      <c r="AF4" s="1" t="s">
        <v>18</v>
      </c>
      <c r="AG4" s="1" t="s">
        <v>19</v>
      </c>
      <c r="AH4" s="1" t="s">
        <v>20</v>
      </c>
      <c r="AI4" s="4" t="s">
        <v>99</v>
      </c>
      <c r="AJ4" s="1" t="s">
        <v>21</v>
      </c>
      <c r="AK4" s="1" t="s">
        <v>22</v>
      </c>
      <c r="AL4" s="1" t="s">
        <v>23</v>
      </c>
      <c r="AM4" s="4" t="s">
        <v>100</v>
      </c>
    </row>
    <row r="5" spans="1:39" ht="12.75" customHeight="1" x14ac:dyDescent="0.25">
      <c r="A5" s="31">
        <v>59257</v>
      </c>
      <c r="B5" s="32" t="str">
        <f>IF(A5="","",VLOOKUP(A5,'Employee Database'!A:B,2,FALSE))</f>
        <v>Saddiqa Maryam</v>
      </c>
      <c r="C5" s="31">
        <v>42</v>
      </c>
      <c r="D5" s="31">
        <v>32</v>
      </c>
      <c r="E5" s="31">
        <v>16</v>
      </c>
      <c r="F5" s="39">
        <f>IF(COUNT(C5:E5)=0,0,SUMPRODUCT({5000,1000,500},C5:E5))</f>
        <v>250000</v>
      </c>
      <c r="G5" s="31">
        <v>13</v>
      </c>
      <c r="H5" s="31">
        <v>45</v>
      </c>
      <c r="I5" s="31">
        <v>25</v>
      </c>
      <c r="J5" s="39">
        <f>IF(COUNT(G5:I5)=0,0,SUMPRODUCT({5000,1000,500},G5:I5))</f>
        <v>122500</v>
      </c>
      <c r="K5" s="31"/>
      <c r="L5" s="31"/>
      <c r="M5" s="31"/>
      <c r="N5" s="39">
        <f>IF(COUNT(K5:M5)=0,0,SUMPRODUCT({5000,1000,500},K5:M5))</f>
        <v>0</v>
      </c>
      <c r="O5" s="31"/>
      <c r="P5" s="31"/>
      <c r="Q5" s="31"/>
      <c r="R5" s="39">
        <f>IF(COUNT(O5:Q5)=0,0,SUMPRODUCT({5000,1000,500},O5:Q5))</f>
        <v>0</v>
      </c>
      <c r="S5" s="31"/>
      <c r="T5" s="31"/>
      <c r="U5" s="31"/>
      <c r="V5" s="31">
        <v>7</v>
      </c>
      <c r="W5" s="31"/>
      <c r="X5" s="31">
        <v>29</v>
      </c>
      <c r="Y5" s="31">
        <v>1</v>
      </c>
      <c r="Z5" s="31">
        <v>32</v>
      </c>
      <c r="AA5" s="31"/>
      <c r="AB5" s="31">
        <v>3</v>
      </c>
      <c r="AC5" s="31"/>
      <c r="AD5" s="34">
        <f>IF(COUNT(S5:AC5)=0,0,SUMPRODUCT({5000,1000,500,100,75,50,20,10,5,2,1}, S5:AC5))</f>
        <v>2496</v>
      </c>
      <c r="AE5" s="33">
        <v>375006</v>
      </c>
      <c r="AF5" s="24">
        <f>IF(AND(COUNT(C5:E5)=0,COUNT(G5:I5)=0,COUNT(K5:M5)=0,COUNT(O5:Q5)=0,COUNT(S5:AC5)=0,AE5=""),"",(IF(COUNT(C5:E5)=0,0,SUMPRODUCT({5000,1000,500},C5:E5))+IF(COUNT(G5:I5)=0,0,SUMPRODUCT({5000,1000,500},G5:I5))+IF(COUNT(K5:M5)=0,0,SUMPRODUCT({5000,1000,500},K5:M5))+IF(COUNT(O5:Q5)=0,0,SUMPRODUCT({5000,1000,500},O5:Q5))+AD5)-N(AE5))</f>
        <v>-10</v>
      </c>
      <c r="AG5" s="35" t="str">
        <f t="shared" ref="AG5:AG34" si="0">IF(AF5="","",IF(AF5&gt;0,"Excess",IF(AF5&lt;0,"Short","Balanced")))</f>
        <v>Short</v>
      </c>
      <c r="AH5" s="38"/>
      <c r="AI5" s="36">
        <v>733552.7</v>
      </c>
      <c r="AJ5" s="37">
        <f>373781.72+359770.98</f>
        <v>733552.7</v>
      </c>
      <c r="AK5" s="26">
        <f t="shared" ref="AK5:AK34" si="1">IF(AND(AI5="",AJ5=""),"",N(AI5)-N(AJ5))</f>
        <v>0</v>
      </c>
      <c r="AL5" s="25" t="str">
        <f t="shared" ref="AL5:AL34" si="2">IF(AK5="","",IF(AK5&gt;0,"POS Excess",IF(AK5&lt;0,"Bank Short","Matched")))</f>
        <v>Matched</v>
      </c>
      <c r="AM5" s="38"/>
    </row>
    <row r="6" spans="1:39" ht="12.75" customHeight="1" x14ac:dyDescent="0.25">
      <c r="A6" s="31">
        <v>72873</v>
      </c>
      <c r="B6" s="32" t="str">
        <f>IF(A6="","",VLOOKUP(A6,'Employee Database'!A:B,2,FALSE))</f>
        <v>M Shajee</v>
      </c>
      <c r="C6" s="31">
        <v>36</v>
      </c>
      <c r="D6" s="31">
        <v>78</v>
      </c>
      <c r="E6" s="31">
        <v>14</v>
      </c>
      <c r="F6" s="39">
        <f>IF(COUNT(C6:E6)=0,0,SUMPRODUCT({5000,1000,500},C6:E6))</f>
        <v>265000</v>
      </c>
      <c r="G6" s="31">
        <v>15</v>
      </c>
      <c r="H6" s="31">
        <v>30</v>
      </c>
      <c r="I6" s="31">
        <v>6</v>
      </c>
      <c r="J6" s="39">
        <f>IF(COUNT(G6:I6)=0,0,SUMPRODUCT({5000,1000,500},G6:I6))</f>
        <v>108000</v>
      </c>
      <c r="K6" s="31"/>
      <c r="L6" s="31"/>
      <c r="M6" s="31"/>
      <c r="N6" s="39">
        <f>IF(COUNT(K6:M6)=0,0,SUMPRODUCT({5000,1000,500},K6:M6))</f>
        <v>0</v>
      </c>
      <c r="O6" s="31"/>
      <c r="P6" s="31"/>
      <c r="Q6" s="31"/>
      <c r="R6" s="39">
        <f>IF(COUNT(O6:Q6)=0,0,SUMPRODUCT({5000,1000,500},O6:Q6))</f>
        <v>0</v>
      </c>
      <c r="S6" s="31"/>
      <c r="T6" s="31"/>
      <c r="U6" s="31"/>
      <c r="V6" s="31">
        <v>11</v>
      </c>
      <c r="W6" s="31"/>
      <c r="X6" s="31">
        <v>45</v>
      </c>
      <c r="Y6" s="31"/>
      <c r="Z6" s="31">
        <v>31</v>
      </c>
      <c r="AA6" s="31"/>
      <c r="AB6" s="31"/>
      <c r="AC6" s="31"/>
      <c r="AD6" s="34">
        <f>IF(COUNT(S6:AC6)=0,0,SUMPRODUCT({5000,1000,500,100,75,50,20,10,5,2,1}, S6:AC6))</f>
        <v>3660</v>
      </c>
      <c r="AE6" s="33">
        <v>376537</v>
      </c>
      <c r="AF6" s="24">
        <f>IF(AND(COUNT(C6:E6)=0,COUNT(G6:I6)=0,COUNT(K6:M6)=0,COUNT(O6:Q6)=0,COUNT(S6:AC6)=0,AE6=""),"",(IF(COUNT(C6:E6)=0,0,SUMPRODUCT({5000,1000,500},C6:E6))+IF(COUNT(G6:I6)=0,0,SUMPRODUCT({5000,1000,500},G6:I6))+IF(COUNT(K6:M6)=0,0,SUMPRODUCT({5000,1000,500},K6:M6))+IF(COUNT(O6:Q6)=0,0,SUMPRODUCT({5000,1000,500},O6:Q6))+AD6)-N(AE6))</f>
        <v>123</v>
      </c>
      <c r="AG6" s="35" t="str">
        <f t="shared" si="0"/>
        <v>Excess</v>
      </c>
      <c r="AH6" s="38"/>
      <c r="AI6" s="36">
        <v>1182306.3999999999</v>
      </c>
      <c r="AJ6" s="37">
        <v>1182306.3999999999</v>
      </c>
      <c r="AK6" s="26">
        <f t="shared" si="1"/>
        <v>0</v>
      </c>
      <c r="AL6" s="25" t="str">
        <f t="shared" si="2"/>
        <v>Matched</v>
      </c>
      <c r="AM6" s="38"/>
    </row>
    <row r="7" spans="1:39" ht="12.75" customHeight="1" x14ac:dyDescent="0.25">
      <c r="A7" s="31">
        <v>67249</v>
      </c>
      <c r="B7" s="32" t="str">
        <f>IF(A7="","",VLOOKUP(A7,'Employee Database'!A:B,2,FALSE))</f>
        <v>Hanan Javaid</v>
      </c>
      <c r="C7" s="31">
        <v>33</v>
      </c>
      <c r="D7" s="31">
        <v>115</v>
      </c>
      <c r="E7" s="31"/>
      <c r="F7" s="39">
        <f>IF(COUNT(C7:E7)=0,0,SUMPRODUCT({5000,1000,500},C7:E7))</f>
        <v>280000</v>
      </c>
      <c r="G7" s="31">
        <v>9</v>
      </c>
      <c r="H7" s="31">
        <v>25</v>
      </c>
      <c r="I7" s="31">
        <v>25</v>
      </c>
      <c r="J7" s="39">
        <f>IF(COUNT(G7:I7)=0,0,SUMPRODUCT({5000,1000,500},G7:I7))</f>
        <v>82500</v>
      </c>
      <c r="K7" s="31"/>
      <c r="L7" s="31"/>
      <c r="M7" s="31"/>
      <c r="N7" s="39">
        <f>IF(COUNT(K7:M7)=0,0,SUMPRODUCT({5000,1000,500},K7:M7))</f>
        <v>0</v>
      </c>
      <c r="O7" s="31"/>
      <c r="P7" s="31"/>
      <c r="Q7" s="31"/>
      <c r="R7" s="39">
        <f>IF(COUNT(O7:Q7)=0,0,SUMPRODUCT({5000,1000,500},O7:Q7))</f>
        <v>0</v>
      </c>
      <c r="S7" s="31"/>
      <c r="T7" s="31"/>
      <c r="U7" s="31"/>
      <c r="V7" s="31">
        <v>8</v>
      </c>
      <c r="W7" s="31"/>
      <c r="X7" s="31">
        <v>34</v>
      </c>
      <c r="Y7" s="31">
        <v>1</v>
      </c>
      <c r="Z7" s="31">
        <v>21</v>
      </c>
      <c r="AA7" s="31"/>
      <c r="AB7" s="31"/>
      <c r="AC7" s="31"/>
      <c r="AD7" s="34">
        <f>IF(COUNT(S7:AC7)=0,0,SUMPRODUCT({5000,1000,500,100,75,50,20,10,5,2,1}, S7:AC7))</f>
        <v>2730</v>
      </c>
      <c r="AE7" s="33">
        <v>365235</v>
      </c>
      <c r="AF7" s="24">
        <f>IF(AND(COUNT(C7:E7)=0,COUNT(G7:I7)=0,COUNT(K7:M7)=0,COUNT(O7:Q7)=0,COUNT(S7:AC7)=0,AE7=""),"",(IF(COUNT(C7:E7)=0,0,SUMPRODUCT({5000,1000,500},C7:E7))+IF(COUNT(G7:I7)=0,0,SUMPRODUCT({5000,1000,500},G7:I7))+IF(COUNT(K7:M7)=0,0,SUMPRODUCT({5000,1000,500},K7:M7))+IF(COUNT(O7:Q7)=0,0,SUMPRODUCT({5000,1000,500},O7:Q7))+AD7)-N(AE7))</f>
        <v>-5</v>
      </c>
      <c r="AG7" s="35" t="str">
        <f t="shared" si="0"/>
        <v>Short</v>
      </c>
      <c r="AH7" s="38"/>
      <c r="AI7" s="36">
        <v>434714.1</v>
      </c>
      <c r="AJ7" s="37">
        <f>213150.44+221563.66</f>
        <v>434714.1</v>
      </c>
      <c r="AK7" s="26">
        <f t="shared" si="1"/>
        <v>0</v>
      </c>
      <c r="AL7" s="25" t="str">
        <f t="shared" si="2"/>
        <v>Matched</v>
      </c>
      <c r="AM7" s="38"/>
    </row>
    <row r="8" spans="1:39" ht="12.75" customHeight="1" x14ac:dyDescent="0.25">
      <c r="A8" s="31">
        <v>57653</v>
      </c>
      <c r="B8" s="32" t="str">
        <f>IF(A8="","",VLOOKUP(A8,'Employee Database'!A:B,2,FALSE))</f>
        <v>Amanat ali</v>
      </c>
      <c r="C8" s="31">
        <v>41</v>
      </c>
      <c r="D8" s="31">
        <v>55</v>
      </c>
      <c r="E8" s="31">
        <v>0</v>
      </c>
      <c r="F8" s="39">
        <f>IF(COUNT(C8:E8)=0,0,SUMPRODUCT({5000,1000,500},C8:E8))</f>
        <v>260000</v>
      </c>
      <c r="G8" s="31">
        <v>23</v>
      </c>
      <c r="H8" s="31">
        <v>64</v>
      </c>
      <c r="I8" s="31">
        <v>4</v>
      </c>
      <c r="J8" s="39">
        <f>IF(COUNT(G8:I8)=0,0,SUMPRODUCT({5000,1000,500},G8:I8))</f>
        <v>181000</v>
      </c>
      <c r="K8" s="31"/>
      <c r="L8" s="31"/>
      <c r="M8" s="31"/>
      <c r="N8" s="39">
        <f>IF(COUNT(K8:M8)=0,0,SUMPRODUCT({5000,1000,500},K8:M8))</f>
        <v>0</v>
      </c>
      <c r="O8" s="31"/>
      <c r="P8" s="31"/>
      <c r="Q8" s="31"/>
      <c r="R8" s="39">
        <f>IF(COUNT(O8:Q8)=0,0,SUMPRODUCT({5000,1000,500},O8:Q8))</f>
        <v>0</v>
      </c>
      <c r="S8" s="31"/>
      <c r="T8" s="31"/>
      <c r="U8" s="31"/>
      <c r="V8" s="31"/>
      <c r="W8" s="31"/>
      <c r="X8" s="31">
        <v>23</v>
      </c>
      <c r="Y8" s="31"/>
      <c r="Z8" s="31">
        <v>27</v>
      </c>
      <c r="AA8" s="31"/>
      <c r="AB8" s="31"/>
      <c r="AC8" s="31"/>
      <c r="AD8" s="34">
        <f>IF(COUNT(S8:AC8)=0,0,SUMPRODUCT({5000,1000,500,100,75,50,20,10,5,2,1}, S8:AC8))</f>
        <v>1420</v>
      </c>
      <c r="AE8" s="33">
        <v>442392</v>
      </c>
      <c r="AF8" s="24">
        <f>IF(AND(COUNT(C8:E8)=0,COUNT(G8:I8)=0,COUNT(K8:M8)=0,COUNT(O8:Q8)=0,COUNT(S8:AC8)=0,AE8=""),"",(IF(COUNT(C8:E8)=0,0,SUMPRODUCT({5000,1000,500},C8:E8))+IF(COUNT(G8:I8)=0,0,SUMPRODUCT({5000,1000,500},G8:I8))+IF(COUNT(K8:M8)=0,0,SUMPRODUCT({5000,1000,500},K8:M8))+IF(COUNT(O8:Q8)=0,0,SUMPRODUCT({5000,1000,500},O8:Q8))+AD8)-N(AE8))</f>
        <v>28</v>
      </c>
      <c r="AG8" s="35" t="str">
        <f t="shared" si="0"/>
        <v>Excess</v>
      </c>
      <c r="AH8" s="38"/>
      <c r="AI8" s="36">
        <f>1079060.85+5295.54</f>
        <v>1084356.3900000001</v>
      </c>
      <c r="AJ8" s="37">
        <f>5295.54+574882.47+504178.38</f>
        <v>1084356.3900000001</v>
      </c>
      <c r="AK8" s="26">
        <f t="shared" si="1"/>
        <v>0</v>
      </c>
      <c r="AL8" s="25" t="str">
        <f t="shared" si="2"/>
        <v>Matched</v>
      </c>
      <c r="AM8" s="38"/>
    </row>
    <row r="9" spans="1:39" ht="12.75" customHeight="1" x14ac:dyDescent="0.25">
      <c r="A9" s="31">
        <v>58112</v>
      </c>
      <c r="B9" s="32" t="str">
        <f>IF(A9="","",VLOOKUP(A9,'Employee Database'!A:B,2,FALSE))</f>
        <v>Shama</v>
      </c>
      <c r="C9" s="31">
        <v>34</v>
      </c>
      <c r="D9" s="31">
        <v>87</v>
      </c>
      <c r="E9" s="31">
        <v>6</v>
      </c>
      <c r="F9" s="39">
        <f>IF(COUNT(C9:E9)=0,0,SUMPRODUCT({5000,1000,500},C9:E9))</f>
        <v>260000</v>
      </c>
      <c r="G9" s="31">
        <v>9</v>
      </c>
      <c r="H9" s="31">
        <v>61</v>
      </c>
      <c r="I9" s="31">
        <v>10</v>
      </c>
      <c r="J9" s="39">
        <f>IF(COUNT(G9:I9)=0,0,SUMPRODUCT({5000,1000,500},G9:I9))</f>
        <v>111000</v>
      </c>
      <c r="K9" s="31"/>
      <c r="L9" s="31"/>
      <c r="M9" s="31"/>
      <c r="N9" s="39">
        <f>IF(COUNT(K9:M9)=0,0,SUMPRODUCT({5000,1000,500},K9:M9))</f>
        <v>0</v>
      </c>
      <c r="O9" s="31"/>
      <c r="P9" s="31"/>
      <c r="Q9" s="31"/>
      <c r="R9" s="39">
        <f>IF(COUNT(O9:Q9)=0,0,SUMPRODUCT({5000,1000,500},O9:Q9))</f>
        <v>0</v>
      </c>
      <c r="S9" s="31"/>
      <c r="T9" s="31"/>
      <c r="U9" s="31"/>
      <c r="V9" s="31"/>
      <c r="W9" s="31"/>
      <c r="X9" s="31">
        <v>13</v>
      </c>
      <c r="Y9" s="31"/>
      <c r="Z9" s="31">
        <v>11</v>
      </c>
      <c r="AA9" s="31"/>
      <c r="AB9" s="31"/>
      <c r="AC9" s="31"/>
      <c r="AD9" s="34">
        <f>IF(COUNT(S9:AC9)=0,0,SUMPRODUCT({5000,1000,500,100,75,50,20,10,5,2,1}, S9:AC9))</f>
        <v>760</v>
      </c>
      <c r="AE9" s="33">
        <v>371743</v>
      </c>
      <c r="AF9" s="24">
        <f>IF(AND(COUNT(C9:E9)=0,COUNT(G9:I9)=0,COUNT(K9:M9)=0,COUNT(O9:Q9)=0,COUNT(S9:AC9)=0,AE9=""),"",(IF(COUNT(C9:E9)=0,0,SUMPRODUCT({5000,1000,500},C9:E9))+IF(COUNT(G9:I9)=0,0,SUMPRODUCT({5000,1000,500},G9:I9))+IF(COUNT(K9:M9)=0,0,SUMPRODUCT({5000,1000,500},K9:M9))+IF(COUNT(O9:Q9)=0,0,SUMPRODUCT({5000,1000,500},O9:Q9))+AD9)-N(AE9))</f>
        <v>17</v>
      </c>
      <c r="AG9" s="35" t="str">
        <f t="shared" si="0"/>
        <v>Excess</v>
      </c>
      <c r="AH9" s="38"/>
      <c r="AI9" s="36">
        <v>943166.23</v>
      </c>
      <c r="AJ9" s="37">
        <f>444192.35+498973.88</f>
        <v>943166.23</v>
      </c>
      <c r="AK9" s="26">
        <f t="shared" si="1"/>
        <v>0</v>
      </c>
      <c r="AL9" s="25" t="str">
        <f t="shared" si="2"/>
        <v>Matched</v>
      </c>
      <c r="AM9" s="38"/>
    </row>
    <row r="10" spans="1:39" ht="12.75" customHeight="1" x14ac:dyDescent="0.25">
      <c r="A10" s="31">
        <v>69726</v>
      </c>
      <c r="B10" s="32" t="str">
        <f>IF(A10="","",VLOOKUP(A10,'Employee Database'!A:B,2,FALSE))</f>
        <v>M Arslan</v>
      </c>
      <c r="C10" s="31"/>
      <c r="D10" s="31"/>
      <c r="E10" s="31"/>
      <c r="F10" s="39">
        <f>IF(COUNT(C10:E10)=0,0,SUMPRODUCT({5000,1000,500},C10:E10))</f>
        <v>0</v>
      </c>
      <c r="G10" s="31">
        <v>11</v>
      </c>
      <c r="H10" s="31">
        <v>19</v>
      </c>
      <c r="I10" s="31">
        <v>5</v>
      </c>
      <c r="J10" s="39">
        <f>IF(COUNT(G10:I10)=0,0,SUMPRODUCT({5000,1000,500},G10:I10))</f>
        <v>76500</v>
      </c>
      <c r="K10" s="31"/>
      <c r="L10" s="31"/>
      <c r="M10" s="31"/>
      <c r="N10" s="39">
        <f>IF(COUNT(K10:M10)=0,0,SUMPRODUCT({5000,1000,500},K10:M10))</f>
        <v>0</v>
      </c>
      <c r="O10" s="31"/>
      <c r="P10" s="31"/>
      <c r="Q10" s="31"/>
      <c r="R10" s="39">
        <f>IF(COUNT(O10:Q10)=0,0,SUMPRODUCT({5000,1000,500},O10:Q10))</f>
        <v>0</v>
      </c>
      <c r="S10" s="31"/>
      <c r="T10" s="31"/>
      <c r="U10" s="31"/>
      <c r="V10" s="31">
        <v>1</v>
      </c>
      <c r="W10" s="31"/>
      <c r="X10" s="31">
        <v>1</v>
      </c>
      <c r="Y10" s="31"/>
      <c r="Z10" s="31"/>
      <c r="AA10" s="31"/>
      <c r="AB10" s="31"/>
      <c r="AC10" s="31"/>
      <c r="AD10" s="34">
        <f>IF(COUNT(S10:AC10)=0,0,SUMPRODUCT({5000,1000,500,100,75,50,20,10,5,2,1}, S10:AC10))</f>
        <v>150</v>
      </c>
      <c r="AE10" s="33">
        <v>76717</v>
      </c>
      <c r="AF10" s="24">
        <f>IF(AND(COUNT(C10:E10)=0,COUNT(G10:I10)=0,COUNT(K10:M10)=0,COUNT(O10:Q10)=0,COUNT(S10:AC10)=0,AE10=""),"",(IF(COUNT(C10:E10)=0,0,SUMPRODUCT({5000,1000,500},C10:E10))+IF(COUNT(G10:I10)=0,0,SUMPRODUCT({5000,1000,500},G10:I10))+IF(COUNT(K10:M10)=0,0,SUMPRODUCT({5000,1000,500},K10:M10))+IF(COUNT(O10:Q10)=0,0,SUMPRODUCT({5000,1000,500},O10:Q10))+AD10)-N(AE10))</f>
        <v>-67</v>
      </c>
      <c r="AG10" s="35" t="str">
        <f t="shared" si="0"/>
        <v>Short</v>
      </c>
      <c r="AH10" s="38"/>
      <c r="AI10" s="36">
        <v>236421.28</v>
      </c>
      <c r="AJ10" s="37">
        <f>49320.47+187100.81</f>
        <v>236421.28</v>
      </c>
      <c r="AK10" s="26">
        <f t="shared" si="1"/>
        <v>0</v>
      </c>
      <c r="AL10" s="25" t="str">
        <f t="shared" si="2"/>
        <v>Matched</v>
      </c>
      <c r="AM10" s="38"/>
    </row>
    <row r="11" spans="1:39" ht="12.75" customHeight="1" x14ac:dyDescent="0.25">
      <c r="A11" s="31">
        <v>68107</v>
      </c>
      <c r="B11" s="32" t="str">
        <f>IF(A11="","",VLOOKUP(A11,'Employee Database'!A:B,2,FALSE))</f>
        <v>M Harris</v>
      </c>
      <c r="C11" s="31"/>
      <c r="D11" s="31"/>
      <c r="E11" s="31"/>
      <c r="F11" s="39">
        <f>IF(COUNT(C11:E11)=0,0,SUMPRODUCT({5000,1000,500},C11:E11))</f>
        <v>0</v>
      </c>
      <c r="G11" s="31">
        <v>8</v>
      </c>
      <c r="H11" s="31">
        <v>45</v>
      </c>
      <c r="I11" s="31">
        <v>3</v>
      </c>
      <c r="J11" s="39">
        <f>IF(COUNT(G11:I11)=0,0,SUMPRODUCT({5000,1000,500},G11:I11))</f>
        <v>86500</v>
      </c>
      <c r="K11" s="31"/>
      <c r="L11" s="31"/>
      <c r="M11" s="31"/>
      <c r="N11" s="39">
        <f>IF(COUNT(K11:M11)=0,0,SUMPRODUCT({5000,1000,500},K11:M11))</f>
        <v>0</v>
      </c>
      <c r="O11" s="31"/>
      <c r="P11" s="31"/>
      <c r="Q11" s="31"/>
      <c r="R11" s="39">
        <f>IF(COUNT(O11:Q11)=0,0,SUMPRODUCT({5000,1000,500},O11:Q11))</f>
        <v>0</v>
      </c>
      <c r="S11" s="31"/>
      <c r="T11" s="31"/>
      <c r="U11" s="31"/>
      <c r="V11" s="31">
        <v>3</v>
      </c>
      <c r="W11" s="31"/>
      <c r="X11" s="31">
        <v>50</v>
      </c>
      <c r="Y11" s="31"/>
      <c r="Z11" s="31">
        <v>70</v>
      </c>
      <c r="AA11" s="31"/>
      <c r="AB11" s="31"/>
      <c r="AC11" s="31"/>
      <c r="AD11" s="34">
        <f>IF(COUNT(S11:AC11)=0,0,SUMPRODUCT({5000,1000,500,100,75,50,20,10,5,2,1}, S11:AC11))</f>
        <v>3500</v>
      </c>
      <c r="AE11" s="33">
        <v>89986</v>
      </c>
      <c r="AF11" s="24">
        <f>IF(AND(COUNT(C11:E11)=0,COUNT(G11:I11)=0,COUNT(K11:M11)=0,COUNT(O11:Q11)=0,COUNT(S11:AC11)=0,AE11=""),"",(IF(COUNT(C11:E11)=0,0,SUMPRODUCT({5000,1000,500},C11:E11))+IF(COUNT(G11:I11)=0,0,SUMPRODUCT({5000,1000,500},G11:I11))+IF(COUNT(K11:M11)=0,0,SUMPRODUCT({5000,1000,500},K11:M11))+IF(COUNT(O11:Q11)=0,0,SUMPRODUCT({5000,1000,500},O11:Q11))+AD11)-N(AE11))</f>
        <v>14</v>
      </c>
      <c r="AG11" s="35" t="str">
        <f t="shared" si="0"/>
        <v>Excess</v>
      </c>
      <c r="AH11" s="38"/>
      <c r="AI11" s="36">
        <v>854036.4</v>
      </c>
      <c r="AJ11" s="37">
        <f>199946.78+654089.62</f>
        <v>854036.4</v>
      </c>
      <c r="AK11" s="26">
        <f t="shared" si="1"/>
        <v>0</v>
      </c>
      <c r="AL11" s="25" t="str">
        <f t="shared" si="2"/>
        <v>Matched</v>
      </c>
      <c r="AM11" s="38"/>
    </row>
    <row r="12" spans="1:39" ht="12.75" customHeight="1" x14ac:dyDescent="0.25">
      <c r="A12" s="31">
        <v>65299</v>
      </c>
      <c r="B12" s="32" t="str">
        <f>IF(A12="","",VLOOKUP(A12,'Employee Database'!A:B,2,FALSE))</f>
        <v>M Faisal</v>
      </c>
      <c r="C12" s="31"/>
      <c r="D12" s="31"/>
      <c r="E12" s="31"/>
      <c r="F12" s="39">
        <f>IF(COUNT(C12:E12)=0,0,SUMPRODUCT({5000,1000,500},C12:E12))</f>
        <v>0</v>
      </c>
      <c r="G12" s="31">
        <v>11</v>
      </c>
      <c r="H12" s="31">
        <v>19</v>
      </c>
      <c r="I12" s="31">
        <v>2</v>
      </c>
      <c r="J12" s="39">
        <f>IF(COUNT(G12:I12)=0,0,SUMPRODUCT({5000,1000,500},G12:I12))</f>
        <v>75000</v>
      </c>
      <c r="K12" s="31"/>
      <c r="L12" s="31"/>
      <c r="M12" s="31"/>
      <c r="N12" s="39">
        <f>IF(COUNT(K12:M12)=0,0,SUMPRODUCT({5000,1000,500},K12:M12))</f>
        <v>0</v>
      </c>
      <c r="O12" s="31"/>
      <c r="P12" s="31"/>
      <c r="Q12" s="31"/>
      <c r="R12" s="39">
        <f>IF(COUNT(O12:Q12)=0,0,SUMPRODUCT({5000,1000,500},O12:Q12))</f>
        <v>0</v>
      </c>
      <c r="S12" s="31"/>
      <c r="T12" s="31"/>
      <c r="U12" s="31"/>
      <c r="V12" s="31"/>
      <c r="W12" s="31"/>
      <c r="X12" s="31">
        <v>35</v>
      </c>
      <c r="Y12" s="31"/>
      <c r="Z12" s="31">
        <v>26</v>
      </c>
      <c r="AA12" s="31"/>
      <c r="AB12" s="31"/>
      <c r="AC12" s="31"/>
      <c r="AD12" s="34">
        <f>IF(COUNT(S12:AC12)=0,0,SUMPRODUCT({5000,1000,500,100,75,50,20,10,5,2,1}, S12:AC12))</f>
        <v>2010</v>
      </c>
      <c r="AE12" s="33">
        <v>77052</v>
      </c>
      <c r="AF12" s="24">
        <f>IF(AND(COUNT(C12:E12)=0,COUNT(G12:I12)=0,COUNT(K12:M12)=0,COUNT(O12:Q12)=0,COUNT(S12:AC12)=0,AE12=""),"",(IF(COUNT(C12:E12)=0,0,SUMPRODUCT({5000,1000,500},C12:E12))+IF(COUNT(G12:I12)=0,0,SUMPRODUCT({5000,1000,500},G12:I12))+IF(COUNT(K12:M12)=0,0,SUMPRODUCT({5000,1000,500},K12:M12))+IF(COUNT(O12:Q12)=0,0,SUMPRODUCT({5000,1000,500},O12:Q12))+AD12)-N(AE12))</f>
        <v>-42</v>
      </c>
      <c r="AG12" s="35" t="str">
        <f t="shared" si="0"/>
        <v>Short</v>
      </c>
      <c r="AH12" s="38"/>
      <c r="AI12" s="36">
        <f>23327.29+74793.44</f>
        <v>98120.73000000001</v>
      </c>
      <c r="AJ12" s="37">
        <f>74793.44+23327.29</f>
        <v>98120.73000000001</v>
      </c>
      <c r="AK12" s="26">
        <f t="shared" si="1"/>
        <v>0</v>
      </c>
      <c r="AL12" s="25" t="str">
        <f t="shared" si="2"/>
        <v>Matched</v>
      </c>
      <c r="AM12" s="38"/>
    </row>
    <row r="13" spans="1:39" ht="12.75" customHeight="1" x14ac:dyDescent="0.25">
      <c r="A13" s="31">
        <v>50266</v>
      </c>
      <c r="B13" s="32" t="str">
        <f>IF(A13="","",VLOOKUP(A13,'Employee Database'!A:B,2,FALSE))</f>
        <v>Riaz</v>
      </c>
      <c r="C13" s="31"/>
      <c r="D13" s="31"/>
      <c r="E13" s="31"/>
      <c r="F13" s="39">
        <f>IF(COUNT(C13:E13)=0,0,SUMPRODUCT({5000,1000,500},C13:E13))</f>
        <v>0</v>
      </c>
      <c r="G13" s="31">
        <v>29</v>
      </c>
      <c r="H13" s="31">
        <v>38</v>
      </c>
      <c r="I13" s="31">
        <v>0</v>
      </c>
      <c r="J13" s="39">
        <f>IF(COUNT(G13:I13)=0,0,SUMPRODUCT({5000,1000,500},G13:I13))</f>
        <v>183000</v>
      </c>
      <c r="K13" s="31"/>
      <c r="L13" s="31"/>
      <c r="M13" s="31"/>
      <c r="N13" s="39">
        <f>IF(COUNT(K13:M13)=0,0,SUMPRODUCT({5000,1000,500},K13:M13))</f>
        <v>0</v>
      </c>
      <c r="O13" s="31"/>
      <c r="P13" s="31"/>
      <c r="Q13" s="31"/>
      <c r="R13" s="39">
        <f>IF(COUNT(O13:Q13)=0,0,SUMPRODUCT({5000,1000,500},O13:Q13))</f>
        <v>0</v>
      </c>
      <c r="S13" s="31"/>
      <c r="T13" s="31"/>
      <c r="U13" s="31"/>
      <c r="V13" s="31"/>
      <c r="W13" s="31"/>
      <c r="X13" s="31">
        <v>6</v>
      </c>
      <c r="Y13" s="31"/>
      <c r="Z13" s="31">
        <v>25</v>
      </c>
      <c r="AA13" s="31"/>
      <c r="AB13" s="31"/>
      <c r="AC13" s="31"/>
      <c r="AD13" s="34">
        <f>IF(COUNT(S13:AC13)=0,0,SUMPRODUCT({5000,1000,500,100,75,50,20,10,5,2,1}, S13:AC13))</f>
        <v>550</v>
      </c>
      <c r="AE13" s="33">
        <v>183512</v>
      </c>
      <c r="AF13" s="24">
        <f>IF(AND(COUNT(C13:E13)=0,COUNT(G13:I13)=0,COUNT(K13:M13)=0,COUNT(O13:Q13)=0,COUNT(S13:AC13)=0,AE13=""),"",(IF(COUNT(C13:E13)=0,0,SUMPRODUCT({5000,1000,500},C13:E13))+IF(COUNT(G13:I13)=0,0,SUMPRODUCT({5000,1000,500},G13:I13))+IF(COUNT(K13:M13)=0,0,SUMPRODUCT({5000,1000,500},K13:M13))+IF(COUNT(O13:Q13)=0,0,SUMPRODUCT({5000,1000,500},O13:Q13))+AD13)-N(AE13))</f>
        <v>38</v>
      </c>
      <c r="AG13" s="35" t="str">
        <f t="shared" si="0"/>
        <v>Excess</v>
      </c>
      <c r="AH13" s="38"/>
      <c r="AI13" s="36">
        <v>212053.42</v>
      </c>
      <c r="AJ13" s="37">
        <f>115706.16+96347.26</f>
        <v>212053.41999999998</v>
      </c>
      <c r="AK13" s="26">
        <f t="shared" si="1"/>
        <v>2.9103830456733704E-11</v>
      </c>
      <c r="AL13" s="25" t="str">
        <f t="shared" si="2"/>
        <v>POS Excess</v>
      </c>
      <c r="AM13" s="38"/>
    </row>
    <row r="14" spans="1:39" ht="12.75" customHeight="1" x14ac:dyDescent="0.25">
      <c r="A14" s="31">
        <v>73196</v>
      </c>
      <c r="B14" s="32" t="str">
        <f>IF(A14="","",VLOOKUP(A14,'Employee Database'!A:B,2,FALSE))</f>
        <v>Asma</v>
      </c>
      <c r="C14" s="31"/>
      <c r="D14" s="31"/>
      <c r="E14" s="31"/>
      <c r="F14" s="39">
        <f>IF(COUNT(C14:E14)=0,0,SUMPRODUCT({5000,1000,500},C14:E14))</f>
        <v>0</v>
      </c>
      <c r="G14" s="31">
        <v>1</v>
      </c>
      <c r="H14" s="31">
        <v>6</v>
      </c>
      <c r="I14" s="31">
        <v>1</v>
      </c>
      <c r="J14" s="39">
        <f>IF(COUNT(G14:I14)=0,0,SUMPRODUCT({5000,1000,500},G14:I14))</f>
        <v>11500</v>
      </c>
      <c r="K14" s="31"/>
      <c r="L14" s="31"/>
      <c r="M14" s="31"/>
      <c r="N14" s="39">
        <f>IF(COUNT(K14:M14)=0,0,SUMPRODUCT({5000,1000,500},K14:M14))</f>
        <v>0</v>
      </c>
      <c r="O14" s="31"/>
      <c r="P14" s="31"/>
      <c r="Q14" s="31"/>
      <c r="R14" s="39">
        <f>IF(COUNT(O14:Q14)=0,0,SUMPRODUCT({5000,1000,500},O14:Q14))</f>
        <v>0</v>
      </c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4">
        <f>IF(COUNT(S14:AC14)=0,0,SUMPRODUCT({5000,1000,500,100,75,50,20,10,5,2,1}, S14:AC14))</f>
        <v>0</v>
      </c>
      <c r="AE14" s="33">
        <v>11512</v>
      </c>
      <c r="AF14" s="24">
        <f>IF(AND(COUNT(C14:E14)=0,COUNT(G14:I14)=0,COUNT(K14:M14)=0,COUNT(O14:Q14)=0,COUNT(S14:AC14)=0,AE14=""),"",(IF(COUNT(C14:E14)=0,0,SUMPRODUCT({5000,1000,500},C14:E14))+IF(COUNT(G14:I14)=0,0,SUMPRODUCT({5000,1000,500},G14:I14))+IF(COUNT(K14:M14)=0,0,SUMPRODUCT({5000,1000,500},K14:M14))+IF(COUNT(O14:Q14)=0,0,SUMPRODUCT({5000,1000,500},O14:Q14))+AD14)-N(AE14))</f>
        <v>-12</v>
      </c>
      <c r="AG14" s="35" t="str">
        <f t="shared" si="0"/>
        <v>Short</v>
      </c>
      <c r="AH14" s="38"/>
      <c r="AI14" s="36">
        <v>16382.44</v>
      </c>
      <c r="AJ14" s="37">
        <v>16382.44</v>
      </c>
      <c r="AK14" s="26">
        <f t="shared" si="1"/>
        <v>0</v>
      </c>
      <c r="AL14" s="25" t="str">
        <f t="shared" si="2"/>
        <v>Matched</v>
      </c>
      <c r="AM14" s="38"/>
    </row>
    <row r="15" spans="1:39" ht="12.75" customHeight="1" x14ac:dyDescent="0.25">
      <c r="A15" s="31">
        <v>53893</v>
      </c>
      <c r="B15" s="32" t="str">
        <f>IF(A15="","",VLOOKUP(A15,'Employee Database'!A:B,2,FALSE))</f>
        <v>M Binyameen</v>
      </c>
      <c r="C15" s="31"/>
      <c r="D15" s="31"/>
      <c r="E15" s="31"/>
      <c r="F15" s="39">
        <f>IF(COUNT(C15:E15)=0,0,SUMPRODUCT({5000,1000,500},C15:E15))</f>
        <v>0</v>
      </c>
      <c r="G15" s="31"/>
      <c r="H15" s="31"/>
      <c r="I15" s="31"/>
      <c r="J15" s="39">
        <f>IF(COUNT(G15:I15)=0,0,SUMPRODUCT({5000,1000,500},G15:I15))</f>
        <v>0</v>
      </c>
      <c r="K15" s="31">
        <v>33</v>
      </c>
      <c r="L15" s="31">
        <v>15</v>
      </c>
      <c r="M15" s="31">
        <v>0</v>
      </c>
      <c r="N15" s="39">
        <f>IF(COUNT(K15:M15)=0,0,SUMPRODUCT({5000,1000,500},K15:M15))</f>
        <v>180000</v>
      </c>
      <c r="O15" s="31"/>
      <c r="P15" s="31"/>
      <c r="Q15" s="31"/>
      <c r="R15" s="39">
        <f>IF(COUNT(O15:Q15)=0,0,SUMPRODUCT({5000,1000,500},O15:Q15))</f>
        <v>0</v>
      </c>
      <c r="S15" s="31">
        <v>9</v>
      </c>
      <c r="T15" s="31">
        <v>17</v>
      </c>
      <c r="U15" s="31">
        <v>2</v>
      </c>
      <c r="V15" s="31"/>
      <c r="W15" s="31"/>
      <c r="X15" s="31">
        <v>33</v>
      </c>
      <c r="Y15" s="31">
        <v>2</v>
      </c>
      <c r="Z15" s="31">
        <v>68</v>
      </c>
      <c r="AA15" s="31"/>
      <c r="AB15" s="31"/>
      <c r="AC15" s="31"/>
      <c r="AD15" s="34">
        <f>IF(COUNT(S15:AC15)=0,0,SUMPRODUCT({5000,1000,500,100,75,50,20,10,5,2,1}, S15:AC15))</f>
        <v>65370</v>
      </c>
      <c r="AE15" s="33">
        <v>245373</v>
      </c>
      <c r="AF15" s="24">
        <f>IF(AND(COUNT(C15:E15)=0,COUNT(G15:I15)=0,COUNT(K15:M15)=0,COUNT(O15:Q15)=0,COUNT(S15:AC15)=0,AE15=""),"",(IF(COUNT(C15:E15)=0,0,SUMPRODUCT({5000,1000,500},C15:E15))+IF(COUNT(G15:I15)=0,0,SUMPRODUCT({5000,1000,500},G15:I15))+IF(COUNT(K15:M15)=0,0,SUMPRODUCT({5000,1000,500},K15:M15))+IF(COUNT(O15:Q15)=0,0,SUMPRODUCT({5000,1000,500},O15:Q15))+AD15)-N(AE15))</f>
        <v>-3</v>
      </c>
      <c r="AG15" s="35" t="str">
        <f t="shared" si="0"/>
        <v>Short</v>
      </c>
      <c r="AH15" s="38"/>
      <c r="AI15" s="36">
        <f>326586.67+529662.2</f>
        <v>856248.86999999988</v>
      </c>
      <c r="AJ15" s="37">
        <f>326586.67+529662.2</f>
        <v>856248.86999999988</v>
      </c>
      <c r="AK15" s="26">
        <f t="shared" si="1"/>
        <v>0</v>
      </c>
      <c r="AL15" s="25" t="str">
        <f t="shared" si="2"/>
        <v>Matched</v>
      </c>
      <c r="AM15" s="38"/>
    </row>
    <row r="16" spans="1:39" ht="12.75" customHeight="1" x14ac:dyDescent="0.25">
      <c r="A16" s="31">
        <v>50524</v>
      </c>
      <c r="B16" s="32" t="str">
        <f>IF(A16="","",VLOOKUP(A16,'Employee Database'!A:B,2,FALSE))</f>
        <v>Allah Rakha</v>
      </c>
      <c r="C16" s="31"/>
      <c r="D16" s="31"/>
      <c r="E16" s="31"/>
      <c r="F16" s="39">
        <f>IF(COUNT(C16:E16)=0,0,SUMPRODUCT({5000,1000,500},C16:E16))</f>
        <v>0</v>
      </c>
      <c r="G16" s="31"/>
      <c r="H16" s="31"/>
      <c r="I16" s="31"/>
      <c r="J16" s="39">
        <f>IF(COUNT(G16:I16)=0,0,SUMPRODUCT({5000,1000,500},G16:I16))</f>
        <v>0</v>
      </c>
      <c r="K16" s="31">
        <v>27</v>
      </c>
      <c r="L16" s="31">
        <v>28</v>
      </c>
      <c r="M16" s="31">
        <v>4</v>
      </c>
      <c r="N16" s="39">
        <f>IF(COUNT(K16:M16)=0,0,SUMPRODUCT({5000,1000,500},K16:M16))</f>
        <v>165000</v>
      </c>
      <c r="O16" s="31"/>
      <c r="P16" s="31"/>
      <c r="Q16" s="31"/>
      <c r="R16" s="39">
        <f>IF(COUNT(O16:Q16)=0,0,SUMPRODUCT({5000,1000,500},O16:Q16))</f>
        <v>0</v>
      </c>
      <c r="S16" s="31">
        <v>2</v>
      </c>
      <c r="T16" s="31">
        <v>39</v>
      </c>
      <c r="U16" s="31">
        <v>6</v>
      </c>
      <c r="V16" s="31">
        <v>9</v>
      </c>
      <c r="W16" s="31"/>
      <c r="X16" s="31">
        <v>145</v>
      </c>
      <c r="Y16" s="31">
        <v>3</v>
      </c>
      <c r="Z16" s="31">
        <v>145</v>
      </c>
      <c r="AA16" s="31"/>
      <c r="AB16" s="31"/>
      <c r="AC16" s="31"/>
      <c r="AD16" s="34">
        <f>IF(COUNT(S16:AC16)=0,0,SUMPRODUCT({5000,1000,500,100,75,50,20,10,5,2,1}, S16:AC16))</f>
        <v>61660</v>
      </c>
      <c r="AE16" s="33">
        <v>226634</v>
      </c>
      <c r="AF16" s="24">
        <f>IF(AND(COUNT(C16:E16)=0,COUNT(G16:I16)=0,COUNT(K16:M16)=0,COUNT(O16:Q16)=0,COUNT(S16:AC16)=0,AE16=""),"",(IF(COUNT(C16:E16)=0,0,SUMPRODUCT({5000,1000,500},C16:E16))+IF(COUNT(G16:I16)=0,0,SUMPRODUCT({5000,1000,500},G16:I16))+IF(COUNT(K16:M16)=0,0,SUMPRODUCT({5000,1000,500},K16:M16))+IF(COUNT(O16:Q16)=0,0,SUMPRODUCT({5000,1000,500},O16:Q16))+AD16)-N(AE16))</f>
        <v>26</v>
      </c>
      <c r="AG16" s="35" t="str">
        <f t="shared" si="0"/>
        <v>Excess</v>
      </c>
      <c r="AH16" s="38"/>
      <c r="AI16" s="36">
        <f>874047.89+50758.81</f>
        <v>924806.7</v>
      </c>
      <c r="AJ16" s="37">
        <f>50758.81+805885.73+68162.16</f>
        <v>924806.70000000007</v>
      </c>
      <c r="AK16" s="26">
        <f t="shared" si="1"/>
        <v>-1.1641532182693481E-10</v>
      </c>
      <c r="AL16" s="25" t="str">
        <f t="shared" si="2"/>
        <v>Bank Short</v>
      </c>
      <c r="AM16" s="38"/>
    </row>
    <row r="17" spans="1:39" ht="12.75" customHeight="1" x14ac:dyDescent="0.25">
      <c r="A17" s="31">
        <v>50394</v>
      </c>
      <c r="B17" s="32" t="str">
        <f>IF(A17="","",VLOOKUP(A17,'Employee Database'!A:B,2,FALSE))</f>
        <v>Qasir Ali</v>
      </c>
      <c r="C17" s="31"/>
      <c r="D17" s="31"/>
      <c r="E17" s="31"/>
      <c r="F17" s="39">
        <f>IF(COUNT(C17:E17)=0,0,SUMPRODUCT({5000,1000,500},C17:E17))</f>
        <v>0</v>
      </c>
      <c r="G17" s="31"/>
      <c r="H17" s="31"/>
      <c r="I17" s="31"/>
      <c r="J17" s="39">
        <f>IF(COUNT(G17:I17)=0,0,SUMPRODUCT({5000,1000,500},G17:I17))</f>
        <v>0</v>
      </c>
      <c r="K17" s="31">
        <v>31</v>
      </c>
      <c r="L17" s="31">
        <v>153</v>
      </c>
      <c r="M17" s="31">
        <v>3</v>
      </c>
      <c r="N17" s="39">
        <f>IF(COUNT(K17:M17)=0,0,SUMPRODUCT({5000,1000,500},K17:M17))</f>
        <v>309500</v>
      </c>
      <c r="O17" s="31"/>
      <c r="P17" s="31"/>
      <c r="Q17" s="31"/>
      <c r="R17" s="39">
        <f>IF(COUNT(O17:Q17)=0,0,SUMPRODUCT({5000,1000,500},O17:Q17))</f>
        <v>0</v>
      </c>
      <c r="S17" s="31">
        <v>8</v>
      </c>
      <c r="T17" s="31">
        <v>3</v>
      </c>
      <c r="U17" s="31">
        <v>8</v>
      </c>
      <c r="V17" s="31">
        <v>8</v>
      </c>
      <c r="W17" s="31"/>
      <c r="X17" s="31">
        <v>49</v>
      </c>
      <c r="Y17" s="31"/>
      <c r="Z17" s="31">
        <v>47</v>
      </c>
      <c r="AA17" s="31"/>
      <c r="AB17" s="31"/>
      <c r="AC17" s="31"/>
      <c r="AD17" s="34">
        <f>IF(COUNT(S17:AC17)=0,0,SUMPRODUCT({5000,1000,500,100,75,50,20,10,5,2,1}, S17:AC17))</f>
        <v>50720</v>
      </c>
      <c r="AE17" s="33">
        <v>360219</v>
      </c>
      <c r="AF17" s="24">
        <f>IF(AND(COUNT(C17:E17)=0,COUNT(G17:I17)=0,COUNT(K17:M17)=0,COUNT(O17:Q17)=0,COUNT(S17:AC17)=0,AE17=""),"",(IF(COUNT(C17:E17)=0,0,SUMPRODUCT({5000,1000,500},C17:E17))+IF(COUNT(G17:I17)=0,0,SUMPRODUCT({5000,1000,500},G17:I17))+IF(COUNT(K17:M17)=0,0,SUMPRODUCT({5000,1000,500},K17:M17))+IF(COUNT(O17:Q17)=0,0,SUMPRODUCT({5000,1000,500},O17:Q17))+AD17)-N(AE17))</f>
        <v>1</v>
      </c>
      <c r="AG17" s="35" t="str">
        <f t="shared" si="0"/>
        <v>Excess</v>
      </c>
      <c r="AH17" s="38"/>
      <c r="AI17" s="36">
        <v>473190.92</v>
      </c>
      <c r="AJ17" s="37">
        <f>106435.89+366755.03</f>
        <v>473190.92000000004</v>
      </c>
      <c r="AK17" s="26">
        <f t="shared" si="1"/>
        <v>-5.8207660913467407E-11</v>
      </c>
      <c r="AL17" s="25" t="str">
        <f t="shared" si="2"/>
        <v>Bank Short</v>
      </c>
      <c r="AM17" s="38"/>
    </row>
    <row r="18" spans="1:39" ht="12.75" customHeight="1" x14ac:dyDescent="0.25">
      <c r="A18" s="31">
        <v>50134</v>
      </c>
      <c r="B18" s="32" t="str">
        <f>IF(A18="","",VLOOKUP(A18,'Employee Database'!A:B,2,FALSE))</f>
        <v>Asif Abbas</v>
      </c>
      <c r="C18" s="31"/>
      <c r="D18" s="31"/>
      <c r="E18" s="31"/>
      <c r="F18" s="39">
        <f>IF(COUNT(C18:E18)=0,0,SUMPRODUCT({5000,1000,500},C18:E18))</f>
        <v>0</v>
      </c>
      <c r="G18" s="31"/>
      <c r="H18" s="31"/>
      <c r="I18" s="31"/>
      <c r="J18" s="39">
        <f>IF(COUNT(G18:I18)=0,0,SUMPRODUCT({5000,1000,500},G18:I18))</f>
        <v>0</v>
      </c>
      <c r="K18" s="31">
        <v>39</v>
      </c>
      <c r="L18" s="31">
        <v>95</v>
      </c>
      <c r="M18" s="31">
        <v>0</v>
      </c>
      <c r="N18" s="39">
        <f>IF(COUNT(K18:M18)=0,0,SUMPRODUCT({5000,1000,500},K18:M18))</f>
        <v>290000</v>
      </c>
      <c r="O18" s="31"/>
      <c r="P18" s="31"/>
      <c r="Q18" s="31"/>
      <c r="R18" s="39">
        <f>IF(COUNT(O18:Q18)=0,0,SUMPRODUCT({5000,1000,500},O18:Q18))</f>
        <v>0</v>
      </c>
      <c r="S18" s="31">
        <v>10</v>
      </c>
      <c r="T18" s="31">
        <v>29</v>
      </c>
      <c r="U18" s="31">
        <v>16</v>
      </c>
      <c r="V18" s="31">
        <v>2</v>
      </c>
      <c r="W18" s="31"/>
      <c r="X18" s="31">
        <v>5</v>
      </c>
      <c r="Y18" s="31"/>
      <c r="Z18" s="31">
        <v>40</v>
      </c>
      <c r="AA18" s="31"/>
      <c r="AB18" s="31"/>
      <c r="AC18" s="31"/>
      <c r="AD18" s="34">
        <f>IF(COUNT(S18:AC18)=0,0,SUMPRODUCT({5000,1000,500,100,75,50,20,10,5,2,1}, S18:AC18))</f>
        <v>87850</v>
      </c>
      <c r="AE18" s="33">
        <v>377831</v>
      </c>
      <c r="AF18" s="24">
        <f>IF(AND(COUNT(C18:E18)=0,COUNT(G18:I18)=0,COUNT(K18:M18)=0,COUNT(O18:Q18)=0,COUNT(S18:AC18)=0,AE18=""),"",(IF(COUNT(C18:E18)=0,0,SUMPRODUCT({5000,1000,500},C18:E18))+IF(COUNT(G18:I18)=0,0,SUMPRODUCT({5000,1000,500},G18:I18))+IF(COUNT(K18:M18)=0,0,SUMPRODUCT({5000,1000,500},K18:M18))+IF(COUNT(O18:Q18)=0,0,SUMPRODUCT({5000,1000,500},O18:Q18))+AD18)-N(AE18))</f>
        <v>19</v>
      </c>
      <c r="AG18" s="35" t="str">
        <f t="shared" si="0"/>
        <v>Excess</v>
      </c>
      <c r="AH18" s="38"/>
      <c r="AI18" s="36">
        <f>538263+149491.28+20454.45</f>
        <v>708208.73</v>
      </c>
      <c r="AJ18" s="37">
        <f>149491.28+20454.45+538263</f>
        <v>708208.73</v>
      </c>
      <c r="AK18" s="26">
        <f t="shared" si="1"/>
        <v>0</v>
      </c>
      <c r="AL18" s="25" t="str">
        <f t="shared" si="2"/>
        <v>Matched</v>
      </c>
      <c r="AM18" s="38"/>
    </row>
    <row r="19" spans="1:39" ht="12.75" customHeight="1" x14ac:dyDescent="0.25">
      <c r="A19" s="31">
        <v>71788</v>
      </c>
      <c r="B19" s="32" t="str">
        <f>IF(A19="","",VLOOKUP(A19,'Employee Database'!A:B,2,FALSE))</f>
        <v>Saaim</v>
      </c>
      <c r="C19" s="31"/>
      <c r="D19" s="31"/>
      <c r="E19" s="31"/>
      <c r="F19" s="39">
        <f>IF(COUNT(C19:E19)=0,0,SUMPRODUCT({5000,1000,500},C19:E19))</f>
        <v>0</v>
      </c>
      <c r="G19" s="31"/>
      <c r="H19" s="31"/>
      <c r="I19" s="31"/>
      <c r="J19" s="39">
        <f>IF(COUNT(G19:I19)=0,0,SUMPRODUCT({5000,1000,500},G19:I19))</f>
        <v>0</v>
      </c>
      <c r="K19" s="31">
        <v>45</v>
      </c>
      <c r="L19" s="31">
        <v>39</v>
      </c>
      <c r="M19" s="31">
        <v>32</v>
      </c>
      <c r="N19" s="39">
        <f>IF(COUNT(K19:M19)=0,0,SUMPRODUCT({5000,1000,500},K19:M19))</f>
        <v>280000</v>
      </c>
      <c r="O19" s="31"/>
      <c r="P19" s="31"/>
      <c r="Q19" s="31"/>
      <c r="R19" s="39">
        <f>IF(COUNT(O19:Q19)=0,0,SUMPRODUCT({5000,1000,500},O19:Q19))</f>
        <v>0</v>
      </c>
      <c r="S19" s="31">
        <v>31</v>
      </c>
      <c r="T19" s="31">
        <v>43</v>
      </c>
      <c r="U19" s="31">
        <v>12</v>
      </c>
      <c r="V19" s="31">
        <v>2</v>
      </c>
      <c r="W19" s="31"/>
      <c r="X19" s="31">
        <v>10</v>
      </c>
      <c r="Y19" s="31"/>
      <c r="Z19" s="31">
        <v>10</v>
      </c>
      <c r="AA19" s="31"/>
      <c r="AB19" s="31"/>
      <c r="AC19" s="31"/>
      <c r="AD19" s="34">
        <f>IF(COUNT(S19:AC19)=0,0,SUMPRODUCT({5000,1000,500,100,75,50,20,10,5,2,1}, S19:AC19))</f>
        <v>204800</v>
      </c>
      <c r="AE19" s="33">
        <v>484719</v>
      </c>
      <c r="AF19" s="24">
        <f>IF(AND(COUNT(C19:E19)=0,COUNT(G19:I19)=0,COUNT(K19:M19)=0,COUNT(O19:Q19)=0,COUNT(S19:AC19)=0,AE19=""),"",(IF(COUNT(C19:E19)=0,0,SUMPRODUCT({5000,1000,500},C19:E19))+IF(COUNT(G19:I19)=0,0,SUMPRODUCT({5000,1000,500},G19:I19))+IF(COUNT(K19:M19)=0,0,SUMPRODUCT({5000,1000,500},K19:M19))+IF(COUNT(O19:Q19)=0,0,SUMPRODUCT({5000,1000,500},O19:Q19))+AD19)-N(AE19))</f>
        <v>81</v>
      </c>
      <c r="AG19" s="35" t="str">
        <f t="shared" si="0"/>
        <v>Excess</v>
      </c>
      <c r="AH19" s="38"/>
      <c r="AI19" s="36">
        <v>1142448.56</v>
      </c>
      <c r="AJ19" s="37">
        <v>1142448.56</v>
      </c>
      <c r="AK19" s="26">
        <f t="shared" si="1"/>
        <v>0</v>
      </c>
      <c r="AL19" s="25" t="str">
        <f t="shared" si="2"/>
        <v>Matched</v>
      </c>
      <c r="AM19" s="38"/>
    </row>
    <row r="20" spans="1:39" ht="12.75" customHeight="1" x14ac:dyDescent="0.25">
      <c r="A20" s="31">
        <v>79593</v>
      </c>
      <c r="B20" s="32" t="str">
        <f>IF(A20="","",VLOOKUP(A20,'Employee Database'!A:B,2,FALSE))</f>
        <v>Amir</v>
      </c>
      <c r="C20" s="31"/>
      <c r="D20" s="31"/>
      <c r="E20" s="31"/>
      <c r="F20" s="39">
        <f>IF(COUNT(C20:E20)=0,0,SUMPRODUCT({5000,1000,500},C20:E20))</f>
        <v>0</v>
      </c>
      <c r="G20" s="31"/>
      <c r="H20" s="31"/>
      <c r="I20" s="31"/>
      <c r="J20" s="39">
        <f>IF(COUNT(G20:I20)=0,0,SUMPRODUCT({5000,1000,500},G20:I20))</f>
        <v>0</v>
      </c>
      <c r="K20" s="31">
        <v>28</v>
      </c>
      <c r="L20" s="31">
        <v>40</v>
      </c>
      <c r="M20" s="31">
        <v>0</v>
      </c>
      <c r="N20" s="39">
        <f>IF(COUNT(K20:M20)=0,0,SUMPRODUCT({5000,1000,500},K20:M20))</f>
        <v>180000</v>
      </c>
      <c r="O20" s="31"/>
      <c r="P20" s="31"/>
      <c r="Q20" s="31"/>
      <c r="R20" s="39">
        <f>IF(COUNT(O20:Q20)=0,0,SUMPRODUCT({5000,1000,500},O20:Q20))</f>
        <v>0</v>
      </c>
      <c r="S20" s="31">
        <v>19</v>
      </c>
      <c r="T20" s="31">
        <v>14</v>
      </c>
      <c r="U20" s="31">
        <v>18</v>
      </c>
      <c r="V20" s="31">
        <v>5</v>
      </c>
      <c r="W20" s="31"/>
      <c r="X20" s="31">
        <v>24</v>
      </c>
      <c r="Y20" s="31"/>
      <c r="Z20" s="31">
        <v>87</v>
      </c>
      <c r="AA20" s="31"/>
      <c r="AB20" s="31"/>
      <c r="AC20" s="31"/>
      <c r="AD20" s="34">
        <f>IF(COUNT(S20:AC20)=0,0,SUMPRODUCT({5000,1000,500,100,75,50,20,10,5,2,1}, S20:AC20))</f>
        <v>120570</v>
      </c>
      <c r="AE20" s="33">
        <v>300542</v>
      </c>
      <c r="AF20" s="24">
        <f>IF(AND(COUNT(C20:E20)=0,COUNT(G20:I20)=0,COUNT(K20:M20)=0,COUNT(O20:Q20)=0,COUNT(S20:AC20)=0,AE20=""),"",(IF(COUNT(C20:E20)=0,0,SUMPRODUCT({5000,1000,500},C20:E20))+IF(COUNT(G20:I20)=0,0,SUMPRODUCT({5000,1000,500},G20:I20))+IF(COUNT(K20:M20)=0,0,SUMPRODUCT({5000,1000,500},K20:M20))+IF(COUNT(O20:Q20)=0,0,SUMPRODUCT({5000,1000,500},O20:Q20))+AD20)-N(AE20))</f>
        <v>28</v>
      </c>
      <c r="AG20" s="35" t="str">
        <f t="shared" si="0"/>
        <v>Excess</v>
      </c>
      <c r="AH20" s="38"/>
      <c r="AI20" s="36">
        <v>503804.15</v>
      </c>
      <c r="AJ20" s="37">
        <f>475465.86+28338.29</f>
        <v>503804.14999999997</v>
      </c>
      <c r="AK20" s="26">
        <f t="shared" si="1"/>
        <v>5.8207660913467407E-11</v>
      </c>
      <c r="AL20" s="25" t="str">
        <f t="shared" si="2"/>
        <v>POS Excess</v>
      </c>
      <c r="AM20" s="38"/>
    </row>
    <row r="21" spans="1:39" ht="12.75" customHeight="1" x14ac:dyDescent="0.25">
      <c r="A21" s="31">
        <v>61648</v>
      </c>
      <c r="B21" s="32" t="str">
        <f>IF(A21="","",VLOOKUP(A21,'Employee Database'!A:B,2,FALSE))</f>
        <v>Rizwan</v>
      </c>
      <c r="C21" s="31"/>
      <c r="D21" s="31"/>
      <c r="E21" s="31"/>
      <c r="F21" s="39">
        <f>IF(COUNT(C21:E21)=0,0,SUMPRODUCT({5000,1000,500},C21:E21))</f>
        <v>0</v>
      </c>
      <c r="G21" s="31"/>
      <c r="H21" s="31"/>
      <c r="I21" s="31"/>
      <c r="J21" s="39">
        <f>IF(COUNT(G21:I21)=0,0,SUMPRODUCT({5000,1000,500},G21:I21))</f>
        <v>0</v>
      </c>
      <c r="K21" s="31">
        <v>28</v>
      </c>
      <c r="L21" s="31">
        <v>30</v>
      </c>
      <c r="M21" s="31">
        <v>0</v>
      </c>
      <c r="N21" s="39">
        <f>IF(COUNT(K21:M21)=0,0,SUMPRODUCT({5000,1000,500},K21:M21))</f>
        <v>170000</v>
      </c>
      <c r="O21" s="31"/>
      <c r="P21" s="31"/>
      <c r="Q21" s="31"/>
      <c r="R21" s="39">
        <f>IF(COUNT(O21:Q21)=0,0,SUMPRODUCT({5000,1000,500},O21:Q21))</f>
        <v>0</v>
      </c>
      <c r="S21" s="31">
        <v>3</v>
      </c>
      <c r="T21" s="31">
        <v>50</v>
      </c>
      <c r="U21" s="31">
        <v>10</v>
      </c>
      <c r="V21" s="31"/>
      <c r="W21" s="31"/>
      <c r="X21" s="31">
        <v>22</v>
      </c>
      <c r="Y21" s="31">
        <v>1</v>
      </c>
      <c r="Z21" s="31">
        <v>51</v>
      </c>
      <c r="AA21" s="31"/>
      <c r="AB21" s="31"/>
      <c r="AC21" s="31"/>
      <c r="AD21" s="34">
        <f>IF(COUNT(S21:AC21)=0,0,SUMPRODUCT({5000,1000,500,100,75,50,20,10,5,2,1}, S21:AC21))</f>
        <v>71630</v>
      </c>
      <c r="AE21" s="33">
        <v>241627</v>
      </c>
      <c r="AF21" s="24">
        <f>IF(AND(COUNT(C21:E21)=0,COUNT(G21:I21)=0,COUNT(K21:M21)=0,COUNT(O21:Q21)=0,COUNT(S21:AC21)=0,AE21=""),"",(IF(COUNT(C21:E21)=0,0,SUMPRODUCT({5000,1000,500},C21:E21))+IF(COUNT(G21:I21)=0,0,SUMPRODUCT({5000,1000,500},G21:I21))+IF(COUNT(K21:M21)=0,0,SUMPRODUCT({5000,1000,500},K21:M21))+IF(COUNT(O21:Q21)=0,0,SUMPRODUCT({5000,1000,500},O21:Q21))+AD21)-N(AE21))</f>
        <v>3</v>
      </c>
      <c r="AG21" s="35" t="str">
        <f t="shared" si="0"/>
        <v>Excess</v>
      </c>
      <c r="AH21" s="38"/>
      <c r="AI21" s="36">
        <v>1158349.47</v>
      </c>
      <c r="AJ21" s="37">
        <f>663363.58+494985.89</f>
        <v>1158349.47</v>
      </c>
      <c r="AK21" s="26">
        <f t="shared" si="1"/>
        <v>0</v>
      </c>
      <c r="AL21" s="25" t="str">
        <f t="shared" si="2"/>
        <v>Matched</v>
      </c>
      <c r="AM21" s="38"/>
    </row>
    <row r="22" spans="1:39" ht="12.75" customHeight="1" x14ac:dyDescent="0.25">
      <c r="A22" s="31">
        <v>68475</v>
      </c>
      <c r="B22" s="32" t="str">
        <f>IF(A22="","",VLOOKUP(A22,'Employee Database'!A:B,2,FALSE))</f>
        <v>M Azeem</v>
      </c>
      <c r="C22" s="31"/>
      <c r="D22" s="31"/>
      <c r="E22" s="31"/>
      <c r="F22" s="39">
        <f>IF(COUNT(C22:E22)=0,0,SUMPRODUCT({5000,1000,500},C22:E22))</f>
        <v>0</v>
      </c>
      <c r="G22" s="31"/>
      <c r="H22" s="31"/>
      <c r="I22" s="31"/>
      <c r="J22" s="39">
        <f>IF(COUNT(G22:I22)=0,0,SUMPRODUCT({5000,1000,500},G22:I22))</f>
        <v>0</v>
      </c>
      <c r="K22" s="31">
        <v>37</v>
      </c>
      <c r="L22" s="31">
        <v>67</v>
      </c>
      <c r="M22" s="31">
        <v>6</v>
      </c>
      <c r="N22" s="39">
        <f>IF(COUNT(K22:M22)=0,0,SUMPRODUCT({5000,1000,500},K22:M22))</f>
        <v>255000</v>
      </c>
      <c r="O22" s="31"/>
      <c r="P22" s="31"/>
      <c r="Q22" s="31"/>
      <c r="R22" s="39">
        <f>IF(COUNT(O22:Q22)=0,0,SUMPRODUCT({5000,1000,500},O22:Q22))</f>
        <v>0</v>
      </c>
      <c r="S22" s="31">
        <v>25</v>
      </c>
      <c r="T22" s="31">
        <v>8</v>
      </c>
      <c r="U22" s="31">
        <v>2</v>
      </c>
      <c r="V22" s="31"/>
      <c r="W22" s="31"/>
      <c r="X22" s="31">
        <v>34</v>
      </c>
      <c r="Y22" s="31"/>
      <c r="Z22" s="31">
        <v>44</v>
      </c>
      <c r="AA22" s="31"/>
      <c r="AB22" s="31"/>
      <c r="AC22" s="31"/>
      <c r="AD22" s="34">
        <f>IF(COUNT(S22:AC22)=0,0,SUMPRODUCT({5000,1000,500,100,75,50,20,10,5,2,1}, S22:AC22))</f>
        <v>136140</v>
      </c>
      <c r="AE22" s="33">
        <v>391088</v>
      </c>
      <c r="AF22" s="24">
        <f>IF(AND(COUNT(C22:E22)=0,COUNT(G22:I22)=0,COUNT(K22:M22)=0,COUNT(O22:Q22)=0,COUNT(S22:AC22)=0,AE22=""),"",(IF(COUNT(C22:E22)=0,0,SUMPRODUCT({5000,1000,500},C22:E22))+IF(COUNT(G22:I22)=0,0,SUMPRODUCT({5000,1000,500},G22:I22))+IF(COUNT(K22:M22)=0,0,SUMPRODUCT({5000,1000,500},K22:M22))+IF(COUNT(O22:Q22)=0,0,SUMPRODUCT({5000,1000,500},O22:Q22))+AD22)-N(AE22))</f>
        <v>52</v>
      </c>
      <c r="AG22" s="35" t="str">
        <f t="shared" si="0"/>
        <v>Excess</v>
      </c>
      <c r="AH22" s="38"/>
      <c r="AI22" s="36">
        <v>717209.29</v>
      </c>
      <c r="AJ22" s="37">
        <f>283777.4+390822.78+42609.11</f>
        <v>717209.29</v>
      </c>
      <c r="AK22" s="26">
        <f t="shared" si="1"/>
        <v>0</v>
      </c>
      <c r="AL22" s="25" t="str">
        <f t="shared" si="2"/>
        <v>Matched</v>
      </c>
      <c r="AM22" s="38"/>
    </row>
    <row r="23" spans="1:39" ht="12.75" customHeight="1" x14ac:dyDescent="0.25">
      <c r="A23" s="31">
        <v>67799</v>
      </c>
      <c r="B23" s="32" t="str">
        <f>IF(A23="","",VLOOKUP(A23,'Employee Database'!A:B,2,FALSE))</f>
        <v>Hassan Raza</v>
      </c>
      <c r="C23" s="31"/>
      <c r="D23" s="31"/>
      <c r="E23" s="31"/>
      <c r="F23" s="39">
        <f>IF(COUNT(C23:E23)=0,0,SUMPRODUCT({5000,1000,500},C23:E23))</f>
        <v>0</v>
      </c>
      <c r="G23" s="31"/>
      <c r="H23" s="31"/>
      <c r="I23" s="31"/>
      <c r="J23" s="39">
        <f>IF(COUNT(G23:I23)=0,0,SUMPRODUCT({5000,1000,500},G23:I23))</f>
        <v>0</v>
      </c>
      <c r="K23" s="31">
        <v>15</v>
      </c>
      <c r="L23" s="31">
        <v>108</v>
      </c>
      <c r="M23" s="31">
        <v>34</v>
      </c>
      <c r="N23" s="39">
        <f>IF(COUNT(K23:M23)=0,0,SUMPRODUCT({5000,1000,500},K23:M23))</f>
        <v>200000</v>
      </c>
      <c r="O23" s="31"/>
      <c r="P23" s="31"/>
      <c r="Q23" s="31"/>
      <c r="R23" s="39">
        <f>IF(COUNT(O23:Q23)=0,0,SUMPRODUCT({5000,1000,500},O23:Q23))</f>
        <v>0</v>
      </c>
      <c r="S23" s="31">
        <v>4</v>
      </c>
      <c r="T23" s="31">
        <v>45</v>
      </c>
      <c r="U23" s="31">
        <v>48</v>
      </c>
      <c r="V23" s="31"/>
      <c r="W23" s="31"/>
      <c r="X23" s="31">
        <v>87</v>
      </c>
      <c r="Y23" s="31"/>
      <c r="Z23" s="31">
        <v>65</v>
      </c>
      <c r="AA23" s="31"/>
      <c r="AB23" s="31"/>
      <c r="AC23" s="31"/>
      <c r="AD23" s="34">
        <f>IF(COUNT(S23:AC23)=0,0,SUMPRODUCT({5000,1000,500,100,75,50,20,10,5,2,1}, S23:AC23))</f>
        <v>94000</v>
      </c>
      <c r="AE23" s="33">
        <v>294015</v>
      </c>
      <c r="AF23" s="24">
        <f>IF(AND(COUNT(C23:E23)=0,COUNT(G23:I23)=0,COUNT(K23:M23)=0,COUNT(O23:Q23)=0,COUNT(S23:AC23)=0,AE23=""),"",(IF(COUNT(C23:E23)=0,0,SUMPRODUCT({5000,1000,500},C23:E23))+IF(COUNT(G23:I23)=0,0,SUMPRODUCT({5000,1000,500},G23:I23))+IF(COUNT(K23:M23)=0,0,SUMPRODUCT({5000,1000,500},K23:M23))+IF(COUNT(O23:Q23)=0,0,SUMPRODUCT({5000,1000,500},O23:Q23))+AD23)-N(AE23))</f>
        <v>-15</v>
      </c>
      <c r="AG23" s="35" t="str">
        <f t="shared" si="0"/>
        <v>Short</v>
      </c>
      <c r="AH23" s="38"/>
      <c r="AI23" s="36">
        <v>418273.79</v>
      </c>
      <c r="AJ23" s="37">
        <f>179213.71+239060.08</f>
        <v>418273.79</v>
      </c>
      <c r="AK23" s="26">
        <f t="shared" si="1"/>
        <v>0</v>
      </c>
      <c r="AL23" s="25" t="str">
        <f t="shared" si="2"/>
        <v>Matched</v>
      </c>
      <c r="AM23" s="38"/>
    </row>
    <row r="24" spans="1:39" ht="12.75" customHeight="1" x14ac:dyDescent="0.25">
      <c r="A24" s="31">
        <v>67250</v>
      </c>
      <c r="B24" s="32" t="str">
        <f>IF(A24="","",VLOOKUP(A24,'Employee Database'!A:B,2,FALSE))</f>
        <v>M Fiaz</v>
      </c>
      <c r="C24" s="31"/>
      <c r="D24" s="31"/>
      <c r="E24" s="31"/>
      <c r="F24" s="39">
        <f>IF(COUNT(C24:E24)=0,0,SUMPRODUCT({5000,1000,500},C24:E24))</f>
        <v>0</v>
      </c>
      <c r="G24" s="31"/>
      <c r="H24" s="31"/>
      <c r="I24" s="31"/>
      <c r="J24" s="39">
        <f>IF(COUNT(G24:I24)=0,0,SUMPRODUCT({5000,1000,500},G24:I24))</f>
        <v>0</v>
      </c>
      <c r="K24" s="31"/>
      <c r="L24" s="31"/>
      <c r="M24" s="31"/>
      <c r="N24" s="39">
        <f>IF(COUNT(K24:M24)=0,0,SUMPRODUCT({5000,1000,500},K24:M24))</f>
        <v>0</v>
      </c>
      <c r="O24" s="31"/>
      <c r="P24" s="31"/>
      <c r="Q24" s="31"/>
      <c r="R24" s="39">
        <f>IF(COUNT(O24:Q24)=0,0,SUMPRODUCT({5000,1000,500},O24:Q24))</f>
        <v>0</v>
      </c>
      <c r="S24" s="31">
        <v>12</v>
      </c>
      <c r="T24" s="31">
        <v>40</v>
      </c>
      <c r="U24" s="31">
        <v>6</v>
      </c>
      <c r="V24" s="31"/>
      <c r="W24" s="31"/>
      <c r="X24" s="31">
        <v>20</v>
      </c>
      <c r="Y24" s="31"/>
      <c r="Z24" s="31">
        <v>85</v>
      </c>
      <c r="AA24" s="31"/>
      <c r="AB24" s="31"/>
      <c r="AC24" s="31"/>
      <c r="AD24" s="34">
        <f>IF(COUNT(S24:AC24)=0,0,SUMPRODUCT({5000,1000,500,100,75,50,20,10,5,2,1}, S24:AC24))</f>
        <v>104850</v>
      </c>
      <c r="AE24" s="33">
        <v>104993</v>
      </c>
      <c r="AF24" s="24">
        <f>IF(AND(COUNT(C24:E24)=0,COUNT(G24:I24)=0,COUNT(K24:M24)=0,COUNT(O24:Q24)=0,COUNT(S24:AC24)=0,AE24=""),"",(IF(COUNT(C24:E24)=0,0,SUMPRODUCT({5000,1000,500},C24:E24))+IF(COUNT(G24:I24)=0,0,SUMPRODUCT({5000,1000,500},G24:I24))+IF(COUNT(K24:M24)=0,0,SUMPRODUCT({5000,1000,500},K24:M24))+IF(COUNT(O24:Q24)=0,0,SUMPRODUCT({5000,1000,500},O24:Q24))+AD24)-N(AE24))</f>
        <v>-143</v>
      </c>
      <c r="AG24" s="35" t="str">
        <f t="shared" si="0"/>
        <v>Short</v>
      </c>
      <c r="AH24" s="38"/>
      <c r="AI24" s="36">
        <v>133131.5</v>
      </c>
      <c r="AJ24" s="37">
        <v>133131.5</v>
      </c>
      <c r="AK24" s="26">
        <f t="shared" si="1"/>
        <v>0</v>
      </c>
      <c r="AL24" s="25" t="str">
        <f t="shared" si="2"/>
        <v>Matched</v>
      </c>
      <c r="AM24" s="38"/>
    </row>
    <row r="25" spans="1:39" ht="12.75" customHeight="1" x14ac:dyDescent="0.25">
      <c r="A25" s="31">
        <v>69213</v>
      </c>
      <c r="B25" s="32" t="str">
        <f>IF(A25="","",VLOOKUP(A25,'Employee Database'!A:B,2,FALSE))</f>
        <v>Muhammad Shahbaz</v>
      </c>
      <c r="C25" s="31"/>
      <c r="D25" s="31"/>
      <c r="E25" s="31"/>
      <c r="F25" s="39">
        <f>IF(COUNT(C25:E25)=0,0,SUMPRODUCT({5000,1000,500},C25:E25))</f>
        <v>0</v>
      </c>
      <c r="G25" s="31"/>
      <c r="H25" s="31"/>
      <c r="I25" s="31"/>
      <c r="J25" s="39">
        <f>IF(COUNT(G25:I25)=0,0,SUMPRODUCT({5000,1000,500},G25:I25))</f>
        <v>0</v>
      </c>
      <c r="K25" s="31"/>
      <c r="L25" s="31"/>
      <c r="M25" s="31"/>
      <c r="N25" s="39">
        <f>IF(COUNT(K25:M25)=0,0,SUMPRODUCT({5000,1000,500},K25:M25))</f>
        <v>0</v>
      </c>
      <c r="O25" s="31"/>
      <c r="P25" s="31"/>
      <c r="Q25" s="31"/>
      <c r="R25" s="39">
        <f>IF(COUNT(O25:Q25)=0,0,SUMPRODUCT({5000,1000,500},O25:Q25))</f>
        <v>0</v>
      </c>
      <c r="S25" s="31">
        <v>7</v>
      </c>
      <c r="T25" s="31">
        <v>65</v>
      </c>
      <c r="U25" s="31">
        <v>10</v>
      </c>
      <c r="V25" s="31"/>
      <c r="W25" s="31"/>
      <c r="X25" s="31">
        <v>3</v>
      </c>
      <c r="Y25" s="31"/>
      <c r="Z25" s="31">
        <v>67</v>
      </c>
      <c r="AA25" s="31"/>
      <c r="AB25" s="31"/>
      <c r="AC25" s="31"/>
      <c r="AD25" s="34">
        <f>IF(COUNT(S25:AC25)=0,0,SUMPRODUCT({5000,1000,500,100,75,50,20,10,5,2,1}, S25:AC25))</f>
        <v>105820</v>
      </c>
      <c r="AE25" s="33">
        <v>105860</v>
      </c>
      <c r="AF25" s="24">
        <f>IF(AND(COUNT(C25:E25)=0,COUNT(G25:I25)=0,COUNT(K25:M25)=0,COUNT(O25:Q25)=0,COUNT(S25:AC25)=0,AE25=""),"",(IF(COUNT(C25:E25)=0,0,SUMPRODUCT({5000,1000,500},C25:E25))+IF(COUNT(G25:I25)=0,0,SUMPRODUCT({5000,1000,500},G25:I25))+IF(COUNT(K25:M25)=0,0,SUMPRODUCT({5000,1000,500},K25:M25))+IF(COUNT(O25:Q25)=0,0,SUMPRODUCT({5000,1000,500},O25:Q25))+AD25)-N(AE25))</f>
        <v>-40</v>
      </c>
      <c r="AG25" s="35" t="str">
        <f t="shared" si="0"/>
        <v>Short</v>
      </c>
      <c r="AH25" s="38"/>
      <c r="AI25" s="36">
        <f>29692.44+160673.83</f>
        <v>190366.27</v>
      </c>
      <c r="AJ25" s="37">
        <f>29692.44+160673.83</f>
        <v>190366.27</v>
      </c>
      <c r="AK25" s="26">
        <f t="shared" si="1"/>
        <v>0</v>
      </c>
      <c r="AL25" s="25" t="str">
        <f t="shared" si="2"/>
        <v>Matched</v>
      </c>
      <c r="AM25" s="38"/>
    </row>
    <row r="26" spans="1:39" ht="12.75" customHeight="1" x14ac:dyDescent="0.25">
      <c r="A26" s="31">
        <v>69728</v>
      </c>
      <c r="B26" s="32" t="str">
        <f>IF(A26="","",VLOOKUP(A26,'Employee Database'!A:B,2,FALSE))</f>
        <v>Hafiz Hafeez Ur Rehman</v>
      </c>
      <c r="C26" s="31"/>
      <c r="D26" s="31"/>
      <c r="E26" s="31"/>
      <c r="F26" s="39">
        <f>IF(COUNT(C26:E26)=0,0,SUMPRODUCT({5000,1000,500},C26:E26))</f>
        <v>0</v>
      </c>
      <c r="G26" s="31"/>
      <c r="H26" s="31"/>
      <c r="I26" s="31"/>
      <c r="J26" s="39">
        <f>IF(COUNT(G26:I26)=0,0,SUMPRODUCT({5000,1000,500},G26:I26))</f>
        <v>0</v>
      </c>
      <c r="K26" s="31"/>
      <c r="L26" s="31"/>
      <c r="M26" s="31"/>
      <c r="N26" s="39">
        <f>IF(COUNT(K26:M26)=0,0,SUMPRODUCT({5000,1000,500},K26:M26))</f>
        <v>0</v>
      </c>
      <c r="O26" s="31"/>
      <c r="P26" s="31"/>
      <c r="Q26" s="31"/>
      <c r="R26" s="39">
        <f>IF(COUNT(O26:Q26)=0,0,SUMPRODUCT({5000,1000,500},O26:Q26))</f>
        <v>0</v>
      </c>
      <c r="S26" s="31">
        <v>43</v>
      </c>
      <c r="T26" s="31">
        <v>113</v>
      </c>
      <c r="U26" s="31">
        <v>10</v>
      </c>
      <c r="V26" s="31"/>
      <c r="W26" s="31"/>
      <c r="X26" s="31">
        <v>19</v>
      </c>
      <c r="Y26" s="31"/>
      <c r="Z26" s="31">
        <v>37</v>
      </c>
      <c r="AA26" s="31"/>
      <c r="AB26" s="31"/>
      <c r="AC26" s="31"/>
      <c r="AD26" s="34">
        <f>IF(COUNT(S26:AC26)=0,0,SUMPRODUCT({5000,1000,500,100,75,50,20,10,5,2,1}, S26:AC26))</f>
        <v>334320</v>
      </c>
      <c r="AE26" s="33">
        <v>334310</v>
      </c>
      <c r="AF26" s="24">
        <f>IF(AND(COUNT(C26:E26)=0,COUNT(G26:I26)=0,COUNT(K26:M26)=0,COUNT(O26:Q26)=0,COUNT(S26:AC26)=0,AE26=""),"",(IF(COUNT(C26:E26)=0,0,SUMPRODUCT({5000,1000,500},C26:E26))+IF(COUNT(G26:I26)=0,0,SUMPRODUCT({5000,1000,500},G26:I26))+IF(COUNT(K26:M26)=0,0,SUMPRODUCT({5000,1000,500},K26:M26))+IF(COUNT(O26:Q26)=0,0,SUMPRODUCT({5000,1000,500},O26:Q26))+AD26)-N(AE26))</f>
        <v>10</v>
      </c>
      <c r="AG26" s="35" t="str">
        <f t="shared" si="0"/>
        <v>Excess</v>
      </c>
      <c r="AH26" s="38"/>
      <c r="AI26" s="36">
        <v>1101747.81</v>
      </c>
      <c r="AJ26" s="37">
        <v>1101747.81</v>
      </c>
      <c r="AK26" s="26">
        <f t="shared" si="1"/>
        <v>0</v>
      </c>
      <c r="AL26" s="25" t="str">
        <f t="shared" si="2"/>
        <v>Matched</v>
      </c>
      <c r="AM26" s="38"/>
    </row>
    <row r="27" spans="1:39" ht="12.75" customHeight="1" x14ac:dyDescent="0.25">
      <c r="A27" s="31">
        <v>78242</v>
      </c>
      <c r="B27" s="32" t="str">
        <f>IF(A27="","",VLOOKUP(A27,'Employee Database'!A:B,2,FALSE))</f>
        <v>Hamad Mughal</v>
      </c>
      <c r="C27" s="31"/>
      <c r="D27" s="31"/>
      <c r="E27" s="31"/>
      <c r="F27" s="39">
        <f>IF(COUNT(C27:E27)=0,0,SUMPRODUCT({5000,1000,500},C27:E27))</f>
        <v>0</v>
      </c>
      <c r="G27" s="31"/>
      <c r="H27" s="31"/>
      <c r="I27" s="31"/>
      <c r="J27" s="39">
        <f>IF(COUNT(G27:I27)=0,0,SUMPRODUCT({5000,1000,500},G27:I27))</f>
        <v>0</v>
      </c>
      <c r="K27" s="31"/>
      <c r="L27" s="31"/>
      <c r="M27" s="31"/>
      <c r="N27" s="39">
        <f>IF(COUNT(K27:M27)=0,0,SUMPRODUCT({5000,1000,500},K27:M27))</f>
        <v>0</v>
      </c>
      <c r="O27" s="31"/>
      <c r="P27" s="31"/>
      <c r="Q27" s="31"/>
      <c r="R27" s="39">
        <f>IF(COUNT(O27:Q27)=0,0,SUMPRODUCT({5000,1000,500},O27:Q27))</f>
        <v>0</v>
      </c>
      <c r="S27" s="31">
        <v>18</v>
      </c>
      <c r="T27" s="31">
        <v>40</v>
      </c>
      <c r="U27" s="31">
        <v>31</v>
      </c>
      <c r="V27" s="31">
        <v>3</v>
      </c>
      <c r="W27" s="31"/>
      <c r="X27" s="31">
        <v>29</v>
      </c>
      <c r="Y27" s="31"/>
      <c r="Z27" s="31">
        <v>66</v>
      </c>
      <c r="AA27" s="31"/>
      <c r="AB27" s="31"/>
      <c r="AC27" s="31"/>
      <c r="AD27" s="34">
        <f>IF(COUNT(S27:AC27)=0,0,SUMPRODUCT({5000,1000,500,100,75,50,20,10,5,2,1}, S27:AC27))</f>
        <v>147910</v>
      </c>
      <c r="AE27" s="33">
        <v>147756</v>
      </c>
      <c r="AF27" s="24">
        <f>IF(AND(COUNT(C27:E27)=0,COUNT(G27:I27)=0,COUNT(K27:M27)=0,COUNT(O27:Q27)=0,COUNT(S27:AC27)=0,AE27=""),"",(IF(COUNT(C27:E27)=0,0,SUMPRODUCT({5000,1000,500},C27:E27))+IF(COUNT(G27:I27)=0,0,SUMPRODUCT({5000,1000,500},G27:I27))+IF(COUNT(K27:M27)=0,0,SUMPRODUCT({5000,1000,500},K27:M27))+IF(COUNT(O27:Q27)=0,0,SUMPRODUCT({5000,1000,500},O27:Q27))+AD27)-N(AE27))</f>
        <v>154</v>
      </c>
      <c r="AG27" s="35" t="str">
        <f t="shared" si="0"/>
        <v>Excess</v>
      </c>
      <c r="AH27" s="38"/>
      <c r="AI27" s="36">
        <f>81460+339230.25</f>
        <v>420690.25</v>
      </c>
      <c r="AJ27" s="37">
        <f>243455.47+81460+95774.78</f>
        <v>420690.25</v>
      </c>
      <c r="AK27" s="26">
        <f t="shared" si="1"/>
        <v>0</v>
      </c>
      <c r="AL27" s="25" t="str">
        <f t="shared" si="2"/>
        <v>Matched</v>
      </c>
      <c r="AM27" s="38"/>
    </row>
    <row r="28" spans="1:39" ht="12.75" customHeight="1" x14ac:dyDescent="0.25">
      <c r="A28" s="31">
        <v>75768</v>
      </c>
      <c r="B28" s="32" t="str">
        <f>IF(A28="","",VLOOKUP(A28,'Employee Database'!A:B,2,FALSE))</f>
        <v>Zuhaib</v>
      </c>
      <c r="C28" s="31"/>
      <c r="D28" s="31"/>
      <c r="E28" s="31"/>
      <c r="F28" s="39">
        <f>IF(COUNT(C28:E28)=0,0,SUMPRODUCT({5000,1000,500},C28:E28))</f>
        <v>0</v>
      </c>
      <c r="G28" s="31"/>
      <c r="H28" s="31"/>
      <c r="I28" s="31"/>
      <c r="J28" s="39">
        <f>IF(COUNT(G28:I28)=0,0,SUMPRODUCT({5000,1000,500},G28:I28))</f>
        <v>0</v>
      </c>
      <c r="K28" s="31"/>
      <c r="L28" s="31"/>
      <c r="M28" s="31"/>
      <c r="N28" s="39">
        <f>IF(COUNT(K28:M28)=0,0,SUMPRODUCT({5000,1000,500},K28:M28))</f>
        <v>0</v>
      </c>
      <c r="O28" s="31"/>
      <c r="P28" s="31"/>
      <c r="Q28" s="31"/>
      <c r="R28" s="39">
        <f>IF(COUNT(O28:Q28)=0,0,SUMPRODUCT({5000,1000,500},O28:Q28))</f>
        <v>0</v>
      </c>
      <c r="S28" s="31">
        <v>30</v>
      </c>
      <c r="T28" s="31">
        <v>54</v>
      </c>
      <c r="U28" s="31">
        <v>6</v>
      </c>
      <c r="V28" s="31">
        <v>4</v>
      </c>
      <c r="W28" s="31"/>
      <c r="X28" s="31">
        <v>51</v>
      </c>
      <c r="Y28" s="31">
        <v>1</v>
      </c>
      <c r="Z28" s="31">
        <v>23</v>
      </c>
      <c r="AA28" s="31"/>
      <c r="AB28" s="31"/>
      <c r="AC28" s="31"/>
      <c r="AD28" s="34">
        <f>IF(COUNT(S28:AC28)=0,0,SUMPRODUCT({5000,1000,500,100,75,50,20,10,5,2,1}, S28:AC28))</f>
        <v>210200</v>
      </c>
      <c r="AE28" s="33">
        <v>210219</v>
      </c>
      <c r="AF28" s="24">
        <f>IF(AND(COUNT(C28:E28)=0,COUNT(G28:I28)=0,COUNT(K28:M28)=0,COUNT(O28:Q28)=0,COUNT(S28:AC28)=0,AE28=""),"",(IF(COUNT(C28:E28)=0,0,SUMPRODUCT({5000,1000,500},C28:E28))+IF(COUNT(G28:I28)=0,0,SUMPRODUCT({5000,1000,500},G28:I28))+IF(COUNT(K28:M28)=0,0,SUMPRODUCT({5000,1000,500},K28:M28))+IF(COUNT(O28:Q28)=0,0,SUMPRODUCT({5000,1000,500},O28:Q28))+AD28)-N(AE28))</f>
        <v>-19</v>
      </c>
      <c r="AG28" s="35" t="str">
        <f t="shared" si="0"/>
        <v>Short</v>
      </c>
      <c r="AH28" s="38"/>
      <c r="AI28" s="36">
        <v>639058.55000000005</v>
      </c>
      <c r="AJ28" s="37">
        <f>423212.12+197544.62+18301.81</f>
        <v>639058.55000000005</v>
      </c>
      <c r="AK28" s="26">
        <f t="shared" si="1"/>
        <v>0</v>
      </c>
      <c r="AL28" s="25" t="str">
        <f t="shared" si="2"/>
        <v>Matched</v>
      </c>
      <c r="AM28" s="38"/>
    </row>
    <row r="29" spans="1:39" ht="12.75" customHeight="1" x14ac:dyDescent="0.25">
      <c r="A29" s="31"/>
      <c r="B29" s="32" t="str">
        <f>IF(A29="","",VLOOKUP(A29,'Employee Database'!A:B,2,FALSE))</f>
        <v/>
      </c>
      <c r="C29" s="31"/>
      <c r="D29" s="31"/>
      <c r="E29" s="31"/>
      <c r="F29" s="39">
        <f>IF(COUNT(C29:E29)=0,0,SUMPRODUCT({5000,1000,500},C29:E29))</f>
        <v>0</v>
      </c>
      <c r="G29" s="31"/>
      <c r="H29" s="31"/>
      <c r="I29" s="31"/>
      <c r="J29" s="39">
        <f>IF(COUNT(G29:I29)=0,0,SUMPRODUCT({5000,1000,500},G29:I29))</f>
        <v>0</v>
      </c>
      <c r="K29" s="31"/>
      <c r="L29" s="31"/>
      <c r="M29" s="31"/>
      <c r="N29" s="39">
        <f>IF(COUNT(K29:M29)=0,0,SUMPRODUCT({5000,1000,500},K29:M29))</f>
        <v>0</v>
      </c>
      <c r="O29" s="31"/>
      <c r="P29" s="31"/>
      <c r="Q29" s="31"/>
      <c r="R29" s="39">
        <f>IF(COUNT(O29:Q29)=0,0,SUMPRODUCT({5000,1000,500},O29:Q29))</f>
        <v>0</v>
      </c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4">
        <f>IF(COUNT(S29:AC29)=0,0,SUMPRODUCT({5000,1000,500,100,75,50,20,10,5,2,1}, S29:AC29))</f>
        <v>0</v>
      </c>
      <c r="AE29" s="33"/>
      <c r="AF29" s="24" t="str">
        <f>IF(AND(COUNT(C29:E29)=0,COUNT(G29:I29)=0,COUNT(K29:M29)=0,COUNT(O29:Q29)=0,COUNT(S29:AC29)=0,AE29=""),"",(IF(COUNT(C29:E29)=0,0,SUMPRODUCT({5000,1000,500},C29:E29))+IF(COUNT(G29:I29)=0,0,SUMPRODUCT({5000,1000,500},G29:I29))+IF(COUNT(K29:M29)=0,0,SUMPRODUCT({5000,1000,500},K29:M29))+IF(COUNT(O29:Q29)=0,0,SUMPRODUCT({5000,1000,500},O29:Q29))+AD29)-N(AE29))</f>
        <v/>
      </c>
      <c r="AG29" s="35" t="str">
        <f t="shared" si="0"/>
        <v/>
      </c>
      <c r="AH29" s="38"/>
      <c r="AI29" s="36"/>
      <c r="AJ29" s="37"/>
      <c r="AK29" s="26" t="str">
        <f t="shared" si="1"/>
        <v/>
      </c>
      <c r="AL29" s="25" t="str">
        <f t="shared" si="2"/>
        <v/>
      </c>
      <c r="AM29" s="38"/>
    </row>
    <row r="30" spans="1:39" ht="12.75" customHeight="1" x14ac:dyDescent="0.25">
      <c r="A30" s="31"/>
      <c r="B30" s="32" t="str">
        <f>IF(A30="","",VLOOKUP(A30,'Employee Database'!A:B,2,FALSE))</f>
        <v/>
      </c>
      <c r="C30" s="31"/>
      <c r="D30" s="31"/>
      <c r="E30" s="31"/>
      <c r="F30" s="39">
        <f>IF(COUNT(C30:E30)=0,0,SUMPRODUCT({5000,1000,500},C30:E30))</f>
        <v>0</v>
      </c>
      <c r="G30" s="31"/>
      <c r="H30" s="31"/>
      <c r="I30" s="31"/>
      <c r="J30" s="39">
        <f>IF(COUNT(G30:I30)=0,0,SUMPRODUCT({5000,1000,500},G30:I30))</f>
        <v>0</v>
      </c>
      <c r="K30" s="31"/>
      <c r="L30" s="31"/>
      <c r="M30" s="31"/>
      <c r="N30" s="39">
        <f>IF(COUNT(K30:M30)=0,0,SUMPRODUCT({5000,1000,500},K30:M30))</f>
        <v>0</v>
      </c>
      <c r="O30" s="31"/>
      <c r="P30" s="31"/>
      <c r="Q30" s="31"/>
      <c r="R30" s="39">
        <f>IF(COUNT(O30:Q30)=0,0,SUMPRODUCT({5000,1000,500},O30:Q30))</f>
        <v>0</v>
      </c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4">
        <f>IF(COUNT(S30:AC30)=0,0,SUMPRODUCT({5000,1000,500,100,75,50,20,10,5,2,1}, S30:AC30))</f>
        <v>0</v>
      </c>
      <c r="AE30" s="33"/>
      <c r="AF30" s="24" t="str">
        <f>IF(AND(COUNT(C30:E30)=0,COUNT(G30:I30)=0,COUNT(K30:M30)=0,COUNT(O30:Q30)=0,COUNT(S30:AC30)=0,AE30=""),"",(IF(COUNT(C30:E30)=0,0,SUMPRODUCT({5000,1000,500},C30:E30))+IF(COUNT(G30:I30)=0,0,SUMPRODUCT({5000,1000,500},G30:I30))+IF(COUNT(K30:M30)=0,0,SUMPRODUCT({5000,1000,500},K30:M30))+IF(COUNT(O30:Q30)=0,0,SUMPRODUCT({5000,1000,500},O30:Q30))+AD30)-N(AE30))</f>
        <v/>
      </c>
      <c r="AG30" s="35" t="str">
        <f t="shared" si="0"/>
        <v/>
      </c>
      <c r="AH30" s="38"/>
      <c r="AI30" s="36"/>
      <c r="AJ30" s="37"/>
      <c r="AK30" s="26" t="str">
        <f t="shared" si="1"/>
        <v/>
      </c>
      <c r="AL30" s="25" t="str">
        <f t="shared" si="2"/>
        <v/>
      </c>
      <c r="AM30" s="38"/>
    </row>
    <row r="31" spans="1:39" ht="12.75" customHeight="1" x14ac:dyDescent="0.25">
      <c r="A31" s="31"/>
      <c r="B31" s="32" t="str">
        <f>IF(A31="","",VLOOKUP(A31,'Employee Database'!A:B,2,FALSE))</f>
        <v/>
      </c>
      <c r="C31" s="31"/>
      <c r="D31" s="31"/>
      <c r="E31" s="31"/>
      <c r="F31" s="39">
        <f>IF(COUNT(C31:E31)=0,0,SUMPRODUCT({5000,1000,500},C31:E31))</f>
        <v>0</v>
      </c>
      <c r="G31" s="31"/>
      <c r="H31" s="31"/>
      <c r="I31" s="31"/>
      <c r="J31" s="39">
        <f>IF(COUNT(G31:I31)=0,0,SUMPRODUCT({5000,1000,500},G31:I31))</f>
        <v>0</v>
      </c>
      <c r="K31" s="31"/>
      <c r="L31" s="31"/>
      <c r="M31" s="31"/>
      <c r="N31" s="39">
        <f>IF(COUNT(K31:M31)=0,0,SUMPRODUCT({5000,1000,500},K31:M31))</f>
        <v>0</v>
      </c>
      <c r="O31" s="31"/>
      <c r="P31" s="31"/>
      <c r="Q31" s="31"/>
      <c r="R31" s="39">
        <f>IF(COUNT(O31:Q31)=0,0,SUMPRODUCT({5000,1000,500},O31:Q31))</f>
        <v>0</v>
      </c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4">
        <f>IF(COUNT(S31:AC31)=0,0,SUMPRODUCT({5000,1000,500,100,75,50,20,10,5,2,1}, S31:AC31))</f>
        <v>0</v>
      </c>
      <c r="AE31" s="33"/>
      <c r="AF31" s="24" t="str">
        <f>IF(AND(COUNT(C31:E31)=0,COUNT(G31:I31)=0,COUNT(K31:M31)=0,COUNT(O31:Q31)=0,COUNT(S31:AC31)=0,AE31=""),"",(IF(COUNT(C31:E31)=0,0,SUMPRODUCT({5000,1000,500},C31:E31))+IF(COUNT(G31:I31)=0,0,SUMPRODUCT({5000,1000,500},G31:I31))+IF(COUNT(K31:M31)=0,0,SUMPRODUCT({5000,1000,500},K31:M31))+IF(COUNT(O31:Q31)=0,0,SUMPRODUCT({5000,1000,500},O31:Q31))+AD31)-N(AE31))</f>
        <v/>
      </c>
      <c r="AG31" s="35" t="str">
        <f t="shared" si="0"/>
        <v/>
      </c>
      <c r="AH31" s="38"/>
      <c r="AI31" s="36"/>
      <c r="AJ31" s="37"/>
      <c r="AK31" s="26" t="str">
        <f t="shared" si="1"/>
        <v/>
      </c>
      <c r="AL31" s="25" t="str">
        <f t="shared" si="2"/>
        <v/>
      </c>
      <c r="AM31" s="38"/>
    </row>
    <row r="32" spans="1:39" ht="12.75" customHeight="1" x14ac:dyDescent="0.25">
      <c r="A32" s="31"/>
      <c r="B32" s="32" t="str">
        <f>IF(A32="","",VLOOKUP(A32,'Employee Database'!A:B,2,FALSE))</f>
        <v/>
      </c>
      <c r="C32" s="31"/>
      <c r="D32" s="31"/>
      <c r="E32" s="31"/>
      <c r="F32" s="39">
        <f>IF(COUNT(C32:E32)=0,0,SUMPRODUCT({5000,1000,500},C32:E32))</f>
        <v>0</v>
      </c>
      <c r="G32" s="31"/>
      <c r="H32" s="31"/>
      <c r="I32" s="31"/>
      <c r="J32" s="39">
        <f>IF(COUNT(G32:I32)=0,0,SUMPRODUCT({5000,1000,500},G32:I32))</f>
        <v>0</v>
      </c>
      <c r="K32" s="31"/>
      <c r="L32" s="31"/>
      <c r="M32" s="31"/>
      <c r="N32" s="39">
        <f>IF(COUNT(K32:M32)=0,0,SUMPRODUCT({5000,1000,500},K32:M32))</f>
        <v>0</v>
      </c>
      <c r="O32" s="31"/>
      <c r="P32" s="31"/>
      <c r="Q32" s="31"/>
      <c r="R32" s="39">
        <f>IF(COUNT(O32:Q32)=0,0,SUMPRODUCT({5000,1000,500},O32:Q32))</f>
        <v>0</v>
      </c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4">
        <f>IF(COUNT(S32:AC32)=0,0,SUMPRODUCT({5000,1000,500,100,75,50,20,10,5,2,1}, S32:AC32))</f>
        <v>0</v>
      </c>
      <c r="AE32" s="33"/>
      <c r="AF32" s="24" t="str">
        <f>IF(AND(COUNT(C32:E32)=0,COUNT(G32:I32)=0,COUNT(K32:M32)=0,COUNT(O32:Q32)=0,COUNT(S32:AC32)=0,AE32=""),"",(IF(COUNT(C32:E32)=0,0,SUMPRODUCT({5000,1000,500},C32:E32))+IF(COUNT(G32:I32)=0,0,SUMPRODUCT({5000,1000,500},G32:I32))+IF(COUNT(K32:M32)=0,0,SUMPRODUCT({5000,1000,500},K32:M32))+IF(COUNT(O32:Q32)=0,0,SUMPRODUCT({5000,1000,500},O32:Q32))+AD32)-N(AE32))</f>
        <v/>
      </c>
      <c r="AG32" s="35" t="str">
        <f t="shared" si="0"/>
        <v/>
      </c>
      <c r="AH32" s="38"/>
      <c r="AI32" s="36"/>
      <c r="AJ32" s="37"/>
      <c r="AK32" s="26" t="str">
        <f t="shared" si="1"/>
        <v/>
      </c>
      <c r="AL32" s="25" t="str">
        <f t="shared" si="2"/>
        <v/>
      </c>
      <c r="AM32" s="38"/>
    </row>
    <row r="33" spans="1:39" ht="12.75" customHeight="1" x14ac:dyDescent="0.25">
      <c r="A33" s="31"/>
      <c r="B33" s="32" t="str">
        <f>IF(A33="","",VLOOKUP(A33,'Employee Database'!A:B,2,FALSE))</f>
        <v/>
      </c>
      <c r="C33" s="31"/>
      <c r="D33" s="31"/>
      <c r="E33" s="31"/>
      <c r="F33" s="39">
        <f>IF(COUNT(C33:E33)=0,0,SUMPRODUCT({5000,1000,500},C33:E33))</f>
        <v>0</v>
      </c>
      <c r="G33" s="31"/>
      <c r="H33" s="31"/>
      <c r="I33" s="31"/>
      <c r="J33" s="39">
        <f>IF(COUNT(G33:I33)=0,0,SUMPRODUCT({5000,1000,500},G33:I33))</f>
        <v>0</v>
      </c>
      <c r="K33" s="31"/>
      <c r="L33" s="31"/>
      <c r="M33" s="31"/>
      <c r="N33" s="39">
        <f>IF(COUNT(K33:M33)=0,0,SUMPRODUCT({5000,1000,500},K33:M33))</f>
        <v>0</v>
      </c>
      <c r="O33" s="31"/>
      <c r="P33" s="31"/>
      <c r="Q33" s="31"/>
      <c r="R33" s="39">
        <f>IF(COUNT(O33:Q33)=0,0,SUMPRODUCT({5000,1000,500},O33:Q33))</f>
        <v>0</v>
      </c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4">
        <f>IF(COUNT(S33:AC33)=0,0,SUMPRODUCT({5000,1000,500,100,75,50,20,10,5,2,1}, S33:AC33))</f>
        <v>0</v>
      </c>
      <c r="AE33" s="33"/>
      <c r="AF33" s="24" t="str">
        <f>IF(AND(COUNT(C33:E33)=0,COUNT(G33:I33)=0,COUNT(K33:M33)=0,COUNT(O33:Q33)=0,COUNT(S33:AC33)=0,AE33=""),"",(IF(COUNT(C33:E33)=0,0,SUMPRODUCT({5000,1000,500},C33:E33))+IF(COUNT(G33:I33)=0,0,SUMPRODUCT({5000,1000,500},G33:I33))+IF(COUNT(K33:M33)=0,0,SUMPRODUCT({5000,1000,500},K33:M33))+IF(COUNT(O33:Q33)=0,0,SUMPRODUCT({5000,1000,500},O33:Q33))+AD33)-N(AE33))</f>
        <v/>
      </c>
      <c r="AG33" s="35" t="str">
        <f t="shared" si="0"/>
        <v/>
      </c>
      <c r="AH33" s="38"/>
      <c r="AI33" s="36"/>
      <c r="AJ33" s="37"/>
      <c r="AK33" s="26" t="str">
        <f t="shared" si="1"/>
        <v/>
      </c>
      <c r="AL33" s="25" t="str">
        <f t="shared" si="2"/>
        <v/>
      </c>
      <c r="AM33" s="38"/>
    </row>
    <row r="34" spans="1:39" ht="12.75" customHeight="1" x14ac:dyDescent="0.25">
      <c r="A34" s="31"/>
      <c r="B34" s="32" t="str">
        <f>IF(A34="","",VLOOKUP(A34,'Employee Database'!A:B,2,FALSE))</f>
        <v/>
      </c>
      <c r="C34" s="31"/>
      <c r="D34" s="31"/>
      <c r="E34" s="31"/>
      <c r="F34" s="39">
        <f>IF(COUNT(C34:E34)=0,0,SUMPRODUCT({5000,1000,500},C34:E34))</f>
        <v>0</v>
      </c>
      <c r="G34" s="31"/>
      <c r="H34" s="31"/>
      <c r="I34" s="31"/>
      <c r="J34" s="39">
        <f>IF(COUNT(G34:I34)=0,0,SUMPRODUCT({5000,1000,500},G34:I34))</f>
        <v>0</v>
      </c>
      <c r="K34" s="31"/>
      <c r="L34" s="31"/>
      <c r="M34" s="31"/>
      <c r="N34" s="39">
        <f>IF(COUNT(K34:M34)=0,0,SUMPRODUCT({5000,1000,500},K34:M34))</f>
        <v>0</v>
      </c>
      <c r="O34" s="31"/>
      <c r="P34" s="31"/>
      <c r="Q34" s="31"/>
      <c r="R34" s="39">
        <f>IF(COUNT(O34:Q34)=0,0,SUMPRODUCT({5000,1000,500},O34:Q34))</f>
        <v>0</v>
      </c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4">
        <f>IF(COUNT(S34:AC34)=0,0,SUMPRODUCT({5000,1000,500,100,75,50,20,10,5,2,1}, S34:AC34))</f>
        <v>0</v>
      </c>
      <c r="AE34" s="33"/>
      <c r="AF34" s="24" t="str">
        <f>IF(AND(COUNT(C34:E34)=0,COUNT(G34:I34)=0,COUNT(K34:M34)=0,COUNT(O34:Q34)=0,COUNT(S34:AC34)=0,AE34=""),"",(IF(COUNT(C34:E34)=0,0,SUMPRODUCT({5000,1000,500},C34:E34))+IF(COUNT(G34:I34)=0,0,SUMPRODUCT({5000,1000,500},G34:I34))+IF(COUNT(K34:M34)=0,0,SUMPRODUCT({5000,1000,500},K34:M34))+IF(COUNT(O34:Q34)=0,0,SUMPRODUCT({5000,1000,500},O34:Q34))+AD34)-N(AE34))</f>
        <v/>
      </c>
      <c r="AG34" s="35" t="str">
        <f t="shared" si="0"/>
        <v/>
      </c>
      <c r="AH34" s="38"/>
      <c r="AI34" s="36"/>
      <c r="AJ34" s="37"/>
      <c r="AK34" s="26" t="str">
        <f t="shared" si="1"/>
        <v/>
      </c>
      <c r="AL34" s="25" t="str">
        <f t="shared" si="2"/>
        <v/>
      </c>
      <c r="AM34" s="38"/>
    </row>
    <row r="35" spans="1:39" ht="22.5" customHeight="1" x14ac:dyDescent="0.25">
      <c r="A35" s="27" t="s">
        <v>24</v>
      </c>
      <c r="B35" s="27" t="s">
        <v>24</v>
      </c>
      <c r="C35" s="28">
        <f t="shared" ref="C35:AF35" si="3">SUM(C5:C34)</f>
        <v>186</v>
      </c>
      <c r="D35" s="28">
        <f t="shared" si="3"/>
        <v>367</v>
      </c>
      <c r="E35" s="28">
        <f t="shared" si="3"/>
        <v>36</v>
      </c>
      <c r="F35" s="40">
        <f t="shared" si="3"/>
        <v>1315000</v>
      </c>
      <c r="G35" s="28">
        <f t="shared" si="3"/>
        <v>129</v>
      </c>
      <c r="H35" s="28">
        <f t="shared" si="3"/>
        <v>352</v>
      </c>
      <c r="I35" s="28">
        <f t="shared" si="3"/>
        <v>81</v>
      </c>
      <c r="J35" s="40">
        <f t="shared" si="3"/>
        <v>1037500</v>
      </c>
      <c r="K35" s="28">
        <f t="shared" si="3"/>
        <v>283</v>
      </c>
      <c r="L35" s="28">
        <f t="shared" si="3"/>
        <v>575</v>
      </c>
      <c r="M35" s="28">
        <f t="shared" si="3"/>
        <v>79</v>
      </c>
      <c r="N35" s="40">
        <f t="shared" si="3"/>
        <v>2029500</v>
      </c>
      <c r="O35" s="28">
        <f t="shared" si="3"/>
        <v>0</v>
      </c>
      <c r="P35" s="28">
        <f t="shared" si="3"/>
        <v>0</v>
      </c>
      <c r="Q35" s="28">
        <f t="shared" si="3"/>
        <v>0</v>
      </c>
      <c r="R35" s="40">
        <f t="shared" si="3"/>
        <v>0</v>
      </c>
      <c r="S35" s="28">
        <f t="shared" si="3"/>
        <v>221</v>
      </c>
      <c r="T35" s="28">
        <f t="shared" si="3"/>
        <v>560</v>
      </c>
      <c r="U35" s="28">
        <f t="shared" si="3"/>
        <v>185</v>
      </c>
      <c r="V35" s="28">
        <f t="shared" si="3"/>
        <v>63</v>
      </c>
      <c r="W35" s="28">
        <f t="shared" si="3"/>
        <v>0</v>
      </c>
      <c r="X35" s="28">
        <f t="shared" si="3"/>
        <v>767</v>
      </c>
      <c r="Y35" s="28">
        <f t="shared" si="3"/>
        <v>9</v>
      </c>
      <c r="Z35" s="28">
        <f t="shared" si="3"/>
        <v>1078</v>
      </c>
      <c r="AA35" s="28">
        <f t="shared" si="3"/>
        <v>0</v>
      </c>
      <c r="AB35" s="28">
        <f t="shared" si="3"/>
        <v>3</v>
      </c>
      <c r="AC35" s="28">
        <f t="shared" si="3"/>
        <v>0</v>
      </c>
      <c r="AD35" s="40">
        <f t="shared" si="3"/>
        <v>1813116</v>
      </c>
      <c r="AE35" s="41">
        <f t="shared" si="3"/>
        <v>6194878</v>
      </c>
      <c r="AF35" s="29">
        <f t="shared" si="3"/>
        <v>238</v>
      </c>
      <c r="AG35" s="27" t="s">
        <v>24</v>
      </c>
      <c r="AH35" s="27" t="s">
        <v>24</v>
      </c>
      <c r="AI35" s="28">
        <f>SUM(AI5:AI34)</f>
        <v>15182644.950000005</v>
      </c>
      <c r="AJ35" s="28">
        <f>SUM(AJ5:AJ34)</f>
        <v>15182644.950000005</v>
      </c>
      <c r="AK35" s="28">
        <f>SUM(AK5:AK34)</f>
        <v>-8.7311491370201111E-11</v>
      </c>
      <c r="AL35" s="28">
        <f>AJ35+AE35</f>
        <v>21377522.950000003</v>
      </c>
      <c r="AM35" s="28">
        <f>SUM(AM5:AM34)</f>
        <v>0</v>
      </c>
    </row>
  </sheetData>
  <sheetProtection algorithmName="SHA-512" hashValue="twrM9hJbBP6IfPfDPicebwmqZCRgRzfYeC2pdG1x006fXNAk8uEhZbShXN6yJXCF+21kf83F/I//jTdAIQIT7g==" saltValue="BGzbCD90P/7i/9XXibfD9A==" spinCount="100000" sheet="1" objects="1" scenarios="1"/>
  <mergeCells count="9">
    <mergeCell ref="S3:AC3"/>
    <mergeCell ref="AD3:AG3"/>
    <mergeCell ref="AH3:AM3"/>
    <mergeCell ref="A1:B1"/>
    <mergeCell ref="A3:B3"/>
    <mergeCell ref="C3:F3"/>
    <mergeCell ref="G3:J3"/>
    <mergeCell ref="K3:N3"/>
    <mergeCell ref="O3:R3"/>
  </mergeCells>
  <conditionalFormatting sqref="A5">
    <cfRule type="duplicateValues" dxfId="50" priority="3"/>
    <cfRule type="duplicateValues" dxfId="49" priority="4"/>
  </conditionalFormatting>
  <conditionalFormatting sqref="A6">
    <cfRule type="duplicateValues" dxfId="48" priority="5"/>
    <cfRule type="duplicateValues" dxfId="47" priority="6"/>
  </conditionalFormatting>
  <conditionalFormatting sqref="A7:A34">
    <cfRule type="duplicateValues" dxfId="46" priority="1"/>
    <cfRule type="duplicateValues" dxfId="45" priority="2"/>
  </conditionalFormatting>
  <conditionalFormatting sqref="A35">
    <cfRule type="duplicateValues" dxfId="44" priority="7"/>
  </conditionalFormatting>
  <dataValidations disablePrompts="1" count="1">
    <dataValidation type="list" allowBlank="1" showInputMessage="1" showErrorMessage="1" sqref="A1:B1" xr:uid="{00000000-0002-0000-1A00-000000000000}">
      <formula1>Locations</formula1>
    </dataValidation>
  </dataValidations>
  <pageMargins left="0.75" right="0.75" top="1" bottom="1" header="0.5" footer="0.5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>
    <tabColor rgb="FFFF0000"/>
  </sheetPr>
  <dimension ref="A1:AM35"/>
  <sheetViews>
    <sheetView showGridLines="0" topLeftCell="A13" zoomScale="85" zoomScaleNormal="85" workbookViewId="0">
      <pane xSplit="2" topLeftCell="AA1" activePane="topRight" state="frozen"/>
      <selection activeCell="A4" sqref="A4"/>
      <selection pane="topRight" activeCell="Z35" sqref="Z35"/>
    </sheetView>
  </sheetViews>
  <sheetFormatPr defaultRowHeight="15" x14ac:dyDescent="0.25"/>
  <cols>
    <col min="1" max="1" width="11.85546875" customWidth="1"/>
    <col min="2" max="2" width="20.5703125" customWidth="1"/>
    <col min="6" max="6" width="14.42578125" bestFit="1" customWidth="1"/>
    <col min="10" max="10" width="14.42578125" bestFit="1" customWidth="1"/>
    <col min="14" max="14" width="14.42578125" bestFit="1" customWidth="1"/>
    <col min="18" max="18" width="14.42578125" bestFit="1" customWidth="1"/>
    <col min="30" max="31" width="18" customWidth="1"/>
    <col min="32" max="32" width="20" customWidth="1"/>
    <col min="33" max="33" width="14" customWidth="1"/>
    <col min="35" max="35" width="18" customWidth="1"/>
    <col min="36" max="36" width="22" customWidth="1"/>
    <col min="37" max="37" width="16" customWidth="1"/>
    <col min="38" max="38" width="14" customWidth="1"/>
  </cols>
  <sheetData>
    <row r="1" spans="1:39" ht="43.5" customHeight="1" x14ac:dyDescent="0.25">
      <c r="A1" s="48" t="s">
        <v>306</v>
      </c>
      <c r="B1" s="48"/>
    </row>
    <row r="2" spans="1:39" ht="13.5" customHeight="1" x14ac:dyDescent="0.25">
      <c r="A2" s="30">
        <f>'25'!A2+1</f>
        <v>46229</v>
      </c>
    </row>
    <row r="3" spans="1:39" ht="24" customHeight="1" x14ac:dyDescent="0.25">
      <c r="A3" s="49" t="s">
        <v>0</v>
      </c>
      <c r="B3" s="49"/>
      <c r="C3" s="49" t="s">
        <v>93</v>
      </c>
      <c r="D3" s="50"/>
      <c r="E3" s="50"/>
      <c r="F3" s="50"/>
      <c r="G3" s="49" t="s">
        <v>94</v>
      </c>
      <c r="H3" s="50"/>
      <c r="I3" s="50"/>
      <c r="J3" s="50"/>
      <c r="K3" s="49" t="s">
        <v>95</v>
      </c>
      <c r="L3" s="50"/>
      <c r="M3" s="50"/>
      <c r="N3" s="50"/>
      <c r="O3" s="49" t="s">
        <v>96</v>
      </c>
      <c r="P3" s="50"/>
      <c r="Q3" s="50"/>
      <c r="R3" s="50"/>
      <c r="S3" s="45" t="s">
        <v>1</v>
      </c>
      <c r="T3" s="46"/>
      <c r="U3" s="46"/>
      <c r="V3" s="46"/>
      <c r="W3" s="46"/>
      <c r="X3" s="46"/>
      <c r="Y3" s="46"/>
      <c r="Z3" s="46"/>
      <c r="AA3" s="46"/>
      <c r="AB3" s="46"/>
      <c r="AC3" s="46"/>
      <c r="AD3" s="47" t="s">
        <v>97</v>
      </c>
      <c r="AE3" s="46"/>
      <c r="AF3" s="46"/>
      <c r="AG3" s="46"/>
      <c r="AH3" s="47" t="s">
        <v>98</v>
      </c>
      <c r="AI3" s="46"/>
      <c r="AJ3" s="46"/>
      <c r="AK3" s="46"/>
      <c r="AL3" s="46"/>
      <c r="AM3" s="46"/>
    </row>
    <row r="4" spans="1:39" ht="27.95" customHeight="1" x14ac:dyDescent="0.25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92</v>
      </c>
      <c r="G4" s="1" t="s">
        <v>5</v>
      </c>
      <c r="H4" s="1" t="s">
        <v>6</v>
      </c>
      <c r="I4" s="1" t="s">
        <v>7</v>
      </c>
      <c r="J4" s="1" t="s">
        <v>92</v>
      </c>
      <c r="K4" s="1" t="s">
        <v>5</v>
      </c>
      <c r="L4" s="1" t="s">
        <v>6</v>
      </c>
      <c r="M4" s="1" t="s">
        <v>7</v>
      </c>
      <c r="N4" s="1" t="s">
        <v>92</v>
      </c>
      <c r="O4" s="1" t="s">
        <v>5</v>
      </c>
      <c r="P4" s="1" t="s">
        <v>6</v>
      </c>
      <c r="Q4" s="1" t="s">
        <v>7</v>
      </c>
      <c r="R4" s="1" t="s">
        <v>92</v>
      </c>
      <c r="S4" s="1" t="s">
        <v>5</v>
      </c>
      <c r="T4" s="1" t="s">
        <v>6</v>
      </c>
      <c r="U4" s="1" t="s">
        <v>7</v>
      </c>
      <c r="V4" s="1" t="s">
        <v>8</v>
      </c>
      <c r="W4" s="1" t="s">
        <v>9</v>
      </c>
      <c r="X4" s="1" t="s">
        <v>10</v>
      </c>
      <c r="Y4" s="1" t="s">
        <v>11</v>
      </c>
      <c r="Z4" s="1" t="s">
        <v>12</v>
      </c>
      <c r="AA4" s="1" t="s">
        <v>13</v>
      </c>
      <c r="AB4" s="1" t="s">
        <v>14</v>
      </c>
      <c r="AC4" s="1" t="s">
        <v>15</v>
      </c>
      <c r="AD4" s="1" t="s">
        <v>16</v>
      </c>
      <c r="AE4" s="1" t="s">
        <v>17</v>
      </c>
      <c r="AF4" s="1" t="s">
        <v>18</v>
      </c>
      <c r="AG4" s="1" t="s">
        <v>19</v>
      </c>
      <c r="AH4" s="1" t="s">
        <v>20</v>
      </c>
      <c r="AI4" s="4" t="s">
        <v>99</v>
      </c>
      <c r="AJ4" s="1" t="s">
        <v>21</v>
      </c>
      <c r="AK4" s="1" t="s">
        <v>22</v>
      </c>
      <c r="AL4" s="1" t="s">
        <v>23</v>
      </c>
      <c r="AM4" s="4" t="s">
        <v>100</v>
      </c>
    </row>
    <row r="5" spans="1:39" ht="12.75" customHeight="1" x14ac:dyDescent="0.25">
      <c r="A5" s="31">
        <v>67249</v>
      </c>
      <c r="B5" s="32" t="str">
        <f>IF(A5="","",VLOOKUP(A5,'Employee Database'!A:B,2,FALSE))</f>
        <v>Hanan Javaid</v>
      </c>
      <c r="C5" s="31">
        <v>23</v>
      </c>
      <c r="D5" s="31">
        <v>35</v>
      </c>
      <c r="E5" s="31">
        <v>100</v>
      </c>
      <c r="F5" s="39">
        <f>IF(COUNT(C5:E5)=0,0,SUMPRODUCT({5000,1000,500},C5:E5))</f>
        <v>200000</v>
      </c>
      <c r="G5" s="31">
        <v>20</v>
      </c>
      <c r="H5" s="31">
        <v>67</v>
      </c>
      <c r="I5" s="31">
        <v>14</v>
      </c>
      <c r="J5" s="39">
        <f>IF(COUNT(G5:I5)=0,0,SUMPRODUCT({5000,1000,500},G5:I5))</f>
        <v>174000</v>
      </c>
      <c r="K5" s="31"/>
      <c r="L5" s="31"/>
      <c r="M5" s="31"/>
      <c r="N5" s="39">
        <f>IF(COUNT(K5:M5)=0,0,SUMPRODUCT({5000,1000,500},K5:M5))</f>
        <v>0</v>
      </c>
      <c r="O5" s="31"/>
      <c r="P5" s="31"/>
      <c r="Q5" s="31"/>
      <c r="R5" s="39">
        <f>IF(COUNT(O5:Q5)=0,0,SUMPRODUCT({5000,1000,500},O5:Q5))</f>
        <v>0</v>
      </c>
      <c r="S5" s="31"/>
      <c r="T5" s="31"/>
      <c r="U5" s="31"/>
      <c r="V5" s="31"/>
      <c r="W5" s="31"/>
      <c r="X5" s="31">
        <v>39</v>
      </c>
      <c r="Y5" s="31"/>
      <c r="Z5" s="31">
        <v>14</v>
      </c>
      <c r="AA5" s="31"/>
      <c r="AB5" s="31"/>
      <c r="AC5" s="31"/>
      <c r="AD5" s="34">
        <f>IF(COUNT(S5:AC5)=0,0,SUMPRODUCT({5000,1000,500,100,75,50,20,10,5,2,1}, S5:AC5))</f>
        <v>2090</v>
      </c>
      <c r="AE5" s="33">
        <v>376118</v>
      </c>
      <c r="AF5" s="24">
        <f>IF(AND(COUNT(C5:E5)=0,COUNT(G5:I5)=0,COUNT(K5:M5)=0,COUNT(O5:Q5)=0,COUNT(S5:AC5)=0,AE5=""),"",(IF(COUNT(C5:E5)=0,0,SUMPRODUCT({5000,1000,500},C5:E5))+IF(COUNT(G5:I5)=0,0,SUMPRODUCT({5000,1000,500},G5:I5))+IF(COUNT(K5:M5)=0,0,SUMPRODUCT({5000,1000,500},K5:M5))+IF(COUNT(O5:Q5)=0,0,SUMPRODUCT({5000,1000,500},O5:Q5))+AD5)-N(AE5))</f>
        <v>-28</v>
      </c>
      <c r="AG5" s="35" t="str">
        <f t="shared" ref="AG5:AG34" si="0">IF(AF5="","",IF(AF5&gt;0,"Excess",IF(AF5&lt;0,"Short","Balanced")))</f>
        <v>Short</v>
      </c>
      <c r="AH5" s="38"/>
      <c r="AI5" s="36">
        <v>869767.03</v>
      </c>
      <c r="AJ5" s="37">
        <f>514711.53+355055.5</f>
        <v>869767.03</v>
      </c>
      <c r="AK5" s="26">
        <f t="shared" ref="AK5:AK17" si="1">IF(AND(AI5="",AJ5=""),"",N(AI5)-N(AJ5))</f>
        <v>0</v>
      </c>
      <c r="AL5" s="25" t="str">
        <f t="shared" ref="AL5:AL17" si="2">IF(AK5="","",IF(AK5&gt;0,"POS Excess",IF(AK5&lt;0,"Bank Short","Matched")))</f>
        <v>Matched</v>
      </c>
      <c r="AM5" s="38"/>
    </row>
    <row r="6" spans="1:39" ht="12.75" customHeight="1" x14ac:dyDescent="0.25">
      <c r="A6" s="31">
        <v>77423</v>
      </c>
      <c r="B6" s="32" t="str">
        <f>IF(A6="","",VLOOKUP(A6,'Employee Database'!A:B,2,FALSE))</f>
        <v>Shoaib Akhtar</v>
      </c>
      <c r="C6" s="31">
        <v>12</v>
      </c>
      <c r="D6" s="31">
        <v>37</v>
      </c>
      <c r="E6" s="31">
        <v>56</v>
      </c>
      <c r="F6" s="39">
        <f>IF(COUNT(C6:E6)=0,0,SUMPRODUCT({5000,1000,500},C6:E6))</f>
        <v>125000</v>
      </c>
      <c r="G6" s="31">
        <v>17</v>
      </c>
      <c r="H6" s="31">
        <v>12</v>
      </c>
      <c r="I6" s="31">
        <v>11</v>
      </c>
      <c r="J6" s="39">
        <f>IF(COUNT(G6:I6)=0,0,SUMPRODUCT({5000,1000,500},G6:I6))</f>
        <v>102500</v>
      </c>
      <c r="K6" s="31"/>
      <c r="L6" s="31"/>
      <c r="M6" s="31"/>
      <c r="N6" s="39">
        <f>IF(COUNT(K6:M6)=0,0,SUMPRODUCT({5000,1000,500},K6:M6))</f>
        <v>0</v>
      </c>
      <c r="O6" s="31"/>
      <c r="P6" s="31"/>
      <c r="Q6" s="31"/>
      <c r="R6" s="39">
        <f>IF(COUNT(O6:Q6)=0,0,SUMPRODUCT({5000,1000,500},O6:Q6))</f>
        <v>0</v>
      </c>
      <c r="S6" s="31"/>
      <c r="T6" s="31"/>
      <c r="U6" s="31"/>
      <c r="V6" s="31"/>
      <c r="W6" s="31"/>
      <c r="X6" s="31">
        <v>92</v>
      </c>
      <c r="Y6" s="31"/>
      <c r="Z6" s="31">
        <v>52</v>
      </c>
      <c r="AA6" s="31"/>
      <c r="AB6" s="31"/>
      <c r="AC6" s="31"/>
      <c r="AD6" s="34">
        <f>IF(COUNT(S6:AC6)=0,0,SUMPRODUCT({5000,1000,500,100,75,50,20,10,5,2,1}, S6:AC6))</f>
        <v>5120</v>
      </c>
      <c r="AE6" s="33">
        <v>232612</v>
      </c>
      <c r="AF6" s="24">
        <f>IF(AND(COUNT(C6:E6)=0,COUNT(G6:I6)=0,COUNT(K6:M6)=0,COUNT(O6:Q6)=0,COUNT(S6:AC6)=0,AE6=""),"",(IF(COUNT(C6:E6)=0,0,SUMPRODUCT({5000,1000,500},C6:E6))+IF(COUNT(G6:I6)=0,0,SUMPRODUCT({5000,1000,500},G6:I6))+IF(COUNT(K6:M6)=0,0,SUMPRODUCT({5000,1000,500},K6:M6))+IF(COUNT(O6:Q6)=0,0,SUMPRODUCT({5000,1000,500},O6:Q6))+AD6)-N(AE6))</f>
        <v>8</v>
      </c>
      <c r="AG6" s="35" t="str">
        <f t="shared" si="0"/>
        <v>Excess</v>
      </c>
      <c r="AH6" s="38"/>
      <c r="AI6" s="36">
        <v>1073999.8799999999</v>
      </c>
      <c r="AJ6" s="37">
        <f>374459.72+699540.16</f>
        <v>1073999.8799999999</v>
      </c>
      <c r="AK6" s="26">
        <f t="shared" si="1"/>
        <v>0</v>
      </c>
      <c r="AL6" s="25" t="str">
        <f t="shared" si="2"/>
        <v>Matched</v>
      </c>
      <c r="AM6" s="38"/>
    </row>
    <row r="7" spans="1:39" ht="12.75" customHeight="1" x14ac:dyDescent="0.25">
      <c r="A7" s="31">
        <v>63854</v>
      </c>
      <c r="B7" s="32" t="str">
        <f>IF(A7="","",VLOOKUP(A7,'Employee Database'!A:B,2,FALSE))</f>
        <v>Maham</v>
      </c>
      <c r="C7" s="31">
        <v>25</v>
      </c>
      <c r="D7" s="31">
        <v>100</v>
      </c>
      <c r="E7" s="31">
        <v>0</v>
      </c>
      <c r="F7" s="39">
        <f>IF(COUNT(C7:E7)=0,0,SUMPRODUCT({5000,1000,500},C7:E7))</f>
        <v>225000</v>
      </c>
      <c r="G7" s="31">
        <v>21</v>
      </c>
      <c r="H7" s="31">
        <v>91</v>
      </c>
      <c r="I7" s="31">
        <v>15</v>
      </c>
      <c r="J7" s="39">
        <f>IF(COUNT(G7:I7)=0,0,SUMPRODUCT({5000,1000,500},G7:I7))</f>
        <v>203500</v>
      </c>
      <c r="K7" s="31"/>
      <c r="L7" s="31"/>
      <c r="M7" s="31"/>
      <c r="N7" s="39">
        <f>IF(COUNT(K7:M7)=0,0,SUMPRODUCT({5000,1000,500},K7:M7))</f>
        <v>0</v>
      </c>
      <c r="O7" s="31"/>
      <c r="P7" s="31"/>
      <c r="Q7" s="31"/>
      <c r="R7" s="39">
        <f>IF(COUNT(O7:Q7)=0,0,SUMPRODUCT({5000,1000,500},O7:Q7))</f>
        <v>0</v>
      </c>
      <c r="S7" s="31"/>
      <c r="T7" s="31"/>
      <c r="U7" s="31"/>
      <c r="V7" s="31">
        <v>4</v>
      </c>
      <c r="W7" s="31"/>
      <c r="X7" s="31">
        <v>16</v>
      </c>
      <c r="Y7" s="31"/>
      <c r="Z7" s="31">
        <v>10</v>
      </c>
      <c r="AA7" s="31"/>
      <c r="AB7" s="31"/>
      <c r="AC7" s="31"/>
      <c r="AD7" s="34">
        <f>IF(COUNT(S7:AC7)=0,0,SUMPRODUCT({5000,1000,500,100,75,50,20,10,5,2,1}, S7:AC7))</f>
        <v>1300</v>
      </c>
      <c r="AE7" s="33">
        <v>429634</v>
      </c>
      <c r="AF7" s="24">
        <f>IF(AND(COUNT(C7:E7)=0,COUNT(G7:I7)=0,COUNT(K7:M7)=0,COUNT(O7:Q7)=0,COUNT(S7:AC7)=0,AE7=""),"",(IF(COUNT(C7:E7)=0,0,SUMPRODUCT({5000,1000,500},C7:E7))+IF(COUNT(G7:I7)=0,0,SUMPRODUCT({5000,1000,500},G7:I7))+IF(COUNT(K7:M7)=0,0,SUMPRODUCT({5000,1000,500},K7:M7))+IF(COUNT(O7:Q7)=0,0,SUMPRODUCT({5000,1000,500},O7:Q7))+AD7)-N(AE7))</f>
        <v>166</v>
      </c>
      <c r="AG7" s="35" t="str">
        <f t="shared" si="0"/>
        <v>Excess</v>
      </c>
      <c r="AH7" s="38"/>
      <c r="AI7" s="36">
        <v>340194.92</v>
      </c>
      <c r="AJ7" s="37">
        <f>161979.87+178215.05</f>
        <v>340194.92</v>
      </c>
      <c r="AK7" s="26">
        <f t="shared" si="1"/>
        <v>0</v>
      </c>
      <c r="AL7" s="25" t="str">
        <f t="shared" si="2"/>
        <v>Matched</v>
      </c>
      <c r="AM7" s="38"/>
    </row>
    <row r="8" spans="1:39" ht="12.75" customHeight="1" x14ac:dyDescent="0.25">
      <c r="A8" s="31">
        <v>59257</v>
      </c>
      <c r="B8" s="32" t="str">
        <f>IF(A8="","",VLOOKUP(A8,'Employee Database'!A:B,2,FALSE))</f>
        <v>Saddiqa Maryam</v>
      </c>
      <c r="C8" s="31">
        <v>37</v>
      </c>
      <c r="D8" s="31">
        <v>92</v>
      </c>
      <c r="E8" s="31">
        <v>6</v>
      </c>
      <c r="F8" s="39">
        <f>IF(COUNT(C8:E8)=0,0,SUMPRODUCT({5000,1000,500},C8:E8))</f>
        <v>280000</v>
      </c>
      <c r="G8" s="31">
        <v>4</v>
      </c>
      <c r="H8" s="31">
        <v>47</v>
      </c>
      <c r="I8" s="31">
        <v>19</v>
      </c>
      <c r="J8" s="39">
        <f>IF(COUNT(G8:I8)=0,0,SUMPRODUCT({5000,1000,500},G8:I8))</f>
        <v>76500</v>
      </c>
      <c r="K8" s="31"/>
      <c r="L8" s="31"/>
      <c r="M8" s="31"/>
      <c r="N8" s="39">
        <f>IF(COUNT(K8:M8)=0,0,SUMPRODUCT({5000,1000,500},K8:M8))</f>
        <v>0</v>
      </c>
      <c r="O8" s="31"/>
      <c r="P8" s="31"/>
      <c r="Q8" s="31"/>
      <c r="R8" s="39">
        <f>IF(COUNT(O8:Q8)=0,0,SUMPRODUCT({5000,1000,500},O8:Q8))</f>
        <v>0</v>
      </c>
      <c r="S8" s="31"/>
      <c r="T8" s="31"/>
      <c r="U8" s="31"/>
      <c r="V8" s="31">
        <v>1</v>
      </c>
      <c r="W8" s="31"/>
      <c r="X8" s="31">
        <v>14</v>
      </c>
      <c r="Y8" s="31">
        <v>1</v>
      </c>
      <c r="Z8" s="31">
        <v>21</v>
      </c>
      <c r="AA8" s="31"/>
      <c r="AB8" s="31"/>
      <c r="AC8" s="31"/>
      <c r="AD8" s="34">
        <f>IF(COUNT(S8:AC8)=0,0,SUMPRODUCT({5000,1000,500,100,75,50,20,10,5,2,1}, S8:AC8))</f>
        <v>1030</v>
      </c>
      <c r="AE8" s="33">
        <v>357534</v>
      </c>
      <c r="AF8" s="24">
        <f>IF(AND(COUNT(C8:E8)=0,COUNT(G8:I8)=0,COUNT(K8:M8)=0,COUNT(O8:Q8)=0,COUNT(S8:AC8)=0,AE8=""),"",(IF(COUNT(C8:E8)=0,0,SUMPRODUCT({5000,1000,500},C8:E8))+IF(COUNT(G8:I8)=0,0,SUMPRODUCT({5000,1000,500},G8:I8))+IF(COUNT(K8:M8)=0,0,SUMPRODUCT({5000,1000,500},K8:M8))+IF(COUNT(O8:Q8)=0,0,SUMPRODUCT({5000,1000,500},O8:Q8))+AD8)-N(AE8))</f>
        <v>-4</v>
      </c>
      <c r="AG8" s="35" t="str">
        <f t="shared" si="0"/>
        <v>Short</v>
      </c>
      <c r="AH8" s="38"/>
      <c r="AI8" s="36">
        <v>782326.47</v>
      </c>
      <c r="AJ8" s="37">
        <f>893+380888.51+400544.96</f>
        <v>782326.47</v>
      </c>
      <c r="AK8" s="26">
        <f t="shared" si="1"/>
        <v>0</v>
      </c>
      <c r="AL8" s="25" t="str">
        <f t="shared" si="2"/>
        <v>Matched</v>
      </c>
      <c r="AM8" s="38"/>
    </row>
    <row r="9" spans="1:39" ht="12.75" customHeight="1" x14ac:dyDescent="0.25">
      <c r="A9" s="31">
        <v>57653</v>
      </c>
      <c r="B9" s="32" t="str">
        <f>IF(A9="","",VLOOKUP(A9,'Employee Database'!A:B,2,FALSE))</f>
        <v>Amanat ali</v>
      </c>
      <c r="C9" s="31">
        <v>25</v>
      </c>
      <c r="D9" s="31">
        <v>45</v>
      </c>
      <c r="E9" s="31">
        <v>0</v>
      </c>
      <c r="F9" s="39">
        <f>IF(COUNT(C9:E9)=0,0,SUMPRODUCT({5000,1000,500},C9:E9))</f>
        <v>170000</v>
      </c>
      <c r="G9" s="31">
        <v>32</v>
      </c>
      <c r="H9" s="31">
        <v>22</v>
      </c>
      <c r="I9" s="31">
        <v>1</v>
      </c>
      <c r="J9" s="39">
        <f>IF(COUNT(G9:I9)=0,0,SUMPRODUCT({5000,1000,500},G9:I9))</f>
        <v>182500</v>
      </c>
      <c r="K9" s="31"/>
      <c r="L9" s="31"/>
      <c r="M9" s="31"/>
      <c r="N9" s="39">
        <f>IF(COUNT(K9:M9)=0,0,SUMPRODUCT({5000,1000,500},K9:M9))</f>
        <v>0</v>
      </c>
      <c r="O9" s="31"/>
      <c r="P9" s="31"/>
      <c r="Q9" s="31"/>
      <c r="R9" s="39">
        <f>IF(COUNT(O9:Q9)=0,0,SUMPRODUCT({5000,1000,500},O9:Q9))</f>
        <v>0</v>
      </c>
      <c r="S9" s="31"/>
      <c r="T9" s="31"/>
      <c r="U9" s="31"/>
      <c r="V9" s="31"/>
      <c r="W9" s="31"/>
      <c r="X9" s="31">
        <v>4</v>
      </c>
      <c r="Y9" s="31"/>
      <c r="Z9" s="31">
        <v>29</v>
      </c>
      <c r="AA9" s="31"/>
      <c r="AB9" s="31"/>
      <c r="AC9" s="31"/>
      <c r="AD9" s="34">
        <f>IF(COUNT(S9:AC9)=0,0,SUMPRODUCT({5000,1000,500,100,75,50,20,10,5,2,1}, S9:AC9))</f>
        <v>490</v>
      </c>
      <c r="AE9" s="33">
        <v>352957</v>
      </c>
      <c r="AF9" s="24">
        <f>IF(AND(COUNT(C9:E9)=0,COUNT(G9:I9)=0,COUNT(K9:M9)=0,COUNT(O9:Q9)=0,COUNT(S9:AC9)=0,AE9=""),"",(IF(COUNT(C9:E9)=0,0,SUMPRODUCT({5000,1000,500},C9:E9))+IF(COUNT(G9:I9)=0,0,SUMPRODUCT({5000,1000,500},G9:I9))+IF(COUNT(K9:M9)=0,0,SUMPRODUCT({5000,1000,500},K9:M9))+IF(COUNT(O9:Q9)=0,0,SUMPRODUCT({5000,1000,500},O9:Q9))+AD9)-N(AE9))</f>
        <v>33</v>
      </c>
      <c r="AG9" s="35" t="str">
        <f t="shared" si="0"/>
        <v>Excess</v>
      </c>
      <c r="AH9" s="38"/>
      <c r="AI9" s="36">
        <v>1178022.46</v>
      </c>
      <c r="AJ9" s="37">
        <f>768610.49+409411.97</f>
        <v>1178022.46</v>
      </c>
      <c r="AK9" s="26">
        <f t="shared" si="1"/>
        <v>0</v>
      </c>
      <c r="AL9" s="25" t="str">
        <f t="shared" si="2"/>
        <v>Matched</v>
      </c>
      <c r="AM9" s="38"/>
    </row>
    <row r="10" spans="1:39" ht="12.75" customHeight="1" x14ac:dyDescent="0.25">
      <c r="A10" s="31">
        <v>72873</v>
      </c>
      <c r="B10" s="32" t="str">
        <f>IF(A10="","",VLOOKUP(A10,'Employee Database'!A:B,2,FALSE))</f>
        <v>M Shajee</v>
      </c>
      <c r="C10" s="31">
        <v>18</v>
      </c>
      <c r="D10" s="31">
        <v>100</v>
      </c>
      <c r="E10" s="31"/>
      <c r="F10" s="39">
        <f>IF(COUNT(C10:E10)=0,0,SUMPRODUCT({5000,1000,500},C10:E10))</f>
        <v>190000</v>
      </c>
      <c r="G10" s="31">
        <v>34</v>
      </c>
      <c r="H10" s="31">
        <v>64</v>
      </c>
      <c r="I10" s="31">
        <v>10</v>
      </c>
      <c r="J10" s="39">
        <f>IF(COUNT(G10:I10)=0,0,SUMPRODUCT({5000,1000,500},G10:I10))</f>
        <v>239000</v>
      </c>
      <c r="K10" s="31"/>
      <c r="L10" s="31"/>
      <c r="M10" s="31"/>
      <c r="N10" s="39">
        <f>IF(COUNT(K10:M10)=0,0,SUMPRODUCT({5000,1000,500},K10:M10))</f>
        <v>0</v>
      </c>
      <c r="O10" s="31"/>
      <c r="P10" s="31"/>
      <c r="Q10" s="31"/>
      <c r="R10" s="39">
        <f>IF(COUNT(O10:Q10)=0,0,SUMPRODUCT({5000,1000,500},O10:Q10))</f>
        <v>0</v>
      </c>
      <c r="S10" s="31"/>
      <c r="T10" s="31"/>
      <c r="U10" s="31"/>
      <c r="V10" s="31">
        <v>20</v>
      </c>
      <c r="W10" s="31"/>
      <c r="X10" s="31">
        <v>27</v>
      </c>
      <c r="Y10" s="31"/>
      <c r="Z10" s="31">
        <v>24</v>
      </c>
      <c r="AA10" s="31"/>
      <c r="AB10" s="31"/>
      <c r="AC10" s="31"/>
      <c r="AD10" s="34">
        <f>IF(COUNT(S10:AC10)=0,0,SUMPRODUCT({5000,1000,500,100,75,50,20,10,5,2,1}, S10:AC10))</f>
        <v>3590</v>
      </c>
      <c r="AE10" s="33">
        <v>432588</v>
      </c>
      <c r="AF10" s="24">
        <f>IF(AND(COUNT(C10:E10)=0,COUNT(G10:I10)=0,COUNT(K10:M10)=0,COUNT(O10:Q10)=0,COUNT(S10:AC10)=0,AE10=""),"",(IF(COUNT(C10:E10)=0,0,SUMPRODUCT({5000,1000,500},C10:E10))+IF(COUNT(G10:I10)=0,0,SUMPRODUCT({5000,1000,500},G10:I10))+IF(COUNT(K10:M10)=0,0,SUMPRODUCT({5000,1000,500},K10:M10))+IF(COUNT(O10:Q10)=0,0,SUMPRODUCT({5000,1000,500},O10:Q10))+AD10)-N(AE10))</f>
        <v>2</v>
      </c>
      <c r="AG10" s="35" t="str">
        <f t="shared" si="0"/>
        <v>Excess</v>
      </c>
      <c r="AH10" s="38"/>
      <c r="AI10" s="36">
        <v>1024638.33</v>
      </c>
      <c r="AJ10" s="37">
        <f>394186.22+630452.11</f>
        <v>1024638.33</v>
      </c>
      <c r="AK10" s="26">
        <f t="shared" si="1"/>
        <v>0</v>
      </c>
      <c r="AL10" s="25" t="str">
        <f t="shared" si="2"/>
        <v>Matched</v>
      </c>
      <c r="AM10" s="38"/>
    </row>
    <row r="11" spans="1:39" ht="12.75" customHeight="1" x14ac:dyDescent="0.25">
      <c r="A11" s="31">
        <v>63599</v>
      </c>
      <c r="B11" s="32" t="str">
        <f>IF(A11="","",VLOOKUP(A11,'Employee Database'!A:B,2,FALSE))</f>
        <v>Hafsa</v>
      </c>
      <c r="C11" s="31"/>
      <c r="D11" s="31"/>
      <c r="E11" s="31"/>
      <c r="F11" s="39">
        <f>IF(COUNT(C11:E11)=0,0,SUMPRODUCT({5000,1000,500},C11:E11))</f>
        <v>0</v>
      </c>
      <c r="G11" s="31">
        <v>16</v>
      </c>
      <c r="H11" s="31">
        <v>38</v>
      </c>
      <c r="I11" s="31">
        <v>3</v>
      </c>
      <c r="J11" s="39">
        <f>IF(COUNT(G11:I11)=0,0,SUMPRODUCT({5000,1000,500},G11:I11))</f>
        <v>119500</v>
      </c>
      <c r="K11" s="31"/>
      <c r="L11" s="31"/>
      <c r="M11" s="31"/>
      <c r="N11" s="39">
        <f>IF(COUNT(K11:M11)=0,0,SUMPRODUCT({5000,1000,500},K11:M11))</f>
        <v>0</v>
      </c>
      <c r="O11" s="31"/>
      <c r="P11" s="31"/>
      <c r="Q11" s="31"/>
      <c r="R11" s="39">
        <f>IF(COUNT(O11:Q11)=0,0,SUMPRODUCT({5000,1000,500},O11:Q11))</f>
        <v>0</v>
      </c>
      <c r="S11" s="31"/>
      <c r="T11" s="31"/>
      <c r="U11" s="31"/>
      <c r="V11" s="31"/>
      <c r="W11" s="31"/>
      <c r="X11" s="31">
        <v>8</v>
      </c>
      <c r="Y11" s="31"/>
      <c r="Z11" s="31">
        <v>4</v>
      </c>
      <c r="AA11" s="31"/>
      <c r="AB11" s="31"/>
      <c r="AC11" s="31"/>
      <c r="AD11" s="34">
        <f>IF(COUNT(S11:AC11)=0,0,SUMPRODUCT({5000,1000,500,100,75,50,20,10,5,2,1}, S11:AC11))</f>
        <v>440</v>
      </c>
      <c r="AE11" s="33">
        <v>119925</v>
      </c>
      <c r="AF11" s="24">
        <f>IF(AND(COUNT(C11:E11)=0,COUNT(G11:I11)=0,COUNT(K11:M11)=0,COUNT(O11:Q11)=0,COUNT(S11:AC11)=0,AE11=""),"",(IF(COUNT(C11:E11)=0,0,SUMPRODUCT({5000,1000,500},C11:E11))+IF(COUNT(G11:I11)=0,0,SUMPRODUCT({5000,1000,500},G11:I11))+IF(COUNT(K11:M11)=0,0,SUMPRODUCT({5000,1000,500},K11:M11))+IF(COUNT(O11:Q11)=0,0,SUMPRODUCT({5000,1000,500},O11:Q11))+AD11)-N(AE11))</f>
        <v>15</v>
      </c>
      <c r="AG11" s="35" t="str">
        <f t="shared" si="0"/>
        <v>Excess</v>
      </c>
      <c r="AH11" s="38"/>
      <c r="AI11" s="36">
        <v>306091.21000000002</v>
      </c>
      <c r="AJ11" s="37">
        <f>157830.36+130259.65+18001.2</f>
        <v>306091.21000000002</v>
      </c>
      <c r="AK11" s="26">
        <f t="shared" si="1"/>
        <v>0</v>
      </c>
      <c r="AL11" s="25" t="str">
        <f t="shared" si="2"/>
        <v>Matched</v>
      </c>
      <c r="AM11" s="38"/>
    </row>
    <row r="12" spans="1:39" ht="12.75" customHeight="1" x14ac:dyDescent="0.25">
      <c r="A12" s="31">
        <v>68107</v>
      </c>
      <c r="B12" s="32" t="str">
        <f>IF(A12="","",VLOOKUP(A12,'Employee Database'!A:B,2,FALSE))</f>
        <v>M Harris</v>
      </c>
      <c r="C12" s="31"/>
      <c r="D12" s="31"/>
      <c r="E12" s="31"/>
      <c r="F12" s="39">
        <f>IF(COUNT(C12:E12)=0,0,SUMPRODUCT({5000,1000,500},C12:E12))</f>
        <v>0</v>
      </c>
      <c r="G12" s="31">
        <v>18</v>
      </c>
      <c r="H12" s="31">
        <v>67</v>
      </c>
      <c r="I12" s="31">
        <v>7</v>
      </c>
      <c r="J12" s="39">
        <f>IF(COUNT(G12:I12)=0,0,SUMPRODUCT({5000,1000,500},G12:I12))</f>
        <v>160500</v>
      </c>
      <c r="K12" s="31"/>
      <c r="L12" s="31"/>
      <c r="M12" s="31"/>
      <c r="N12" s="39">
        <f>IF(COUNT(K12:M12)=0,0,SUMPRODUCT({5000,1000,500},K12:M12))</f>
        <v>0</v>
      </c>
      <c r="O12" s="31"/>
      <c r="P12" s="31"/>
      <c r="Q12" s="31"/>
      <c r="R12" s="39">
        <f>IF(COUNT(O12:Q12)=0,0,SUMPRODUCT({5000,1000,500},O12:Q12))</f>
        <v>0</v>
      </c>
      <c r="S12" s="31"/>
      <c r="T12" s="31"/>
      <c r="U12" s="31"/>
      <c r="V12" s="31">
        <v>8</v>
      </c>
      <c r="W12" s="31"/>
      <c r="X12" s="31">
        <v>51</v>
      </c>
      <c r="Y12" s="31"/>
      <c r="Z12" s="31">
        <v>23</v>
      </c>
      <c r="AA12" s="31"/>
      <c r="AB12" s="31"/>
      <c r="AC12" s="31"/>
      <c r="AD12" s="34">
        <f>IF(COUNT(S12:AC12)=0,0,SUMPRODUCT({5000,1000,500,100,75,50,20,10,5,2,1}, S12:AC12))</f>
        <v>3580</v>
      </c>
      <c r="AE12" s="33">
        <v>164129</v>
      </c>
      <c r="AF12" s="24">
        <f>IF(AND(COUNT(C12:E12)=0,COUNT(G12:I12)=0,COUNT(K12:M12)=0,COUNT(O12:Q12)=0,COUNT(S12:AC12)=0,AE12=""),"",(IF(COUNT(C12:E12)=0,0,SUMPRODUCT({5000,1000,500},C12:E12))+IF(COUNT(G12:I12)=0,0,SUMPRODUCT({5000,1000,500},G12:I12))+IF(COUNT(K12:M12)=0,0,SUMPRODUCT({5000,1000,500},K12:M12))+IF(COUNT(O12:Q12)=0,0,SUMPRODUCT({5000,1000,500},O12:Q12))+AD12)-N(AE12))</f>
        <v>-49</v>
      </c>
      <c r="AG12" s="35" t="str">
        <f t="shared" si="0"/>
        <v>Short</v>
      </c>
      <c r="AH12" s="38"/>
      <c r="AI12" s="36">
        <v>377364.61</v>
      </c>
      <c r="AJ12" s="37">
        <f>226281.13+151083.48</f>
        <v>377364.61</v>
      </c>
      <c r="AK12" s="26">
        <f t="shared" si="1"/>
        <v>0</v>
      </c>
      <c r="AL12" s="25" t="str">
        <f t="shared" si="2"/>
        <v>Matched</v>
      </c>
      <c r="AM12" s="38"/>
    </row>
    <row r="13" spans="1:39" ht="12.75" customHeight="1" x14ac:dyDescent="0.25">
      <c r="A13" s="31">
        <v>56189</v>
      </c>
      <c r="B13" s="32" t="str">
        <f>IF(A13="","",VLOOKUP(A13,'Employee Database'!A:B,2,FALSE))</f>
        <v>Iffat Sultan</v>
      </c>
      <c r="C13" s="31"/>
      <c r="D13" s="31"/>
      <c r="E13" s="31"/>
      <c r="F13" s="39">
        <f>IF(COUNT(C13:E13)=0,0,SUMPRODUCT({5000,1000,500},C13:E13))</f>
        <v>0</v>
      </c>
      <c r="G13" s="31">
        <v>12</v>
      </c>
      <c r="H13" s="31">
        <v>39</v>
      </c>
      <c r="I13" s="31">
        <v>1</v>
      </c>
      <c r="J13" s="39">
        <f>IF(COUNT(G13:I13)=0,0,SUMPRODUCT({5000,1000,500},G13:I13))</f>
        <v>99500</v>
      </c>
      <c r="K13" s="31"/>
      <c r="L13" s="31"/>
      <c r="M13" s="31"/>
      <c r="N13" s="39">
        <f>IF(COUNT(K13:M13)=0,0,SUMPRODUCT({5000,1000,500},K13:M13))</f>
        <v>0</v>
      </c>
      <c r="O13" s="31"/>
      <c r="P13" s="31"/>
      <c r="Q13" s="31"/>
      <c r="R13" s="39">
        <f>IF(COUNT(O13:Q13)=0,0,SUMPRODUCT({5000,1000,500},O13:Q13))</f>
        <v>0</v>
      </c>
      <c r="S13" s="31"/>
      <c r="T13" s="31"/>
      <c r="U13" s="31"/>
      <c r="V13" s="31">
        <v>7</v>
      </c>
      <c r="W13" s="31"/>
      <c r="X13" s="31">
        <v>10</v>
      </c>
      <c r="Y13" s="31">
        <v>1</v>
      </c>
      <c r="Z13" s="31">
        <v>21</v>
      </c>
      <c r="AA13" s="31"/>
      <c r="AB13" s="31"/>
      <c r="AC13" s="31"/>
      <c r="AD13" s="34">
        <f>IF(COUNT(S13:AC13)=0,0,SUMPRODUCT({5000,1000,500,100,75,50,20,10,5,2,1}, S13:AC13))</f>
        <v>1430</v>
      </c>
      <c r="AE13" s="33">
        <v>100908</v>
      </c>
      <c r="AF13" s="24">
        <f>IF(AND(COUNT(C13:E13)=0,COUNT(G13:I13)=0,COUNT(K13:M13)=0,COUNT(O13:Q13)=0,COUNT(S13:AC13)=0,AE13=""),"",(IF(COUNT(C13:E13)=0,0,SUMPRODUCT({5000,1000,500},C13:E13))+IF(COUNT(G13:I13)=0,0,SUMPRODUCT({5000,1000,500},G13:I13))+IF(COUNT(K13:M13)=0,0,SUMPRODUCT({5000,1000,500},K13:M13))+IF(COUNT(O13:Q13)=0,0,SUMPRODUCT({5000,1000,500},O13:Q13))+AD13)-N(AE13))</f>
        <v>22</v>
      </c>
      <c r="AG13" s="35" t="str">
        <f t="shared" si="0"/>
        <v>Excess</v>
      </c>
      <c r="AH13" s="38"/>
      <c r="AI13" s="36">
        <v>254399.28</v>
      </c>
      <c r="AJ13" s="37">
        <f>119603.5+134795.78</f>
        <v>254399.28</v>
      </c>
      <c r="AK13" s="26">
        <f t="shared" si="1"/>
        <v>0</v>
      </c>
      <c r="AL13" s="25" t="str">
        <f t="shared" si="2"/>
        <v>Matched</v>
      </c>
      <c r="AM13" s="38"/>
    </row>
    <row r="14" spans="1:39" ht="12.75" customHeight="1" x14ac:dyDescent="0.25">
      <c r="A14" s="31">
        <v>50266</v>
      </c>
      <c r="B14" s="32" t="str">
        <f>IF(A14="","",VLOOKUP(A14,'Employee Database'!A:B,2,FALSE))</f>
        <v>Riaz</v>
      </c>
      <c r="C14" s="31"/>
      <c r="D14" s="31"/>
      <c r="E14" s="31"/>
      <c r="F14" s="39">
        <f>IF(COUNT(C14:E14)=0,0,SUMPRODUCT({5000,1000,500},C14:E14))</f>
        <v>0</v>
      </c>
      <c r="G14" s="31">
        <v>27</v>
      </c>
      <c r="H14" s="31">
        <v>41</v>
      </c>
      <c r="I14" s="31">
        <v>1</v>
      </c>
      <c r="J14" s="39">
        <f>IF(COUNT(G14:I14)=0,0,SUMPRODUCT({5000,1000,500},G14:I14))</f>
        <v>176500</v>
      </c>
      <c r="K14" s="31"/>
      <c r="L14" s="31"/>
      <c r="M14" s="31"/>
      <c r="N14" s="39">
        <f>IF(COUNT(K14:M14)=0,0,SUMPRODUCT({5000,1000,500},K14:M14))</f>
        <v>0</v>
      </c>
      <c r="O14" s="31"/>
      <c r="P14" s="31"/>
      <c r="Q14" s="31"/>
      <c r="R14" s="39">
        <f>IF(COUNT(O14:Q14)=0,0,SUMPRODUCT({5000,1000,500},O14:Q14))</f>
        <v>0</v>
      </c>
      <c r="S14" s="31"/>
      <c r="T14" s="31"/>
      <c r="U14" s="31"/>
      <c r="V14" s="31"/>
      <c r="W14" s="31"/>
      <c r="X14" s="31">
        <v>40</v>
      </c>
      <c r="Y14" s="31"/>
      <c r="Z14" s="31">
        <v>49</v>
      </c>
      <c r="AA14" s="31"/>
      <c r="AB14" s="31"/>
      <c r="AC14" s="31"/>
      <c r="AD14" s="34">
        <f>IF(COUNT(S14:AC14)=0,0,SUMPRODUCT({5000,1000,500,100,75,50,20,10,5,2,1}, S14:AC14))</f>
        <v>2490</v>
      </c>
      <c r="AE14" s="33">
        <v>178967</v>
      </c>
      <c r="AF14" s="24">
        <f>IF(AND(COUNT(C14:E14)=0,COUNT(G14:I14)=0,COUNT(K14:M14)=0,COUNT(O14:Q14)=0,COUNT(S14:AC14)=0,AE14=""),"",(IF(COUNT(C14:E14)=0,0,SUMPRODUCT({5000,1000,500},C14:E14))+IF(COUNT(G14:I14)=0,0,SUMPRODUCT({5000,1000,500},G14:I14))+IF(COUNT(K14:M14)=0,0,SUMPRODUCT({5000,1000,500},K14:M14))+IF(COUNT(O14:Q14)=0,0,SUMPRODUCT({5000,1000,500},O14:Q14))+AD14)-N(AE14))</f>
        <v>23</v>
      </c>
      <c r="AG14" s="35" t="str">
        <f t="shared" si="0"/>
        <v>Excess</v>
      </c>
      <c r="AH14" s="38"/>
      <c r="AI14" s="36">
        <v>717811.15</v>
      </c>
      <c r="AJ14" s="37">
        <f>318796.83+399014.32</f>
        <v>717811.15</v>
      </c>
      <c r="AK14" s="26">
        <f t="shared" si="1"/>
        <v>0</v>
      </c>
      <c r="AL14" s="25" t="str">
        <f t="shared" si="2"/>
        <v>Matched</v>
      </c>
      <c r="AM14" s="38"/>
    </row>
    <row r="15" spans="1:39" ht="12.75" customHeight="1" x14ac:dyDescent="0.25">
      <c r="A15" s="31">
        <v>71205</v>
      </c>
      <c r="B15" s="32" t="str">
        <f>IF(A15="","",VLOOKUP(A15,'Employee Database'!A:B,2,FALSE))</f>
        <v>M Yaqoob</v>
      </c>
      <c r="C15" s="31"/>
      <c r="D15" s="31"/>
      <c r="E15" s="31"/>
      <c r="F15" s="39">
        <f>IF(COUNT(C15:E15)=0,0,SUMPRODUCT({5000,1000,500},C15:E15))</f>
        <v>0</v>
      </c>
      <c r="G15" s="31">
        <v>23</v>
      </c>
      <c r="H15" s="31">
        <v>95</v>
      </c>
      <c r="I15" s="31">
        <v>6</v>
      </c>
      <c r="J15" s="39">
        <f>IF(COUNT(G15:I15)=0,0,SUMPRODUCT({5000,1000,500},G15:I15))</f>
        <v>213000</v>
      </c>
      <c r="K15" s="31"/>
      <c r="L15" s="31"/>
      <c r="M15" s="31"/>
      <c r="N15" s="39">
        <f>IF(COUNT(K15:M15)=0,0,SUMPRODUCT({5000,1000,500},K15:M15))</f>
        <v>0</v>
      </c>
      <c r="O15" s="31"/>
      <c r="P15" s="31"/>
      <c r="Q15" s="31"/>
      <c r="R15" s="39">
        <f>IF(COUNT(O15:Q15)=0,0,SUMPRODUCT({5000,1000,500},O15:Q15))</f>
        <v>0</v>
      </c>
      <c r="S15" s="31"/>
      <c r="T15" s="31"/>
      <c r="U15" s="31"/>
      <c r="V15" s="31">
        <v>5</v>
      </c>
      <c r="W15" s="31"/>
      <c r="X15" s="31">
        <v>43</v>
      </c>
      <c r="Y15" s="31"/>
      <c r="Z15" s="31">
        <v>79</v>
      </c>
      <c r="AA15" s="31"/>
      <c r="AB15" s="31"/>
      <c r="AC15" s="31"/>
      <c r="AD15" s="34">
        <f>IF(COUNT(S15:AC15)=0,0,SUMPRODUCT({5000,1000,500,100,75,50,20,10,5,2,1}, S15:AC15))</f>
        <v>3440</v>
      </c>
      <c r="AE15" s="33">
        <v>216413</v>
      </c>
      <c r="AF15" s="24">
        <f>IF(AND(COUNT(C15:E15)=0,COUNT(G15:I15)=0,COUNT(K15:M15)=0,COUNT(O15:Q15)=0,COUNT(S15:AC15)=0,AE15=""),"",(IF(COUNT(C15:E15)=0,0,SUMPRODUCT({5000,1000,500},C15:E15))+IF(COUNT(G15:I15)=0,0,SUMPRODUCT({5000,1000,500},G15:I15))+IF(COUNT(K15:M15)=0,0,SUMPRODUCT({5000,1000,500},K15:M15))+IF(COUNT(O15:Q15)=0,0,SUMPRODUCT({5000,1000,500},O15:Q15))+AD15)-N(AE15))</f>
        <v>27</v>
      </c>
      <c r="AG15" s="35" t="str">
        <f t="shared" si="0"/>
        <v>Excess</v>
      </c>
      <c r="AH15" s="38"/>
      <c r="AI15" s="36">
        <v>739535.18</v>
      </c>
      <c r="AJ15" s="37">
        <f>339257.32+400277.86</f>
        <v>739535.17999999993</v>
      </c>
      <c r="AK15" s="26">
        <f t="shared" si="1"/>
        <v>1.1641532182693481E-10</v>
      </c>
      <c r="AL15" s="25" t="str">
        <f t="shared" si="2"/>
        <v>POS Excess</v>
      </c>
      <c r="AM15" s="38"/>
    </row>
    <row r="16" spans="1:39" ht="12.75" customHeight="1" x14ac:dyDescent="0.25">
      <c r="A16" s="31">
        <v>50134</v>
      </c>
      <c r="B16" s="32" t="str">
        <f>IF(A16="","",VLOOKUP(A16,'Employee Database'!A:B,2,FALSE))</f>
        <v>Asif Abbas</v>
      </c>
      <c r="C16" s="31"/>
      <c r="D16" s="31"/>
      <c r="E16" s="31"/>
      <c r="F16" s="39">
        <f>IF(COUNT(C16:E16)=0,0,SUMPRODUCT({5000,1000,500},C16:E16))</f>
        <v>0</v>
      </c>
      <c r="G16" s="31"/>
      <c r="H16" s="31"/>
      <c r="I16" s="31"/>
      <c r="J16" s="39">
        <f>IF(COUNT(G16:I16)=0,0,SUMPRODUCT({5000,1000,500},G16:I16))</f>
        <v>0</v>
      </c>
      <c r="K16" s="31">
        <v>53</v>
      </c>
      <c r="L16" s="31">
        <v>128</v>
      </c>
      <c r="M16" s="31">
        <v>22</v>
      </c>
      <c r="N16" s="39">
        <f>IF(COUNT(K16:M16)=0,0,SUMPRODUCT({5000,1000,500},K16:M16))</f>
        <v>404000</v>
      </c>
      <c r="O16" s="31"/>
      <c r="P16" s="31"/>
      <c r="Q16" s="31"/>
      <c r="R16" s="39">
        <f>IF(COUNT(O16:Q16)=0,0,SUMPRODUCT({5000,1000,500},O16:Q16))</f>
        <v>0</v>
      </c>
      <c r="S16" s="31"/>
      <c r="T16" s="31"/>
      <c r="U16" s="31"/>
      <c r="V16" s="31">
        <v>6</v>
      </c>
      <c r="W16" s="31"/>
      <c r="X16" s="31">
        <v>423</v>
      </c>
      <c r="Y16" s="31"/>
      <c r="Z16" s="31">
        <v>917</v>
      </c>
      <c r="AA16" s="31"/>
      <c r="AB16" s="31"/>
      <c r="AC16" s="31"/>
      <c r="AD16" s="34">
        <f>IF(COUNT(S16:AC16)=0,0,SUMPRODUCT({5000,1000,500,100,75,50,20,10,5,2,1}, S16:AC16))</f>
        <v>30920</v>
      </c>
      <c r="AE16" s="33">
        <v>434918</v>
      </c>
      <c r="AF16" s="24">
        <f>IF(AND(COUNT(C16:E16)=0,COUNT(G16:I16)=0,COUNT(K16:M16)=0,COUNT(O16:Q16)=0,COUNT(S16:AC16)=0,AE16=""),"",(IF(COUNT(C16:E16)=0,0,SUMPRODUCT({5000,1000,500},C16:E16))+IF(COUNT(G16:I16)=0,0,SUMPRODUCT({5000,1000,500},G16:I16))+IF(COUNT(K16:M16)=0,0,SUMPRODUCT({5000,1000,500},K16:M16))+IF(COUNT(O16:Q16)=0,0,SUMPRODUCT({5000,1000,500},O16:Q16))+AD16)-N(AE16))</f>
        <v>2</v>
      </c>
      <c r="AG16" s="35" t="str">
        <f t="shared" si="0"/>
        <v>Excess</v>
      </c>
      <c r="AH16" s="38"/>
      <c r="AI16" s="36">
        <v>924181.61</v>
      </c>
      <c r="AJ16" s="37">
        <f>530109.37+394072.24</f>
        <v>924181.61</v>
      </c>
      <c r="AK16" s="26">
        <f t="shared" si="1"/>
        <v>0</v>
      </c>
      <c r="AL16" s="25" t="str">
        <f t="shared" si="2"/>
        <v>Matched</v>
      </c>
      <c r="AM16" s="38"/>
    </row>
    <row r="17" spans="1:39" ht="12.75" customHeight="1" x14ac:dyDescent="0.25">
      <c r="A17" s="31">
        <v>76412</v>
      </c>
      <c r="B17" s="32" t="str">
        <f>IF(A17="","",VLOOKUP(A17,'Employee Database'!A:B,2,FALSE))</f>
        <v>Zubair Abbas</v>
      </c>
      <c r="C17" s="31"/>
      <c r="D17" s="31"/>
      <c r="E17" s="31"/>
      <c r="F17" s="39">
        <f>IF(COUNT(C17:E17)=0,0,SUMPRODUCT({5000,1000,500},C17:E17))</f>
        <v>0</v>
      </c>
      <c r="G17" s="31"/>
      <c r="H17" s="31"/>
      <c r="I17" s="31"/>
      <c r="J17" s="39">
        <f>IF(COUNT(G17:I17)=0,0,SUMPRODUCT({5000,1000,500},G17:I17))</f>
        <v>0</v>
      </c>
      <c r="K17" s="31">
        <v>13</v>
      </c>
      <c r="L17" s="31">
        <v>20</v>
      </c>
      <c r="M17" s="31">
        <v>12</v>
      </c>
      <c r="N17" s="39">
        <f>IF(COUNT(K17:M17)=0,0,SUMPRODUCT({5000,1000,500},K17:M17))</f>
        <v>91000</v>
      </c>
      <c r="O17" s="31"/>
      <c r="P17" s="31"/>
      <c r="Q17" s="31"/>
      <c r="R17" s="39">
        <f>IF(COUNT(O17:Q17)=0,0,SUMPRODUCT({5000,1000,500},O17:Q17))</f>
        <v>0</v>
      </c>
      <c r="S17" s="31"/>
      <c r="T17" s="31"/>
      <c r="U17" s="31"/>
      <c r="V17" s="31">
        <v>9</v>
      </c>
      <c r="W17" s="31"/>
      <c r="X17" s="31">
        <v>25</v>
      </c>
      <c r="Y17" s="31"/>
      <c r="Z17" s="31">
        <v>85</v>
      </c>
      <c r="AA17" s="31"/>
      <c r="AB17" s="31"/>
      <c r="AC17" s="31"/>
      <c r="AD17" s="34">
        <f>IF(COUNT(S17:AC17)=0,0,SUMPRODUCT({5000,1000,500,100,75,50,20,10,5,2,1}, S17:AC17))</f>
        <v>3000</v>
      </c>
      <c r="AE17" s="33">
        <v>93789</v>
      </c>
      <c r="AF17" s="24">
        <f>IF(AND(COUNT(C17:E17)=0,COUNT(G17:I17)=0,COUNT(K17:M17)=0,COUNT(O17:Q17)=0,COUNT(S17:AC17)=0,AE17=""),"",(IF(COUNT(C17:E17)=0,0,SUMPRODUCT({5000,1000,500},C17:E17))+IF(COUNT(G17:I17)=0,0,SUMPRODUCT({5000,1000,500},G17:I17))+IF(COUNT(K17:M17)=0,0,SUMPRODUCT({5000,1000,500},K17:M17))+IF(COUNT(O17:Q17)=0,0,SUMPRODUCT({5000,1000,500},O17:Q17))+AD17)-N(AE17))</f>
        <v>211</v>
      </c>
      <c r="AG17" s="35" t="str">
        <f t="shared" si="0"/>
        <v>Excess</v>
      </c>
      <c r="AH17" s="38"/>
      <c r="AI17" s="36">
        <f>43180.86+113800.93</f>
        <v>156981.78999999998</v>
      </c>
      <c r="AJ17" s="37">
        <f>113800.93+43180.86</f>
        <v>156981.78999999998</v>
      </c>
      <c r="AK17" s="26">
        <f t="shared" si="1"/>
        <v>0</v>
      </c>
      <c r="AL17" s="25" t="str">
        <f t="shared" si="2"/>
        <v>Matched</v>
      </c>
      <c r="AM17" s="38"/>
    </row>
    <row r="18" spans="1:39" ht="12.75" customHeight="1" x14ac:dyDescent="0.25">
      <c r="A18" s="31">
        <v>78242</v>
      </c>
      <c r="B18" s="32" t="str">
        <f>IF(A18="","",VLOOKUP(A18,'Employee Database'!A:B,2,FALSE))</f>
        <v>Hamad Mughal</v>
      </c>
      <c r="C18" s="31"/>
      <c r="D18" s="31"/>
      <c r="E18" s="31"/>
      <c r="F18" s="39">
        <f>IF(COUNT(C18:E18)=0,0,SUMPRODUCT({5000,1000,500},C18:E18))</f>
        <v>0</v>
      </c>
      <c r="G18" s="31"/>
      <c r="H18" s="31"/>
      <c r="I18" s="31"/>
      <c r="J18" s="39">
        <f>IF(COUNT(G18:I18)=0,0,SUMPRODUCT({5000,1000,500},G18:I18))</f>
        <v>0</v>
      </c>
      <c r="K18" s="31">
        <v>14</v>
      </c>
      <c r="L18" s="31">
        <v>49</v>
      </c>
      <c r="M18" s="31">
        <v>4</v>
      </c>
      <c r="N18" s="39">
        <f>IF(COUNT(K18:M18)=0,0,SUMPRODUCT({5000,1000,500},K18:M18))</f>
        <v>121000</v>
      </c>
      <c r="O18" s="31"/>
      <c r="P18" s="31"/>
      <c r="Q18" s="31"/>
      <c r="R18" s="39">
        <f>IF(COUNT(O18:Q18)=0,0,SUMPRODUCT({5000,1000,500},O18:Q18))</f>
        <v>0</v>
      </c>
      <c r="S18" s="31"/>
      <c r="T18" s="31"/>
      <c r="U18" s="31"/>
      <c r="V18" s="31">
        <v>5</v>
      </c>
      <c r="W18" s="31"/>
      <c r="X18" s="31">
        <v>27</v>
      </c>
      <c r="Y18" s="31"/>
      <c r="Z18" s="31">
        <v>93</v>
      </c>
      <c r="AA18" s="31"/>
      <c r="AB18" s="31"/>
      <c r="AC18" s="31"/>
      <c r="AD18" s="34">
        <f>IF(COUNT(S18:AC18)=0,0,SUMPRODUCT({5000,1000,500,100,75,50,20,10,5,2,1}, S18:AC18))</f>
        <v>2780</v>
      </c>
      <c r="AE18" s="33">
        <v>123748</v>
      </c>
      <c r="AF18" s="24">
        <f>IF(AND(COUNT(C18:E18)=0,COUNT(G18:I18)=0,COUNT(K18:M18)=0,COUNT(O18:Q18)=0,COUNT(S18:AC18)=0,AE18=""),"",(IF(COUNT(C18:E18)=0,0,SUMPRODUCT({5000,1000,500},C18:E18))+IF(COUNT(G18:I18)=0,0,SUMPRODUCT({5000,1000,500},G18:I18))+IF(COUNT(K18:M18)=0,0,SUMPRODUCT({5000,1000,500},K18:M18))+IF(COUNT(O18:Q18)=0,0,SUMPRODUCT({5000,1000,500},O18:Q18))+AD18)-N(AE18))</f>
        <v>32</v>
      </c>
      <c r="AG18" s="35" t="str">
        <f t="shared" si="0"/>
        <v>Excess</v>
      </c>
      <c r="AH18" s="38"/>
      <c r="AI18" s="36">
        <v>333923.28999999998</v>
      </c>
      <c r="AJ18" s="37">
        <f>188837.6+81375.39+63710.3</f>
        <v>333923.28999999998</v>
      </c>
      <c r="AK18" s="26">
        <f t="shared" ref="AK18:AK34" si="3">IF(AND(AI18="",AJ18=""),"",N(AI18)-N(AJ18))</f>
        <v>0</v>
      </c>
      <c r="AL18" s="25" t="str">
        <f t="shared" ref="AL18:AL34" si="4">IF(AK18="","",IF(AK18&gt;0,"POS Excess",IF(AK18&lt;0,"Bank Short","Matched")))</f>
        <v>Matched</v>
      </c>
      <c r="AM18" s="38"/>
    </row>
    <row r="19" spans="1:39" ht="12.75" customHeight="1" x14ac:dyDescent="0.25">
      <c r="A19" s="31">
        <v>75768</v>
      </c>
      <c r="B19" s="32" t="str">
        <f>IF(A19="","",VLOOKUP(A19,'Employee Database'!A:B,2,FALSE))</f>
        <v>Zuhaib</v>
      </c>
      <c r="C19" s="31"/>
      <c r="D19" s="31"/>
      <c r="E19" s="31"/>
      <c r="F19" s="39">
        <f>IF(COUNT(C19:E19)=0,0,SUMPRODUCT({5000,1000,500},C19:E19))</f>
        <v>0</v>
      </c>
      <c r="G19" s="31"/>
      <c r="H19" s="31"/>
      <c r="I19" s="31"/>
      <c r="J19" s="39">
        <f>IF(COUNT(G19:I19)=0,0,SUMPRODUCT({5000,1000,500},G19:I19))</f>
        <v>0</v>
      </c>
      <c r="K19" s="31">
        <v>23</v>
      </c>
      <c r="L19" s="31">
        <f>135+7</f>
        <v>142</v>
      </c>
      <c r="M19" s="31">
        <v>10</v>
      </c>
      <c r="N19" s="39">
        <f>IF(COUNT(K19:M19)=0,0,SUMPRODUCT({5000,1000,500},K19:M19))</f>
        <v>262000</v>
      </c>
      <c r="O19" s="31"/>
      <c r="P19" s="31"/>
      <c r="Q19" s="31"/>
      <c r="R19" s="39">
        <f>IF(COUNT(O19:Q19)=0,0,SUMPRODUCT({5000,1000,500},O19:Q19))</f>
        <v>0</v>
      </c>
      <c r="S19" s="31"/>
      <c r="T19" s="31"/>
      <c r="U19" s="31"/>
      <c r="V19" s="31">
        <v>1</v>
      </c>
      <c r="W19" s="31"/>
      <c r="X19" s="31">
        <v>4</v>
      </c>
      <c r="Y19" s="31"/>
      <c r="Z19" s="31">
        <v>54</v>
      </c>
      <c r="AA19" s="31"/>
      <c r="AB19" s="31"/>
      <c r="AC19" s="31"/>
      <c r="AD19" s="34">
        <f>IF(COUNT(S19:AC19)=0,0,SUMPRODUCT({5000,1000,500,100,75,50,20,10,5,2,1}, S19:AC19))</f>
        <v>840</v>
      </c>
      <c r="AE19" s="33">
        <v>262809</v>
      </c>
      <c r="AF19" s="24">
        <f>IF(AND(COUNT(C19:E19)=0,COUNT(G19:I19)=0,COUNT(K19:M19)=0,COUNT(O19:Q19)=0,COUNT(S19:AC19)=0,AE19=""),"",(IF(COUNT(C19:E19)=0,0,SUMPRODUCT({5000,1000,500},C19:E19))+IF(COUNT(G19:I19)=0,0,SUMPRODUCT({5000,1000,500},G19:I19))+IF(COUNT(K19:M19)=0,0,SUMPRODUCT({5000,1000,500},K19:M19))+IF(COUNT(O19:Q19)=0,0,SUMPRODUCT({5000,1000,500},O19:Q19))+AD19)-N(AE19))</f>
        <v>31</v>
      </c>
      <c r="AG19" s="35" t="str">
        <f t="shared" si="0"/>
        <v>Excess</v>
      </c>
      <c r="AH19" s="38"/>
      <c r="AI19" s="36">
        <v>1259564.95</v>
      </c>
      <c r="AJ19" s="37">
        <f>166223.56+1093341.39</f>
        <v>1259564.95</v>
      </c>
      <c r="AK19" s="26">
        <f t="shared" si="3"/>
        <v>0</v>
      </c>
      <c r="AL19" s="25" t="str">
        <f t="shared" si="4"/>
        <v>Matched</v>
      </c>
      <c r="AM19" s="38"/>
    </row>
    <row r="20" spans="1:39" ht="12.75" customHeight="1" x14ac:dyDescent="0.25">
      <c r="A20" s="31">
        <v>53893</v>
      </c>
      <c r="B20" s="32" t="str">
        <f>IF(A20="","",VLOOKUP(A20,'Employee Database'!A:B,2,FALSE))</f>
        <v>M Binyameen</v>
      </c>
      <c r="C20" s="31"/>
      <c r="D20" s="31"/>
      <c r="E20" s="31"/>
      <c r="F20" s="39">
        <f>IF(COUNT(C20:E20)=0,0,SUMPRODUCT({5000,1000,500},C20:E20))</f>
        <v>0</v>
      </c>
      <c r="G20" s="31"/>
      <c r="H20" s="31"/>
      <c r="I20" s="31"/>
      <c r="J20" s="39">
        <f>IF(COUNT(G20:I20)=0,0,SUMPRODUCT({5000,1000,500},G20:I20))</f>
        <v>0</v>
      </c>
      <c r="K20" s="31">
        <f>1+35</f>
        <v>36</v>
      </c>
      <c r="L20" s="31">
        <f>4+55</f>
        <v>59</v>
      </c>
      <c r="M20" s="31">
        <v>2</v>
      </c>
      <c r="N20" s="39">
        <f>IF(COUNT(K20:M20)=0,0,SUMPRODUCT({5000,1000,500},K20:M20))</f>
        <v>240000</v>
      </c>
      <c r="O20" s="31"/>
      <c r="P20" s="31"/>
      <c r="Q20" s="31"/>
      <c r="R20" s="39">
        <f>IF(COUNT(O20:Q20)=0,0,SUMPRODUCT({5000,1000,500},O20:Q20))</f>
        <v>0</v>
      </c>
      <c r="S20" s="31"/>
      <c r="T20" s="31"/>
      <c r="U20" s="31"/>
      <c r="V20" s="31">
        <v>3</v>
      </c>
      <c r="W20" s="31"/>
      <c r="X20" s="31">
        <v>20</v>
      </c>
      <c r="Y20" s="31"/>
      <c r="Z20" s="31">
        <v>74</v>
      </c>
      <c r="AA20" s="31"/>
      <c r="AB20" s="31"/>
      <c r="AC20" s="31"/>
      <c r="AD20" s="34">
        <f>IF(COUNT(S20:AC20)=0,0,SUMPRODUCT({5000,1000,500,100,75,50,20,10,5,2,1}, S20:AC20))</f>
        <v>2040</v>
      </c>
      <c r="AE20" s="33">
        <v>242027</v>
      </c>
      <c r="AF20" s="24">
        <f>IF(AND(COUNT(C20:E20)=0,COUNT(G20:I20)=0,COUNT(K20:M20)=0,COUNT(O20:Q20)=0,COUNT(S20:AC20)=0,AE20=""),"",(IF(COUNT(C20:E20)=0,0,SUMPRODUCT({5000,1000,500},C20:E20))+IF(COUNT(G20:I20)=0,0,SUMPRODUCT({5000,1000,500},G20:I20))+IF(COUNT(K20:M20)=0,0,SUMPRODUCT({5000,1000,500},K20:M20))+IF(COUNT(O20:Q20)=0,0,SUMPRODUCT({5000,1000,500},O20:Q20))+AD20)-N(AE20))</f>
        <v>13</v>
      </c>
      <c r="AG20" s="35" t="str">
        <f t="shared" si="0"/>
        <v>Excess</v>
      </c>
      <c r="AH20" s="38"/>
      <c r="AI20" s="36">
        <v>907539.66</v>
      </c>
      <c r="AJ20" s="37">
        <f>652105.3+235105.36+20329</f>
        <v>907539.66</v>
      </c>
      <c r="AK20" s="26">
        <f t="shared" si="3"/>
        <v>0</v>
      </c>
      <c r="AL20" s="25" t="str">
        <f t="shared" si="4"/>
        <v>Matched</v>
      </c>
      <c r="AM20" s="38"/>
    </row>
    <row r="21" spans="1:39" ht="12.75" customHeight="1" x14ac:dyDescent="0.25">
      <c r="A21" s="31">
        <v>79593</v>
      </c>
      <c r="B21" s="32" t="str">
        <f>IF(A21="","",VLOOKUP(A21,'Employee Database'!A:B,2,FALSE))</f>
        <v>Amir</v>
      </c>
      <c r="C21" s="31"/>
      <c r="D21" s="31"/>
      <c r="E21" s="31"/>
      <c r="F21" s="39">
        <f>IF(COUNT(C21:E21)=0,0,SUMPRODUCT({5000,1000,500},C21:E21))</f>
        <v>0</v>
      </c>
      <c r="G21" s="31"/>
      <c r="H21" s="31"/>
      <c r="I21" s="31"/>
      <c r="J21" s="39">
        <f>IF(COUNT(G21:I21)=0,0,SUMPRODUCT({5000,1000,500},G21:I21))</f>
        <v>0</v>
      </c>
      <c r="K21" s="31">
        <f>5+28</f>
        <v>33</v>
      </c>
      <c r="L21" s="31">
        <f>18+130</f>
        <v>148</v>
      </c>
      <c r="M21" s="31">
        <v>1</v>
      </c>
      <c r="N21" s="39">
        <f>IF(COUNT(K21:M21)=0,0,SUMPRODUCT({5000,1000,500},K21:M21))</f>
        <v>313500</v>
      </c>
      <c r="O21" s="31"/>
      <c r="P21" s="31"/>
      <c r="Q21" s="31"/>
      <c r="R21" s="39">
        <f>IF(COUNT(O21:Q21)=0,0,SUMPRODUCT({5000,1000,500},O21:Q21))</f>
        <v>0</v>
      </c>
      <c r="S21" s="31"/>
      <c r="T21" s="31"/>
      <c r="U21" s="31"/>
      <c r="V21" s="31">
        <v>2</v>
      </c>
      <c r="W21" s="31"/>
      <c r="X21" s="31">
        <v>26</v>
      </c>
      <c r="Y21" s="31">
        <v>1</v>
      </c>
      <c r="Z21" s="31">
        <v>31</v>
      </c>
      <c r="AA21" s="31"/>
      <c r="AB21" s="31"/>
      <c r="AC21" s="31"/>
      <c r="AD21" s="34">
        <f>IF(COUNT(S21:AC21)=0,0,SUMPRODUCT({5000,1000,500,100,75,50,20,10,5,2,1}, S21:AC21))</f>
        <v>1830</v>
      </c>
      <c r="AE21" s="33">
        <v>315331</v>
      </c>
      <c r="AF21" s="24">
        <f>IF(AND(COUNT(C21:E21)=0,COUNT(G21:I21)=0,COUNT(K21:M21)=0,COUNT(O21:Q21)=0,COUNT(S21:AC21)=0,AE21=""),"",(IF(COUNT(C21:E21)=0,0,SUMPRODUCT({5000,1000,500},C21:E21))+IF(COUNT(G21:I21)=0,0,SUMPRODUCT({5000,1000,500},G21:I21))+IF(COUNT(K21:M21)=0,0,SUMPRODUCT({5000,1000,500},K21:M21))+IF(COUNT(O21:Q21)=0,0,SUMPRODUCT({5000,1000,500},O21:Q21))+AD21)-N(AE21))</f>
        <v>-1</v>
      </c>
      <c r="AG21" s="35" t="str">
        <f t="shared" si="0"/>
        <v>Short</v>
      </c>
      <c r="AH21" s="38"/>
      <c r="AI21" s="36">
        <f>656115.01+236721.97</f>
        <v>892836.98</v>
      </c>
      <c r="AJ21" s="37">
        <f>236721.97+656115.01</f>
        <v>892836.98</v>
      </c>
      <c r="AK21" s="26">
        <f t="shared" si="3"/>
        <v>0</v>
      </c>
      <c r="AL21" s="25" t="str">
        <f t="shared" si="4"/>
        <v>Matched</v>
      </c>
      <c r="AM21" s="38"/>
    </row>
    <row r="22" spans="1:39" ht="12.75" customHeight="1" x14ac:dyDescent="0.25">
      <c r="A22" s="31">
        <v>68475</v>
      </c>
      <c r="B22" s="32" t="str">
        <f>IF(A22="","",VLOOKUP(A22,'Employee Database'!A:B,2,FALSE))</f>
        <v>M Azeem</v>
      </c>
      <c r="C22" s="31"/>
      <c r="D22" s="31"/>
      <c r="E22" s="31"/>
      <c r="F22" s="39">
        <f>IF(COUNT(C22:E22)=0,0,SUMPRODUCT({5000,1000,500},C22:E22))</f>
        <v>0</v>
      </c>
      <c r="G22" s="31"/>
      <c r="H22" s="31"/>
      <c r="I22" s="31"/>
      <c r="J22" s="39">
        <f>IF(COUNT(G22:I22)=0,0,SUMPRODUCT({5000,1000,500},G22:I22))</f>
        <v>0</v>
      </c>
      <c r="K22" s="31">
        <v>3</v>
      </c>
      <c r="L22" s="31">
        <v>43</v>
      </c>
      <c r="M22" s="31">
        <v>5</v>
      </c>
      <c r="N22" s="39">
        <f>IF(COUNT(K22:M22)=0,0,SUMPRODUCT({5000,1000,500},K22:M22))</f>
        <v>60500</v>
      </c>
      <c r="O22" s="31"/>
      <c r="P22" s="31"/>
      <c r="Q22" s="31"/>
      <c r="R22" s="39">
        <f>IF(COUNT(O22:Q22)=0,0,SUMPRODUCT({5000,1000,500},O22:Q22))</f>
        <v>0</v>
      </c>
      <c r="S22" s="31"/>
      <c r="T22" s="31"/>
      <c r="U22" s="31"/>
      <c r="V22" s="31">
        <v>4</v>
      </c>
      <c r="W22" s="31"/>
      <c r="X22" s="31">
        <v>82</v>
      </c>
      <c r="Y22" s="31"/>
      <c r="Z22" s="31">
        <v>69</v>
      </c>
      <c r="AA22" s="31"/>
      <c r="AB22" s="31"/>
      <c r="AC22" s="31"/>
      <c r="AD22" s="34">
        <f>IF(COUNT(S22:AC22)=0,0,SUMPRODUCT({5000,1000,500,100,75,50,20,10,5,2,1}, S22:AC22))</f>
        <v>5190</v>
      </c>
      <c r="AE22" s="33">
        <v>65723</v>
      </c>
      <c r="AF22" s="24">
        <f>IF(AND(COUNT(C22:E22)=0,COUNT(G22:I22)=0,COUNT(K22:M22)=0,COUNT(O22:Q22)=0,COUNT(S22:AC22)=0,AE22=""),"",(IF(COUNT(C22:E22)=0,0,SUMPRODUCT({5000,1000,500},C22:E22))+IF(COUNT(G22:I22)=0,0,SUMPRODUCT({5000,1000,500},G22:I22))+IF(COUNT(K22:M22)=0,0,SUMPRODUCT({5000,1000,500},K22:M22))+IF(COUNT(O22:Q22)=0,0,SUMPRODUCT({5000,1000,500},O22:Q22))+AD22)-N(AE22))</f>
        <v>-33</v>
      </c>
      <c r="AG22" s="35" t="str">
        <f t="shared" si="0"/>
        <v>Short</v>
      </c>
      <c r="AH22" s="38"/>
      <c r="AI22" s="36">
        <v>257332.23</v>
      </c>
      <c r="AJ22" s="37">
        <f>194704.07+62628.16</f>
        <v>257332.23</v>
      </c>
      <c r="AK22" s="26">
        <f t="shared" si="3"/>
        <v>0</v>
      </c>
      <c r="AL22" s="25" t="str">
        <f t="shared" si="4"/>
        <v>Matched</v>
      </c>
      <c r="AM22" s="38"/>
    </row>
    <row r="23" spans="1:39" ht="12.75" customHeight="1" x14ac:dyDescent="0.25">
      <c r="A23" s="31">
        <v>73679</v>
      </c>
      <c r="B23" s="32" t="str">
        <f>IF(A23="","",VLOOKUP(A23,'Employee Database'!A:B,2,FALSE))</f>
        <v>Imran Waqar</v>
      </c>
      <c r="C23" s="31"/>
      <c r="D23" s="31"/>
      <c r="E23" s="31"/>
      <c r="F23" s="39">
        <f>IF(COUNT(C23:E23)=0,0,SUMPRODUCT({5000,1000,500},C23:E23))</f>
        <v>0</v>
      </c>
      <c r="G23" s="31"/>
      <c r="H23" s="31"/>
      <c r="I23" s="31"/>
      <c r="J23" s="39">
        <f>IF(COUNT(G23:I23)=0,0,SUMPRODUCT({5000,1000,500},G23:I23))</f>
        <v>0</v>
      </c>
      <c r="K23" s="31">
        <v>31</v>
      </c>
      <c r="L23" s="31">
        <f>11+95</f>
        <v>106</v>
      </c>
      <c r="M23" s="31">
        <v>12</v>
      </c>
      <c r="N23" s="39">
        <f>IF(COUNT(K23:M23)=0,0,SUMPRODUCT({5000,1000,500},K23:M23))</f>
        <v>267000</v>
      </c>
      <c r="O23" s="31"/>
      <c r="P23" s="31"/>
      <c r="Q23" s="31"/>
      <c r="R23" s="39">
        <f>IF(COUNT(O23:Q23)=0,0,SUMPRODUCT({5000,1000,500},O23:Q23))</f>
        <v>0</v>
      </c>
      <c r="S23" s="31"/>
      <c r="T23" s="31"/>
      <c r="U23" s="31"/>
      <c r="V23" s="31"/>
      <c r="W23" s="31"/>
      <c r="X23" s="31">
        <v>4</v>
      </c>
      <c r="Y23" s="31"/>
      <c r="Z23" s="31">
        <v>31</v>
      </c>
      <c r="AA23" s="31"/>
      <c r="AB23" s="31"/>
      <c r="AC23" s="31"/>
      <c r="AD23" s="34">
        <f>IF(COUNT(S23:AC23)=0,0,SUMPRODUCT({5000,1000,500,100,75,50,20,10,5,2,1}, S23:AC23))</f>
        <v>510</v>
      </c>
      <c r="AE23" s="33">
        <v>267499</v>
      </c>
      <c r="AF23" s="24">
        <f>IF(AND(COUNT(C23:E23)=0,COUNT(G23:I23)=0,COUNT(K23:M23)=0,COUNT(O23:Q23)=0,COUNT(S23:AC23)=0,AE23=""),"",(IF(COUNT(C23:E23)=0,0,SUMPRODUCT({5000,1000,500},C23:E23))+IF(COUNT(G23:I23)=0,0,SUMPRODUCT({5000,1000,500},G23:I23))+IF(COUNT(K23:M23)=0,0,SUMPRODUCT({5000,1000,500},K23:M23))+IF(COUNT(O23:Q23)=0,0,SUMPRODUCT({5000,1000,500},O23:Q23))+AD23)-N(AE23))</f>
        <v>11</v>
      </c>
      <c r="AG23" s="35" t="str">
        <f t="shared" si="0"/>
        <v>Excess</v>
      </c>
      <c r="AH23" s="38"/>
      <c r="AI23" s="36">
        <v>834185.96</v>
      </c>
      <c r="AJ23" s="37">
        <f>654798.75+179387.21</f>
        <v>834185.96</v>
      </c>
      <c r="AK23" s="26">
        <f t="shared" si="3"/>
        <v>0</v>
      </c>
      <c r="AL23" s="25" t="str">
        <f t="shared" si="4"/>
        <v>Matched</v>
      </c>
      <c r="AM23" s="38"/>
    </row>
    <row r="24" spans="1:39" ht="12.75" customHeight="1" x14ac:dyDescent="0.25">
      <c r="A24" s="31">
        <v>50394</v>
      </c>
      <c r="B24" s="32" t="str">
        <f>IF(A24="","",VLOOKUP(A24,'Employee Database'!A:B,2,FALSE))</f>
        <v>Qasir Ali</v>
      </c>
      <c r="C24" s="31"/>
      <c r="D24" s="31"/>
      <c r="E24" s="31"/>
      <c r="F24" s="39">
        <f>IF(COUNT(C24:E24)=0,0,SUMPRODUCT({5000,1000,500},C24:E24))</f>
        <v>0</v>
      </c>
      <c r="G24" s="31"/>
      <c r="H24" s="31"/>
      <c r="I24" s="31"/>
      <c r="J24" s="39">
        <f>IF(COUNT(G24:I24)=0,0,SUMPRODUCT({5000,1000,500},G24:I24))</f>
        <v>0</v>
      </c>
      <c r="K24" s="31">
        <v>23</v>
      </c>
      <c r="L24" s="31">
        <v>71</v>
      </c>
      <c r="M24" s="31">
        <v>10</v>
      </c>
      <c r="N24" s="39">
        <f>IF(COUNT(K24:M24)=0,0,SUMPRODUCT({5000,1000,500},K24:M24))</f>
        <v>191000</v>
      </c>
      <c r="O24" s="31"/>
      <c r="P24" s="31"/>
      <c r="Q24" s="31"/>
      <c r="R24" s="39">
        <f>IF(COUNT(O24:Q24)=0,0,SUMPRODUCT({5000,1000,500},O24:Q24))</f>
        <v>0</v>
      </c>
      <c r="S24" s="31"/>
      <c r="T24" s="31"/>
      <c r="U24" s="31"/>
      <c r="V24" s="31"/>
      <c r="W24" s="31"/>
      <c r="X24" s="31">
        <v>7</v>
      </c>
      <c r="Y24" s="31"/>
      <c r="Z24" s="31">
        <v>62</v>
      </c>
      <c r="AA24" s="31"/>
      <c r="AB24" s="31"/>
      <c r="AC24" s="31"/>
      <c r="AD24" s="34">
        <f>IF(COUNT(S24:AC24)=0,0,SUMPRODUCT({5000,1000,500,100,75,50,20,10,5,2,1}, S24:AC24))</f>
        <v>970</v>
      </c>
      <c r="AE24" s="33">
        <v>191899</v>
      </c>
      <c r="AF24" s="24">
        <f>IF(AND(COUNT(C24:E24)=0,COUNT(G24:I24)=0,COUNT(K24:M24)=0,COUNT(O24:Q24)=0,COUNT(S24:AC24)=0,AE24=""),"",(IF(COUNT(C24:E24)=0,0,SUMPRODUCT({5000,1000,500},C24:E24))+IF(COUNT(G24:I24)=0,0,SUMPRODUCT({5000,1000,500},G24:I24))+IF(COUNT(K24:M24)=0,0,SUMPRODUCT({5000,1000,500},K24:M24))+IF(COUNT(O24:Q24)=0,0,SUMPRODUCT({5000,1000,500},O24:Q24))+AD24)-N(AE24))</f>
        <v>71</v>
      </c>
      <c r="AG24" s="35" t="str">
        <f t="shared" si="0"/>
        <v>Excess</v>
      </c>
      <c r="AH24" s="38"/>
      <c r="AI24" s="36">
        <v>549435.69999999995</v>
      </c>
      <c r="AJ24" s="37">
        <f>437611.15+111824.55</f>
        <v>549435.70000000007</v>
      </c>
      <c r="AK24" s="26">
        <f t="shared" si="3"/>
        <v>-1.1641532182693481E-10</v>
      </c>
      <c r="AL24" s="25" t="str">
        <f t="shared" si="4"/>
        <v>Bank Short</v>
      </c>
      <c r="AM24" s="38"/>
    </row>
    <row r="25" spans="1:39" ht="12.75" customHeight="1" x14ac:dyDescent="0.25">
      <c r="A25" s="31">
        <v>71788</v>
      </c>
      <c r="B25" s="32" t="str">
        <f>IF(A25="","",VLOOKUP(A25,'Employee Database'!A:B,2,FALSE))</f>
        <v>Saaim</v>
      </c>
      <c r="C25" s="31"/>
      <c r="D25" s="31"/>
      <c r="E25" s="31"/>
      <c r="F25" s="39">
        <f>IF(COUNT(C25:E25)=0,0,SUMPRODUCT({5000,1000,500},C25:E25))</f>
        <v>0</v>
      </c>
      <c r="G25" s="31"/>
      <c r="H25" s="31"/>
      <c r="I25" s="31"/>
      <c r="J25" s="39">
        <f>IF(COUNT(G25:I25)=0,0,SUMPRODUCT({5000,1000,500},G25:I25))</f>
        <v>0</v>
      </c>
      <c r="K25" s="31">
        <v>26</v>
      </c>
      <c r="L25" s="31">
        <v>105</v>
      </c>
      <c r="M25" s="31">
        <v>3</v>
      </c>
      <c r="N25" s="39">
        <f>IF(COUNT(K25:M25)=0,0,SUMPRODUCT({5000,1000,500},K25:M25))</f>
        <v>236500</v>
      </c>
      <c r="O25" s="31"/>
      <c r="P25" s="31"/>
      <c r="Q25" s="31"/>
      <c r="R25" s="39">
        <f>IF(COUNT(O25:Q25)=0,0,SUMPRODUCT({5000,1000,500},O25:Q25))</f>
        <v>0</v>
      </c>
      <c r="S25" s="31"/>
      <c r="T25" s="31"/>
      <c r="U25" s="31"/>
      <c r="V25" s="31">
        <v>1</v>
      </c>
      <c r="W25" s="31"/>
      <c r="X25" s="31">
        <v>7</v>
      </c>
      <c r="Y25" s="31">
        <v>1</v>
      </c>
      <c r="Z25" s="31">
        <v>37</v>
      </c>
      <c r="AA25" s="31"/>
      <c r="AB25" s="31"/>
      <c r="AC25" s="31"/>
      <c r="AD25" s="34">
        <f>IF(COUNT(S25:AC25)=0,0,SUMPRODUCT({5000,1000,500,100,75,50,20,10,5,2,1}, S25:AC25))</f>
        <v>840</v>
      </c>
      <c r="AE25" s="33">
        <v>237327</v>
      </c>
      <c r="AF25" s="24">
        <f>IF(AND(COUNT(C25:E25)=0,COUNT(G25:I25)=0,COUNT(K25:M25)=0,COUNT(O25:Q25)=0,COUNT(S25:AC25)=0,AE25=""),"",(IF(COUNT(C25:E25)=0,0,SUMPRODUCT({5000,1000,500},C25:E25))+IF(COUNT(G25:I25)=0,0,SUMPRODUCT({5000,1000,500},G25:I25))+IF(COUNT(K25:M25)=0,0,SUMPRODUCT({5000,1000,500},K25:M25))+IF(COUNT(O25:Q25)=0,0,SUMPRODUCT({5000,1000,500},O25:Q25))+AD25)-N(AE25))</f>
        <v>13</v>
      </c>
      <c r="AG25" s="35" t="str">
        <f t="shared" si="0"/>
        <v>Excess</v>
      </c>
      <c r="AH25" s="38"/>
      <c r="AI25" s="36"/>
      <c r="AJ25" s="37"/>
      <c r="AK25" s="26" t="str">
        <f t="shared" si="3"/>
        <v/>
      </c>
      <c r="AL25" s="25" t="str">
        <f t="shared" si="4"/>
        <v/>
      </c>
      <c r="AM25" s="38"/>
    </row>
    <row r="26" spans="1:39" ht="12.75" customHeight="1" x14ac:dyDescent="0.25">
      <c r="A26" s="31">
        <v>69213</v>
      </c>
      <c r="B26" s="32" t="str">
        <f>IF(A26="","",VLOOKUP(A26,'Employee Database'!A:B,2,FALSE))</f>
        <v>Muhammad Shahbaz</v>
      </c>
      <c r="C26" s="31"/>
      <c r="D26" s="31"/>
      <c r="E26" s="31"/>
      <c r="F26" s="39">
        <f>IF(COUNT(C26:E26)=0,0,SUMPRODUCT({5000,1000,500},C26:E26))</f>
        <v>0</v>
      </c>
      <c r="G26" s="31"/>
      <c r="H26" s="31"/>
      <c r="I26" s="31"/>
      <c r="J26" s="39">
        <f>IF(COUNT(G26:I26)=0,0,SUMPRODUCT({5000,1000,500},G26:I26))</f>
        <v>0</v>
      </c>
      <c r="K26" s="31">
        <v>19</v>
      </c>
      <c r="L26" s="31">
        <v>48</v>
      </c>
      <c r="M26" s="31">
        <v>7</v>
      </c>
      <c r="N26" s="39">
        <f>IF(COUNT(K26:M26)=0,0,SUMPRODUCT({5000,1000,500},K26:M26))</f>
        <v>146500</v>
      </c>
      <c r="O26" s="31"/>
      <c r="P26" s="31"/>
      <c r="Q26" s="31"/>
      <c r="R26" s="39">
        <f>IF(COUNT(O26:Q26)=0,0,SUMPRODUCT({5000,1000,500},O26:Q26))</f>
        <v>0</v>
      </c>
      <c r="S26" s="31"/>
      <c r="T26" s="31"/>
      <c r="U26" s="31"/>
      <c r="V26" s="31">
        <v>1</v>
      </c>
      <c r="W26" s="31"/>
      <c r="X26" s="31">
        <v>38</v>
      </c>
      <c r="Y26" s="31">
        <v>1</v>
      </c>
      <c r="Z26" s="31">
        <v>21</v>
      </c>
      <c r="AA26" s="31"/>
      <c r="AB26" s="31"/>
      <c r="AC26" s="31"/>
      <c r="AD26" s="34">
        <f>IF(COUNT(S26:AC26)=0,0,SUMPRODUCT({5000,1000,500,100,75,50,20,10,5,2,1}, S26:AC26))</f>
        <v>2230</v>
      </c>
      <c r="AE26" s="33">
        <v>148639</v>
      </c>
      <c r="AF26" s="24">
        <f>IF(AND(COUNT(C26:E26)=0,COUNT(G26:I26)=0,COUNT(K26:M26)=0,COUNT(O26:Q26)=0,COUNT(S26:AC26)=0,AE26=""),"",(IF(COUNT(C26:E26)=0,0,SUMPRODUCT({5000,1000,500},C26:E26))+IF(COUNT(G26:I26)=0,0,SUMPRODUCT({5000,1000,500},G26:I26))+IF(COUNT(K26:M26)=0,0,SUMPRODUCT({5000,1000,500},K26:M26))+IF(COUNT(O26:Q26)=0,0,SUMPRODUCT({5000,1000,500},O26:Q26))+AD26)-N(AE26))</f>
        <v>91</v>
      </c>
      <c r="AG26" s="35" t="str">
        <f t="shared" si="0"/>
        <v>Excess</v>
      </c>
      <c r="AH26" s="38"/>
      <c r="AI26" s="36">
        <v>481365.82</v>
      </c>
      <c r="AJ26" s="37">
        <f>279194.81+202171.01</f>
        <v>481365.82</v>
      </c>
      <c r="AK26" s="26">
        <f t="shared" si="3"/>
        <v>0</v>
      </c>
      <c r="AL26" s="25" t="str">
        <f t="shared" si="4"/>
        <v>Matched</v>
      </c>
      <c r="AM26" s="38"/>
    </row>
    <row r="27" spans="1:39" ht="12.75" customHeight="1" x14ac:dyDescent="0.25">
      <c r="A27" s="31">
        <v>77424</v>
      </c>
      <c r="B27" s="32" t="str">
        <f>IF(A27="","",VLOOKUP(A27,'Employee Database'!A:B,2,FALSE))</f>
        <v>M Husnain</v>
      </c>
      <c r="C27" s="31"/>
      <c r="D27" s="31"/>
      <c r="E27" s="31"/>
      <c r="F27" s="39">
        <f>IF(COUNT(C27:E27)=0,0,SUMPRODUCT({5000,1000,500},C27:E27))</f>
        <v>0</v>
      </c>
      <c r="G27" s="31"/>
      <c r="H27" s="31"/>
      <c r="I27" s="31"/>
      <c r="J27" s="39">
        <f>IF(COUNT(G27:I27)=0,0,SUMPRODUCT({5000,1000,500},G27:I27))</f>
        <v>0</v>
      </c>
      <c r="K27" s="31">
        <v>23</v>
      </c>
      <c r="L27" s="31">
        <v>19</v>
      </c>
      <c r="M27" s="31">
        <v>1</v>
      </c>
      <c r="N27" s="39">
        <f>IF(COUNT(K27:M27)=0,0,SUMPRODUCT({5000,1000,500},K27:M27))</f>
        <v>134500</v>
      </c>
      <c r="O27" s="31"/>
      <c r="P27" s="31"/>
      <c r="Q27" s="31"/>
      <c r="R27" s="39">
        <f>IF(COUNT(O27:Q27)=0,0,SUMPRODUCT({5000,1000,500},O27:Q27))</f>
        <v>0</v>
      </c>
      <c r="S27" s="31"/>
      <c r="T27" s="31"/>
      <c r="U27" s="31"/>
      <c r="V27" s="31"/>
      <c r="W27" s="31"/>
      <c r="X27" s="31">
        <v>69</v>
      </c>
      <c r="Y27" s="31"/>
      <c r="Z27" s="31">
        <v>166</v>
      </c>
      <c r="AA27" s="31"/>
      <c r="AB27" s="31"/>
      <c r="AC27" s="31"/>
      <c r="AD27" s="34">
        <f>IF(COUNT(S27:AC27)=0,0,SUMPRODUCT({5000,1000,500,100,75,50,20,10,5,2,1}, S27:AC27))</f>
        <v>5110</v>
      </c>
      <c r="AE27" s="33">
        <v>139608</v>
      </c>
      <c r="AF27" s="24">
        <f>IF(AND(COUNT(C27:E27)=0,COUNT(G27:I27)=0,COUNT(K27:M27)=0,COUNT(O27:Q27)=0,COUNT(S27:AC27)=0,AE27=""),"",(IF(COUNT(C27:E27)=0,0,SUMPRODUCT({5000,1000,500},C27:E27))+IF(COUNT(G27:I27)=0,0,SUMPRODUCT({5000,1000,500},G27:I27))+IF(COUNT(K27:M27)=0,0,SUMPRODUCT({5000,1000,500},K27:M27))+IF(COUNT(O27:Q27)=0,0,SUMPRODUCT({5000,1000,500},O27:Q27))+AD27)-N(AE27))</f>
        <v>2</v>
      </c>
      <c r="AG27" s="35" t="str">
        <f t="shared" si="0"/>
        <v>Excess</v>
      </c>
      <c r="AH27" s="38"/>
      <c r="AI27" s="36">
        <f>808877.77+4375.1</f>
        <v>813252.87</v>
      </c>
      <c r="AJ27" s="37">
        <f>4375.1+181056.99+627820.78</f>
        <v>813252.87</v>
      </c>
      <c r="AK27" s="26">
        <f t="shared" si="3"/>
        <v>0</v>
      </c>
      <c r="AL27" s="25" t="str">
        <f t="shared" si="4"/>
        <v>Matched</v>
      </c>
      <c r="AM27" s="38"/>
    </row>
    <row r="28" spans="1:39" ht="12.75" customHeight="1" x14ac:dyDescent="0.25">
      <c r="A28" s="31">
        <v>63374</v>
      </c>
      <c r="B28" s="32" t="str">
        <f>IF(A28="","",VLOOKUP(A28,'Employee Database'!A:B,2,FALSE))</f>
        <v>Aftab Ali</v>
      </c>
      <c r="C28" s="31"/>
      <c r="D28" s="31"/>
      <c r="E28" s="31"/>
      <c r="F28" s="39">
        <f>IF(COUNT(C28:E28)=0,0,SUMPRODUCT({5000,1000,500},C28:E28))</f>
        <v>0</v>
      </c>
      <c r="G28" s="31"/>
      <c r="H28" s="31"/>
      <c r="I28" s="31"/>
      <c r="J28" s="39">
        <f>IF(COUNT(G28:I28)=0,0,SUMPRODUCT({5000,1000,500},G28:I28))</f>
        <v>0</v>
      </c>
      <c r="K28" s="31">
        <v>14</v>
      </c>
      <c r="L28" s="31">
        <v>79</v>
      </c>
      <c r="M28" s="31">
        <v>56</v>
      </c>
      <c r="N28" s="39">
        <f>IF(COUNT(K28:M28)=0,0,SUMPRODUCT({5000,1000,500},K28:M28))</f>
        <v>177000</v>
      </c>
      <c r="O28" s="31"/>
      <c r="P28" s="31"/>
      <c r="Q28" s="31"/>
      <c r="R28" s="39">
        <f>IF(COUNT(O28:Q28)=0,0,SUMPRODUCT({5000,1000,500},O28:Q28))</f>
        <v>0</v>
      </c>
      <c r="S28" s="31"/>
      <c r="T28" s="31"/>
      <c r="U28" s="31"/>
      <c r="V28" s="31"/>
      <c r="W28" s="31"/>
      <c r="X28" s="31">
        <v>20</v>
      </c>
      <c r="Y28" s="31"/>
      <c r="Z28" s="31">
        <v>61</v>
      </c>
      <c r="AA28" s="31"/>
      <c r="AB28" s="31"/>
      <c r="AC28" s="31"/>
      <c r="AD28" s="34">
        <f>IF(COUNT(S28:AC28)=0,0,SUMPRODUCT({5000,1000,500,100,75,50,20,10,5,2,1}, S28:AC28))</f>
        <v>1610</v>
      </c>
      <c r="AE28" s="33">
        <v>178616</v>
      </c>
      <c r="AF28" s="24">
        <f>IF(AND(COUNT(C28:E28)=0,COUNT(G28:I28)=0,COUNT(K28:M28)=0,COUNT(O28:Q28)=0,COUNT(S28:AC28)=0,AE28=""),"",(IF(COUNT(C28:E28)=0,0,SUMPRODUCT({5000,1000,500},C28:E28))+IF(COUNT(G28:I28)=0,0,SUMPRODUCT({5000,1000,500},G28:I28))+IF(COUNT(K28:M28)=0,0,SUMPRODUCT({5000,1000,500},K28:M28))+IF(COUNT(O28:Q28)=0,0,SUMPRODUCT({5000,1000,500},O28:Q28))+AD28)-N(AE28))</f>
        <v>-6</v>
      </c>
      <c r="AG28" s="35" t="str">
        <f t="shared" si="0"/>
        <v>Short</v>
      </c>
      <c r="AH28" s="38"/>
      <c r="AI28" s="36">
        <v>543856.75</v>
      </c>
      <c r="AJ28" s="37">
        <v>543856.75</v>
      </c>
      <c r="AK28" s="26">
        <f t="shared" si="3"/>
        <v>0</v>
      </c>
      <c r="AL28" s="25" t="str">
        <f t="shared" si="4"/>
        <v>Matched</v>
      </c>
      <c r="AM28" s="38"/>
    </row>
    <row r="29" spans="1:39" ht="12.75" customHeight="1" x14ac:dyDescent="0.25">
      <c r="A29" s="31">
        <v>68473</v>
      </c>
      <c r="B29" s="32" t="str">
        <f>IF(A29="","",VLOOKUP(A29,'Employee Database'!A:B,2,FALSE))</f>
        <v>M Noman</v>
      </c>
      <c r="C29" s="31"/>
      <c r="D29" s="31"/>
      <c r="E29" s="31"/>
      <c r="F29" s="39">
        <f>IF(COUNT(C29:E29)=0,0,SUMPRODUCT({5000,1000,500},C29:E29))</f>
        <v>0</v>
      </c>
      <c r="G29" s="31"/>
      <c r="H29" s="31"/>
      <c r="I29" s="31"/>
      <c r="J29" s="39">
        <f>IF(COUNT(G29:I29)=0,0,SUMPRODUCT({5000,1000,500},G29:I29))</f>
        <v>0</v>
      </c>
      <c r="K29" s="31">
        <v>14</v>
      </c>
      <c r="L29" s="31">
        <v>48</v>
      </c>
      <c r="M29" s="31"/>
      <c r="N29" s="39">
        <f>IF(COUNT(K29:M29)=0,0,SUMPRODUCT({5000,1000,500},K29:M29))</f>
        <v>118000</v>
      </c>
      <c r="O29" s="31"/>
      <c r="P29" s="31"/>
      <c r="Q29" s="31"/>
      <c r="R29" s="39">
        <f>IF(COUNT(O29:Q29)=0,0,SUMPRODUCT({5000,1000,500},O29:Q29))</f>
        <v>0</v>
      </c>
      <c r="S29" s="31"/>
      <c r="T29" s="31"/>
      <c r="U29" s="31"/>
      <c r="V29" s="31"/>
      <c r="W29" s="31"/>
      <c r="X29" s="31">
        <v>19</v>
      </c>
      <c r="Y29" s="31"/>
      <c r="Z29" s="31">
        <v>72</v>
      </c>
      <c r="AA29" s="31"/>
      <c r="AB29" s="31"/>
      <c r="AC29" s="31"/>
      <c r="AD29" s="34">
        <f>IF(COUNT(S29:AC29)=0,0,SUMPRODUCT({5000,1000,500,100,75,50,20,10,5,2,1}, S29:AC29))</f>
        <v>1670</v>
      </c>
      <c r="AE29" s="33">
        <v>119558</v>
      </c>
      <c r="AF29" s="24">
        <f>IF(AND(COUNT(C29:E29)=0,COUNT(G29:I29)=0,COUNT(K29:M29)=0,COUNT(O29:Q29)=0,COUNT(S29:AC29)=0,AE29=""),"",(IF(COUNT(C29:E29)=0,0,SUMPRODUCT({5000,1000,500},C29:E29))+IF(COUNT(G29:I29)=0,0,SUMPRODUCT({5000,1000,500},G29:I29))+IF(COUNT(K29:M29)=0,0,SUMPRODUCT({5000,1000,500},K29:M29))+IF(COUNT(O29:Q29)=0,0,SUMPRODUCT({5000,1000,500},O29:Q29))+AD29)-N(AE29))</f>
        <v>112</v>
      </c>
      <c r="AG29" s="35" t="str">
        <f t="shared" si="0"/>
        <v>Excess</v>
      </c>
      <c r="AH29" s="38"/>
      <c r="AI29" s="36">
        <v>485604.54</v>
      </c>
      <c r="AJ29" s="37">
        <f>283030.84+202573.7</f>
        <v>485604.54000000004</v>
      </c>
      <c r="AK29" s="26">
        <f t="shared" si="3"/>
        <v>-5.8207660913467407E-11</v>
      </c>
      <c r="AL29" s="25" t="str">
        <f t="shared" si="4"/>
        <v>Bank Short</v>
      </c>
      <c r="AM29" s="38"/>
    </row>
    <row r="30" spans="1:39" ht="12.75" customHeight="1" x14ac:dyDescent="0.25">
      <c r="A30" s="31">
        <v>67799</v>
      </c>
      <c r="B30" s="32" t="str">
        <f>IF(A30="","",VLOOKUP(A30,'Employee Database'!A:B,2,FALSE))</f>
        <v>Hassan Raza</v>
      </c>
      <c r="C30" s="31"/>
      <c r="D30" s="31"/>
      <c r="E30" s="31"/>
      <c r="F30" s="39">
        <f>IF(COUNT(C30:E30)=0,0,SUMPRODUCT({5000,1000,500},C30:E30))</f>
        <v>0</v>
      </c>
      <c r="G30" s="31"/>
      <c r="H30" s="31"/>
      <c r="I30" s="31"/>
      <c r="J30" s="39">
        <f>IF(COUNT(G30:I30)=0,0,SUMPRODUCT({5000,1000,500},G30:I30))</f>
        <v>0</v>
      </c>
      <c r="K30" s="31">
        <v>13</v>
      </c>
      <c r="L30" s="31">
        <v>127</v>
      </c>
      <c r="M30" s="31">
        <v>29</v>
      </c>
      <c r="N30" s="39">
        <f>IF(COUNT(K30:M30)=0,0,SUMPRODUCT({5000,1000,500},K30:M30))</f>
        <v>206500</v>
      </c>
      <c r="O30" s="31"/>
      <c r="P30" s="31"/>
      <c r="Q30" s="31"/>
      <c r="R30" s="39">
        <f>IF(COUNT(O30:Q30)=0,0,SUMPRODUCT({5000,1000,500},O30:Q30))</f>
        <v>0</v>
      </c>
      <c r="S30" s="31"/>
      <c r="T30" s="31"/>
      <c r="U30" s="31"/>
      <c r="V30" s="31">
        <v>7</v>
      </c>
      <c r="W30" s="31"/>
      <c r="X30" s="31">
        <v>24</v>
      </c>
      <c r="Y30" s="31"/>
      <c r="Z30" s="31">
        <v>47</v>
      </c>
      <c r="AA30" s="31"/>
      <c r="AB30" s="31"/>
      <c r="AC30" s="31"/>
      <c r="AD30" s="34">
        <f>IF(COUNT(S30:AC30)=0,0,SUMPRODUCT({5000,1000,500,100,75,50,20,10,5,2,1}, S30:AC30))</f>
        <v>2370</v>
      </c>
      <c r="AE30" s="33">
        <v>208895</v>
      </c>
      <c r="AF30" s="24">
        <f>IF(AND(COUNT(C30:E30)=0,COUNT(G30:I30)=0,COUNT(K30:M30)=0,COUNT(O30:Q30)=0,COUNT(S30:AC30)=0,AE30=""),"",(IF(COUNT(C30:E30)=0,0,SUMPRODUCT({5000,1000,500},C30:E30))+IF(COUNT(G30:I30)=0,0,SUMPRODUCT({5000,1000,500},G30:I30))+IF(COUNT(K30:M30)=0,0,SUMPRODUCT({5000,1000,500},K30:M30))+IF(COUNT(O30:Q30)=0,0,SUMPRODUCT({5000,1000,500},O30:Q30))+AD30)-N(AE30))</f>
        <v>-25</v>
      </c>
      <c r="AG30" s="35" t="str">
        <f t="shared" si="0"/>
        <v>Short</v>
      </c>
      <c r="AH30" s="38"/>
      <c r="AI30" s="36">
        <f>1160+388947.3</f>
        <v>390107.3</v>
      </c>
      <c r="AJ30" s="37">
        <f>1160+116720.16+272227.14</f>
        <v>390107.30000000005</v>
      </c>
      <c r="AK30" s="26">
        <f t="shared" si="3"/>
        <v>-5.8207660913467407E-11</v>
      </c>
      <c r="AL30" s="25" t="str">
        <f t="shared" si="4"/>
        <v>Bank Short</v>
      </c>
      <c r="AM30" s="38"/>
    </row>
    <row r="31" spans="1:39" ht="12.75" customHeight="1" x14ac:dyDescent="0.25">
      <c r="A31" s="31">
        <v>50313</v>
      </c>
      <c r="B31" s="32" t="str">
        <f>IF(A31="","",VLOOKUP(A31,'Employee Database'!A:B,2,FALSE))</f>
        <v>Waseem Raza</v>
      </c>
      <c r="C31" s="31"/>
      <c r="D31" s="31"/>
      <c r="E31" s="31"/>
      <c r="F31" s="39">
        <f>IF(COUNT(C31:E31)=0,0,SUMPRODUCT({5000,1000,500},C31:E31))</f>
        <v>0</v>
      </c>
      <c r="G31" s="31"/>
      <c r="H31" s="31"/>
      <c r="I31" s="31"/>
      <c r="J31" s="39">
        <f>IF(COUNT(G31:I31)=0,0,SUMPRODUCT({5000,1000,500},G31:I31))</f>
        <v>0</v>
      </c>
      <c r="K31" s="31"/>
      <c r="L31" s="31">
        <v>5</v>
      </c>
      <c r="M31" s="31"/>
      <c r="N31" s="39">
        <f>IF(COUNT(K31:M31)=0,0,SUMPRODUCT({5000,1000,500},K31:M31))</f>
        <v>5000</v>
      </c>
      <c r="O31" s="31"/>
      <c r="P31" s="31"/>
      <c r="Q31" s="31"/>
      <c r="R31" s="39">
        <f>IF(COUNT(O31:Q31)=0,0,SUMPRODUCT({5000,1000,500},O31:Q31))</f>
        <v>0</v>
      </c>
      <c r="S31" s="31"/>
      <c r="T31" s="31"/>
      <c r="U31" s="31"/>
      <c r="V31" s="31"/>
      <c r="W31" s="31"/>
      <c r="X31" s="31">
        <v>1</v>
      </c>
      <c r="Y31" s="31"/>
      <c r="Z31" s="31"/>
      <c r="AA31" s="31"/>
      <c r="AB31" s="31"/>
      <c r="AC31" s="31"/>
      <c r="AD31" s="34">
        <f>IF(COUNT(S31:AC31)=0,0,SUMPRODUCT({5000,1000,500,100,75,50,20,10,5,2,1}, S31:AC31))</f>
        <v>50</v>
      </c>
      <c r="AE31" s="33">
        <v>5050</v>
      </c>
      <c r="AF31" s="24">
        <f>IF(AND(COUNT(C31:E31)=0,COUNT(G31:I31)=0,COUNT(K31:M31)=0,COUNT(O31:Q31)=0,COUNT(S31:AC31)=0,AE31=""),"",(IF(COUNT(C31:E31)=0,0,SUMPRODUCT({5000,1000,500},C31:E31))+IF(COUNT(G31:I31)=0,0,SUMPRODUCT({5000,1000,500},G31:I31))+IF(COUNT(K31:M31)=0,0,SUMPRODUCT({5000,1000,500},K31:M31))+IF(COUNT(O31:Q31)=0,0,SUMPRODUCT({5000,1000,500},O31:Q31))+AD31)-N(AE31))</f>
        <v>0</v>
      </c>
      <c r="AG31" s="35" t="str">
        <f t="shared" si="0"/>
        <v>Balanced</v>
      </c>
      <c r="AH31" s="38"/>
      <c r="AI31" s="36"/>
      <c r="AJ31" s="37"/>
      <c r="AK31" s="26" t="str">
        <f t="shared" si="3"/>
        <v/>
      </c>
      <c r="AL31" s="25" t="str">
        <f t="shared" si="4"/>
        <v/>
      </c>
      <c r="AM31" s="38"/>
    </row>
    <row r="32" spans="1:39" ht="12.75" customHeight="1" x14ac:dyDescent="0.25">
      <c r="A32" s="31"/>
      <c r="B32" s="32" t="str">
        <f>IF(A32="","",VLOOKUP(A32,'Employee Database'!A:B,2,FALSE))</f>
        <v/>
      </c>
      <c r="C32" s="31"/>
      <c r="D32" s="31"/>
      <c r="E32" s="31"/>
      <c r="F32" s="39">
        <f>IF(COUNT(C32:E32)=0,0,SUMPRODUCT({5000,1000,500},C32:E32))</f>
        <v>0</v>
      </c>
      <c r="G32" s="31"/>
      <c r="H32" s="31"/>
      <c r="I32" s="31"/>
      <c r="J32" s="39">
        <f>IF(COUNT(G32:I32)=0,0,SUMPRODUCT({5000,1000,500},G32:I32))</f>
        <v>0</v>
      </c>
      <c r="K32" s="31"/>
      <c r="L32" s="31"/>
      <c r="M32" s="31"/>
      <c r="N32" s="39">
        <f>IF(COUNT(K32:M32)=0,0,SUMPRODUCT({5000,1000,500},K32:M32))</f>
        <v>0</v>
      </c>
      <c r="O32" s="31"/>
      <c r="P32" s="31"/>
      <c r="Q32" s="31"/>
      <c r="R32" s="39">
        <f>IF(COUNT(O32:Q32)=0,0,SUMPRODUCT({5000,1000,500},O32:Q32))</f>
        <v>0</v>
      </c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4">
        <f>IF(COUNT(S32:AC32)=0,0,SUMPRODUCT({5000,1000,500,100,75,50,20,10,5,2,1}, S32:AC32))</f>
        <v>0</v>
      </c>
      <c r="AE32" s="33"/>
      <c r="AF32" s="24" t="str">
        <f>IF(AND(COUNT(C32:E32)=0,COUNT(G32:I32)=0,COUNT(K32:M32)=0,COUNT(O32:Q32)=0,COUNT(S32:AC32)=0,AE32=""),"",(IF(COUNT(C32:E32)=0,0,SUMPRODUCT({5000,1000,500},C32:E32))+IF(COUNT(G32:I32)=0,0,SUMPRODUCT({5000,1000,500},G32:I32))+IF(COUNT(K32:M32)=0,0,SUMPRODUCT({5000,1000,500},K32:M32))+IF(COUNT(O32:Q32)=0,0,SUMPRODUCT({5000,1000,500},O32:Q32))+AD32)-N(AE32))</f>
        <v/>
      </c>
      <c r="AG32" s="35" t="str">
        <f t="shared" si="0"/>
        <v/>
      </c>
      <c r="AH32" s="38"/>
      <c r="AI32" s="36"/>
      <c r="AJ32" s="37"/>
      <c r="AK32" s="26" t="str">
        <f t="shared" si="3"/>
        <v/>
      </c>
      <c r="AL32" s="25" t="str">
        <f t="shared" si="4"/>
        <v/>
      </c>
      <c r="AM32" s="38"/>
    </row>
    <row r="33" spans="1:39" ht="12.75" customHeight="1" x14ac:dyDescent="0.25">
      <c r="A33" s="31"/>
      <c r="B33" s="32" t="str">
        <f>IF(A33="","",VLOOKUP(A33,'Employee Database'!A:B,2,FALSE))</f>
        <v/>
      </c>
      <c r="C33" s="31"/>
      <c r="D33" s="31"/>
      <c r="E33" s="31"/>
      <c r="F33" s="39">
        <f>IF(COUNT(C33:E33)=0,0,SUMPRODUCT({5000,1000,500},C33:E33))</f>
        <v>0</v>
      </c>
      <c r="G33" s="31"/>
      <c r="H33" s="31"/>
      <c r="I33" s="31"/>
      <c r="J33" s="39">
        <f>IF(COUNT(G33:I33)=0,0,SUMPRODUCT({5000,1000,500},G33:I33))</f>
        <v>0</v>
      </c>
      <c r="K33" s="31"/>
      <c r="L33" s="31"/>
      <c r="M33" s="31"/>
      <c r="N33" s="39">
        <f>IF(COUNT(K33:M33)=0,0,SUMPRODUCT({5000,1000,500},K33:M33))</f>
        <v>0</v>
      </c>
      <c r="O33" s="31"/>
      <c r="P33" s="31"/>
      <c r="Q33" s="31"/>
      <c r="R33" s="39">
        <f>IF(COUNT(O33:Q33)=0,0,SUMPRODUCT({5000,1000,500},O33:Q33))</f>
        <v>0</v>
      </c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4">
        <f>IF(COUNT(S33:AC33)=0,0,SUMPRODUCT({5000,1000,500,100,75,50,20,10,5,2,1}, S33:AC33))</f>
        <v>0</v>
      </c>
      <c r="AE33" s="33"/>
      <c r="AF33" s="24" t="str">
        <f>IF(AND(COUNT(C33:E33)=0,COUNT(G33:I33)=0,COUNT(K33:M33)=0,COUNT(O33:Q33)=0,COUNT(S33:AC33)=0,AE33=""),"",(IF(COUNT(C33:E33)=0,0,SUMPRODUCT({5000,1000,500},C33:E33))+IF(COUNT(G33:I33)=0,0,SUMPRODUCT({5000,1000,500},G33:I33))+IF(COUNT(K33:M33)=0,0,SUMPRODUCT({5000,1000,500},K33:M33))+IF(COUNT(O33:Q33)=0,0,SUMPRODUCT({5000,1000,500},O33:Q33))+AD33)-N(AE33))</f>
        <v/>
      </c>
      <c r="AG33" s="35" t="str">
        <f t="shared" si="0"/>
        <v/>
      </c>
      <c r="AH33" s="38"/>
      <c r="AI33" s="36"/>
      <c r="AJ33" s="37"/>
      <c r="AK33" s="26" t="str">
        <f t="shared" si="3"/>
        <v/>
      </c>
      <c r="AL33" s="25" t="str">
        <f t="shared" si="4"/>
        <v/>
      </c>
      <c r="AM33" s="38"/>
    </row>
    <row r="34" spans="1:39" ht="12.75" customHeight="1" x14ac:dyDescent="0.25">
      <c r="A34" s="31"/>
      <c r="B34" s="32" t="str">
        <f>IF(A34="","",VLOOKUP(A34,'Employee Database'!A:B,2,FALSE))</f>
        <v/>
      </c>
      <c r="C34" s="31"/>
      <c r="D34" s="31"/>
      <c r="E34" s="31"/>
      <c r="F34" s="39">
        <f>IF(COUNT(C34:E34)=0,0,SUMPRODUCT({5000,1000,500},C34:E34))</f>
        <v>0</v>
      </c>
      <c r="G34" s="31"/>
      <c r="H34" s="31"/>
      <c r="I34" s="31"/>
      <c r="J34" s="39">
        <f>IF(COUNT(G34:I34)=0,0,SUMPRODUCT({5000,1000,500},G34:I34))</f>
        <v>0</v>
      </c>
      <c r="K34" s="31"/>
      <c r="L34" s="31"/>
      <c r="M34" s="31"/>
      <c r="N34" s="39">
        <f>IF(COUNT(K34:M34)=0,0,SUMPRODUCT({5000,1000,500},K34:M34))</f>
        <v>0</v>
      </c>
      <c r="O34" s="31"/>
      <c r="P34" s="31"/>
      <c r="Q34" s="31"/>
      <c r="R34" s="39">
        <f>IF(COUNT(O34:Q34)=0,0,SUMPRODUCT({5000,1000,500},O34:Q34))</f>
        <v>0</v>
      </c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4">
        <f>IF(COUNT(S34:AC34)=0,0,SUMPRODUCT({5000,1000,500,100,75,50,20,10,5,2,1}, S34:AC34))</f>
        <v>0</v>
      </c>
      <c r="AE34" s="33"/>
      <c r="AF34" s="24" t="str">
        <f>IF(AND(COUNT(C34:E34)=0,COUNT(G34:I34)=0,COUNT(K34:M34)=0,COUNT(O34:Q34)=0,COUNT(S34:AC34)=0,AE34=""),"",(IF(COUNT(C34:E34)=0,0,SUMPRODUCT({5000,1000,500},C34:E34))+IF(COUNT(G34:I34)=0,0,SUMPRODUCT({5000,1000,500},G34:I34))+IF(COUNT(K34:M34)=0,0,SUMPRODUCT({5000,1000,500},K34:M34))+IF(COUNT(O34:Q34)=0,0,SUMPRODUCT({5000,1000,500},O34:Q34))+AD34)-N(AE34))</f>
        <v/>
      </c>
      <c r="AG34" s="35" t="str">
        <f t="shared" si="0"/>
        <v/>
      </c>
      <c r="AH34" s="38"/>
      <c r="AI34" s="36"/>
      <c r="AJ34" s="37"/>
      <c r="AK34" s="26" t="str">
        <f t="shared" si="3"/>
        <v/>
      </c>
      <c r="AL34" s="25" t="str">
        <f t="shared" si="4"/>
        <v/>
      </c>
      <c r="AM34" s="38"/>
    </row>
    <row r="35" spans="1:39" ht="22.5" customHeight="1" x14ac:dyDescent="0.25">
      <c r="A35" s="27" t="s">
        <v>24</v>
      </c>
      <c r="B35" s="27" t="s">
        <v>24</v>
      </c>
      <c r="C35" s="28">
        <f t="shared" ref="C35:AF35" si="5">SUM(C5:C34)</f>
        <v>140</v>
      </c>
      <c r="D35" s="28">
        <f t="shared" si="5"/>
        <v>409</v>
      </c>
      <c r="E35" s="28">
        <f t="shared" si="5"/>
        <v>162</v>
      </c>
      <c r="F35" s="40">
        <f t="shared" si="5"/>
        <v>1190000</v>
      </c>
      <c r="G35" s="28">
        <f t="shared" si="5"/>
        <v>224</v>
      </c>
      <c r="H35" s="28">
        <f t="shared" si="5"/>
        <v>583</v>
      </c>
      <c r="I35" s="28">
        <f t="shared" si="5"/>
        <v>88</v>
      </c>
      <c r="J35" s="40">
        <f t="shared" si="5"/>
        <v>1747000</v>
      </c>
      <c r="K35" s="28">
        <f t="shared" si="5"/>
        <v>338</v>
      </c>
      <c r="L35" s="28">
        <f t="shared" si="5"/>
        <v>1197</v>
      </c>
      <c r="M35" s="28">
        <f t="shared" si="5"/>
        <v>174</v>
      </c>
      <c r="N35" s="40">
        <f t="shared" si="5"/>
        <v>2974000</v>
      </c>
      <c r="O35" s="28">
        <f t="shared" si="5"/>
        <v>0</v>
      </c>
      <c r="P35" s="28">
        <f t="shared" si="5"/>
        <v>0</v>
      </c>
      <c r="Q35" s="28">
        <f t="shared" si="5"/>
        <v>0</v>
      </c>
      <c r="R35" s="40">
        <f t="shared" si="5"/>
        <v>0</v>
      </c>
      <c r="S35" s="28">
        <f t="shared" si="5"/>
        <v>0</v>
      </c>
      <c r="T35" s="28">
        <f t="shared" si="5"/>
        <v>0</v>
      </c>
      <c r="U35" s="28">
        <f t="shared" si="5"/>
        <v>0</v>
      </c>
      <c r="V35" s="28">
        <f t="shared" si="5"/>
        <v>84</v>
      </c>
      <c r="W35" s="28">
        <f t="shared" si="5"/>
        <v>0</v>
      </c>
      <c r="X35" s="28">
        <f t="shared" si="5"/>
        <v>1140</v>
      </c>
      <c r="Y35" s="28">
        <f t="shared" si="5"/>
        <v>5</v>
      </c>
      <c r="Z35" s="28">
        <f t="shared" si="5"/>
        <v>2146</v>
      </c>
      <c r="AA35" s="28">
        <f t="shared" si="5"/>
        <v>0</v>
      </c>
      <c r="AB35" s="28">
        <f t="shared" si="5"/>
        <v>0</v>
      </c>
      <c r="AC35" s="28">
        <f t="shared" si="5"/>
        <v>0</v>
      </c>
      <c r="AD35" s="40">
        <f t="shared" si="5"/>
        <v>86960</v>
      </c>
      <c r="AE35" s="41">
        <f t="shared" si="5"/>
        <v>5997221</v>
      </c>
      <c r="AF35" s="29">
        <f t="shared" si="5"/>
        <v>739</v>
      </c>
      <c r="AG35" s="27" t="s">
        <v>24</v>
      </c>
      <c r="AH35" s="27" t="s">
        <v>24</v>
      </c>
      <c r="AI35" s="28">
        <f>SUM(AI5:AI34)</f>
        <v>16494319.969999997</v>
      </c>
      <c r="AJ35" s="28">
        <f>SUM(AJ5:AJ34)</f>
        <v>16494319.969999999</v>
      </c>
      <c r="AK35" s="28">
        <f>SUM(AK5:AK34)</f>
        <v>-1.1641532182693481E-10</v>
      </c>
      <c r="AL35" s="28">
        <f>AJ35+AE35</f>
        <v>22491540.969999999</v>
      </c>
      <c r="AM35" s="28">
        <f>SUM(AM5:AM34)</f>
        <v>0</v>
      </c>
    </row>
  </sheetData>
  <sheetProtection sheet="1" objects="1" scenarios="1"/>
  <mergeCells count="9">
    <mergeCell ref="S3:AC3"/>
    <mergeCell ref="AD3:AG3"/>
    <mergeCell ref="AH3:AM3"/>
    <mergeCell ref="A1:B1"/>
    <mergeCell ref="A3:B3"/>
    <mergeCell ref="C3:F3"/>
    <mergeCell ref="G3:J3"/>
    <mergeCell ref="K3:N3"/>
    <mergeCell ref="O3:R3"/>
  </mergeCells>
  <conditionalFormatting sqref="A5">
    <cfRule type="duplicateValues" dxfId="43" priority="3"/>
    <cfRule type="duplicateValues" dxfId="42" priority="4"/>
  </conditionalFormatting>
  <conditionalFormatting sqref="A6">
    <cfRule type="duplicateValues" dxfId="41" priority="5"/>
    <cfRule type="duplicateValues" dxfId="40" priority="6"/>
  </conditionalFormatting>
  <conditionalFormatting sqref="A7:A34">
    <cfRule type="duplicateValues" dxfId="39" priority="1"/>
    <cfRule type="duplicateValues" dxfId="38" priority="2"/>
  </conditionalFormatting>
  <conditionalFormatting sqref="A35">
    <cfRule type="duplicateValues" dxfId="37" priority="7"/>
  </conditionalFormatting>
  <dataValidations disablePrompts="1" count="1">
    <dataValidation type="list" allowBlank="1" showInputMessage="1" showErrorMessage="1" sqref="A1:B1" xr:uid="{00000000-0002-0000-1B00-000000000000}">
      <formula1>Locations</formula1>
    </dataValidation>
  </dataValidations>
  <pageMargins left="0.75" right="0.75" top="1" bottom="1" header="0.5" footer="0.5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>
    <tabColor rgb="FFFF0000"/>
  </sheetPr>
  <dimension ref="A1:AM35"/>
  <sheetViews>
    <sheetView showGridLines="0" zoomScale="85" zoomScaleNormal="85" workbookViewId="0">
      <pane xSplit="2" topLeftCell="S1" activePane="topRight" state="frozen"/>
      <selection activeCell="A4" sqref="A4"/>
      <selection pane="topRight" activeCell="AF12" sqref="A12:XFD12"/>
    </sheetView>
  </sheetViews>
  <sheetFormatPr defaultRowHeight="15" x14ac:dyDescent="0.25"/>
  <cols>
    <col min="1" max="1" width="11.85546875" customWidth="1"/>
    <col min="2" max="2" width="20.5703125" customWidth="1"/>
    <col min="6" max="6" width="14.42578125" bestFit="1" customWidth="1"/>
    <col min="10" max="10" width="14.42578125" bestFit="1" customWidth="1"/>
    <col min="14" max="14" width="14.42578125" bestFit="1" customWidth="1"/>
    <col min="18" max="18" width="14.42578125" bestFit="1" customWidth="1"/>
    <col min="30" max="31" width="18" customWidth="1"/>
    <col min="32" max="32" width="20" customWidth="1"/>
    <col min="33" max="33" width="14" customWidth="1"/>
    <col min="35" max="35" width="18" customWidth="1"/>
    <col min="36" max="36" width="22" customWidth="1"/>
    <col min="37" max="37" width="16" customWidth="1"/>
    <col min="38" max="38" width="14" customWidth="1"/>
  </cols>
  <sheetData>
    <row r="1" spans="1:39" ht="43.5" customHeight="1" x14ac:dyDescent="0.25">
      <c r="A1" s="48" t="s">
        <v>306</v>
      </c>
      <c r="B1" s="48"/>
    </row>
    <row r="2" spans="1:39" ht="13.5" customHeight="1" x14ac:dyDescent="0.25">
      <c r="A2" s="30">
        <f>'26'!A2+1</f>
        <v>46230</v>
      </c>
    </row>
    <row r="3" spans="1:39" ht="24" customHeight="1" x14ac:dyDescent="0.25">
      <c r="A3" s="49" t="s">
        <v>0</v>
      </c>
      <c r="B3" s="49"/>
      <c r="C3" s="49" t="s">
        <v>93</v>
      </c>
      <c r="D3" s="50"/>
      <c r="E3" s="50"/>
      <c r="F3" s="50"/>
      <c r="G3" s="49" t="s">
        <v>94</v>
      </c>
      <c r="H3" s="50"/>
      <c r="I3" s="50"/>
      <c r="J3" s="50"/>
      <c r="K3" s="49" t="s">
        <v>95</v>
      </c>
      <c r="L3" s="50"/>
      <c r="M3" s="50"/>
      <c r="N3" s="50"/>
      <c r="O3" s="49" t="s">
        <v>96</v>
      </c>
      <c r="P3" s="50"/>
      <c r="Q3" s="50"/>
      <c r="R3" s="50"/>
      <c r="S3" s="45" t="s">
        <v>1</v>
      </c>
      <c r="T3" s="46"/>
      <c r="U3" s="46"/>
      <c r="V3" s="46"/>
      <c r="W3" s="46"/>
      <c r="X3" s="46"/>
      <c r="Y3" s="46"/>
      <c r="Z3" s="46"/>
      <c r="AA3" s="46"/>
      <c r="AB3" s="46"/>
      <c r="AC3" s="46"/>
      <c r="AD3" s="47" t="s">
        <v>97</v>
      </c>
      <c r="AE3" s="46"/>
      <c r="AF3" s="46"/>
      <c r="AG3" s="46"/>
      <c r="AH3" s="47" t="s">
        <v>98</v>
      </c>
      <c r="AI3" s="46"/>
      <c r="AJ3" s="46"/>
      <c r="AK3" s="46"/>
      <c r="AL3" s="46"/>
      <c r="AM3" s="46"/>
    </row>
    <row r="4" spans="1:39" ht="27.95" customHeight="1" x14ac:dyDescent="0.25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92</v>
      </c>
      <c r="G4" s="1" t="s">
        <v>5</v>
      </c>
      <c r="H4" s="1" t="s">
        <v>6</v>
      </c>
      <c r="I4" s="1" t="s">
        <v>7</v>
      </c>
      <c r="J4" s="1" t="s">
        <v>92</v>
      </c>
      <c r="K4" s="1" t="s">
        <v>5</v>
      </c>
      <c r="L4" s="1" t="s">
        <v>6</v>
      </c>
      <c r="M4" s="1" t="s">
        <v>7</v>
      </c>
      <c r="N4" s="1" t="s">
        <v>92</v>
      </c>
      <c r="O4" s="1" t="s">
        <v>5</v>
      </c>
      <c r="P4" s="1" t="s">
        <v>6</v>
      </c>
      <c r="Q4" s="1" t="s">
        <v>7</v>
      </c>
      <c r="R4" s="1" t="s">
        <v>92</v>
      </c>
      <c r="S4" s="1" t="s">
        <v>5</v>
      </c>
      <c r="T4" s="1" t="s">
        <v>6</v>
      </c>
      <c r="U4" s="1" t="s">
        <v>7</v>
      </c>
      <c r="V4" s="1" t="s">
        <v>8</v>
      </c>
      <c r="W4" s="1" t="s">
        <v>9</v>
      </c>
      <c r="X4" s="1" t="s">
        <v>10</v>
      </c>
      <c r="Y4" s="1" t="s">
        <v>11</v>
      </c>
      <c r="Z4" s="1" t="s">
        <v>12</v>
      </c>
      <c r="AA4" s="1" t="s">
        <v>13</v>
      </c>
      <c r="AB4" s="1" t="s">
        <v>14</v>
      </c>
      <c r="AC4" s="1" t="s">
        <v>15</v>
      </c>
      <c r="AD4" s="1" t="s">
        <v>16</v>
      </c>
      <c r="AE4" s="1" t="s">
        <v>17</v>
      </c>
      <c r="AF4" s="1" t="s">
        <v>18</v>
      </c>
      <c r="AG4" s="1" t="s">
        <v>19</v>
      </c>
      <c r="AH4" s="1" t="s">
        <v>20</v>
      </c>
      <c r="AI4" s="4" t="s">
        <v>99</v>
      </c>
      <c r="AJ4" s="1" t="s">
        <v>21</v>
      </c>
      <c r="AK4" s="1" t="s">
        <v>22</v>
      </c>
      <c r="AL4" s="1" t="s">
        <v>23</v>
      </c>
      <c r="AM4" s="4" t="s">
        <v>100</v>
      </c>
    </row>
    <row r="5" spans="1:39" ht="12.75" customHeight="1" x14ac:dyDescent="0.25">
      <c r="A5" s="31">
        <v>67249</v>
      </c>
      <c r="B5" s="32" t="str">
        <f>IF(A5="","",VLOOKUP(A5,'Employee Database'!A:B,2,FALSE))</f>
        <v>Hanan Javaid</v>
      </c>
      <c r="C5" s="31">
        <f>46+11</f>
        <v>57</v>
      </c>
      <c r="D5" s="31">
        <v>63</v>
      </c>
      <c r="E5" s="31">
        <v>10</v>
      </c>
      <c r="F5" s="39">
        <f>IF(COUNT(C5:E5)=0,0,SUMPRODUCT({5000,1000,500},C5:E5))</f>
        <v>353000</v>
      </c>
      <c r="G5" s="31"/>
      <c r="H5" s="31"/>
      <c r="I5" s="31"/>
      <c r="J5" s="39">
        <f>IF(COUNT(G5:I5)=0,0,SUMPRODUCT({5000,1000,500},G5:I5))</f>
        <v>0</v>
      </c>
      <c r="K5" s="31"/>
      <c r="L5" s="31"/>
      <c r="M5" s="31"/>
      <c r="N5" s="39">
        <f>IF(COUNT(K5:M5)=0,0,SUMPRODUCT({5000,1000,500},K5:M5))</f>
        <v>0</v>
      </c>
      <c r="O5" s="31"/>
      <c r="P5" s="31"/>
      <c r="Q5" s="31"/>
      <c r="R5" s="39">
        <f>IF(COUNT(O5:Q5)=0,0,SUMPRODUCT({5000,1000,500},O5:Q5))</f>
        <v>0</v>
      </c>
      <c r="S5" s="31"/>
      <c r="T5" s="31"/>
      <c r="U5" s="31"/>
      <c r="V5" s="31">
        <v>2</v>
      </c>
      <c r="W5" s="31"/>
      <c r="X5" s="31">
        <v>42</v>
      </c>
      <c r="Y5" s="31"/>
      <c r="Z5" s="31">
        <v>58</v>
      </c>
      <c r="AA5" s="31"/>
      <c r="AB5" s="31"/>
      <c r="AC5" s="31">
        <v>3</v>
      </c>
      <c r="AD5" s="34">
        <f>IF(COUNT(S5:AC5)=0,0,SUMPRODUCT({5000,1000,500,100,75,50,20,10,5,2,1}, S5:AC5))</f>
        <v>2883</v>
      </c>
      <c r="AE5" s="33">
        <v>355859</v>
      </c>
      <c r="AF5" s="24">
        <f>IF(AND(COUNT(C5:E5)=0,COUNT(G5:I5)=0,COUNT(K5:M5)=0,COUNT(O5:Q5)=0,COUNT(S5:AC5)=0,AE5=""),"",(IF(COUNT(C5:E5)=0,0,SUMPRODUCT({5000,1000,500},C5:E5))+IF(COUNT(G5:I5)=0,0,SUMPRODUCT({5000,1000,500},G5:I5))+IF(COUNT(K5:M5)=0,0,SUMPRODUCT({5000,1000,500},K5:M5))+IF(COUNT(O5:Q5)=0,0,SUMPRODUCT({5000,1000,500},O5:Q5))+AD5)-N(AE5))</f>
        <v>24</v>
      </c>
      <c r="AG5" s="35" t="str">
        <f t="shared" ref="AG5:AG34" si="0">IF(AF5="","",IF(AF5&gt;0,"Excess",IF(AF5&lt;0,"Short","Balanced")))</f>
        <v>Excess</v>
      </c>
      <c r="AH5" s="38"/>
      <c r="AI5" s="36">
        <f>741855.09+4000</f>
        <v>745855.09</v>
      </c>
      <c r="AJ5" s="37">
        <f>328299.81+413555.28+4000</f>
        <v>745855.09000000008</v>
      </c>
      <c r="AK5" s="26">
        <f t="shared" ref="AK5:AK34" si="1">IF(AND(AI5="",AJ5=""),"",N(AI5)-N(AJ5))</f>
        <v>-1.1641532182693481E-10</v>
      </c>
      <c r="AL5" s="25" t="str">
        <f t="shared" ref="AL5:AL34" si="2">IF(AK5="","",IF(AK5&gt;0,"POS Excess",IF(AK5&lt;0,"Bank Short","Matched")))</f>
        <v>Bank Short</v>
      </c>
      <c r="AM5" s="38"/>
    </row>
    <row r="6" spans="1:39" ht="12.75" customHeight="1" x14ac:dyDescent="0.25">
      <c r="A6" s="31">
        <v>56189</v>
      </c>
      <c r="B6" s="32" t="str">
        <f>IF(A6="","",VLOOKUP(A6,'Employee Database'!A:B,2,FALSE))</f>
        <v>Iffat Sultan</v>
      </c>
      <c r="C6" s="31">
        <v>15</v>
      </c>
      <c r="D6" s="31">
        <v>48</v>
      </c>
      <c r="E6" s="31">
        <v>6</v>
      </c>
      <c r="F6" s="39">
        <f>IF(COUNT(C6:E6)=0,0,SUMPRODUCT({5000,1000,500},C6:E6))</f>
        <v>126000</v>
      </c>
      <c r="G6" s="31"/>
      <c r="H6" s="31"/>
      <c r="I6" s="31"/>
      <c r="J6" s="39">
        <f>IF(COUNT(G6:I6)=0,0,SUMPRODUCT({5000,1000,500},G6:I6))</f>
        <v>0</v>
      </c>
      <c r="K6" s="31"/>
      <c r="L6" s="31"/>
      <c r="M6" s="31"/>
      <c r="N6" s="39">
        <f>IF(COUNT(K6:M6)=0,0,SUMPRODUCT({5000,1000,500},K6:M6))</f>
        <v>0</v>
      </c>
      <c r="O6" s="31"/>
      <c r="P6" s="31"/>
      <c r="Q6" s="31"/>
      <c r="R6" s="39">
        <f>IF(COUNT(O6:Q6)=0,0,SUMPRODUCT({5000,1000,500},O6:Q6))</f>
        <v>0</v>
      </c>
      <c r="S6" s="31"/>
      <c r="T6" s="31"/>
      <c r="U6" s="31"/>
      <c r="V6" s="31">
        <v>3</v>
      </c>
      <c r="W6" s="31"/>
      <c r="X6" s="31">
        <v>9</v>
      </c>
      <c r="Y6" s="31"/>
      <c r="Z6" s="31">
        <v>16</v>
      </c>
      <c r="AA6" s="31"/>
      <c r="AB6" s="31"/>
      <c r="AC6" s="31"/>
      <c r="AD6" s="34">
        <f>IF(COUNT(S6:AC6)=0,0,SUMPRODUCT({5000,1000,500,100,75,50,20,10,5,2,1}, S6:AC6))</f>
        <v>910</v>
      </c>
      <c r="AE6" s="33">
        <v>126897</v>
      </c>
      <c r="AF6" s="24">
        <f>IF(AND(COUNT(C6:E6)=0,COUNT(G6:I6)=0,COUNT(K6:M6)=0,COUNT(O6:Q6)=0,COUNT(S6:AC6)=0,AE6=""),"",(IF(COUNT(C6:E6)=0,0,SUMPRODUCT({5000,1000,500},C6:E6))+IF(COUNT(G6:I6)=0,0,SUMPRODUCT({5000,1000,500},G6:I6))+IF(COUNT(K6:M6)=0,0,SUMPRODUCT({5000,1000,500},K6:M6))+IF(COUNT(O6:Q6)=0,0,SUMPRODUCT({5000,1000,500},O6:Q6))+AD6)-N(AE6))</f>
        <v>13</v>
      </c>
      <c r="AG6" s="35" t="str">
        <f t="shared" si="0"/>
        <v>Excess</v>
      </c>
      <c r="AH6" s="38"/>
      <c r="AI6" s="36">
        <f>169618.86</f>
        <v>169618.86</v>
      </c>
      <c r="AJ6" s="37">
        <f>110249.46+59369.4</f>
        <v>169618.86000000002</v>
      </c>
      <c r="AK6" s="26">
        <f t="shared" si="1"/>
        <v>-2.9103830456733704E-11</v>
      </c>
      <c r="AL6" s="25" t="str">
        <f t="shared" si="2"/>
        <v>Bank Short</v>
      </c>
      <c r="AM6" s="38"/>
    </row>
    <row r="7" spans="1:39" ht="12.75" customHeight="1" x14ac:dyDescent="0.25">
      <c r="A7" s="31">
        <v>65299</v>
      </c>
      <c r="B7" s="32" t="str">
        <f>IF(A7="","",VLOOKUP(A7,'Employee Database'!A:B,2,FALSE))</f>
        <v>M Faisal</v>
      </c>
      <c r="C7" s="31">
        <f>3+16</f>
        <v>19</v>
      </c>
      <c r="D7" s="31">
        <f>115+36</f>
        <v>151</v>
      </c>
      <c r="E7" s="31">
        <v>28</v>
      </c>
      <c r="F7" s="39">
        <f>IF(COUNT(C7:E7)=0,0,SUMPRODUCT({5000,1000,500},C7:E7))</f>
        <v>260000</v>
      </c>
      <c r="G7" s="31"/>
      <c r="H7" s="31"/>
      <c r="I7" s="31"/>
      <c r="J7" s="39">
        <f>IF(COUNT(G7:I7)=0,0,SUMPRODUCT({5000,1000,500},G7:I7))</f>
        <v>0</v>
      </c>
      <c r="K7" s="31"/>
      <c r="L7" s="31"/>
      <c r="M7" s="31"/>
      <c r="N7" s="39">
        <f>IF(COUNT(K7:M7)=0,0,SUMPRODUCT({5000,1000,500},K7:M7))</f>
        <v>0</v>
      </c>
      <c r="O7" s="31"/>
      <c r="P7" s="31"/>
      <c r="Q7" s="31"/>
      <c r="R7" s="39">
        <f>IF(COUNT(O7:Q7)=0,0,SUMPRODUCT({5000,1000,500},O7:Q7))</f>
        <v>0</v>
      </c>
      <c r="S7" s="31"/>
      <c r="T7" s="31"/>
      <c r="U7" s="31"/>
      <c r="V7" s="31">
        <v>3</v>
      </c>
      <c r="W7" s="31"/>
      <c r="X7" s="31">
        <v>45</v>
      </c>
      <c r="Y7" s="31">
        <v>1</v>
      </c>
      <c r="Z7" s="31">
        <v>25</v>
      </c>
      <c r="AA7" s="31"/>
      <c r="AB7" s="31"/>
      <c r="AC7" s="31"/>
      <c r="AD7" s="34">
        <f>IF(COUNT(S7:AC7)=0,0,SUMPRODUCT({5000,1000,500,100,75,50,20,10,5,2,1}, S7:AC7))</f>
        <v>2820</v>
      </c>
      <c r="AE7" s="33">
        <v>262692</v>
      </c>
      <c r="AF7" s="24">
        <f>IF(AND(COUNT(C7:E7)=0,COUNT(G7:I7)=0,COUNT(K7:M7)=0,COUNT(O7:Q7)=0,COUNT(S7:AC7)=0,AE7=""),"",(IF(COUNT(C7:E7)=0,0,SUMPRODUCT({5000,1000,500},C7:E7))+IF(COUNT(G7:I7)=0,0,SUMPRODUCT({5000,1000,500},G7:I7))+IF(COUNT(K7:M7)=0,0,SUMPRODUCT({5000,1000,500},K7:M7))+IF(COUNT(O7:Q7)=0,0,SUMPRODUCT({5000,1000,500},O7:Q7))+AD7)-N(AE7))</f>
        <v>128</v>
      </c>
      <c r="AG7" s="35" t="str">
        <f t="shared" si="0"/>
        <v>Excess</v>
      </c>
      <c r="AH7" s="38"/>
      <c r="AI7" s="36">
        <v>369784.34</v>
      </c>
      <c r="AJ7" s="37">
        <f>93670.65+276113.69</f>
        <v>369784.33999999997</v>
      </c>
      <c r="AK7" s="26">
        <f t="shared" si="1"/>
        <v>5.8207660913467407E-11</v>
      </c>
      <c r="AL7" s="25" t="str">
        <f t="shared" si="2"/>
        <v>POS Excess</v>
      </c>
      <c r="AM7" s="38"/>
    </row>
    <row r="8" spans="1:39" ht="12.75" customHeight="1" x14ac:dyDescent="0.25">
      <c r="A8" s="31">
        <v>59257</v>
      </c>
      <c r="B8" s="32" t="str">
        <f>IF(A8="","",VLOOKUP(A8,'Employee Database'!A:B,2,FALSE))</f>
        <v>Saddiqa Maryam</v>
      </c>
      <c r="C8" s="31">
        <f>1+7</f>
        <v>8</v>
      </c>
      <c r="D8" s="31">
        <v>170</v>
      </c>
      <c r="E8" s="31">
        <v>7</v>
      </c>
      <c r="F8" s="39">
        <f>IF(COUNT(C8:E8)=0,0,SUMPRODUCT({5000,1000,500},C8:E8))</f>
        <v>213500</v>
      </c>
      <c r="G8" s="31"/>
      <c r="H8" s="31"/>
      <c r="I8" s="31"/>
      <c r="J8" s="39">
        <f>IF(COUNT(G8:I8)=0,0,SUMPRODUCT({5000,1000,500},G8:I8))</f>
        <v>0</v>
      </c>
      <c r="K8" s="31"/>
      <c r="L8" s="31"/>
      <c r="M8" s="31"/>
      <c r="N8" s="39">
        <f>IF(COUNT(K8:M8)=0,0,SUMPRODUCT({5000,1000,500},K8:M8))</f>
        <v>0</v>
      </c>
      <c r="O8" s="31"/>
      <c r="P8" s="31"/>
      <c r="Q8" s="31"/>
      <c r="R8" s="39">
        <f>IF(COUNT(O8:Q8)=0,0,SUMPRODUCT({5000,1000,500},O8:Q8))</f>
        <v>0</v>
      </c>
      <c r="S8" s="31"/>
      <c r="T8" s="31"/>
      <c r="U8" s="31"/>
      <c r="V8" s="31"/>
      <c r="W8" s="31"/>
      <c r="X8" s="31">
        <v>1</v>
      </c>
      <c r="Y8" s="31"/>
      <c r="Z8" s="31">
        <v>18</v>
      </c>
      <c r="AA8" s="31"/>
      <c r="AB8" s="31"/>
      <c r="AC8" s="31"/>
      <c r="AD8" s="34">
        <f>IF(COUNT(S8:AC8)=0,0,SUMPRODUCT({5000,1000,500,100,75,50,20,10,5,2,1}, S8:AC8))</f>
        <v>230</v>
      </c>
      <c r="AE8" s="33">
        <v>213785</v>
      </c>
      <c r="AF8" s="24">
        <f>IF(AND(COUNT(C8:E8)=0,COUNT(G8:I8)=0,COUNT(K8:M8)=0,COUNT(O8:Q8)=0,COUNT(S8:AC8)=0,AE8=""),"",(IF(COUNT(C8:E8)=0,0,SUMPRODUCT({5000,1000,500},C8:E8))+IF(COUNT(G8:I8)=0,0,SUMPRODUCT({5000,1000,500},G8:I8))+IF(COUNT(K8:M8)=0,0,SUMPRODUCT({5000,1000,500},K8:M8))+IF(COUNT(O8:Q8)=0,0,SUMPRODUCT({5000,1000,500},O8:Q8))+AD8)-N(AE8))</f>
        <v>-55</v>
      </c>
      <c r="AG8" s="35" t="str">
        <f t="shared" si="0"/>
        <v>Short</v>
      </c>
      <c r="AH8" s="38"/>
      <c r="AI8" s="36">
        <v>82562.66</v>
      </c>
      <c r="AJ8" s="37">
        <f>22192.4+60370.26</f>
        <v>82562.66</v>
      </c>
      <c r="AK8" s="26">
        <f t="shared" si="1"/>
        <v>0</v>
      </c>
      <c r="AL8" s="25" t="str">
        <f t="shared" si="2"/>
        <v>Matched</v>
      </c>
      <c r="AM8" s="38"/>
    </row>
    <row r="9" spans="1:39" ht="12.75" customHeight="1" x14ac:dyDescent="0.25">
      <c r="A9" s="31">
        <v>72873</v>
      </c>
      <c r="B9" s="32" t="str">
        <f>IF(A9="","",VLOOKUP(A9,'Employee Database'!A:B,2,FALSE))</f>
        <v>M Shajee</v>
      </c>
      <c r="C9" s="31">
        <v>47</v>
      </c>
      <c r="D9" s="31">
        <v>121</v>
      </c>
      <c r="E9" s="31">
        <v>15</v>
      </c>
      <c r="F9" s="39">
        <f>IF(COUNT(C9:E9)=0,0,SUMPRODUCT({5000,1000,500},C9:E9))</f>
        <v>363500</v>
      </c>
      <c r="G9" s="31"/>
      <c r="H9" s="31"/>
      <c r="I9" s="31"/>
      <c r="J9" s="39">
        <f>IF(COUNT(G9:I9)=0,0,SUMPRODUCT({5000,1000,500},G9:I9))</f>
        <v>0</v>
      </c>
      <c r="K9" s="31"/>
      <c r="L9" s="31"/>
      <c r="M9" s="31"/>
      <c r="N9" s="39">
        <f>IF(COUNT(K9:M9)=0,0,SUMPRODUCT({5000,1000,500},K9:M9))</f>
        <v>0</v>
      </c>
      <c r="O9" s="31"/>
      <c r="P9" s="31"/>
      <c r="Q9" s="31"/>
      <c r="R9" s="39">
        <f>IF(COUNT(O9:Q9)=0,0,SUMPRODUCT({5000,1000,500},O9:Q9))</f>
        <v>0</v>
      </c>
      <c r="S9" s="31"/>
      <c r="T9" s="31"/>
      <c r="U9" s="31"/>
      <c r="V9" s="31">
        <v>7</v>
      </c>
      <c r="W9" s="31"/>
      <c r="X9" s="31">
        <v>86</v>
      </c>
      <c r="Y9" s="31">
        <v>1</v>
      </c>
      <c r="Z9" s="31">
        <v>49</v>
      </c>
      <c r="AA9" s="31"/>
      <c r="AB9" s="31"/>
      <c r="AC9" s="31"/>
      <c r="AD9" s="34">
        <f>IF(COUNT(S9:AC9)=0,0,SUMPRODUCT({5000,1000,500,100,75,50,20,10,5,2,1}, S9:AC9))</f>
        <v>5510</v>
      </c>
      <c r="AE9" s="33">
        <v>368959</v>
      </c>
      <c r="AF9" s="24">
        <f>IF(AND(COUNT(C9:E9)=0,COUNT(G9:I9)=0,COUNT(K9:M9)=0,COUNT(O9:Q9)=0,COUNT(S9:AC9)=0,AE9=""),"",(IF(COUNT(C9:E9)=0,0,SUMPRODUCT({5000,1000,500},C9:E9))+IF(COUNT(G9:I9)=0,0,SUMPRODUCT({5000,1000,500},G9:I9))+IF(COUNT(K9:M9)=0,0,SUMPRODUCT({5000,1000,500},K9:M9))+IF(COUNT(O9:Q9)=0,0,SUMPRODUCT({5000,1000,500},O9:Q9))+AD9)-N(AE9))</f>
        <v>51</v>
      </c>
      <c r="AG9" s="35" t="str">
        <f t="shared" si="0"/>
        <v>Excess</v>
      </c>
      <c r="AH9" s="38"/>
      <c r="AI9" s="36">
        <v>606819.35</v>
      </c>
      <c r="AJ9" s="37">
        <f>17992.5+360090.8+228736.05</f>
        <v>606819.35</v>
      </c>
      <c r="AK9" s="26">
        <f t="shared" si="1"/>
        <v>0</v>
      </c>
      <c r="AL9" s="25" t="str">
        <f t="shared" si="2"/>
        <v>Matched</v>
      </c>
      <c r="AM9" s="38"/>
    </row>
    <row r="10" spans="1:39" ht="12.75" customHeight="1" x14ac:dyDescent="0.25">
      <c r="A10" s="31">
        <v>57653</v>
      </c>
      <c r="B10" s="32" t="str">
        <f>IF(A10="","",VLOOKUP(A10,'Employee Database'!A:B,2,FALSE))</f>
        <v>Amanat ali</v>
      </c>
      <c r="C10" s="31">
        <f>19+35</f>
        <v>54</v>
      </c>
      <c r="D10" s="31">
        <f>85+21</f>
        <v>106</v>
      </c>
      <c r="E10" s="31">
        <v>7</v>
      </c>
      <c r="F10" s="39">
        <f>IF(COUNT(C10:E10)=0,0,SUMPRODUCT({5000,1000,500},C10:E10))</f>
        <v>379500</v>
      </c>
      <c r="G10" s="31"/>
      <c r="H10" s="31"/>
      <c r="I10" s="31"/>
      <c r="J10" s="39">
        <f>IF(COUNT(G10:I10)=0,0,SUMPRODUCT({5000,1000,500},G10:I10))</f>
        <v>0</v>
      </c>
      <c r="K10" s="31"/>
      <c r="L10" s="31"/>
      <c r="M10" s="31"/>
      <c r="N10" s="39">
        <f>IF(COUNT(K10:M10)=0,0,SUMPRODUCT({5000,1000,500},K10:M10))</f>
        <v>0</v>
      </c>
      <c r="O10" s="31"/>
      <c r="P10" s="31"/>
      <c r="Q10" s="31"/>
      <c r="R10" s="39">
        <f>IF(COUNT(O10:Q10)=0,0,SUMPRODUCT({5000,1000,500},O10:Q10))</f>
        <v>0</v>
      </c>
      <c r="S10" s="31"/>
      <c r="T10" s="31"/>
      <c r="U10" s="31"/>
      <c r="V10" s="31"/>
      <c r="W10" s="31"/>
      <c r="X10" s="31">
        <v>25</v>
      </c>
      <c r="Y10" s="31">
        <v>1</v>
      </c>
      <c r="Z10" s="31">
        <v>12</v>
      </c>
      <c r="AA10" s="31"/>
      <c r="AB10" s="31"/>
      <c r="AC10" s="31"/>
      <c r="AD10" s="34">
        <f>IF(COUNT(S10:AC10)=0,0,SUMPRODUCT({5000,1000,500,100,75,50,20,10,5,2,1}, S10:AC10))</f>
        <v>1390</v>
      </c>
      <c r="AE10" s="33">
        <v>380871</v>
      </c>
      <c r="AF10" s="24">
        <f>IF(AND(COUNT(C10:E10)=0,COUNT(G10:I10)=0,COUNT(K10:M10)=0,COUNT(O10:Q10)=0,COUNT(S10:AC10)=0,AE10=""),"",(IF(COUNT(C10:E10)=0,0,SUMPRODUCT({5000,1000,500},C10:E10))+IF(COUNT(G10:I10)=0,0,SUMPRODUCT({5000,1000,500},G10:I10))+IF(COUNT(K10:M10)=0,0,SUMPRODUCT({5000,1000,500},K10:M10))+IF(COUNT(O10:Q10)=0,0,SUMPRODUCT({5000,1000,500},O10:Q10))+AD10)-N(AE10))</f>
        <v>19</v>
      </c>
      <c r="AG10" s="35" t="str">
        <f t="shared" si="0"/>
        <v>Excess</v>
      </c>
      <c r="AH10" s="38"/>
      <c r="AI10" s="36">
        <v>792667.81</v>
      </c>
      <c r="AJ10" s="37">
        <f>513650.88+279016.93</f>
        <v>792667.81</v>
      </c>
      <c r="AK10" s="26">
        <f t="shared" si="1"/>
        <v>0</v>
      </c>
      <c r="AL10" s="25" t="str">
        <f t="shared" si="2"/>
        <v>Matched</v>
      </c>
      <c r="AM10" s="38"/>
    </row>
    <row r="11" spans="1:39" ht="12.75" customHeight="1" x14ac:dyDescent="0.25">
      <c r="A11" s="31">
        <v>71205</v>
      </c>
      <c r="B11" s="32" t="str">
        <f>IF(A11="","",VLOOKUP(A11,'Employee Database'!A:B,2,FALSE))</f>
        <v>M Yaqoob</v>
      </c>
      <c r="C11" s="31">
        <v>34</v>
      </c>
      <c r="D11" s="31">
        <v>123</v>
      </c>
      <c r="E11" s="31">
        <v>24</v>
      </c>
      <c r="F11" s="39">
        <f>IF(COUNT(C11:E11)=0,0,SUMPRODUCT({5000,1000,500},C11:E11))</f>
        <v>305000</v>
      </c>
      <c r="G11" s="31"/>
      <c r="H11" s="31"/>
      <c r="I11" s="31"/>
      <c r="J11" s="39">
        <f>IF(COUNT(G11:I11)=0,0,SUMPRODUCT({5000,1000,500},G11:I11))</f>
        <v>0</v>
      </c>
      <c r="K11" s="31"/>
      <c r="L11" s="31"/>
      <c r="M11" s="31"/>
      <c r="N11" s="39">
        <f>IF(COUNT(K11:M11)=0,0,SUMPRODUCT({5000,1000,500},K11:M11))</f>
        <v>0</v>
      </c>
      <c r="O11" s="31"/>
      <c r="P11" s="31"/>
      <c r="Q11" s="31"/>
      <c r="R11" s="39">
        <f>IF(COUNT(O11:Q11)=0,0,SUMPRODUCT({5000,1000,500},O11:Q11))</f>
        <v>0</v>
      </c>
      <c r="S11" s="31"/>
      <c r="T11" s="31"/>
      <c r="U11" s="31"/>
      <c r="V11" s="31"/>
      <c r="W11" s="31"/>
      <c r="X11" s="31">
        <v>33</v>
      </c>
      <c r="Y11" s="31"/>
      <c r="Z11" s="31">
        <v>60</v>
      </c>
      <c r="AA11" s="31"/>
      <c r="AB11" s="31"/>
      <c r="AC11" s="31"/>
      <c r="AD11" s="34">
        <f>IF(COUNT(S11:AC11)=0,0,SUMPRODUCT({5000,1000,500,100,75,50,20,10,5,2,1}, S11:AC11))</f>
        <v>2250</v>
      </c>
      <c r="AE11" s="33">
        <v>307196</v>
      </c>
      <c r="AF11" s="24">
        <f>IF(AND(COUNT(C11:E11)=0,COUNT(G11:I11)=0,COUNT(K11:M11)=0,COUNT(O11:Q11)=0,COUNT(S11:AC11)=0,AE11=""),"",(IF(COUNT(C11:E11)=0,0,SUMPRODUCT({5000,1000,500},C11:E11))+IF(COUNT(G11:I11)=0,0,SUMPRODUCT({5000,1000,500},G11:I11))+IF(COUNT(K11:M11)=0,0,SUMPRODUCT({5000,1000,500},K11:M11))+IF(COUNT(O11:Q11)=0,0,SUMPRODUCT({5000,1000,500},O11:Q11))+AD11)-N(AE11))</f>
        <v>54</v>
      </c>
      <c r="AG11" s="35" t="str">
        <f t="shared" si="0"/>
        <v>Excess</v>
      </c>
      <c r="AH11" s="38"/>
      <c r="AI11" s="36">
        <v>326914.02</v>
      </c>
      <c r="AJ11" s="37">
        <v>326914.02</v>
      </c>
      <c r="AK11" s="26">
        <f t="shared" si="1"/>
        <v>0</v>
      </c>
      <c r="AL11" s="25" t="str">
        <f t="shared" si="2"/>
        <v>Matched</v>
      </c>
      <c r="AM11" s="38"/>
    </row>
    <row r="12" spans="1:39" ht="12.75" customHeight="1" x14ac:dyDescent="0.25">
      <c r="A12" s="31">
        <v>77423</v>
      </c>
      <c r="B12" s="32" t="str">
        <f>IF(A12="","",VLOOKUP(A12,'Employee Database'!A:B,2,FALSE))</f>
        <v>Shoaib Akhtar</v>
      </c>
      <c r="C12" s="31">
        <v>23</v>
      </c>
      <c r="D12" s="31">
        <v>105</v>
      </c>
      <c r="E12" s="31">
        <v>32</v>
      </c>
      <c r="F12" s="39">
        <f>IF(COUNT(C12:E12)=0,0,SUMPRODUCT({5000,1000,500},C12:E12))</f>
        <v>236000</v>
      </c>
      <c r="G12" s="31"/>
      <c r="H12" s="31"/>
      <c r="I12" s="31"/>
      <c r="J12" s="39">
        <f>IF(COUNT(G12:I12)=0,0,SUMPRODUCT({5000,1000,500},G12:I12))</f>
        <v>0</v>
      </c>
      <c r="K12" s="31"/>
      <c r="L12" s="31"/>
      <c r="M12" s="31"/>
      <c r="N12" s="39">
        <f>IF(COUNT(K12:M12)=0,0,SUMPRODUCT({5000,1000,500},K12:M12))</f>
        <v>0</v>
      </c>
      <c r="O12" s="31"/>
      <c r="P12" s="31"/>
      <c r="Q12" s="31"/>
      <c r="R12" s="39">
        <f>IF(COUNT(O12:Q12)=0,0,SUMPRODUCT({5000,1000,500},O12:Q12))</f>
        <v>0</v>
      </c>
      <c r="S12" s="31"/>
      <c r="T12" s="31"/>
      <c r="U12" s="31"/>
      <c r="V12" s="31">
        <v>3</v>
      </c>
      <c r="W12" s="31"/>
      <c r="X12" s="31">
        <v>19</v>
      </c>
      <c r="Y12" s="31">
        <v>1</v>
      </c>
      <c r="Z12" s="31">
        <v>20</v>
      </c>
      <c r="AA12" s="31"/>
      <c r="AB12" s="31"/>
      <c r="AC12" s="31"/>
      <c r="AD12" s="34">
        <f>IF(COUNT(S12:AC12)=0,0,SUMPRODUCT({5000,1000,500,100,75,50,20,10,5,2,1}, S12:AC12))</f>
        <v>1470</v>
      </c>
      <c r="AE12" s="33">
        <v>237808</v>
      </c>
      <c r="AF12" s="24">
        <f>IF(AND(COUNT(C12:E12)=0,COUNT(G12:I12)=0,COUNT(K12:M12)=0,COUNT(O12:Q12)=0,COUNT(S12:AC12)=0,AE12=""),"",(IF(COUNT(C12:E12)=0,0,SUMPRODUCT({5000,1000,500},C12:E12))+IF(COUNT(G12:I12)=0,0,SUMPRODUCT({5000,1000,500},G12:I12))+IF(COUNT(K12:M12)=0,0,SUMPRODUCT({5000,1000,500},K12:M12))+IF(COUNT(O12:Q12)=0,0,SUMPRODUCT({5000,1000,500},O12:Q12))+AD12)-N(AE12))</f>
        <v>-338</v>
      </c>
      <c r="AG12" s="35" t="str">
        <f t="shared" si="0"/>
        <v>Short</v>
      </c>
      <c r="AH12" s="38"/>
      <c r="AI12" s="36">
        <v>344819.42</v>
      </c>
      <c r="AJ12" s="37">
        <f>149997.99+194821.43</f>
        <v>344819.42</v>
      </c>
      <c r="AK12" s="26">
        <f t="shared" si="1"/>
        <v>0</v>
      </c>
      <c r="AL12" s="25" t="str">
        <f t="shared" si="2"/>
        <v>Matched</v>
      </c>
      <c r="AM12" s="38"/>
    </row>
    <row r="13" spans="1:39" ht="12.75" customHeight="1" x14ac:dyDescent="0.25">
      <c r="A13" s="31">
        <v>79593</v>
      </c>
      <c r="B13" s="32" t="str">
        <f>IF(A13="","",VLOOKUP(A13,'Employee Database'!A:B,2,FALSE))</f>
        <v>Amir</v>
      </c>
      <c r="C13" s="31"/>
      <c r="D13" s="31"/>
      <c r="E13" s="31"/>
      <c r="F13" s="39">
        <f>IF(COUNT(C13:E13)=0,0,SUMPRODUCT({5000,1000,500},C13:E13))</f>
        <v>0</v>
      </c>
      <c r="G13" s="31">
        <v>31</v>
      </c>
      <c r="H13" s="31">
        <v>79</v>
      </c>
      <c r="I13" s="31">
        <v>6</v>
      </c>
      <c r="J13" s="39">
        <f>IF(COUNT(G13:I13)=0,0,SUMPRODUCT({5000,1000,500},G13:I13))</f>
        <v>237000</v>
      </c>
      <c r="K13" s="31"/>
      <c r="L13" s="31"/>
      <c r="M13" s="31"/>
      <c r="N13" s="39">
        <f>IF(COUNT(K13:M13)=0,0,SUMPRODUCT({5000,1000,500},K13:M13))</f>
        <v>0</v>
      </c>
      <c r="O13" s="31"/>
      <c r="P13" s="31"/>
      <c r="Q13" s="31"/>
      <c r="R13" s="39">
        <f>IF(COUNT(O13:Q13)=0,0,SUMPRODUCT({5000,1000,500},O13:Q13))</f>
        <v>0</v>
      </c>
      <c r="S13" s="31"/>
      <c r="T13" s="31"/>
      <c r="U13" s="31"/>
      <c r="V13" s="31">
        <v>20</v>
      </c>
      <c r="W13" s="31"/>
      <c r="X13" s="31">
        <v>369</v>
      </c>
      <c r="Y13" s="31"/>
      <c r="Z13" s="31">
        <v>752</v>
      </c>
      <c r="AA13" s="31"/>
      <c r="AB13" s="31"/>
      <c r="AC13" s="31"/>
      <c r="AD13" s="34">
        <f>IF(COUNT(S13:AC13)=0,0,SUMPRODUCT({5000,1000,500,100,75,50,20,10,5,2,1}, S13:AC13))</f>
        <v>27970</v>
      </c>
      <c r="AE13" s="33">
        <v>264984</v>
      </c>
      <c r="AF13" s="24">
        <f>IF(AND(COUNT(C13:E13)=0,COUNT(G13:I13)=0,COUNT(K13:M13)=0,COUNT(O13:Q13)=0,COUNT(S13:AC13)=0,AE13=""),"",(IF(COUNT(C13:E13)=0,0,SUMPRODUCT({5000,1000,500},C13:E13))+IF(COUNT(G13:I13)=0,0,SUMPRODUCT({5000,1000,500},G13:I13))+IF(COUNT(K13:M13)=0,0,SUMPRODUCT({5000,1000,500},K13:M13))+IF(COUNT(O13:Q13)=0,0,SUMPRODUCT({5000,1000,500},O13:Q13))+AD13)-N(AE13))</f>
        <v>-14</v>
      </c>
      <c r="AG13" s="35" t="str">
        <f t="shared" si="0"/>
        <v>Short</v>
      </c>
      <c r="AH13" s="38"/>
      <c r="AI13" s="36">
        <v>530311.71</v>
      </c>
      <c r="AJ13" s="37">
        <f>147897.92+382413.79</f>
        <v>530311.71</v>
      </c>
      <c r="AK13" s="26">
        <f t="shared" si="1"/>
        <v>0</v>
      </c>
      <c r="AL13" s="25" t="str">
        <f t="shared" si="2"/>
        <v>Matched</v>
      </c>
      <c r="AM13" s="38"/>
    </row>
    <row r="14" spans="1:39" ht="12.75" customHeight="1" x14ac:dyDescent="0.25">
      <c r="A14" s="31">
        <v>77424</v>
      </c>
      <c r="B14" s="32" t="str">
        <f>IF(A14="","",VLOOKUP(A14,'Employee Database'!A:B,2,FALSE))</f>
        <v>M Husnain</v>
      </c>
      <c r="C14" s="31"/>
      <c r="D14" s="31"/>
      <c r="E14" s="31"/>
      <c r="F14" s="39">
        <f>IF(COUNT(C14:E14)=0,0,SUMPRODUCT({5000,1000,500},C14:E14))</f>
        <v>0</v>
      </c>
      <c r="G14" s="31">
        <v>12</v>
      </c>
      <c r="H14" s="31">
        <v>72</v>
      </c>
      <c r="I14" s="31">
        <v>26</v>
      </c>
      <c r="J14" s="39">
        <f>IF(COUNT(G14:I14)=0,0,SUMPRODUCT({5000,1000,500},G14:I14))</f>
        <v>145000</v>
      </c>
      <c r="K14" s="31"/>
      <c r="L14" s="31"/>
      <c r="M14" s="31"/>
      <c r="N14" s="39">
        <f>IF(COUNT(K14:M14)=0,0,SUMPRODUCT({5000,1000,500},K14:M14))</f>
        <v>0</v>
      </c>
      <c r="O14" s="31"/>
      <c r="P14" s="31"/>
      <c r="Q14" s="31"/>
      <c r="R14" s="39">
        <f>IF(COUNT(O14:Q14)=0,0,SUMPRODUCT({5000,1000,500},O14:Q14))</f>
        <v>0</v>
      </c>
      <c r="S14" s="31"/>
      <c r="T14" s="31"/>
      <c r="U14" s="31"/>
      <c r="V14" s="31"/>
      <c r="W14" s="31"/>
      <c r="X14" s="31">
        <v>8</v>
      </c>
      <c r="Y14" s="31"/>
      <c r="Z14" s="31">
        <v>44</v>
      </c>
      <c r="AA14" s="31"/>
      <c r="AB14" s="31"/>
      <c r="AC14" s="31"/>
      <c r="AD14" s="34">
        <f>IF(COUNT(S14:AC14)=0,0,SUMPRODUCT({5000,1000,500,100,75,50,20,10,5,2,1}, S14:AC14))</f>
        <v>840</v>
      </c>
      <c r="AE14" s="33">
        <v>145839</v>
      </c>
      <c r="AF14" s="24">
        <f>IF(AND(COUNT(C14:E14)=0,COUNT(G14:I14)=0,COUNT(K14:M14)=0,COUNT(O14:Q14)=0,COUNT(S14:AC14)=0,AE14=""),"",(IF(COUNT(C14:E14)=0,0,SUMPRODUCT({5000,1000,500},C14:E14))+IF(COUNT(G14:I14)=0,0,SUMPRODUCT({5000,1000,500},G14:I14))+IF(COUNT(K14:M14)=0,0,SUMPRODUCT({5000,1000,500},K14:M14))+IF(COUNT(O14:Q14)=0,0,SUMPRODUCT({5000,1000,500},O14:Q14))+AD14)-N(AE14))</f>
        <v>1</v>
      </c>
      <c r="AG14" s="35" t="str">
        <f t="shared" si="0"/>
        <v>Excess</v>
      </c>
      <c r="AH14" s="38"/>
      <c r="AI14" s="36">
        <v>455535.96</v>
      </c>
      <c r="AJ14" s="37">
        <v>455535.96</v>
      </c>
      <c r="AK14" s="26">
        <f t="shared" si="1"/>
        <v>0</v>
      </c>
      <c r="AL14" s="25" t="str">
        <f t="shared" si="2"/>
        <v>Matched</v>
      </c>
      <c r="AM14" s="38"/>
    </row>
    <row r="15" spans="1:39" ht="12.75" customHeight="1" x14ac:dyDescent="0.25">
      <c r="A15" s="31">
        <v>50313</v>
      </c>
      <c r="B15" s="32" t="str">
        <f>IF(A15="","",VLOOKUP(A15,'Employee Database'!A:B,2,FALSE))</f>
        <v>Waseem Raza</v>
      </c>
      <c r="C15" s="31"/>
      <c r="D15" s="31"/>
      <c r="E15" s="31"/>
      <c r="F15" s="39">
        <f>IF(COUNT(C15:E15)=0,0,SUMPRODUCT({5000,1000,500},C15:E15))</f>
        <v>0</v>
      </c>
      <c r="G15" s="31"/>
      <c r="H15" s="31">
        <v>8</v>
      </c>
      <c r="I15" s="31">
        <v>2</v>
      </c>
      <c r="J15" s="39">
        <f>IF(COUNT(G15:I15)=0,0,SUMPRODUCT({5000,1000,500},G15:I15))</f>
        <v>9000</v>
      </c>
      <c r="K15" s="31"/>
      <c r="L15" s="31"/>
      <c r="M15" s="31"/>
      <c r="N15" s="39">
        <f>IF(COUNT(K15:M15)=0,0,SUMPRODUCT({5000,1000,500},K15:M15))</f>
        <v>0</v>
      </c>
      <c r="O15" s="31"/>
      <c r="P15" s="31"/>
      <c r="Q15" s="31"/>
      <c r="R15" s="39">
        <f>IF(COUNT(O15:Q15)=0,0,SUMPRODUCT({5000,1000,500},O15:Q15))</f>
        <v>0</v>
      </c>
      <c r="S15" s="31"/>
      <c r="T15" s="31"/>
      <c r="U15" s="31"/>
      <c r="V15" s="31"/>
      <c r="W15" s="31"/>
      <c r="X15" s="31">
        <v>2</v>
      </c>
      <c r="Y15" s="31"/>
      <c r="Z15" s="31">
        <v>1</v>
      </c>
      <c r="AA15" s="31"/>
      <c r="AB15" s="31"/>
      <c r="AC15" s="31"/>
      <c r="AD15" s="34">
        <f>IF(COUNT(S15:AC15)=0,0,SUMPRODUCT({5000,1000,500,100,75,50,20,10,5,2,1}, S15:AC15))</f>
        <v>110</v>
      </c>
      <c r="AE15" s="33">
        <v>9108</v>
      </c>
      <c r="AF15" s="24">
        <f>IF(AND(COUNT(C15:E15)=0,COUNT(G15:I15)=0,COUNT(K15:M15)=0,COUNT(O15:Q15)=0,COUNT(S15:AC15)=0,AE15=""),"",(IF(COUNT(C15:E15)=0,0,SUMPRODUCT({5000,1000,500},C15:E15))+IF(COUNT(G15:I15)=0,0,SUMPRODUCT({5000,1000,500},G15:I15))+IF(COUNT(K15:M15)=0,0,SUMPRODUCT({5000,1000,500},K15:M15))+IF(COUNT(O15:Q15)=0,0,SUMPRODUCT({5000,1000,500},O15:Q15))+AD15)-N(AE15))</f>
        <v>2</v>
      </c>
      <c r="AG15" s="35" t="str">
        <f t="shared" si="0"/>
        <v>Excess</v>
      </c>
      <c r="AH15" s="38"/>
      <c r="AI15" s="36"/>
      <c r="AJ15" s="37"/>
      <c r="AK15" s="26" t="str">
        <f t="shared" si="1"/>
        <v/>
      </c>
      <c r="AL15" s="25" t="str">
        <f t="shared" si="2"/>
        <v/>
      </c>
      <c r="AM15" s="38"/>
    </row>
    <row r="16" spans="1:39" ht="12.75" customHeight="1" x14ac:dyDescent="0.25">
      <c r="A16" s="31">
        <v>76412</v>
      </c>
      <c r="B16" s="32" t="str">
        <f>IF(A16="","",VLOOKUP(A16,'Employee Database'!A:B,2,FALSE))</f>
        <v>Zubair Abbas</v>
      </c>
      <c r="C16" s="31"/>
      <c r="D16" s="31"/>
      <c r="E16" s="31"/>
      <c r="F16" s="39">
        <f>IF(COUNT(C16:E16)=0,0,SUMPRODUCT({5000,1000,500},C16:E16))</f>
        <v>0</v>
      </c>
      <c r="G16" s="31">
        <v>5</v>
      </c>
      <c r="H16" s="31">
        <v>41</v>
      </c>
      <c r="I16" s="31">
        <v>8</v>
      </c>
      <c r="J16" s="39">
        <f>IF(COUNT(G16:I16)=0,0,SUMPRODUCT({5000,1000,500},G16:I16))</f>
        <v>70000</v>
      </c>
      <c r="K16" s="31"/>
      <c r="L16" s="31"/>
      <c r="M16" s="31"/>
      <c r="N16" s="39">
        <f>IF(COUNT(K16:M16)=0,0,SUMPRODUCT({5000,1000,500},K16:M16))</f>
        <v>0</v>
      </c>
      <c r="O16" s="31"/>
      <c r="P16" s="31"/>
      <c r="Q16" s="31"/>
      <c r="R16" s="39">
        <f>IF(COUNT(O16:Q16)=0,0,SUMPRODUCT({5000,1000,500},O16:Q16))</f>
        <v>0</v>
      </c>
      <c r="S16" s="31"/>
      <c r="T16" s="31"/>
      <c r="U16" s="31"/>
      <c r="V16" s="31">
        <v>7</v>
      </c>
      <c r="W16" s="31"/>
      <c r="X16" s="31">
        <v>69</v>
      </c>
      <c r="Y16" s="31">
        <v>1</v>
      </c>
      <c r="Z16" s="31">
        <v>79</v>
      </c>
      <c r="AA16" s="31"/>
      <c r="AB16" s="31"/>
      <c r="AC16" s="31"/>
      <c r="AD16" s="34">
        <f>IF(COUNT(S16:AC16)=0,0,SUMPRODUCT({5000,1000,500,100,75,50,20,10,5,2,1}, S16:AC16))</f>
        <v>4960</v>
      </c>
      <c r="AE16" s="33">
        <v>74873</v>
      </c>
      <c r="AF16" s="24">
        <f>IF(AND(COUNT(C16:E16)=0,COUNT(G16:I16)=0,COUNT(K16:M16)=0,COUNT(O16:Q16)=0,COUNT(S16:AC16)=0,AE16=""),"",(IF(COUNT(C16:E16)=0,0,SUMPRODUCT({5000,1000,500},C16:E16))+IF(COUNT(G16:I16)=0,0,SUMPRODUCT({5000,1000,500},G16:I16))+IF(COUNT(K16:M16)=0,0,SUMPRODUCT({5000,1000,500},K16:M16))+IF(COUNT(O16:Q16)=0,0,SUMPRODUCT({5000,1000,500},O16:Q16))+AD16)-N(AE16))</f>
        <v>87</v>
      </c>
      <c r="AG16" s="35" t="str">
        <f t="shared" si="0"/>
        <v>Excess</v>
      </c>
      <c r="AH16" s="38"/>
      <c r="AI16" s="36">
        <f>5653+235336.1</f>
        <v>240989.1</v>
      </c>
      <c r="AJ16" s="37">
        <f>1250+182999.6+5653+51086.5</f>
        <v>240989.1</v>
      </c>
      <c r="AK16" s="26">
        <f t="shared" si="1"/>
        <v>0</v>
      </c>
      <c r="AL16" s="25" t="str">
        <f t="shared" si="2"/>
        <v>Matched</v>
      </c>
      <c r="AM16" s="38"/>
    </row>
    <row r="17" spans="1:39" ht="12.75" customHeight="1" x14ac:dyDescent="0.25">
      <c r="A17" s="31">
        <v>69728</v>
      </c>
      <c r="B17" s="32" t="str">
        <f>IF(A17="","",VLOOKUP(A17,'Employee Database'!A:B,2,FALSE))</f>
        <v>Hafiz Hafeez Ur Rehman</v>
      </c>
      <c r="C17" s="31"/>
      <c r="D17" s="31"/>
      <c r="E17" s="31"/>
      <c r="F17" s="39">
        <f>IF(COUNT(C17:E17)=0,0,SUMPRODUCT({5000,1000,500},C17:E17))</f>
        <v>0</v>
      </c>
      <c r="G17" s="31">
        <v>38</v>
      </c>
      <c r="H17" s="31">
        <v>71</v>
      </c>
      <c r="I17" s="31">
        <v>6</v>
      </c>
      <c r="J17" s="39">
        <f>IF(COUNT(G17:I17)=0,0,SUMPRODUCT({5000,1000,500},G17:I17))</f>
        <v>264000</v>
      </c>
      <c r="K17" s="31"/>
      <c r="L17" s="31"/>
      <c r="M17" s="31"/>
      <c r="N17" s="39">
        <f>IF(COUNT(K17:M17)=0,0,SUMPRODUCT({5000,1000,500},K17:M17))</f>
        <v>0</v>
      </c>
      <c r="O17" s="31"/>
      <c r="P17" s="31"/>
      <c r="Q17" s="31"/>
      <c r="R17" s="39">
        <f>IF(COUNT(O17:Q17)=0,0,SUMPRODUCT({5000,1000,500},O17:Q17))</f>
        <v>0</v>
      </c>
      <c r="S17" s="31"/>
      <c r="T17" s="31"/>
      <c r="U17" s="31"/>
      <c r="V17" s="31">
        <v>7</v>
      </c>
      <c r="W17" s="31"/>
      <c r="X17" s="31">
        <v>34</v>
      </c>
      <c r="Y17" s="31">
        <v>2</v>
      </c>
      <c r="Z17" s="31">
        <v>57</v>
      </c>
      <c r="AA17" s="31"/>
      <c r="AB17" s="31"/>
      <c r="AC17" s="31"/>
      <c r="AD17" s="34">
        <f>IF(COUNT(S17:AC17)=0,0,SUMPRODUCT({5000,1000,500,100,75,50,20,10,5,2,1}, S17:AC17))</f>
        <v>3010</v>
      </c>
      <c r="AE17" s="33">
        <v>267012</v>
      </c>
      <c r="AF17" s="24">
        <f>IF(AND(COUNT(C17:E17)=0,COUNT(G17:I17)=0,COUNT(K17:M17)=0,COUNT(O17:Q17)=0,COUNT(S17:AC17)=0,AE17=""),"",(IF(COUNT(C17:E17)=0,0,SUMPRODUCT({5000,1000,500},C17:E17))+IF(COUNT(G17:I17)=0,0,SUMPRODUCT({5000,1000,500},G17:I17))+IF(COUNT(K17:M17)=0,0,SUMPRODUCT({5000,1000,500},K17:M17))+IF(COUNT(O17:Q17)=0,0,SUMPRODUCT({5000,1000,500},O17:Q17))+AD17)-N(AE17))</f>
        <v>-2</v>
      </c>
      <c r="AG17" s="35" t="str">
        <f t="shared" si="0"/>
        <v>Short</v>
      </c>
      <c r="AH17" s="38"/>
      <c r="AI17" s="36">
        <v>695663.6</v>
      </c>
      <c r="AJ17" s="37">
        <f>203468.33+492195.27</f>
        <v>695663.6</v>
      </c>
      <c r="AK17" s="26">
        <f t="shared" si="1"/>
        <v>0</v>
      </c>
      <c r="AL17" s="25" t="str">
        <f t="shared" si="2"/>
        <v>Matched</v>
      </c>
      <c r="AM17" s="38"/>
    </row>
    <row r="18" spans="1:39" ht="12.75" customHeight="1" x14ac:dyDescent="0.25">
      <c r="A18" s="31">
        <v>78242</v>
      </c>
      <c r="B18" s="32" t="str">
        <f>IF(A18="","",VLOOKUP(A18,'Employee Database'!A:B,2,FALSE))</f>
        <v>Hamad Mughal</v>
      </c>
      <c r="C18" s="31"/>
      <c r="D18" s="31"/>
      <c r="E18" s="31"/>
      <c r="F18" s="39">
        <f>IF(COUNT(C18:E18)=0,0,SUMPRODUCT({5000,1000,500},C18:E18))</f>
        <v>0</v>
      </c>
      <c r="G18" s="31">
        <v>25</v>
      </c>
      <c r="H18" s="31">
        <v>107</v>
      </c>
      <c r="I18" s="31">
        <v>14</v>
      </c>
      <c r="J18" s="39">
        <f>IF(COUNT(G18:I18)=0,0,SUMPRODUCT({5000,1000,500},G18:I18))</f>
        <v>239000</v>
      </c>
      <c r="K18" s="31"/>
      <c r="L18" s="31"/>
      <c r="M18" s="31"/>
      <c r="N18" s="39">
        <f>IF(COUNT(K18:M18)=0,0,SUMPRODUCT({5000,1000,500},K18:M18))</f>
        <v>0</v>
      </c>
      <c r="O18" s="31"/>
      <c r="P18" s="31"/>
      <c r="Q18" s="31"/>
      <c r="R18" s="39">
        <f>IF(COUNT(O18:Q18)=0,0,SUMPRODUCT({5000,1000,500},O18:Q18))</f>
        <v>0</v>
      </c>
      <c r="S18" s="31"/>
      <c r="T18" s="31"/>
      <c r="U18" s="31"/>
      <c r="V18" s="31">
        <v>9</v>
      </c>
      <c r="W18" s="31"/>
      <c r="X18" s="31">
        <v>2</v>
      </c>
      <c r="Y18" s="31"/>
      <c r="Z18" s="31">
        <v>17</v>
      </c>
      <c r="AA18" s="31"/>
      <c r="AB18" s="31"/>
      <c r="AC18" s="31"/>
      <c r="AD18" s="34">
        <f>IF(COUNT(S18:AC18)=0,0,SUMPRODUCT({5000,1000,500,100,75,50,20,10,5,2,1}, S18:AC18))</f>
        <v>1170</v>
      </c>
      <c r="AE18" s="33">
        <v>240178</v>
      </c>
      <c r="AF18" s="24">
        <f>IF(AND(COUNT(C18:E18)=0,COUNT(G18:I18)=0,COUNT(K18:M18)=0,COUNT(O18:Q18)=0,COUNT(S18:AC18)=0,AE18=""),"",(IF(COUNT(C18:E18)=0,0,SUMPRODUCT({5000,1000,500},C18:E18))+IF(COUNT(G18:I18)=0,0,SUMPRODUCT({5000,1000,500},G18:I18))+IF(COUNT(K18:M18)=0,0,SUMPRODUCT({5000,1000,500},K18:M18))+IF(COUNT(O18:Q18)=0,0,SUMPRODUCT({5000,1000,500},O18:Q18))+AD18)-N(AE18))</f>
        <v>-8</v>
      </c>
      <c r="AG18" s="35" t="str">
        <f t="shared" si="0"/>
        <v>Short</v>
      </c>
      <c r="AH18" s="38"/>
      <c r="AI18" s="36">
        <v>458642.24</v>
      </c>
      <c r="AJ18" s="37">
        <v>458642.24</v>
      </c>
      <c r="AK18" s="26">
        <f t="shared" si="1"/>
        <v>0</v>
      </c>
      <c r="AL18" s="25" t="str">
        <f t="shared" si="2"/>
        <v>Matched</v>
      </c>
      <c r="AM18" s="38"/>
    </row>
    <row r="19" spans="1:39" ht="12.75" customHeight="1" x14ac:dyDescent="0.25">
      <c r="A19" s="31">
        <v>75768</v>
      </c>
      <c r="B19" s="32" t="str">
        <f>IF(A19="","",VLOOKUP(A19,'Employee Database'!A:B,2,FALSE))</f>
        <v>Zuhaib</v>
      </c>
      <c r="C19" s="31"/>
      <c r="D19" s="31"/>
      <c r="E19" s="31"/>
      <c r="F19" s="39">
        <f>IF(COUNT(C19:E19)=0,0,SUMPRODUCT({5000,1000,500},C19:E19))</f>
        <v>0</v>
      </c>
      <c r="G19" s="31">
        <v>11</v>
      </c>
      <c r="H19" s="31">
        <v>12</v>
      </c>
      <c r="I19" s="31">
        <v>11</v>
      </c>
      <c r="J19" s="39">
        <f>IF(COUNT(G19:I19)=0,0,SUMPRODUCT({5000,1000,500},G19:I19))</f>
        <v>72500</v>
      </c>
      <c r="K19" s="31"/>
      <c r="L19" s="31"/>
      <c r="M19" s="31"/>
      <c r="N19" s="39">
        <f>IF(COUNT(K19:M19)=0,0,SUMPRODUCT({5000,1000,500},K19:M19))</f>
        <v>0</v>
      </c>
      <c r="O19" s="31"/>
      <c r="P19" s="31"/>
      <c r="Q19" s="31"/>
      <c r="R19" s="39">
        <f>IF(COUNT(O19:Q19)=0,0,SUMPRODUCT({5000,1000,500},O19:Q19))</f>
        <v>0</v>
      </c>
      <c r="S19" s="31"/>
      <c r="T19" s="31"/>
      <c r="U19" s="31"/>
      <c r="V19" s="31"/>
      <c r="W19" s="31"/>
      <c r="X19" s="31">
        <v>19</v>
      </c>
      <c r="Y19" s="31"/>
      <c r="Z19" s="31">
        <v>47</v>
      </c>
      <c r="AA19" s="31"/>
      <c r="AB19" s="31"/>
      <c r="AC19" s="31"/>
      <c r="AD19" s="34">
        <f>IF(COUNT(S19:AC19)=0,0,SUMPRODUCT({5000,1000,500,100,75,50,20,10,5,2,1}, S19:AC19))</f>
        <v>1420</v>
      </c>
      <c r="AE19" s="33">
        <v>73875</v>
      </c>
      <c r="AF19" s="24">
        <f>IF(AND(COUNT(C19:E19)=0,COUNT(G19:I19)=0,COUNT(K19:M19)=0,COUNT(O19:Q19)=0,COUNT(S19:AC19)=0,AE19=""),"",(IF(COUNT(C19:E19)=0,0,SUMPRODUCT({5000,1000,500},C19:E19))+IF(COUNT(G19:I19)=0,0,SUMPRODUCT({5000,1000,500},G19:I19))+IF(COUNT(K19:M19)=0,0,SUMPRODUCT({5000,1000,500},K19:M19))+IF(COUNT(O19:Q19)=0,0,SUMPRODUCT({5000,1000,500},O19:Q19))+AD19)-N(AE19))</f>
        <v>45</v>
      </c>
      <c r="AG19" s="35" t="str">
        <f t="shared" si="0"/>
        <v>Excess</v>
      </c>
      <c r="AH19" s="38"/>
      <c r="AI19" s="36">
        <f>82466.34+7756</f>
        <v>90222.34</v>
      </c>
      <c r="AJ19" s="37">
        <f>27058.37+55407.97+7756</f>
        <v>90222.34</v>
      </c>
      <c r="AK19" s="26">
        <f t="shared" si="1"/>
        <v>0</v>
      </c>
      <c r="AL19" s="25" t="str">
        <f t="shared" si="2"/>
        <v>Matched</v>
      </c>
      <c r="AM19" s="38"/>
    </row>
    <row r="20" spans="1:39" ht="12.75" customHeight="1" x14ac:dyDescent="0.25">
      <c r="A20" s="31">
        <v>73679</v>
      </c>
      <c r="B20" s="32" t="str">
        <f>IF(A20="","",VLOOKUP(A20,'Employee Database'!A:B,2,FALSE))</f>
        <v>Imran Waqar</v>
      </c>
      <c r="C20" s="31"/>
      <c r="D20" s="31"/>
      <c r="E20" s="31"/>
      <c r="F20" s="39">
        <f>IF(COUNT(C20:E20)=0,0,SUMPRODUCT({5000,1000,500},C20:E20))</f>
        <v>0</v>
      </c>
      <c r="G20" s="31">
        <v>31</v>
      </c>
      <c r="H20" s="31">
        <v>63</v>
      </c>
      <c r="I20" s="31">
        <v>11</v>
      </c>
      <c r="J20" s="39">
        <f>IF(COUNT(G20:I20)=0,0,SUMPRODUCT({5000,1000,500},G20:I20))</f>
        <v>223500</v>
      </c>
      <c r="K20" s="31"/>
      <c r="L20" s="31"/>
      <c r="M20" s="31"/>
      <c r="N20" s="39">
        <f>IF(COUNT(K20:M20)=0,0,SUMPRODUCT({5000,1000,500},K20:M20))</f>
        <v>0</v>
      </c>
      <c r="O20" s="31"/>
      <c r="P20" s="31"/>
      <c r="Q20" s="31"/>
      <c r="R20" s="39">
        <f>IF(COUNT(O20:Q20)=0,0,SUMPRODUCT({5000,1000,500},O20:Q20))</f>
        <v>0</v>
      </c>
      <c r="S20" s="31"/>
      <c r="T20" s="31"/>
      <c r="U20" s="31"/>
      <c r="V20" s="31">
        <v>6</v>
      </c>
      <c r="W20" s="31"/>
      <c r="X20" s="31">
        <v>74</v>
      </c>
      <c r="Y20" s="31">
        <v>1</v>
      </c>
      <c r="Z20" s="31">
        <v>54</v>
      </c>
      <c r="AA20" s="31"/>
      <c r="AB20" s="31"/>
      <c r="AC20" s="31"/>
      <c r="AD20" s="34">
        <f>IF(COUNT(S20:AC20)=0,0,SUMPRODUCT({5000,1000,500,100,75,50,20,10,5,2,1}, S20:AC20))</f>
        <v>4860</v>
      </c>
      <c r="AE20" s="33">
        <v>228335</v>
      </c>
      <c r="AF20" s="24">
        <f>IF(AND(COUNT(C20:E20)=0,COUNT(G20:I20)=0,COUNT(K20:M20)=0,COUNT(O20:Q20)=0,COUNT(S20:AC20)=0,AE20=""),"",(IF(COUNT(C20:E20)=0,0,SUMPRODUCT({5000,1000,500},C20:E20))+IF(COUNT(G20:I20)=0,0,SUMPRODUCT({5000,1000,500},G20:I20))+IF(COUNT(K20:M20)=0,0,SUMPRODUCT({5000,1000,500},K20:M20))+IF(COUNT(O20:Q20)=0,0,SUMPRODUCT({5000,1000,500},O20:Q20))+AD20)-N(AE20))</f>
        <v>25</v>
      </c>
      <c r="AG20" s="35" t="str">
        <f t="shared" si="0"/>
        <v>Excess</v>
      </c>
      <c r="AH20" s="38"/>
      <c r="AI20" s="36">
        <f>622209.23+59274.84</f>
        <v>681484.07</v>
      </c>
      <c r="AJ20" s="37">
        <f>59274.84+622209.23</f>
        <v>681484.07</v>
      </c>
      <c r="AK20" s="26">
        <f t="shared" si="1"/>
        <v>0</v>
      </c>
      <c r="AL20" s="25" t="str">
        <f t="shared" si="2"/>
        <v>Matched</v>
      </c>
      <c r="AM20" s="38"/>
    </row>
    <row r="21" spans="1:39" ht="12.75" customHeight="1" x14ac:dyDescent="0.25">
      <c r="A21" s="31">
        <v>67799</v>
      </c>
      <c r="B21" s="32" t="str">
        <f>IF(A21="","",VLOOKUP(A21,'Employee Database'!A:B,2,FALSE))</f>
        <v>Hassan Raza</v>
      </c>
      <c r="C21" s="31"/>
      <c r="D21" s="31"/>
      <c r="E21" s="31"/>
      <c r="F21" s="39">
        <f>IF(COUNT(C21:E21)=0,0,SUMPRODUCT({5000,1000,500},C21:E21))</f>
        <v>0</v>
      </c>
      <c r="G21" s="31">
        <v>20</v>
      </c>
      <c r="H21" s="31">
        <v>65</v>
      </c>
      <c r="I21" s="31">
        <v>11</v>
      </c>
      <c r="J21" s="39">
        <f>IF(COUNT(G21:I21)=0,0,SUMPRODUCT({5000,1000,500},G21:I21))</f>
        <v>170500</v>
      </c>
      <c r="K21" s="31"/>
      <c r="L21" s="31"/>
      <c r="M21" s="31"/>
      <c r="N21" s="39">
        <f>IF(COUNT(K21:M21)=0,0,SUMPRODUCT({5000,1000,500},K21:M21))</f>
        <v>0</v>
      </c>
      <c r="O21" s="31"/>
      <c r="P21" s="31"/>
      <c r="Q21" s="31"/>
      <c r="R21" s="39">
        <f>IF(COUNT(O21:Q21)=0,0,SUMPRODUCT({5000,1000,500},O21:Q21))</f>
        <v>0</v>
      </c>
      <c r="S21" s="31"/>
      <c r="T21" s="31"/>
      <c r="U21" s="31"/>
      <c r="V21" s="31">
        <v>11</v>
      </c>
      <c r="W21" s="31"/>
      <c r="X21" s="31">
        <v>62</v>
      </c>
      <c r="Y21" s="31"/>
      <c r="Z21" s="31">
        <v>15</v>
      </c>
      <c r="AA21" s="31"/>
      <c r="AB21" s="31"/>
      <c r="AC21" s="31"/>
      <c r="AD21" s="34">
        <f>IF(COUNT(S21:AC21)=0,0,SUMPRODUCT({5000,1000,500,100,75,50,20,10,5,2,1}, S21:AC21))</f>
        <v>4350</v>
      </c>
      <c r="AE21" s="33">
        <v>174940</v>
      </c>
      <c r="AF21" s="24">
        <f>IF(AND(COUNT(C21:E21)=0,COUNT(G21:I21)=0,COUNT(K21:M21)=0,COUNT(O21:Q21)=0,COUNT(S21:AC21)=0,AE21=""),"",(IF(COUNT(C21:E21)=0,0,SUMPRODUCT({5000,1000,500},C21:E21))+IF(COUNT(G21:I21)=0,0,SUMPRODUCT({5000,1000,500},G21:I21))+IF(COUNT(K21:M21)=0,0,SUMPRODUCT({5000,1000,500},K21:M21))+IF(COUNT(O21:Q21)=0,0,SUMPRODUCT({5000,1000,500},O21:Q21))+AD21)-N(AE21))</f>
        <v>-90</v>
      </c>
      <c r="AG21" s="35" t="str">
        <f t="shared" si="0"/>
        <v>Short</v>
      </c>
      <c r="AH21" s="38"/>
      <c r="AI21" s="36">
        <f>346539.48+74952.32</f>
        <v>421491.8</v>
      </c>
      <c r="AJ21" s="37">
        <f>5643+33365.05+346539.48+35944.27</f>
        <v>421491.8</v>
      </c>
      <c r="AK21" s="26">
        <f t="shared" si="1"/>
        <v>0</v>
      </c>
      <c r="AL21" s="25" t="str">
        <f t="shared" si="2"/>
        <v>Matched</v>
      </c>
      <c r="AM21" s="38"/>
    </row>
    <row r="22" spans="1:39" ht="12.75" customHeight="1" x14ac:dyDescent="0.25">
      <c r="A22" s="31">
        <v>50524</v>
      </c>
      <c r="B22" s="32" t="str">
        <f>IF(A22="","",VLOOKUP(A22,'Employee Database'!A:B,2,FALSE))</f>
        <v>Allah Rakha</v>
      </c>
      <c r="C22" s="31"/>
      <c r="D22" s="31"/>
      <c r="E22" s="31"/>
      <c r="F22" s="39">
        <f>IF(COUNT(C22:E22)=0,0,SUMPRODUCT({5000,1000,500},C22:E22))</f>
        <v>0</v>
      </c>
      <c r="G22" s="31">
        <v>21</v>
      </c>
      <c r="H22" s="31">
        <v>69</v>
      </c>
      <c r="I22" s="31">
        <v>101</v>
      </c>
      <c r="J22" s="39">
        <f>IF(COUNT(G22:I22)=0,0,SUMPRODUCT({5000,1000,500},G22:I22))</f>
        <v>224500</v>
      </c>
      <c r="K22" s="31"/>
      <c r="L22" s="31"/>
      <c r="M22" s="31"/>
      <c r="N22" s="39">
        <f>IF(COUNT(K22:M22)=0,0,SUMPRODUCT({5000,1000,500},K22:M22))</f>
        <v>0</v>
      </c>
      <c r="O22" s="31"/>
      <c r="P22" s="31"/>
      <c r="Q22" s="31"/>
      <c r="R22" s="39">
        <f>IF(COUNT(O22:Q22)=0,0,SUMPRODUCT({5000,1000,500},O22:Q22))</f>
        <v>0</v>
      </c>
      <c r="S22" s="31"/>
      <c r="T22" s="31"/>
      <c r="U22" s="31"/>
      <c r="V22" s="31">
        <v>2</v>
      </c>
      <c r="W22" s="31"/>
      <c r="X22" s="31">
        <v>3</v>
      </c>
      <c r="Y22" s="31"/>
      <c r="Z22" s="31">
        <v>43</v>
      </c>
      <c r="AA22" s="31"/>
      <c r="AB22" s="31"/>
      <c r="AC22" s="31"/>
      <c r="AD22" s="34">
        <f>IF(COUNT(S22:AC22)=0,0,SUMPRODUCT({5000,1000,500,100,75,50,20,10,5,2,1}, S22:AC22))</f>
        <v>780</v>
      </c>
      <c r="AE22" s="33">
        <v>225225</v>
      </c>
      <c r="AF22" s="24">
        <f>IF(AND(COUNT(C22:E22)=0,COUNT(G22:I22)=0,COUNT(K22:M22)=0,COUNT(O22:Q22)=0,COUNT(S22:AC22)=0,AE22=""),"",(IF(COUNT(C22:E22)=0,0,SUMPRODUCT({5000,1000,500},C22:E22))+IF(COUNT(G22:I22)=0,0,SUMPRODUCT({5000,1000,500},G22:I22))+IF(COUNT(K22:M22)=0,0,SUMPRODUCT({5000,1000,500},K22:M22))+IF(COUNT(O22:Q22)=0,0,SUMPRODUCT({5000,1000,500},O22:Q22))+AD22)-N(AE22))</f>
        <v>55</v>
      </c>
      <c r="AG22" s="35" t="str">
        <f t="shared" si="0"/>
        <v>Excess</v>
      </c>
      <c r="AH22" s="38"/>
      <c r="AI22" s="36">
        <f>6110.71+634552.03</f>
        <v>640662.74</v>
      </c>
      <c r="AJ22" s="37">
        <f>226336.21+6110.71+408215.82</f>
        <v>640662.74</v>
      </c>
      <c r="AK22" s="26">
        <f t="shared" si="1"/>
        <v>0</v>
      </c>
      <c r="AL22" s="25" t="str">
        <f t="shared" si="2"/>
        <v>Matched</v>
      </c>
      <c r="AM22" s="38"/>
    </row>
    <row r="23" spans="1:39" ht="12.75" customHeight="1" x14ac:dyDescent="0.25">
      <c r="A23" s="31">
        <v>50134</v>
      </c>
      <c r="B23" s="32" t="str">
        <f>IF(A23="","",VLOOKUP(A23,'Employee Database'!A:B,2,FALSE))</f>
        <v>Asif Abbas</v>
      </c>
      <c r="C23" s="31"/>
      <c r="D23" s="31"/>
      <c r="E23" s="31"/>
      <c r="F23" s="39">
        <f>IF(COUNT(C23:E23)=0,0,SUMPRODUCT({5000,1000,500},C23:E23))</f>
        <v>0</v>
      </c>
      <c r="G23" s="31">
        <v>20</v>
      </c>
      <c r="H23" s="31">
        <v>46</v>
      </c>
      <c r="I23" s="31">
        <v>6</v>
      </c>
      <c r="J23" s="39">
        <f>IF(COUNT(G23:I23)=0,0,SUMPRODUCT({5000,1000,500},G23:I23))</f>
        <v>149000</v>
      </c>
      <c r="K23" s="31"/>
      <c r="L23" s="31"/>
      <c r="M23" s="31"/>
      <c r="N23" s="39">
        <f>IF(COUNT(K23:M23)=0,0,SUMPRODUCT({5000,1000,500},K23:M23))</f>
        <v>0</v>
      </c>
      <c r="O23" s="31"/>
      <c r="P23" s="31"/>
      <c r="Q23" s="31"/>
      <c r="R23" s="39">
        <f>IF(COUNT(O23:Q23)=0,0,SUMPRODUCT({5000,1000,500},O23:Q23))</f>
        <v>0</v>
      </c>
      <c r="S23" s="31"/>
      <c r="T23" s="31"/>
      <c r="U23" s="31"/>
      <c r="V23" s="31">
        <v>1</v>
      </c>
      <c r="W23" s="31"/>
      <c r="X23" s="31">
        <v>3</v>
      </c>
      <c r="Y23" s="31">
        <v>1</v>
      </c>
      <c r="Z23" s="31">
        <v>50</v>
      </c>
      <c r="AA23" s="31"/>
      <c r="AB23" s="31"/>
      <c r="AC23" s="31"/>
      <c r="AD23" s="34">
        <f>IF(COUNT(S23:AC23)=0,0,SUMPRODUCT({5000,1000,500,100,75,50,20,10,5,2,1}, S23:AC23))</f>
        <v>770</v>
      </c>
      <c r="AE23" s="33">
        <v>149617</v>
      </c>
      <c r="AF23" s="24">
        <f>IF(AND(COUNT(C23:E23)=0,COUNT(G23:I23)=0,COUNT(K23:M23)=0,COUNT(O23:Q23)=0,COUNT(S23:AC23)=0,AE23=""),"",(IF(COUNT(C23:E23)=0,0,SUMPRODUCT({5000,1000,500},C23:E23))+IF(COUNT(G23:I23)=0,0,SUMPRODUCT({5000,1000,500},G23:I23))+IF(COUNT(K23:M23)=0,0,SUMPRODUCT({5000,1000,500},K23:M23))+IF(COUNT(O23:Q23)=0,0,SUMPRODUCT({5000,1000,500},O23:Q23))+AD23)-N(AE23))</f>
        <v>153</v>
      </c>
      <c r="AG23" s="35" t="str">
        <f t="shared" si="0"/>
        <v>Excess</v>
      </c>
      <c r="AH23" s="38"/>
      <c r="AI23" s="36">
        <v>250834.53</v>
      </c>
      <c r="AJ23" s="37">
        <f>101019.97+149814.56</f>
        <v>250834.53</v>
      </c>
      <c r="AK23" s="26">
        <f t="shared" si="1"/>
        <v>0</v>
      </c>
      <c r="AL23" s="25" t="str">
        <f t="shared" si="2"/>
        <v>Matched</v>
      </c>
      <c r="AM23" s="38"/>
    </row>
    <row r="24" spans="1:39" ht="12.75" customHeight="1" x14ac:dyDescent="0.25">
      <c r="A24" s="31">
        <v>67250</v>
      </c>
      <c r="B24" s="32" t="str">
        <f>IF(A24="","",VLOOKUP(A24,'Employee Database'!A:B,2,FALSE))</f>
        <v>M Fiaz</v>
      </c>
      <c r="C24" s="31"/>
      <c r="D24" s="31"/>
      <c r="E24" s="31"/>
      <c r="F24" s="39">
        <f>IF(COUNT(C24:E24)=0,0,SUMPRODUCT({5000,1000,500},C24:E24))</f>
        <v>0</v>
      </c>
      <c r="G24" s="31">
        <v>46</v>
      </c>
      <c r="H24" s="31">
        <v>228</v>
      </c>
      <c r="I24" s="31">
        <v>32</v>
      </c>
      <c r="J24" s="39">
        <f>IF(COUNT(G24:I24)=0,0,SUMPRODUCT({5000,1000,500},G24:I24))</f>
        <v>474000</v>
      </c>
      <c r="K24" s="31"/>
      <c r="L24" s="31"/>
      <c r="M24" s="31"/>
      <c r="N24" s="39">
        <f>IF(COUNT(K24:M24)=0,0,SUMPRODUCT({5000,1000,500},K24:M24))</f>
        <v>0</v>
      </c>
      <c r="O24" s="31"/>
      <c r="P24" s="31"/>
      <c r="Q24" s="31"/>
      <c r="R24" s="39">
        <f>IF(COUNT(O24:Q24)=0,0,SUMPRODUCT({5000,1000,500},O24:Q24))</f>
        <v>0</v>
      </c>
      <c r="S24" s="31"/>
      <c r="T24" s="31"/>
      <c r="U24" s="31"/>
      <c r="V24" s="31">
        <v>51</v>
      </c>
      <c r="W24" s="31"/>
      <c r="X24" s="31">
        <v>22</v>
      </c>
      <c r="Y24" s="31"/>
      <c r="Z24" s="31">
        <v>8</v>
      </c>
      <c r="AA24" s="31"/>
      <c r="AB24" s="31"/>
      <c r="AC24" s="31"/>
      <c r="AD24" s="34">
        <f>IF(COUNT(S24:AC24)=0,0,SUMPRODUCT({5000,1000,500,100,75,50,20,10,5,2,1}, S24:AC24))</f>
        <v>6280</v>
      </c>
      <c r="AE24" s="33">
        <v>480295</v>
      </c>
      <c r="AF24" s="24">
        <f>IF(AND(COUNT(C24:E24)=0,COUNT(G24:I24)=0,COUNT(K24:M24)=0,COUNT(O24:Q24)=0,COUNT(S24:AC24)=0,AE24=""),"",(IF(COUNT(C24:E24)=0,0,SUMPRODUCT({5000,1000,500},C24:E24))+IF(COUNT(G24:I24)=0,0,SUMPRODUCT({5000,1000,500},G24:I24))+IF(COUNT(K24:M24)=0,0,SUMPRODUCT({5000,1000,500},K24:M24))+IF(COUNT(O24:Q24)=0,0,SUMPRODUCT({5000,1000,500},O24:Q24))+AD24)-N(AE24))</f>
        <v>-15</v>
      </c>
      <c r="AG24" s="35" t="str">
        <f t="shared" si="0"/>
        <v>Short</v>
      </c>
      <c r="AH24" s="38"/>
      <c r="AI24" s="36">
        <f>63128.9+395495.69</f>
        <v>458624.59</v>
      </c>
      <c r="AJ24" s="37">
        <f>395495.69+63128.9</f>
        <v>458624.59</v>
      </c>
      <c r="AK24" s="26">
        <f t="shared" si="1"/>
        <v>0</v>
      </c>
      <c r="AL24" s="25" t="str">
        <f t="shared" si="2"/>
        <v>Matched</v>
      </c>
      <c r="AM24" s="38"/>
    </row>
    <row r="25" spans="1:39" ht="12.75" customHeight="1" x14ac:dyDescent="0.25">
      <c r="A25" s="31">
        <v>53893</v>
      </c>
      <c r="B25" s="32" t="str">
        <f>IF(A25="","",VLOOKUP(A25,'Employee Database'!A:B,2,FALSE))</f>
        <v>M Binyameen</v>
      </c>
      <c r="C25" s="31"/>
      <c r="D25" s="31"/>
      <c r="E25" s="31"/>
      <c r="F25" s="39">
        <f>IF(COUNT(C25:E25)=0,0,SUMPRODUCT({5000,1000,500},C25:E25))</f>
        <v>0</v>
      </c>
      <c r="G25" s="31">
        <v>13</v>
      </c>
      <c r="H25" s="31">
        <v>90</v>
      </c>
      <c r="I25" s="31">
        <v>33</v>
      </c>
      <c r="J25" s="39">
        <f>IF(COUNT(G25:I25)=0,0,SUMPRODUCT({5000,1000,500},G25:I25))</f>
        <v>171500</v>
      </c>
      <c r="K25" s="31"/>
      <c r="L25" s="31"/>
      <c r="M25" s="31"/>
      <c r="N25" s="39">
        <f>IF(COUNT(K25:M25)=0,0,SUMPRODUCT({5000,1000,500},K25:M25))</f>
        <v>0</v>
      </c>
      <c r="O25" s="31"/>
      <c r="P25" s="31"/>
      <c r="Q25" s="31"/>
      <c r="R25" s="39">
        <f>IF(COUNT(O25:Q25)=0,0,SUMPRODUCT({5000,1000,500},O25:Q25))</f>
        <v>0</v>
      </c>
      <c r="S25" s="31"/>
      <c r="T25" s="31"/>
      <c r="U25" s="31"/>
      <c r="V25" s="31">
        <v>4</v>
      </c>
      <c r="W25" s="31"/>
      <c r="X25" s="31">
        <v>16</v>
      </c>
      <c r="Y25" s="31">
        <v>1</v>
      </c>
      <c r="Z25" s="31">
        <v>7</v>
      </c>
      <c r="AA25" s="31"/>
      <c r="AB25" s="31"/>
      <c r="AC25" s="31"/>
      <c r="AD25" s="34">
        <f>IF(COUNT(S25:AC25)=0,0,SUMPRODUCT({5000,1000,500,100,75,50,20,10,5,2,1}, S25:AC25))</f>
        <v>1290</v>
      </c>
      <c r="AE25" s="33">
        <v>172774</v>
      </c>
      <c r="AF25" s="24">
        <f>IF(AND(COUNT(C25:E25)=0,COUNT(G25:I25)=0,COUNT(K25:M25)=0,COUNT(O25:Q25)=0,COUNT(S25:AC25)=0,AE25=""),"",(IF(COUNT(C25:E25)=0,0,SUMPRODUCT({5000,1000,500},C25:E25))+IF(COUNT(G25:I25)=0,0,SUMPRODUCT({5000,1000,500},G25:I25))+IF(COUNT(K25:M25)=0,0,SUMPRODUCT({5000,1000,500},K25:M25))+IF(COUNT(O25:Q25)=0,0,SUMPRODUCT({5000,1000,500},O25:Q25))+AD25)-N(AE25))</f>
        <v>16</v>
      </c>
      <c r="AG25" s="35" t="str">
        <f t="shared" si="0"/>
        <v>Excess</v>
      </c>
      <c r="AH25" s="38"/>
      <c r="AI25" s="36">
        <f>107887.26+243504.98</f>
        <v>351392.24</v>
      </c>
      <c r="AJ25" s="37">
        <f>141962.22+107887.26+101542.76</f>
        <v>351392.24</v>
      </c>
      <c r="AK25" s="26">
        <f t="shared" si="1"/>
        <v>0</v>
      </c>
      <c r="AL25" s="25" t="str">
        <f t="shared" si="2"/>
        <v>Matched</v>
      </c>
      <c r="AM25" s="38"/>
    </row>
    <row r="26" spans="1:39" ht="12.75" customHeight="1" x14ac:dyDescent="0.25">
      <c r="A26" s="31"/>
      <c r="B26" s="32" t="str">
        <f>IF(A26="","",VLOOKUP(A26,'Employee Database'!A:B,2,FALSE))</f>
        <v/>
      </c>
      <c r="C26" s="31"/>
      <c r="D26" s="31"/>
      <c r="E26" s="31"/>
      <c r="F26" s="39">
        <f>IF(COUNT(C26:E26)=0,0,SUMPRODUCT({5000,1000,500},C26:E26))</f>
        <v>0</v>
      </c>
      <c r="G26" s="31"/>
      <c r="H26" s="31"/>
      <c r="I26" s="31"/>
      <c r="J26" s="39">
        <f>IF(COUNT(G26:I26)=0,0,SUMPRODUCT({5000,1000,500},G26:I26))</f>
        <v>0</v>
      </c>
      <c r="K26" s="31"/>
      <c r="L26" s="31"/>
      <c r="M26" s="31"/>
      <c r="N26" s="39">
        <f>IF(COUNT(K26:M26)=0,0,SUMPRODUCT({5000,1000,500},K26:M26))</f>
        <v>0</v>
      </c>
      <c r="O26" s="31"/>
      <c r="P26" s="31"/>
      <c r="Q26" s="31"/>
      <c r="R26" s="39">
        <f>IF(COUNT(O26:Q26)=0,0,SUMPRODUCT({5000,1000,500},O26:Q26))</f>
        <v>0</v>
      </c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4">
        <f>IF(COUNT(S26:AC26)=0,0,SUMPRODUCT({5000,1000,500,100,75,50,20,10,5,2,1}, S26:AC26))</f>
        <v>0</v>
      </c>
      <c r="AE26" s="33"/>
      <c r="AF26" s="24" t="str">
        <f>IF(AND(COUNT(C26:E26)=0,COUNT(G26:I26)=0,COUNT(K26:M26)=0,COUNT(O26:Q26)=0,COUNT(S26:AC26)=0,AE26=""),"",(IF(COUNT(C26:E26)=0,0,SUMPRODUCT({5000,1000,500},C26:E26))+IF(COUNT(G26:I26)=0,0,SUMPRODUCT({5000,1000,500},G26:I26))+IF(COUNT(K26:M26)=0,0,SUMPRODUCT({5000,1000,500},K26:M26))+IF(COUNT(O26:Q26)=0,0,SUMPRODUCT({5000,1000,500},O26:Q26))+AD26)-N(AE26))</f>
        <v/>
      </c>
      <c r="AG26" s="35" t="str">
        <f t="shared" si="0"/>
        <v/>
      </c>
      <c r="AH26" s="38"/>
      <c r="AI26" s="36"/>
      <c r="AJ26" s="37"/>
      <c r="AK26" s="26" t="str">
        <f t="shared" si="1"/>
        <v/>
      </c>
      <c r="AL26" s="25" t="str">
        <f t="shared" si="2"/>
        <v/>
      </c>
      <c r="AM26" s="38"/>
    </row>
    <row r="27" spans="1:39" ht="12.75" customHeight="1" x14ac:dyDescent="0.25">
      <c r="A27" s="31"/>
      <c r="B27" s="32" t="str">
        <f>IF(A27="","",VLOOKUP(A27,'Employee Database'!A:B,2,FALSE))</f>
        <v/>
      </c>
      <c r="C27" s="31"/>
      <c r="D27" s="31"/>
      <c r="E27" s="31"/>
      <c r="F27" s="39">
        <f>IF(COUNT(C27:E27)=0,0,SUMPRODUCT({5000,1000,500},C27:E27))</f>
        <v>0</v>
      </c>
      <c r="G27" s="31"/>
      <c r="H27" s="31"/>
      <c r="I27" s="31"/>
      <c r="J27" s="39">
        <f>IF(COUNT(G27:I27)=0,0,SUMPRODUCT({5000,1000,500},G27:I27))</f>
        <v>0</v>
      </c>
      <c r="K27" s="31"/>
      <c r="L27" s="31"/>
      <c r="M27" s="31"/>
      <c r="N27" s="39">
        <f>IF(COUNT(K27:M27)=0,0,SUMPRODUCT({5000,1000,500},K27:M27))</f>
        <v>0</v>
      </c>
      <c r="O27" s="31"/>
      <c r="P27" s="31"/>
      <c r="Q27" s="31"/>
      <c r="R27" s="39">
        <f>IF(COUNT(O27:Q27)=0,0,SUMPRODUCT({5000,1000,500},O27:Q27))</f>
        <v>0</v>
      </c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4">
        <f>IF(COUNT(S27:AC27)=0,0,SUMPRODUCT({5000,1000,500,100,75,50,20,10,5,2,1}, S27:AC27))</f>
        <v>0</v>
      </c>
      <c r="AE27" s="33"/>
      <c r="AF27" s="24" t="str">
        <f>IF(AND(COUNT(C27:E27)=0,COUNT(G27:I27)=0,COUNT(K27:M27)=0,COUNT(O27:Q27)=0,COUNT(S27:AC27)=0,AE27=""),"",(IF(COUNT(C27:E27)=0,0,SUMPRODUCT({5000,1000,500},C27:E27))+IF(COUNT(G27:I27)=0,0,SUMPRODUCT({5000,1000,500},G27:I27))+IF(COUNT(K27:M27)=0,0,SUMPRODUCT({5000,1000,500},K27:M27))+IF(COUNT(O27:Q27)=0,0,SUMPRODUCT({5000,1000,500},O27:Q27))+AD27)-N(AE27))</f>
        <v/>
      </c>
      <c r="AG27" s="35" t="str">
        <f t="shared" si="0"/>
        <v/>
      </c>
      <c r="AH27" s="38"/>
      <c r="AI27" s="36"/>
      <c r="AJ27" s="37"/>
      <c r="AK27" s="26" t="str">
        <f t="shared" si="1"/>
        <v/>
      </c>
      <c r="AL27" s="25" t="str">
        <f t="shared" si="2"/>
        <v/>
      </c>
      <c r="AM27" s="38"/>
    </row>
    <row r="28" spans="1:39" ht="12.75" customHeight="1" x14ac:dyDescent="0.25">
      <c r="A28" s="31"/>
      <c r="B28" s="32" t="str">
        <f>IF(A28="","",VLOOKUP(A28,'Employee Database'!A:B,2,FALSE))</f>
        <v/>
      </c>
      <c r="C28" s="31"/>
      <c r="D28" s="31"/>
      <c r="E28" s="31"/>
      <c r="F28" s="39">
        <f>IF(COUNT(C28:E28)=0,0,SUMPRODUCT({5000,1000,500},C28:E28))</f>
        <v>0</v>
      </c>
      <c r="G28" s="31"/>
      <c r="H28" s="31"/>
      <c r="I28" s="31"/>
      <c r="J28" s="39">
        <f>IF(COUNT(G28:I28)=0,0,SUMPRODUCT({5000,1000,500},G28:I28))</f>
        <v>0</v>
      </c>
      <c r="K28" s="31"/>
      <c r="L28" s="31"/>
      <c r="M28" s="31"/>
      <c r="N28" s="39">
        <f>IF(COUNT(K28:M28)=0,0,SUMPRODUCT({5000,1000,500},K28:M28))</f>
        <v>0</v>
      </c>
      <c r="O28" s="31"/>
      <c r="P28" s="31"/>
      <c r="Q28" s="31"/>
      <c r="R28" s="39">
        <f>IF(COUNT(O28:Q28)=0,0,SUMPRODUCT({5000,1000,500},O28:Q28))</f>
        <v>0</v>
      </c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4">
        <f>IF(COUNT(S28:AC28)=0,0,SUMPRODUCT({5000,1000,500,100,75,50,20,10,5,2,1}, S28:AC28))</f>
        <v>0</v>
      </c>
      <c r="AE28" s="33"/>
      <c r="AF28" s="24" t="str">
        <f>IF(AND(COUNT(C28:E28)=0,COUNT(G28:I28)=0,COUNT(K28:M28)=0,COUNT(O28:Q28)=0,COUNT(S28:AC28)=0,AE28=""),"",(IF(COUNT(C28:E28)=0,0,SUMPRODUCT({5000,1000,500},C28:E28))+IF(COUNT(G28:I28)=0,0,SUMPRODUCT({5000,1000,500},G28:I28))+IF(COUNT(K28:M28)=0,0,SUMPRODUCT({5000,1000,500},K28:M28))+IF(COUNT(O28:Q28)=0,0,SUMPRODUCT({5000,1000,500},O28:Q28))+AD28)-N(AE28))</f>
        <v/>
      </c>
      <c r="AG28" s="35" t="str">
        <f t="shared" si="0"/>
        <v/>
      </c>
      <c r="AH28" s="38"/>
      <c r="AI28" s="36"/>
      <c r="AJ28" s="37"/>
      <c r="AK28" s="26" t="str">
        <f t="shared" si="1"/>
        <v/>
      </c>
      <c r="AL28" s="25" t="str">
        <f t="shared" si="2"/>
        <v/>
      </c>
      <c r="AM28" s="38"/>
    </row>
    <row r="29" spans="1:39" ht="12.75" customHeight="1" x14ac:dyDescent="0.25">
      <c r="A29" s="31"/>
      <c r="B29" s="32" t="str">
        <f>IF(A29="","",VLOOKUP(A29,'Employee Database'!A:B,2,FALSE))</f>
        <v/>
      </c>
      <c r="C29" s="31"/>
      <c r="D29" s="31"/>
      <c r="E29" s="31"/>
      <c r="F29" s="39">
        <f>IF(COUNT(C29:E29)=0,0,SUMPRODUCT({5000,1000,500},C29:E29))</f>
        <v>0</v>
      </c>
      <c r="G29" s="31"/>
      <c r="H29" s="31"/>
      <c r="I29" s="31"/>
      <c r="J29" s="39">
        <f>IF(COUNT(G29:I29)=0,0,SUMPRODUCT({5000,1000,500},G29:I29))</f>
        <v>0</v>
      </c>
      <c r="K29" s="31"/>
      <c r="L29" s="31"/>
      <c r="M29" s="31"/>
      <c r="N29" s="39">
        <f>IF(COUNT(K29:M29)=0,0,SUMPRODUCT({5000,1000,500},K29:M29))</f>
        <v>0</v>
      </c>
      <c r="O29" s="31"/>
      <c r="P29" s="31"/>
      <c r="Q29" s="31"/>
      <c r="R29" s="39">
        <f>IF(COUNT(O29:Q29)=0,0,SUMPRODUCT({5000,1000,500},O29:Q29))</f>
        <v>0</v>
      </c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4">
        <f>IF(COUNT(S29:AC29)=0,0,SUMPRODUCT({5000,1000,500,100,75,50,20,10,5,2,1}, S29:AC29))</f>
        <v>0</v>
      </c>
      <c r="AE29" s="33"/>
      <c r="AF29" s="24" t="str">
        <f>IF(AND(COUNT(C29:E29)=0,COUNT(G29:I29)=0,COUNT(K29:M29)=0,COUNT(O29:Q29)=0,COUNT(S29:AC29)=0,AE29=""),"",(IF(COUNT(C29:E29)=0,0,SUMPRODUCT({5000,1000,500},C29:E29))+IF(COUNT(G29:I29)=0,0,SUMPRODUCT({5000,1000,500},G29:I29))+IF(COUNT(K29:M29)=0,0,SUMPRODUCT({5000,1000,500},K29:M29))+IF(COUNT(O29:Q29)=0,0,SUMPRODUCT({5000,1000,500},O29:Q29))+AD29)-N(AE29))</f>
        <v/>
      </c>
      <c r="AG29" s="35" t="str">
        <f t="shared" si="0"/>
        <v/>
      </c>
      <c r="AH29" s="38"/>
      <c r="AI29" s="36"/>
      <c r="AJ29" s="37"/>
      <c r="AK29" s="26" t="str">
        <f t="shared" si="1"/>
        <v/>
      </c>
      <c r="AL29" s="25" t="str">
        <f t="shared" si="2"/>
        <v/>
      </c>
      <c r="AM29" s="38"/>
    </row>
    <row r="30" spans="1:39" ht="12.75" customHeight="1" x14ac:dyDescent="0.25">
      <c r="A30" s="31"/>
      <c r="B30" s="32" t="str">
        <f>IF(A30="","",VLOOKUP(A30,'Employee Database'!A:B,2,FALSE))</f>
        <v/>
      </c>
      <c r="C30" s="31"/>
      <c r="D30" s="31"/>
      <c r="E30" s="31"/>
      <c r="F30" s="39">
        <f>IF(COUNT(C30:E30)=0,0,SUMPRODUCT({5000,1000,500},C30:E30))</f>
        <v>0</v>
      </c>
      <c r="G30" s="31"/>
      <c r="H30" s="31"/>
      <c r="I30" s="31"/>
      <c r="J30" s="39">
        <f>IF(COUNT(G30:I30)=0,0,SUMPRODUCT({5000,1000,500},G30:I30))</f>
        <v>0</v>
      </c>
      <c r="K30" s="31"/>
      <c r="L30" s="31"/>
      <c r="M30" s="31"/>
      <c r="N30" s="39">
        <f>IF(COUNT(K30:M30)=0,0,SUMPRODUCT({5000,1000,500},K30:M30))</f>
        <v>0</v>
      </c>
      <c r="O30" s="31"/>
      <c r="P30" s="31"/>
      <c r="Q30" s="31"/>
      <c r="R30" s="39">
        <f>IF(COUNT(O30:Q30)=0,0,SUMPRODUCT({5000,1000,500},O30:Q30))</f>
        <v>0</v>
      </c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4">
        <f>IF(COUNT(S30:AC30)=0,0,SUMPRODUCT({5000,1000,500,100,75,50,20,10,5,2,1}, S30:AC30))</f>
        <v>0</v>
      </c>
      <c r="AE30" s="33"/>
      <c r="AF30" s="24" t="str">
        <f>IF(AND(COUNT(C30:E30)=0,COUNT(G30:I30)=0,COUNT(K30:M30)=0,COUNT(O30:Q30)=0,COUNT(S30:AC30)=0,AE30=""),"",(IF(COUNT(C30:E30)=0,0,SUMPRODUCT({5000,1000,500},C30:E30))+IF(COUNT(G30:I30)=0,0,SUMPRODUCT({5000,1000,500},G30:I30))+IF(COUNT(K30:M30)=0,0,SUMPRODUCT({5000,1000,500},K30:M30))+IF(COUNT(O30:Q30)=0,0,SUMPRODUCT({5000,1000,500},O30:Q30))+AD30)-N(AE30))</f>
        <v/>
      </c>
      <c r="AG30" s="35" t="str">
        <f t="shared" si="0"/>
        <v/>
      </c>
      <c r="AH30" s="38"/>
      <c r="AI30" s="36"/>
      <c r="AJ30" s="37"/>
      <c r="AK30" s="26" t="str">
        <f t="shared" si="1"/>
        <v/>
      </c>
      <c r="AL30" s="25" t="str">
        <f t="shared" si="2"/>
        <v/>
      </c>
      <c r="AM30" s="38"/>
    </row>
    <row r="31" spans="1:39" ht="12.75" customHeight="1" x14ac:dyDescent="0.25">
      <c r="A31" s="31"/>
      <c r="B31" s="32" t="str">
        <f>IF(A31="","",VLOOKUP(A31,'Employee Database'!A:B,2,FALSE))</f>
        <v/>
      </c>
      <c r="C31" s="31"/>
      <c r="D31" s="31"/>
      <c r="E31" s="31"/>
      <c r="F31" s="39">
        <f>IF(COUNT(C31:E31)=0,0,SUMPRODUCT({5000,1000,500},C31:E31))</f>
        <v>0</v>
      </c>
      <c r="G31" s="31"/>
      <c r="H31" s="31"/>
      <c r="I31" s="31"/>
      <c r="J31" s="39">
        <f>IF(COUNT(G31:I31)=0,0,SUMPRODUCT({5000,1000,500},G31:I31))</f>
        <v>0</v>
      </c>
      <c r="K31" s="31"/>
      <c r="L31" s="31"/>
      <c r="M31" s="31"/>
      <c r="N31" s="39">
        <f>IF(COUNT(K31:M31)=0,0,SUMPRODUCT({5000,1000,500},K31:M31))</f>
        <v>0</v>
      </c>
      <c r="O31" s="31"/>
      <c r="P31" s="31"/>
      <c r="Q31" s="31"/>
      <c r="R31" s="39">
        <f>IF(COUNT(O31:Q31)=0,0,SUMPRODUCT({5000,1000,500},O31:Q31))</f>
        <v>0</v>
      </c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4">
        <f>IF(COUNT(S31:AC31)=0,0,SUMPRODUCT({5000,1000,500,100,75,50,20,10,5,2,1}, S31:AC31))</f>
        <v>0</v>
      </c>
      <c r="AE31" s="33"/>
      <c r="AF31" s="24" t="str">
        <f>IF(AND(COUNT(C31:E31)=0,COUNT(G31:I31)=0,COUNT(K31:M31)=0,COUNT(O31:Q31)=0,COUNT(S31:AC31)=0,AE31=""),"",(IF(COUNT(C31:E31)=0,0,SUMPRODUCT({5000,1000,500},C31:E31))+IF(COUNT(G31:I31)=0,0,SUMPRODUCT({5000,1000,500},G31:I31))+IF(COUNT(K31:M31)=0,0,SUMPRODUCT({5000,1000,500},K31:M31))+IF(COUNT(O31:Q31)=0,0,SUMPRODUCT({5000,1000,500},O31:Q31))+AD31)-N(AE31))</f>
        <v/>
      </c>
      <c r="AG31" s="35" t="str">
        <f t="shared" si="0"/>
        <v/>
      </c>
      <c r="AH31" s="38"/>
      <c r="AI31" s="36"/>
      <c r="AJ31" s="37"/>
      <c r="AK31" s="26" t="str">
        <f t="shared" si="1"/>
        <v/>
      </c>
      <c r="AL31" s="25" t="str">
        <f t="shared" si="2"/>
        <v/>
      </c>
      <c r="AM31" s="38"/>
    </row>
    <row r="32" spans="1:39" ht="12.75" customHeight="1" x14ac:dyDescent="0.25">
      <c r="A32" s="31"/>
      <c r="B32" s="32" t="str">
        <f>IF(A32="","",VLOOKUP(A32,'Employee Database'!A:B,2,FALSE))</f>
        <v/>
      </c>
      <c r="C32" s="31"/>
      <c r="D32" s="31"/>
      <c r="E32" s="31"/>
      <c r="F32" s="39">
        <f>IF(COUNT(C32:E32)=0,0,SUMPRODUCT({5000,1000,500},C32:E32))</f>
        <v>0</v>
      </c>
      <c r="G32" s="31"/>
      <c r="H32" s="31"/>
      <c r="I32" s="31"/>
      <c r="J32" s="39">
        <f>IF(COUNT(G32:I32)=0,0,SUMPRODUCT({5000,1000,500},G32:I32))</f>
        <v>0</v>
      </c>
      <c r="K32" s="31"/>
      <c r="L32" s="31"/>
      <c r="M32" s="31"/>
      <c r="N32" s="39">
        <f>IF(COUNT(K32:M32)=0,0,SUMPRODUCT({5000,1000,500},K32:M32))</f>
        <v>0</v>
      </c>
      <c r="O32" s="31"/>
      <c r="P32" s="31"/>
      <c r="Q32" s="31"/>
      <c r="R32" s="39">
        <f>IF(COUNT(O32:Q32)=0,0,SUMPRODUCT({5000,1000,500},O32:Q32))</f>
        <v>0</v>
      </c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4">
        <f>IF(COUNT(S32:AC32)=0,0,SUMPRODUCT({5000,1000,500,100,75,50,20,10,5,2,1}, S32:AC32))</f>
        <v>0</v>
      </c>
      <c r="AE32" s="33"/>
      <c r="AF32" s="24" t="str">
        <f>IF(AND(COUNT(C32:E32)=0,COUNT(G32:I32)=0,COUNT(K32:M32)=0,COUNT(O32:Q32)=0,COUNT(S32:AC32)=0,AE32=""),"",(IF(COUNT(C32:E32)=0,0,SUMPRODUCT({5000,1000,500},C32:E32))+IF(COUNT(G32:I32)=0,0,SUMPRODUCT({5000,1000,500},G32:I32))+IF(COUNT(K32:M32)=0,0,SUMPRODUCT({5000,1000,500},K32:M32))+IF(COUNT(O32:Q32)=0,0,SUMPRODUCT({5000,1000,500},O32:Q32))+AD32)-N(AE32))</f>
        <v/>
      </c>
      <c r="AG32" s="35" t="str">
        <f t="shared" si="0"/>
        <v/>
      </c>
      <c r="AH32" s="38"/>
      <c r="AI32" s="36"/>
      <c r="AJ32" s="37"/>
      <c r="AK32" s="26" t="str">
        <f t="shared" si="1"/>
        <v/>
      </c>
      <c r="AL32" s="25" t="str">
        <f t="shared" si="2"/>
        <v/>
      </c>
      <c r="AM32" s="38"/>
    </row>
    <row r="33" spans="1:39" ht="12.75" customHeight="1" x14ac:dyDescent="0.25">
      <c r="A33" s="31"/>
      <c r="B33" s="32" t="str">
        <f>IF(A33="","",VLOOKUP(A33,'Employee Database'!A:B,2,FALSE))</f>
        <v/>
      </c>
      <c r="C33" s="31"/>
      <c r="D33" s="31"/>
      <c r="E33" s="31"/>
      <c r="F33" s="39">
        <f>IF(COUNT(C33:E33)=0,0,SUMPRODUCT({5000,1000,500},C33:E33))</f>
        <v>0</v>
      </c>
      <c r="G33" s="31"/>
      <c r="H33" s="31"/>
      <c r="I33" s="31"/>
      <c r="J33" s="39">
        <f>IF(COUNT(G33:I33)=0,0,SUMPRODUCT({5000,1000,500},G33:I33))</f>
        <v>0</v>
      </c>
      <c r="K33" s="31"/>
      <c r="L33" s="31"/>
      <c r="M33" s="31"/>
      <c r="N33" s="39">
        <f>IF(COUNT(K33:M33)=0,0,SUMPRODUCT({5000,1000,500},K33:M33))</f>
        <v>0</v>
      </c>
      <c r="O33" s="31"/>
      <c r="P33" s="31"/>
      <c r="Q33" s="31"/>
      <c r="R33" s="39">
        <f>IF(COUNT(O33:Q33)=0,0,SUMPRODUCT({5000,1000,500},O33:Q33))</f>
        <v>0</v>
      </c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4">
        <f>IF(COUNT(S33:AC33)=0,0,SUMPRODUCT({5000,1000,500,100,75,50,20,10,5,2,1}, S33:AC33))</f>
        <v>0</v>
      </c>
      <c r="AE33" s="33"/>
      <c r="AF33" s="24" t="str">
        <f>IF(AND(COUNT(C33:E33)=0,COUNT(G33:I33)=0,COUNT(K33:M33)=0,COUNT(O33:Q33)=0,COUNT(S33:AC33)=0,AE33=""),"",(IF(COUNT(C33:E33)=0,0,SUMPRODUCT({5000,1000,500},C33:E33))+IF(COUNT(G33:I33)=0,0,SUMPRODUCT({5000,1000,500},G33:I33))+IF(COUNT(K33:M33)=0,0,SUMPRODUCT({5000,1000,500},K33:M33))+IF(COUNT(O33:Q33)=0,0,SUMPRODUCT({5000,1000,500},O33:Q33))+AD33)-N(AE33))</f>
        <v/>
      </c>
      <c r="AG33" s="35" t="str">
        <f t="shared" si="0"/>
        <v/>
      </c>
      <c r="AH33" s="38"/>
      <c r="AI33" s="36"/>
      <c r="AJ33" s="37"/>
      <c r="AK33" s="26" t="str">
        <f t="shared" si="1"/>
        <v/>
      </c>
      <c r="AL33" s="25" t="str">
        <f t="shared" si="2"/>
        <v/>
      </c>
      <c r="AM33" s="38"/>
    </row>
    <row r="34" spans="1:39" ht="12.75" customHeight="1" x14ac:dyDescent="0.25">
      <c r="A34" s="31"/>
      <c r="B34" s="32" t="str">
        <f>IF(A34="","",VLOOKUP(A34,'Employee Database'!A:B,2,FALSE))</f>
        <v/>
      </c>
      <c r="C34" s="31"/>
      <c r="D34" s="31"/>
      <c r="E34" s="31"/>
      <c r="F34" s="39">
        <f>IF(COUNT(C34:E34)=0,0,SUMPRODUCT({5000,1000,500},C34:E34))</f>
        <v>0</v>
      </c>
      <c r="G34" s="31"/>
      <c r="H34" s="31"/>
      <c r="I34" s="31"/>
      <c r="J34" s="39">
        <f>IF(COUNT(G34:I34)=0,0,SUMPRODUCT({5000,1000,500},G34:I34))</f>
        <v>0</v>
      </c>
      <c r="K34" s="31"/>
      <c r="L34" s="31"/>
      <c r="M34" s="31"/>
      <c r="N34" s="39">
        <f>IF(COUNT(K34:M34)=0,0,SUMPRODUCT({5000,1000,500},K34:M34))</f>
        <v>0</v>
      </c>
      <c r="O34" s="31"/>
      <c r="P34" s="31"/>
      <c r="Q34" s="31"/>
      <c r="R34" s="39">
        <f>IF(COUNT(O34:Q34)=0,0,SUMPRODUCT({5000,1000,500},O34:Q34))</f>
        <v>0</v>
      </c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4">
        <f>IF(COUNT(S34:AC34)=0,0,SUMPRODUCT({5000,1000,500,100,75,50,20,10,5,2,1}, S34:AC34))</f>
        <v>0</v>
      </c>
      <c r="AE34" s="33"/>
      <c r="AF34" s="24" t="str">
        <f>IF(AND(COUNT(C34:E34)=0,COUNT(G34:I34)=0,COUNT(K34:M34)=0,COUNT(O34:Q34)=0,COUNT(S34:AC34)=0,AE34=""),"",(IF(COUNT(C34:E34)=0,0,SUMPRODUCT({5000,1000,500},C34:E34))+IF(COUNT(G34:I34)=0,0,SUMPRODUCT({5000,1000,500},G34:I34))+IF(COUNT(K34:M34)=0,0,SUMPRODUCT({5000,1000,500},K34:M34))+IF(COUNT(O34:Q34)=0,0,SUMPRODUCT({5000,1000,500},O34:Q34))+AD34)-N(AE34))</f>
        <v/>
      </c>
      <c r="AG34" s="35" t="str">
        <f t="shared" si="0"/>
        <v/>
      </c>
      <c r="AH34" s="38"/>
      <c r="AI34" s="36"/>
      <c r="AJ34" s="37"/>
      <c r="AK34" s="26" t="str">
        <f t="shared" si="1"/>
        <v/>
      </c>
      <c r="AL34" s="25" t="str">
        <f t="shared" si="2"/>
        <v/>
      </c>
      <c r="AM34" s="38"/>
    </row>
    <row r="35" spans="1:39" ht="22.5" customHeight="1" x14ac:dyDescent="0.25">
      <c r="A35" s="27" t="s">
        <v>24</v>
      </c>
      <c r="B35" s="27" t="s">
        <v>24</v>
      </c>
      <c r="C35" s="28">
        <f t="shared" ref="C35:AF35" si="3">SUM(C5:C34)</f>
        <v>257</v>
      </c>
      <c r="D35" s="28">
        <f t="shared" si="3"/>
        <v>887</v>
      </c>
      <c r="E35" s="28">
        <f t="shared" si="3"/>
        <v>129</v>
      </c>
      <c r="F35" s="40">
        <f t="shared" si="3"/>
        <v>2236500</v>
      </c>
      <c r="G35" s="28">
        <f t="shared" si="3"/>
        <v>273</v>
      </c>
      <c r="H35" s="28">
        <f t="shared" si="3"/>
        <v>951</v>
      </c>
      <c r="I35" s="28">
        <f t="shared" si="3"/>
        <v>267</v>
      </c>
      <c r="J35" s="40">
        <f t="shared" si="3"/>
        <v>2449500</v>
      </c>
      <c r="K35" s="28">
        <f t="shared" si="3"/>
        <v>0</v>
      </c>
      <c r="L35" s="28">
        <f t="shared" si="3"/>
        <v>0</v>
      </c>
      <c r="M35" s="28">
        <f t="shared" si="3"/>
        <v>0</v>
      </c>
      <c r="N35" s="40">
        <f t="shared" si="3"/>
        <v>0</v>
      </c>
      <c r="O35" s="28">
        <f t="shared" si="3"/>
        <v>0</v>
      </c>
      <c r="P35" s="28">
        <f t="shared" si="3"/>
        <v>0</v>
      </c>
      <c r="Q35" s="28">
        <f t="shared" si="3"/>
        <v>0</v>
      </c>
      <c r="R35" s="40">
        <f t="shared" si="3"/>
        <v>0</v>
      </c>
      <c r="S35" s="28">
        <f t="shared" si="3"/>
        <v>0</v>
      </c>
      <c r="T35" s="28">
        <f t="shared" si="3"/>
        <v>0</v>
      </c>
      <c r="U35" s="28">
        <f t="shared" si="3"/>
        <v>0</v>
      </c>
      <c r="V35" s="28">
        <f t="shared" si="3"/>
        <v>136</v>
      </c>
      <c r="W35" s="28">
        <f t="shared" si="3"/>
        <v>0</v>
      </c>
      <c r="X35" s="28">
        <f t="shared" si="3"/>
        <v>943</v>
      </c>
      <c r="Y35" s="28">
        <f t="shared" si="3"/>
        <v>10</v>
      </c>
      <c r="Z35" s="28">
        <f t="shared" si="3"/>
        <v>1432</v>
      </c>
      <c r="AA35" s="28">
        <f t="shared" si="3"/>
        <v>0</v>
      </c>
      <c r="AB35" s="28">
        <f t="shared" si="3"/>
        <v>0</v>
      </c>
      <c r="AC35" s="28">
        <f t="shared" si="3"/>
        <v>3</v>
      </c>
      <c r="AD35" s="40">
        <f t="shared" si="3"/>
        <v>75273</v>
      </c>
      <c r="AE35" s="41">
        <f t="shared" si="3"/>
        <v>4761122</v>
      </c>
      <c r="AF35" s="29">
        <f t="shared" si="3"/>
        <v>151</v>
      </c>
      <c r="AG35" s="27" t="s">
        <v>24</v>
      </c>
      <c r="AH35" s="27" t="s">
        <v>24</v>
      </c>
      <c r="AI35" s="28">
        <f>SUM(AI5:AI34)</f>
        <v>8714896.4699999988</v>
      </c>
      <c r="AJ35" s="28">
        <f>SUM(AJ5:AJ34)</f>
        <v>8714896.4699999988</v>
      </c>
      <c r="AK35" s="28">
        <f>SUM(AK5:AK34)</f>
        <v>-8.7311491370201111E-11</v>
      </c>
      <c r="AL35" s="28">
        <f>AJ35+AE35</f>
        <v>13476018.469999999</v>
      </c>
      <c r="AM35" s="28">
        <f>SUM(AM5:AM34)</f>
        <v>0</v>
      </c>
    </row>
  </sheetData>
  <mergeCells count="9">
    <mergeCell ref="S3:AC3"/>
    <mergeCell ref="AD3:AG3"/>
    <mergeCell ref="AH3:AM3"/>
    <mergeCell ref="A1:B1"/>
    <mergeCell ref="A3:B3"/>
    <mergeCell ref="C3:F3"/>
    <mergeCell ref="G3:J3"/>
    <mergeCell ref="K3:N3"/>
    <mergeCell ref="O3:R3"/>
  </mergeCells>
  <conditionalFormatting sqref="A5">
    <cfRule type="duplicateValues" dxfId="36" priority="3"/>
    <cfRule type="duplicateValues" dxfId="35" priority="4"/>
  </conditionalFormatting>
  <conditionalFormatting sqref="A6">
    <cfRule type="duplicateValues" dxfId="34" priority="5"/>
    <cfRule type="duplicateValues" dxfId="33" priority="6"/>
  </conditionalFormatting>
  <conditionalFormatting sqref="A7:A34">
    <cfRule type="duplicateValues" dxfId="32" priority="1"/>
    <cfRule type="duplicateValues" dxfId="31" priority="2"/>
  </conditionalFormatting>
  <conditionalFormatting sqref="A35">
    <cfRule type="duplicateValues" dxfId="30" priority="7"/>
  </conditionalFormatting>
  <dataValidations disablePrompts="1" count="1">
    <dataValidation type="list" allowBlank="1" showInputMessage="1" showErrorMessage="1" sqref="A1:B1" xr:uid="{00000000-0002-0000-1C00-000000000000}">
      <formula1>Locations</formula1>
    </dataValidation>
  </dataValidations>
  <pageMargins left="0.75" right="0.75" top="1" bottom="1" header="0.5" footer="0.5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>
    <tabColor rgb="FFFF0000"/>
  </sheetPr>
  <dimension ref="A1:AM35"/>
  <sheetViews>
    <sheetView showGridLines="0" topLeftCell="A11" zoomScale="85" zoomScaleNormal="85" workbookViewId="0">
      <pane xSplit="2" topLeftCell="C1" activePane="topRight" state="frozen"/>
      <selection activeCell="A4" sqref="A4"/>
      <selection pane="topRight" activeCell="F35" activeCellId="3" sqref="AD35 J36 J35 F35"/>
    </sheetView>
  </sheetViews>
  <sheetFormatPr defaultRowHeight="15" x14ac:dyDescent="0.25"/>
  <cols>
    <col min="1" max="1" width="11.85546875" customWidth="1"/>
    <col min="2" max="2" width="20.5703125" customWidth="1"/>
    <col min="6" max="6" width="14.42578125" bestFit="1" customWidth="1"/>
    <col min="10" max="10" width="14.42578125" bestFit="1" customWidth="1"/>
    <col min="14" max="14" width="14.42578125" bestFit="1" customWidth="1"/>
    <col min="18" max="18" width="14.42578125" bestFit="1" customWidth="1"/>
    <col min="30" max="31" width="18" customWidth="1"/>
    <col min="32" max="32" width="20" customWidth="1"/>
    <col min="33" max="33" width="14" customWidth="1"/>
    <col min="35" max="35" width="18" customWidth="1"/>
    <col min="36" max="36" width="22" customWidth="1"/>
    <col min="37" max="37" width="16" customWidth="1"/>
    <col min="38" max="38" width="14" customWidth="1"/>
  </cols>
  <sheetData>
    <row r="1" spans="1:39" ht="43.5" customHeight="1" x14ac:dyDescent="0.25">
      <c r="A1" s="48" t="s">
        <v>306</v>
      </c>
      <c r="B1" s="48"/>
    </row>
    <row r="2" spans="1:39" ht="13.5" customHeight="1" x14ac:dyDescent="0.25">
      <c r="A2" s="30">
        <f>'27'!A2+1</f>
        <v>46231</v>
      </c>
    </row>
    <row r="3" spans="1:39" ht="24" customHeight="1" x14ac:dyDescent="0.25">
      <c r="A3" s="49" t="s">
        <v>0</v>
      </c>
      <c r="B3" s="49"/>
      <c r="C3" s="49" t="s">
        <v>93</v>
      </c>
      <c r="D3" s="50"/>
      <c r="E3" s="50"/>
      <c r="F3" s="50"/>
      <c r="G3" s="49" t="s">
        <v>94</v>
      </c>
      <c r="H3" s="50"/>
      <c r="I3" s="50"/>
      <c r="J3" s="50"/>
      <c r="K3" s="49" t="s">
        <v>95</v>
      </c>
      <c r="L3" s="50"/>
      <c r="M3" s="50"/>
      <c r="N3" s="50"/>
      <c r="O3" s="49" t="s">
        <v>96</v>
      </c>
      <c r="P3" s="50"/>
      <c r="Q3" s="50"/>
      <c r="R3" s="50"/>
      <c r="S3" s="45" t="s">
        <v>1</v>
      </c>
      <c r="T3" s="46"/>
      <c r="U3" s="46"/>
      <c r="V3" s="46"/>
      <c r="W3" s="46"/>
      <c r="X3" s="46"/>
      <c r="Y3" s="46"/>
      <c r="Z3" s="46"/>
      <c r="AA3" s="46"/>
      <c r="AB3" s="46"/>
      <c r="AC3" s="46"/>
      <c r="AD3" s="47" t="s">
        <v>97</v>
      </c>
      <c r="AE3" s="46"/>
      <c r="AF3" s="46"/>
      <c r="AG3" s="46"/>
      <c r="AH3" s="47" t="s">
        <v>98</v>
      </c>
      <c r="AI3" s="46"/>
      <c r="AJ3" s="46"/>
      <c r="AK3" s="46"/>
      <c r="AL3" s="46"/>
      <c r="AM3" s="46"/>
    </row>
    <row r="4" spans="1:39" ht="27.95" customHeight="1" x14ac:dyDescent="0.25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92</v>
      </c>
      <c r="G4" s="1" t="s">
        <v>5</v>
      </c>
      <c r="H4" s="1" t="s">
        <v>6</v>
      </c>
      <c r="I4" s="1" t="s">
        <v>7</v>
      </c>
      <c r="J4" s="1" t="s">
        <v>92</v>
      </c>
      <c r="K4" s="1" t="s">
        <v>5</v>
      </c>
      <c r="L4" s="1" t="s">
        <v>6</v>
      </c>
      <c r="M4" s="1" t="s">
        <v>7</v>
      </c>
      <c r="N4" s="1" t="s">
        <v>92</v>
      </c>
      <c r="O4" s="1" t="s">
        <v>5</v>
      </c>
      <c r="P4" s="1" t="s">
        <v>6</v>
      </c>
      <c r="Q4" s="1" t="s">
        <v>7</v>
      </c>
      <c r="R4" s="1" t="s">
        <v>92</v>
      </c>
      <c r="S4" s="1" t="s">
        <v>5</v>
      </c>
      <c r="T4" s="1" t="s">
        <v>6</v>
      </c>
      <c r="U4" s="1" t="s">
        <v>7</v>
      </c>
      <c r="V4" s="1" t="s">
        <v>8</v>
      </c>
      <c r="W4" s="1" t="s">
        <v>9</v>
      </c>
      <c r="X4" s="1" t="s">
        <v>10</v>
      </c>
      <c r="Y4" s="1" t="s">
        <v>11</v>
      </c>
      <c r="Z4" s="1" t="s">
        <v>12</v>
      </c>
      <c r="AA4" s="1" t="s">
        <v>13</v>
      </c>
      <c r="AB4" s="1" t="s">
        <v>14</v>
      </c>
      <c r="AC4" s="1" t="s">
        <v>15</v>
      </c>
      <c r="AD4" s="1" t="s">
        <v>16</v>
      </c>
      <c r="AE4" s="1" t="s">
        <v>17</v>
      </c>
      <c r="AF4" s="1" t="s">
        <v>18</v>
      </c>
      <c r="AG4" s="1" t="s">
        <v>19</v>
      </c>
      <c r="AH4" s="1" t="s">
        <v>20</v>
      </c>
      <c r="AI4" s="4" t="s">
        <v>99</v>
      </c>
      <c r="AJ4" s="1" t="s">
        <v>21</v>
      </c>
      <c r="AK4" s="1" t="s">
        <v>22</v>
      </c>
      <c r="AL4" s="1" t="s">
        <v>23</v>
      </c>
      <c r="AM4" s="4" t="s">
        <v>100</v>
      </c>
    </row>
    <row r="5" spans="1:39" ht="12.75" customHeight="1" x14ac:dyDescent="0.25">
      <c r="A5" s="31">
        <v>68107</v>
      </c>
      <c r="B5" s="32" t="str">
        <f>IF(A5="","",VLOOKUP(A5,'Employee Database'!A:B,2,FALSE))</f>
        <v>M Harris</v>
      </c>
      <c r="C5" s="31">
        <v>28</v>
      </c>
      <c r="D5" s="31">
        <v>81</v>
      </c>
      <c r="E5" s="31">
        <v>11</v>
      </c>
      <c r="F5" s="39">
        <f>IF(COUNT(C5:E5)=0,0,SUMPRODUCT({5000,1000,500},C5:E5))</f>
        <v>226500</v>
      </c>
      <c r="G5" s="31"/>
      <c r="H5" s="31"/>
      <c r="I5" s="31"/>
      <c r="J5" s="39">
        <f>IF(COUNT(G5:I5)=0,0,SUMPRODUCT({5000,1000,500},G5:I5))</f>
        <v>0</v>
      </c>
      <c r="K5" s="31"/>
      <c r="L5" s="31"/>
      <c r="M5" s="31"/>
      <c r="N5" s="39">
        <f>IF(COUNT(K5:M5)=0,0,SUMPRODUCT({5000,1000,500},K5:M5))</f>
        <v>0</v>
      </c>
      <c r="O5" s="31"/>
      <c r="P5" s="31"/>
      <c r="Q5" s="31"/>
      <c r="R5" s="39">
        <f>IF(COUNT(O5:Q5)=0,0,SUMPRODUCT({5000,1000,500},O5:Q5))</f>
        <v>0</v>
      </c>
      <c r="S5" s="31"/>
      <c r="T5" s="31"/>
      <c r="U5" s="31"/>
      <c r="V5" s="31"/>
      <c r="W5" s="31"/>
      <c r="X5" s="31">
        <v>6</v>
      </c>
      <c r="Y5" s="31"/>
      <c r="Z5" s="31">
        <v>81</v>
      </c>
      <c r="AA5" s="31"/>
      <c r="AB5" s="31"/>
      <c r="AC5" s="31">
        <v>3</v>
      </c>
      <c r="AD5" s="34">
        <f>IF(COUNT(S5:AC5)=0,0,SUMPRODUCT({5000,1000,500,100,75,50,20,10,5,2,1}, S5:AC5))</f>
        <v>1113</v>
      </c>
      <c r="AE5" s="33">
        <v>227627</v>
      </c>
      <c r="AF5" s="24">
        <f>IF(AND(COUNT(C5:E5)=0,COUNT(G5:I5)=0,COUNT(K5:M5)=0,COUNT(O5:Q5)=0,COUNT(S5:AC5)=0,AE5=""),"",(IF(COUNT(C5:E5)=0,0,SUMPRODUCT({5000,1000,500},C5:E5))+IF(COUNT(G5:I5)=0,0,SUMPRODUCT({5000,1000,500},G5:I5))+IF(COUNT(K5:M5)=0,0,SUMPRODUCT({5000,1000,500},K5:M5))+IF(COUNT(O5:Q5)=0,0,SUMPRODUCT({5000,1000,500},O5:Q5))+AD5)-N(AE5))</f>
        <v>-14</v>
      </c>
      <c r="AG5" s="35" t="str">
        <f t="shared" ref="AG5:AG34" si="0">IF(AF5="","",IF(AF5&gt;0,"Excess",IF(AF5&lt;0,"Short","Balanced")))</f>
        <v>Short</v>
      </c>
      <c r="AH5" s="38"/>
      <c r="AI5" s="36">
        <v>695439</v>
      </c>
      <c r="AJ5" s="37">
        <f>366172+329267</f>
        <v>695439</v>
      </c>
      <c r="AK5" s="26">
        <f t="shared" ref="AK5:AK34" si="1">IF(AND(AI5="",AJ5=""),"",N(AI5)-N(AJ5))</f>
        <v>0</v>
      </c>
      <c r="AL5" s="25" t="str">
        <f t="shared" ref="AL5:AL34" si="2">IF(AK5="","",IF(AK5&gt;0,"POS Excess",IF(AK5&lt;0,"Bank Short","Matched")))</f>
        <v>Matched</v>
      </c>
      <c r="AM5" s="38"/>
    </row>
    <row r="6" spans="1:39" ht="12.75" customHeight="1" x14ac:dyDescent="0.25">
      <c r="A6" s="31">
        <v>65299</v>
      </c>
      <c r="B6" s="32" t="str">
        <f>IF(A6="","",VLOOKUP(A6,'Employee Database'!A:B,2,FALSE))</f>
        <v>M Faisal</v>
      </c>
      <c r="C6" s="31">
        <v>17</v>
      </c>
      <c r="D6" s="31">
        <v>129</v>
      </c>
      <c r="E6" s="31">
        <v>6</v>
      </c>
      <c r="F6" s="39">
        <f>IF(COUNT(C6:E6)=0,0,SUMPRODUCT({5000,1000,500},C6:E6))</f>
        <v>217000</v>
      </c>
      <c r="G6" s="31"/>
      <c r="H6" s="31"/>
      <c r="I6" s="31"/>
      <c r="J6" s="39">
        <f>IF(COUNT(G6:I6)=0,0,SUMPRODUCT({5000,1000,500},G6:I6))</f>
        <v>0</v>
      </c>
      <c r="K6" s="31"/>
      <c r="L6" s="31"/>
      <c r="M6" s="31"/>
      <c r="N6" s="39">
        <f>IF(COUNT(K6:M6)=0,0,SUMPRODUCT({5000,1000,500},K6:M6))</f>
        <v>0</v>
      </c>
      <c r="O6" s="31"/>
      <c r="P6" s="31"/>
      <c r="Q6" s="31"/>
      <c r="R6" s="39">
        <f>IF(COUNT(O6:Q6)=0,0,SUMPRODUCT({5000,1000,500},O6:Q6))</f>
        <v>0</v>
      </c>
      <c r="S6" s="31"/>
      <c r="T6" s="31"/>
      <c r="U6" s="31"/>
      <c r="V6" s="31">
        <v>1</v>
      </c>
      <c r="W6" s="31"/>
      <c r="X6" s="31">
        <v>24</v>
      </c>
      <c r="Y6" s="31"/>
      <c r="Z6" s="31">
        <v>29</v>
      </c>
      <c r="AA6" s="31"/>
      <c r="AB6" s="31"/>
      <c r="AC6" s="31"/>
      <c r="AD6" s="34">
        <f>IF(COUNT(S6:AC6)=0,0,SUMPRODUCT({5000,1000,500,100,75,50,20,10,5,2,1}, S6:AC6))</f>
        <v>1590</v>
      </c>
      <c r="AE6" s="33">
        <v>218514</v>
      </c>
      <c r="AF6" s="24">
        <f>IF(AND(COUNT(C6:E6)=0,COUNT(G6:I6)=0,COUNT(K6:M6)=0,COUNT(O6:Q6)=0,COUNT(S6:AC6)=0,AE6=""),"",(IF(COUNT(C6:E6)=0,0,SUMPRODUCT({5000,1000,500},C6:E6))+IF(COUNT(G6:I6)=0,0,SUMPRODUCT({5000,1000,500},G6:I6))+IF(COUNT(K6:M6)=0,0,SUMPRODUCT({5000,1000,500},K6:M6))+IF(COUNT(O6:Q6)=0,0,SUMPRODUCT({5000,1000,500},O6:Q6))+AD6)-N(AE6))</f>
        <v>76</v>
      </c>
      <c r="AG6" s="35" t="str">
        <f t="shared" si="0"/>
        <v>Excess</v>
      </c>
      <c r="AH6" s="38"/>
      <c r="AI6" s="36">
        <f>156969+56573</f>
        <v>213542</v>
      </c>
      <c r="AJ6" s="37">
        <f>56573+106528+50440+1</f>
        <v>213542</v>
      </c>
      <c r="AK6" s="26">
        <f t="shared" si="1"/>
        <v>0</v>
      </c>
      <c r="AL6" s="25" t="str">
        <f t="shared" si="2"/>
        <v>Matched</v>
      </c>
      <c r="AM6" s="38"/>
    </row>
    <row r="7" spans="1:39" ht="12.75" customHeight="1" x14ac:dyDescent="0.25">
      <c r="A7" s="31">
        <v>77423</v>
      </c>
      <c r="B7" s="32" t="str">
        <f>IF(A7="","",VLOOKUP(A7,'Employee Database'!A:B,2,FALSE))</f>
        <v>Shoaib Akhtar</v>
      </c>
      <c r="C7" s="31">
        <v>13</v>
      </c>
      <c r="D7" s="31">
        <v>23</v>
      </c>
      <c r="E7" s="31">
        <v>12</v>
      </c>
      <c r="F7" s="39">
        <f>IF(COUNT(C7:E7)=0,0,SUMPRODUCT({5000,1000,500},C7:E7))</f>
        <v>94000</v>
      </c>
      <c r="G7" s="31"/>
      <c r="H7" s="31"/>
      <c r="I7" s="31"/>
      <c r="J7" s="39">
        <f>IF(COUNT(G7:I7)=0,0,SUMPRODUCT({5000,1000,500},G7:I7))</f>
        <v>0</v>
      </c>
      <c r="K7" s="31"/>
      <c r="L7" s="31"/>
      <c r="M7" s="31"/>
      <c r="N7" s="39">
        <f>IF(COUNT(K7:M7)=0,0,SUMPRODUCT({5000,1000,500},K7:M7))</f>
        <v>0</v>
      </c>
      <c r="O7" s="31"/>
      <c r="P7" s="31"/>
      <c r="Q7" s="31"/>
      <c r="R7" s="39">
        <f>IF(COUNT(O7:Q7)=0,0,SUMPRODUCT({5000,1000,500},O7:Q7))</f>
        <v>0</v>
      </c>
      <c r="S7" s="31"/>
      <c r="T7" s="31"/>
      <c r="U7" s="31">
        <v>1</v>
      </c>
      <c r="V7" s="31"/>
      <c r="W7" s="31"/>
      <c r="X7" s="31">
        <v>15</v>
      </c>
      <c r="Y7" s="31"/>
      <c r="Z7" s="31">
        <v>76</v>
      </c>
      <c r="AA7" s="31"/>
      <c r="AB7" s="31"/>
      <c r="AC7" s="31"/>
      <c r="AD7" s="34">
        <f>IF(COUNT(S7:AC7)=0,0,SUMPRODUCT({5000,1000,500,100,75,50,20,10,5,2,1}, S7:AC7))</f>
        <v>2010</v>
      </c>
      <c r="AE7" s="33">
        <v>95947</v>
      </c>
      <c r="AF7" s="24">
        <f>IF(AND(COUNT(C7:E7)=0,COUNT(G7:I7)=0,COUNT(K7:M7)=0,COUNT(O7:Q7)=0,COUNT(S7:AC7)=0,AE7=""),"",(IF(COUNT(C7:E7)=0,0,SUMPRODUCT({5000,1000,500},C7:E7))+IF(COUNT(G7:I7)=0,0,SUMPRODUCT({5000,1000,500},G7:I7))+IF(COUNT(K7:M7)=0,0,SUMPRODUCT({5000,1000,500},K7:M7))+IF(COUNT(O7:Q7)=0,0,SUMPRODUCT({5000,1000,500},O7:Q7))+AD7)-N(AE7))</f>
        <v>63</v>
      </c>
      <c r="AG7" s="35" t="str">
        <f t="shared" si="0"/>
        <v>Excess</v>
      </c>
      <c r="AH7" s="38"/>
      <c r="AI7" s="36">
        <v>174263</v>
      </c>
      <c r="AJ7" s="37">
        <f>90927+83336</f>
        <v>174263</v>
      </c>
      <c r="AK7" s="26">
        <f t="shared" si="1"/>
        <v>0</v>
      </c>
      <c r="AL7" s="25" t="str">
        <f t="shared" si="2"/>
        <v>Matched</v>
      </c>
      <c r="AM7" s="38"/>
    </row>
    <row r="8" spans="1:39" ht="12.75" customHeight="1" x14ac:dyDescent="0.25">
      <c r="A8" s="31">
        <v>72873</v>
      </c>
      <c r="B8" s="32" t="str">
        <f>IF(A8="","",VLOOKUP(A8,'Employee Database'!A:B,2,FALSE))</f>
        <v>M Shajee</v>
      </c>
      <c r="C8" s="31">
        <f>25+20</f>
        <v>45</v>
      </c>
      <c r="D8" s="31">
        <f>50+65</f>
        <v>115</v>
      </c>
      <c r="E8" s="31">
        <v>7</v>
      </c>
      <c r="F8" s="39">
        <f>IF(COUNT(C8:E8)=0,0,SUMPRODUCT({5000,1000,500},C8:E8))</f>
        <v>343500</v>
      </c>
      <c r="G8" s="31"/>
      <c r="H8" s="31"/>
      <c r="I8" s="31"/>
      <c r="J8" s="39">
        <f>IF(COUNT(G8:I8)=0,0,SUMPRODUCT({5000,1000,500},G8:I8))</f>
        <v>0</v>
      </c>
      <c r="K8" s="31"/>
      <c r="L8" s="31"/>
      <c r="M8" s="31"/>
      <c r="N8" s="39">
        <f>IF(COUNT(K8:M8)=0,0,SUMPRODUCT({5000,1000,500},K8:M8))</f>
        <v>0</v>
      </c>
      <c r="O8" s="31"/>
      <c r="P8" s="31"/>
      <c r="Q8" s="31"/>
      <c r="R8" s="39">
        <f>IF(COUNT(O8:Q8)=0,0,SUMPRODUCT({5000,1000,500},O8:Q8))</f>
        <v>0</v>
      </c>
      <c r="S8" s="31"/>
      <c r="T8" s="31"/>
      <c r="U8" s="31"/>
      <c r="V8" s="31"/>
      <c r="W8" s="31"/>
      <c r="X8" s="31">
        <v>7</v>
      </c>
      <c r="Y8" s="31"/>
      <c r="Z8" s="31">
        <v>11</v>
      </c>
      <c r="AA8" s="31"/>
      <c r="AB8" s="31"/>
      <c r="AC8" s="31"/>
      <c r="AD8" s="34">
        <f>IF(COUNT(S8:AC8)=0,0,SUMPRODUCT({5000,1000,500,100,75,50,20,10,5,2,1}, S8:AC8))</f>
        <v>460</v>
      </c>
      <c r="AE8" s="33">
        <v>343875</v>
      </c>
      <c r="AF8" s="24">
        <f>IF(AND(COUNT(C8:E8)=0,COUNT(G8:I8)=0,COUNT(K8:M8)=0,COUNT(O8:Q8)=0,COUNT(S8:AC8)=0,AE8=""),"",(IF(COUNT(C8:E8)=0,0,SUMPRODUCT({5000,1000,500},C8:E8))+IF(COUNT(G8:I8)=0,0,SUMPRODUCT({5000,1000,500},G8:I8))+IF(COUNT(K8:M8)=0,0,SUMPRODUCT({5000,1000,500},K8:M8))+IF(COUNT(O8:Q8)=0,0,SUMPRODUCT({5000,1000,500},O8:Q8))+AD8)-N(AE8))</f>
        <v>85</v>
      </c>
      <c r="AG8" s="35" t="str">
        <f t="shared" si="0"/>
        <v>Excess</v>
      </c>
      <c r="AH8" s="38"/>
      <c r="AI8" s="36">
        <v>767854</v>
      </c>
      <c r="AJ8" s="37">
        <f>290414+477439+1</f>
        <v>767854</v>
      </c>
      <c r="AK8" s="26">
        <f t="shared" si="1"/>
        <v>0</v>
      </c>
      <c r="AL8" s="25" t="str">
        <f t="shared" si="2"/>
        <v>Matched</v>
      </c>
      <c r="AM8" s="38"/>
    </row>
    <row r="9" spans="1:39" ht="12.75" customHeight="1" x14ac:dyDescent="0.25">
      <c r="A9" s="31">
        <v>58112</v>
      </c>
      <c r="B9" s="32" t="str">
        <f>IF(A9="","",VLOOKUP(A9,'Employee Database'!A:B,2,FALSE))</f>
        <v>Shama</v>
      </c>
      <c r="C9" s="31">
        <v>28</v>
      </c>
      <c r="D9" s="31">
        <v>117</v>
      </c>
      <c r="E9" s="31">
        <v>24</v>
      </c>
      <c r="F9" s="39">
        <f>IF(COUNT(C9:E9)=0,0,SUMPRODUCT({5000,1000,500},C9:E9))</f>
        <v>269000</v>
      </c>
      <c r="G9" s="31"/>
      <c r="H9" s="31"/>
      <c r="I9" s="31"/>
      <c r="J9" s="39">
        <f>IF(COUNT(G9:I9)=0,0,SUMPRODUCT({5000,1000,500},G9:I9))</f>
        <v>0</v>
      </c>
      <c r="K9" s="31"/>
      <c r="L9" s="31"/>
      <c r="M9" s="31"/>
      <c r="N9" s="39">
        <f>IF(COUNT(K9:M9)=0,0,SUMPRODUCT({5000,1000,500},K9:M9))</f>
        <v>0</v>
      </c>
      <c r="O9" s="31"/>
      <c r="P9" s="31"/>
      <c r="Q9" s="31"/>
      <c r="R9" s="39">
        <f>IF(COUNT(O9:Q9)=0,0,SUMPRODUCT({5000,1000,500},O9:Q9))</f>
        <v>0</v>
      </c>
      <c r="S9" s="31"/>
      <c r="T9" s="31"/>
      <c r="U9" s="31"/>
      <c r="V9" s="31">
        <v>1</v>
      </c>
      <c r="W9" s="31"/>
      <c r="X9" s="31">
        <v>2</v>
      </c>
      <c r="Y9" s="31"/>
      <c r="Z9" s="31">
        <v>18</v>
      </c>
      <c r="AA9" s="31"/>
      <c r="AB9" s="31"/>
      <c r="AC9" s="31"/>
      <c r="AD9" s="34">
        <f>IF(COUNT(S9:AC9)=0,0,SUMPRODUCT({5000,1000,500,100,75,50,20,10,5,2,1}, S9:AC9))</f>
        <v>380</v>
      </c>
      <c r="AE9" s="33">
        <v>269318</v>
      </c>
      <c r="AF9" s="24">
        <f>IF(AND(COUNT(C9:E9)=0,COUNT(G9:I9)=0,COUNT(K9:M9)=0,COUNT(O9:Q9)=0,COUNT(S9:AC9)=0,AE9=""),"",(IF(COUNT(C9:E9)=0,0,SUMPRODUCT({5000,1000,500},C9:E9))+IF(COUNT(G9:I9)=0,0,SUMPRODUCT({5000,1000,500},G9:I9))+IF(COUNT(K9:M9)=0,0,SUMPRODUCT({5000,1000,500},K9:M9))+IF(COUNT(O9:Q9)=0,0,SUMPRODUCT({5000,1000,500},O9:Q9))+AD9)-N(AE9))</f>
        <v>62</v>
      </c>
      <c r="AG9" s="35" t="str">
        <f t="shared" si="0"/>
        <v>Excess</v>
      </c>
      <c r="AH9" s="38"/>
      <c r="AI9" s="36">
        <v>283719</v>
      </c>
      <c r="AJ9" s="37">
        <f>142679+141039+1</f>
        <v>283719</v>
      </c>
      <c r="AK9" s="26">
        <f t="shared" si="1"/>
        <v>0</v>
      </c>
      <c r="AL9" s="25" t="str">
        <f t="shared" si="2"/>
        <v>Matched</v>
      </c>
      <c r="AM9" s="38"/>
    </row>
    <row r="10" spans="1:39" ht="12.75" customHeight="1" x14ac:dyDescent="0.25">
      <c r="A10" s="31">
        <v>63854</v>
      </c>
      <c r="B10" s="32" t="str">
        <f>IF(A10="","",VLOOKUP(A10,'Employee Database'!A:B,2,FALSE))</f>
        <v>Maham</v>
      </c>
      <c r="C10" s="31">
        <v>34</v>
      </c>
      <c r="D10" s="31">
        <v>114</v>
      </c>
      <c r="E10" s="31">
        <v>9</v>
      </c>
      <c r="F10" s="39">
        <f>IF(COUNT(C10:E10)=0,0,SUMPRODUCT({5000,1000,500},C10:E10))</f>
        <v>288500</v>
      </c>
      <c r="G10" s="31"/>
      <c r="H10" s="31"/>
      <c r="I10" s="31"/>
      <c r="J10" s="39">
        <f>IF(COUNT(G10:I10)=0,0,SUMPRODUCT({5000,1000,500},G10:I10))</f>
        <v>0</v>
      </c>
      <c r="K10" s="31"/>
      <c r="L10" s="31"/>
      <c r="M10" s="31"/>
      <c r="N10" s="39">
        <f>IF(COUNT(K10:M10)=0,0,SUMPRODUCT({5000,1000,500},K10:M10))</f>
        <v>0</v>
      </c>
      <c r="O10" s="31"/>
      <c r="P10" s="31"/>
      <c r="Q10" s="31"/>
      <c r="R10" s="39">
        <f>IF(COUNT(O10:Q10)=0,0,SUMPRODUCT({5000,1000,500},O10:Q10))</f>
        <v>0</v>
      </c>
      <c r="S10" s="31"/>
      <c r="T10" s="31"/>
      <c r="U10" s="31"/>
      <c r="V10" s="31"/>
      <c r="W10" s="31"/>
      <c r="X10" s="31">
        <v>3</v>
      </c>
      <c r="Y10" s="31"/>
      <c r="Z10" s="31">
        <v>18</v>
      </c>
      <c r="AA10" s="31"/>
      <c r="AB10" s="31"/>
      <c r="AC10" s="31"/>
      <c r="AD10" s="34">
        <f>IF(COUNT(S10:AC10)=0,0,SUMPRODUCT({5000,1000,500,100,75,50,20,10,5,2,1}, S10:AC10))</f>
        <v>330</v>
      </c>
      <c r="AE10" s="33">
        <v>288789</v>
      </c>
      <c r="AF10" s="24">
        <f>IF(AND(COUNT(C10:E10)=0,COUNT(G10:I10)=0,COUNT(K10:M10)=0,COUNT(O10:Q10)=0,COUNT(S10:AC10)=0,AE10=""),"",(IF(COUNT(C10:E10)=0,0,SUMPRODUCT({5000,1000,500},C10:E10))+IF(COUNT(G10:I10)=0,0,SUMPRODUCT({5000,1000,500},G10:I10))+IF(COUNT(K10:M10)=0,0,SUMPRODUCT({5000,1000,500},K10:M10))+IF(COUNT(O10:Q10)=0,0,SUMPRODUCT({5000,1000,500},O10:Q10))+AD10)-N(AE10))</f>
        <v>41</v>
      </c>
      <c r="AG10" s="35" t="str">
        <f t="shared" si="0"/>
        <v>Excess</v>
      </c>
      <c r="AH10" s="38"/>
      <c r="AI10" s="36">
        <v>587007</v>
      </c>
      <c r="AJ10" s="37">
        <f>279924+307083</f>
        <v>587007</v>
      </c>
      <c r="AK10" s="26">
        <f t="shared" si="1"/>
        <v>0</v>
      </c>
      <c r="AL10" s="25" t="str">
        <f t="shared" si="2"/>
        <v>Matched</v>
      </c>
      <c r="AM10" s="38"/>
    </row>
    <row r="11" spans="1:39" ht="12.75" customHeight="1" x14ac:dyDescent="0.25">
      <c r="A11" s="31">
        <v>59257</v>
      </c>
      <c r="B11" s="32" t="str">
        <f>IF(A11="","",VLOOKUP(A11,'Employee Database'!A:B,2,FALSE))</f>
        <v>Saddiqa Maryam</v>
      </c>
      <c r="C11" s="31">
        <v>46</v>
      </c>
      <c r="D11" s="31">
        <v>91</v>
      </c>
      <c r="E11" s="31">
        <v>10</v>
      </c>
      <c r="F11" s="39">
        <f>IF(COUNT(C11:E11)=0,0,SUMPRODUCT({5000,1000,500},C11:E11))</f>
        <v>326000</v>
      </c>
      <c r="G11" s="31"/>
      <c r="H11" s="31"/>
      <c r="I11" s="31"/>
      <c r="J11" s="39">
        <f>IF(COUNT(G11:I11)=0,0,SUMPRODUCT({5000,1000,500},G11:I11))</f>
        <v>0</v>
      </c>
      <c r="K11" s="31"/>
      <c r="L11" s="31"/>
      <c r="M11" s="31"/>
      <c r="N11" s="39">
        <f>IF(COUNT(K11:M11)=0,0,SUMPRODUCT({5000,1000,500},K11:M11))</f>
        <v>0</v>
      </c>
      <c r="O11" s="31"/>
      <c r="P11" s="31"/>
      <c r="Q11" s="31"/>
      <c r="R11" s="39">
        <f>IF(COUNT(O11:Q11)=0,0,SUMPRODUCT({5000,1000,500},O11:Q11))</f>
        <v>0</v>
      </c>
      <c r="S11" s="31"/>
      <c r="T11" s="31"/>
      <c r="U11" s="31"/>
      <c r="V11" s="31">
        <v>1</v>
      </c>
      <c r="W11" s="31"/>
      <c r="X11" s="31">
        <v>2</v>
      </c>
      <c r="Y11" s="31"/>
      <c r="Z11" s="31">
        <v>24</v>
      </c>
      <c r="AA11" s="31"/>
      <c r="AB11" s="31"/>
      <c r="AC11" s="31"/>
      <c r="AD11" s="34">
        <f>IF(COUNT(S11:AC11)=0,0,SUMPRODUCT({5000,1000,500,100,75,50,20,10,5,2,1}, S11:AC11))</f>
        <v>440</v>
      </c>
      <c r="AE11" s="33">
        <v>326435</v>
      </c>
      <c r="AF11" s="24">
        <f>IF(AND(COUNT(C11:E11)=0,COUNT(G11:I11)=0,COUNT(K11:M11)=0,COUNT(O11:Q11)=0,COUNT(S11:AC11)=0,AE11=""),"",(IF(COUNT(C11:E11)=0,0,SUMPRODUCT({5000,1000,500},C11:E11))+IF(COUNT(G11:I11)=0,0,SUMPRODUCT({5000,1000,500},G11:I11))+IF(COUNT(K11:M11)=0,0,SUMPRODUCT({5000,1000,500},K11:M11))+IF(COUNT(O11:Q11)=0,0,SUMPRODUCT({5000,1000,500},O11:Q11))+AD11)-N(AE11))</f>
        <v>5</v>
      </c>
      <c r="AG11" s="35" t="str">
        <f t="shared" si="0"/>
        <v>Excess</v>
      </c>
      <c r="AH11" s="38"/>
      <c r="AI11" s="36">
        <v>500297</v>
      </c>
      <c r="AJ11" s="37">
        <f>291657+208639+1</f>
        <v>500297</v>
      </c>
      <c r="AK11" s="26">
        <f t="shared" si="1"/>
        <v>0</v>
      </c>
      <c r="AL11" s="25" t="str">
        <f t="shared" si="2"/>
        <v>Matched</v>
      </c>
      <c r="AM11" s="38"/>
    </row>
    <row r="12" spans="1:39" ht="12.75" customHeight="1" x14ac:dyDescent="0.25">
      <c r="A12" s="31">
        <v>61648</v>
      </c>
      <c r="B12" s="32" t="str">
        <f>IF(A12="","",VLOOKUP(A12,'Employee Database'!A:B,2,FALSE))</f>
        <v>Rizwan</v>
      </c>
      <c r="C12" s="31"/>
      <c r="D12" s="31"/>
      <c r="E12" s="31"/>
      <c r="F12" s="39">
        <f>IF(COUNT(C12:E12)=0,0,SUMPRODUCT({5000,1000,500},C12:E12))</f>
        <v>0</v>
      </c>
      <c r="G12" s="31">
        <v>15</v>
      </c>
      <c r="H12" s="31">
        <v>35</v>
      </c>
      <c r="I12" s="31">
        <v>0</v>
      </c>
      <c r="J12" s="39">
        <f>IF(COUNT(G12:I12)=0,0,SUMPRODUCT({5000,1000,500},G12:I12))</f>
        <v>110000</v>
      </c>
      <c r="K12" s="31"/>
      <c r="L12" s="31"/>
      <c r="M12" s="31"/>
      <c r="N12" s="39">
        <f>IF(COUNT(K12:M12)=0,0,SUMPRODUCT({5000,1000,500},K12:M12))</f>
        <v>0</v>
      </c>
      <c r="O12" s="31"/>
      <c r="P12" s="31"/>
      <c r="Q12" s="31"/>
      <c r="R12" s="39">
        <f>IF(COUNT(O12:Q12)=0,0,SUMPRODUCT({5000,1000,500},O12:Q12))</f>
        <v>0</v>
      </c>
      <c r="S12" s="31">
        <v>2</v>
      </c>
      <c r="T12" s="31">
        <v>28</v>
      </c>
      <c r="U12" s="31">
        <v>9</v>
      </c>
      <c r="V12" s="31">
        <v>2</v>
      </c>
      <c r="W12" s="31"/>
      <c r="X12" s="31">
        <v>92</v>
      </c>
      <c r="Y12" s="31"/>
      <c r="Z12" s="31">
        <v>60</v>
      </c>
      <c r="AA12" s="31"/>
      <c r="AB12" s="31"/>
      <c r="AC12" s="31"/>
      <c r="AD12" s="34">
        <f>IF(COUNT(S12:AC12)=0,0,SUMPRODUCT({5000,1000,500,100,75,50,20,10,5,2,1}, S12:AC12))</f>
        <v>47900</v>
      </c>
      <c r="AE12" s="33">
        <v>157808</v>
      </c>
      <c r="AF12" s="24">
        <f>IF(AND(COUNT(C12:E12)=0,COUNT(G12:I12)=0,COUNT(K12:M12)=0,COUNT(O12:Q12)=0,COUNT(S12:AC12)=0,AE12=""),"",(IF(COUNT(C12:E12)=0,0,SUMPRODUCT({5000,1000,500},C12:E12))+IF(COUNT(G12:I12)=0,0,SUMPRODUCT({5000,1000,500},G12:I12))+IF(COUNT(K12:M12)=0,0,SUMPRODUCT({5000,1000,500},K12:M12))+IF(COUNT(O12:Q12)=0,0,SUMPRODUCT({5000,1000,500},O12:Q12))+AD12)-N(AE12))</f>
        <v>92</v>
      </c>
      <c r="AG12" s="35" t="str">
        <f t="shared" si="0"/>
        <v>Excess</v>
      </c>
      <c r="AH12" s="38"/>
      <c r="AI12" s="36">
        <v>785874.13</v>
      </c>
      <c r="AJ12" s="37">
        <f>463581.89+229961.08+92331.16</f>
        <v>785874.13</v>
      </c>
      <c r="AK12" s="26">
        <f t="shared" si="1"/>
        <v>0</v>
      </c>
      <c r="AL12" s="25" t="str">
        <f t="shared" si="2"/>
        <v>Matched</v>
      </c>
      <c r="AM12" s="38"/>
    </row>
    <row r="13" spans="1:39" ht="12.75" customHeight="1" x14ac:dyDescent="0.25">
      <c r="A13" s="31">
        <v>67799</v>
      </c>
      <c r="B13" s="32" t="str">
        <f>IF(A13="","",VLOOKUP(A13,'Employee Database'!A:B,2,FALSE))</f>
        <v>Hassan Raza</v>
      </c>
      <c r="C13" s="31"/>
      <c r="D13" s="31"/>
      <c r="E13" s="31"/>
      <c r="F13" s="39">
        <f>IF(COUNT(C13:E13)=0,0,SUMPRODUCT({5000,1000,500},C13:E13))</f>
        <v>0</v>
      </c>
      <c r="G13" s="31">
        <v>29</v>
      </c>
      <c r="H13" s="31">
        <v>90</v>
      </c>
      <c r="I13" s="31">
        <v>0</v>
      </c>
      <c r="J13" s="39">
        <f>IF(COUNT(G13:I13)=0,0,SUMPRODUCT({5000,1000,500},G13:I13))</f>
        <v>235000</v>
      </c>
      <c r="K13" s="31"/>
      <c r="L13" s="31"/>
      <c r="M13" s="31"/>
      <c r="N13" s="39">
        <f>IF(COUNT(K13:M13)=0,0,SUMPRODUCT({5000,1000,500},K13:M13))</f>
        <v>0</v>
      </c>
      <c r="O13" s="31"/>
      <c r="P13" s="31"/>
      <c r="Q13" s="31"/>
      <c r="R13" s="39">
        <f>IF(COUNT(O13:Q13)=0,0,SUMPRODUCT({5000,1000,500},O13:Q13))</f>
        <v>0</v>
      </c>
      <c r="S13" s="31">
        <v>6</v>
      </c>
      <c r="T13" s="31">
        <v>6</v>
      </c>
      <c r="U13" s="31">
        <v>18</v>
      </c>
      <c r="V13" s="31"/>
      <c r="W13" s="31"/>
      <c r="X13" s="31">
        <v>72</v>
      </c>
      <c r="Y13" s="31">
        <v>2</v>
      </c>
      <c r="Z13" s="31">
        <v>88</v>
      </c>
      <c r="AA13" s="31"/>
      <c r="AB13" s="31"/>
      <c r="AC13" s="31"/>
      <c r="AD13" s="34">
        <f>IF(COUNT(S13:AC13)=0,0,SUMPRODUCT({5000,1000,500,100,75,50,20,10,5,2,1}, S13:AC13))</f>
        <v>49520</v>
      </c>
      <c r="AE13" s="33">
        <v>284581</v>
      </c>
      <c r="AF13" s="24">
        <f>IF(AND(COUNT(C13:E13)=0,COUNT(G13:I13)=0,COUNT(K13:M13)=0,COUNT(O13:Q13)=0,COUNT(S13:AC13)=0,AE13=""),"",(IF(COUNT(C13:E13)=0,0,SUMPRODUCT({5000,1000,500},C13:E13))+IF(COUNT(G13:I13)=0,0,SUMPRODUCT({5000,1000,500},G13:I13))+IF(COUNT(K13:M13)=0,0,SUMPRODUCT({5000,1000,500},K13:M13))+IF(COUNT(O13:Q13)=0,0,SUMPRODUCT({5000,1000,500},O13:Q13))+AD13)-N(AE13))</f>
        <v>-61</v>
      </c>
      <c r="AG13" s="35" t="str">
        <f t="shared" si="0"/>
        <v>Short</v>
      </c>
      <c r="AH13" s="38"/>
      <c r="AI13" s="36">
        <f>284142.13+204272.87</f>
        <v>488415</v>
      </c>
      <c r="AJ13" s="37">
        <f>204272.87+284142.13</f>
        <v>488415</v>
      </c>
      <c r="AK13" s="26">
        <f t="shared" si="1"/>
        <v>0</v>
      </c>
      <c r="AL13" s="25" t="str">
        <f t="shared" si="2"/>
        <v>Matched</v>
      </c>
      <c r="AM13" s="38"/>
    </row>
    <row r="14" spans="1:39" ht="12.75" customHeight="1" x14ac:dyDescent="0.25">
      <c r="A14" s="31">
        <v>50134</v>
      </c>
      <c r="B14" s="32" t="str">
        <f>IF(A14="","",VLOOKUP(A14,'Employee Database'!A:B,2,FALSE))</f>
        <v>Asif Abbas</v>
      </c>
      <c r="C14" s="31"/>
      <c r="D14" s="31"/>
      <c r="E14" s="31"/>
      <c r="F14" s="39">
        <f>IF(COUNT(C14:E14)=0,0,SUMPRODUCT({5000,1000,500},C14:E14))</f>
        <v>0</v>
      </c>
      <c r="G14" s="31">
        <v>33</v>
      </c>
      <c r="H14" s="31">
        <v>90</v>
      </c>
      <c r="I14" s="31">
        <v>0</v>
      </c>
      <c r="J14" s="39">
        <f>IF(COUNT(G14:I14)=0,0,SUMPRODUCT({5000,1000,500},G14:I14))</f>
        <v>255000</v>
      </c>
      <c r="K14" s="31"/>
      <c r="L14" s="31"/>
      <c r="M14" s="31"/>
      <c r="N14" s="39">
        <f>IF(COUNT(K14:M14)=0,0,SUMPRODUCT({5000,1000,500},K14:M14))</f>
        <v>0</v>
      </c>
      <c r="O14" s="31"/>
      <c r="P14" s="31"/>
      <c r="Q14" s="31"/>
      <c r="R14" s="39">
        <f>IF(COUNT(O14:Q14)=0,0,SUMPRODUCT({5000,1000,500},O14:Q14))</f>
        <v>0</v>
      </c>
      <c r="S14" s="31">
        <v>2</v>
      </c>
      <c r="T14" s="31">
        <v>7</v>
      </c>
      <c r="U14" s="31">
        <v>1</v>
      </c>
      <c r="V14" s="31">
        <v>1</v>
      </c>
      <c r="W14" s="31"/>
      <c r="X14" s="31">
        <v>11</v>
      </c>
      <c r="Y14" s="31"/>
      <c r="Z14" s="31">
        <v>38</v>
      </c>
      <c r="AA14" s="31"/>
      <c r="AB14" s="31"/>
      <c r="AC14" s="31"/>
      <c r="AD14" s="34">
        <f>IF(COUNT(S14:AC14)=0,0,SUMPRODUCT({5000,1000,500,100,75,50,20,10,5,2,1}, S14:AC14))</f>
        <v>18530</v>
      </c>
      <c r="AE14" s="33">
        <v>273420</v>
      </c>
      <c r="AF14" s="24">
        <f>IF(AND(COUNT(C14:E14)=0,COUNT(G14:I14)=0,COUNT(K14:M14)=0,COUNT(O14:Q14)=0,COUNT(S14:AC14)=0,AE14=""),"",(IF(COUNT(C14:E14)=0,0,SUMPRODUCT({5000,1000,500},C14:E14))+IF(COUNT(G14:I14)=0,0,SUMPRODUCT({5000,1000,500},G14:I14))+IF(COUNT(K14:M14)=0,0,SUMPRODUCT({5000,1000,500},K14:M14))+IF(COUNT(O14:Q14)=0,0,SUMPRODUCT({5000,1000,500},O14:Q14))+AD14)-N(AE14))</f>
        <v>110</v>
      </c>
      <c r="AG14" s="35" t="str">
        <f t="shared" si="0"/>
        <v>Excess</v>
      </c>
      <c r="AH14" s="38"/>
      <c r="AI14" s="36">
        <f>656408.06+90445.11</f>
        <v>746853.17</v>
      </c>
      <c r="AJ14" s="37">
        <f>333324.94+90445.11+323083.12</f>
        <v>746853.16999999993</v>
      </c>
      <c r="AK14" s="26">
        <f t="shared" si="1"/>
        <v>1.1641532182693481E-10</v>
      </c>
      <c r="AL14" s="25" t="str">
        <f t="shared" si="2"/>
        <v>POS Excess</v>
      </c>
      <c r="AM14" s="38"/>
    </row>
    <row r="15" spans="1:39" ht="12.75" customHeight="1" x14ac:dyDescent="0.25">
      <c r="A15" s="31">
        <v>79593</v>
      </c>
      <c r="B15" s="32" t="str">
        <f>IF(A15="","",VLOOKUP(A15,'Employee Database'!A:B,2,FALSE))</f>
        <v>Amir</v>
      </c>
      <c r="C15" s="31"/>
      <c r="D15" s="31"/>
      <c r="E15" s="31"/>
      <c r="F15" s="39">
        <f>IF(COUNT(C15:E15)=0,0,SUMPRODUCT({5000,1000,500},C15:E15))</f>
        <v>0</v>
      </c>
      <c r="G15" s="31">
        <v>23</v>
      </c>
      <c r="H15" s="31">
        <v>15</v>
      </c>
      <c r="I15" s="31">
        <v>0</v>
      </c>
      <c r="J15" s="39">
        <f>IF(COUNT(G15:I15)=0,0,SUMPRODUCT({5000,1000,500},G15:I15))</f>
        <v>130000</v>
      </c>
      <c r="K15" s="31"/>
      <c r="L15" s="31"/>
      <c r="M15" s="31"/>
      <c r="N15" s="39">
        <f>IF(COUNT(K15:M15)=0,0,SUMPRODUCT({5000,1000,500},K15:M15))</f>
        <v>0</v>
      </c>
      <c r="O15" s="31"/>
      <c r="P15" s="31"/>
      <c r="Q15" s="31"/>
      <c r="R15" s="39">
        <f>IF(COUNT(O15:Q15)=0,0,SUMPRODUCT({5000,1000,500},O15:Q15))</f>
        <v>0</v>
      </c>
      <c r="S15" s="31">
        <v>1</v>
      </c>
      <c r="T15" s="31">
        <v>18</v>
      </c>
      <c r="U15" s="31">
        <v>2</v>
      </c>
      <c r="V15" s="31">
        <v>3</v>
      </c>
      <c r="W15" s="31"/>
      <c r="X15" s="31">
        <v>51</v>
      </c>
      <c r="Y15" s="31">
        <v>1</v>
      </c>
      <c r="Z15" s="31">
        <v>81</v>
      </c>
      <c r="AA15" s="31"/>
      <c r="AB15" s="31"/>
      <c r="AC15" s="31"/>
      <c r="AD15" s="34">
        <f>IF(COUNT(S15:AC15)=0,0,SUMPRODUCT({5000,1000,500,100,75,50,20,10,5,2,1}, S15:AC15))</f>
        <v>27680</v>
      </c>
      <c r="AE15" s="33">
        <v>157649.82</v>
      </c>
      <c r="AF15" s="24">
        <f>IF(AND(COUNT(C15:E15)=0,COUNT(G15:I15)=0,COUNT(K15:M15)=0,COUNT(O15:Q15)=0,COUNT(S15:AC15)=0,AE15=""),"",(IF(COUNT(C15:E15)=0,0,SUMPRODUCT({5000,1000,500},C15:E15))+IF(COUNT(G15:I15)=0,0,SUMPRODUCT({5000,1000,500},G15:I15))+IF(COUNT(K15:M15)=0,0,SUMPRODUCT({5000,1000,500},K15:M15))+IF(COUNT(O15:Q15)=0,0,SUMPRODUCT({5000,1000,500},O15:Q15))+AD15)-N(AE15))</f>
        <v>30.179999999993015</v>
      </c>
      <c r="AG15" s="35" t="str">
        <f t="shared" si="0"/>
        <v>Excess</v>
      </c>
      <c r="AH15" s="38"/>
      <c r="AI15" s="36">
        <f>508718.27+85767.48</f>
        <v>594485.75</v>
      </c>
      <c r="AJ15" s="37">
        <f>85767.48+508718.27</f>
        <v>594485.75</v>
      </c>
      <c r="AK15" s="26">
        <f t="shared" si="1"/>
        <v>0</v>
      </c>
      <c r="AL15" s="25" t="str">
        <f t="shared" si="2"/>
        <v>Matched</v>
      </c>
      <c r="AM15" s="38"/>
    </row>
    <row r="16" spans="1:39" ht="12.75" customHeight="1" x14ac:dyDescent="0.25">
      <c r="A16" s="31">
        <v>68475</v>
      </c>
      <c r="B16" s="32" t="str">
        <f>IF(A16="","",VLOOKUP(A16,'Employee Database'!A:B,2,FALSE))</f>
        <v>M Azeem</v>
      </c>
      <c r="C16" s="31"/>
      <c r="D16" s="31"/>
      <c r="E16" s="31"/>
      <c r="F16" s="39">
        <f>IF(COUNT(C16:E16)=0,0,SUMPRODUCT({5000,1000,500},C16:E16))</f>
        <v>0</v>
      </c>
      <c r="G16" s="31">
        <v>12</v>
      </c>
      <c r="H16" s="31">
        <v>43</v>
      </c>
      <c r="I16" s="31">
        <v>34</v>
      </c>
      <c r="J16" s="39">
        <f>IF(COUNT(G16:I16)=0,0,SUMPRODUCT({5000,1000,500},G16:I16))</f>
        <v>120000</v>
      </c>
      <c r="K16" s="31"/>
      <c r="L16" s="31"/>
      <c r="M16" s="31"/>
      <c r="N16" s="39">
        <f>IF(COUNT(K16:M16)=0,0,SUMPRODUCT({5000,1000,500},K16:M16))</f>
        <v>0</v>
      </c>
      <c r="O16" s="31"/>
      <c r="P16" s="31"/>
      <c r="Q16" s="31"/>
      <c r="R16" s="39">
        <f>IF(COUNT(O16:Q16)=0,0,SUMPRODUCT({5000,1000,500},O16:Q16))</f>
        <v>0</v>
      </c>
      <c r="S16" s="31">
        <v>2</v>
      </c>
      <c r="T16" s="31">
        <v>4</v>
      </c>
      <c r="U16" s="31">
        <v>0</v>
      </c>
      <c r="V16" s="31"/>
      <c r="W16" s="31"/>
      <c r="X16" s="31">
        <v>42</v>
      </c>
      <c r="Y16" s="31"/>
      <c r="Z16" s="31">
        <v>37</v>
      </c>
      <c r="AA16" s="31"/>
      <c r="AB16" s="31"/>
      <c r="AC16" s="31"/>
      <c r="AD16" s="34">
        <f>IF(COUNT(S16:AC16)=0,0,SUMPRODUCT({5000,1000,500,100,75,50,20,10,5,2,1}, S16:AC16))</f>
        <v>16470</v>
      </c>
      <c r="AE16" s="33">
        <v>136433</v>
      </c>
      <c r="AF16" s="24">
        <f>IF(AND(COUNT(C16:E16)=0,COUNT(G16:I16)=0,COUNT(K16:M16)=0,COUNT(O16:Q16)=0,COUNT(S16:AC16)=0,AE16=""),"",(IF(COUNT(C16:E16)=0,0,SUMPRODUCT({5000,1000,500},C16:E16))+IF(COUNT(G16:I16)=0,0,SUMPRODUCT({5000,1000,500},G16:I16))+IF(COUNT(K16:M16)=0,0,SUMPRODUCT({5000,1000,500},K16:M16))+IF(COUNT(O16:Q16)=0,0,SUMPRODUCT({5000,1000,500},O16:Q16))+AD16)-N(AE16))</f>
        <v>37</v>
      </c>
      <c r="AG16" s="35" t="str">
        <f t="shared" si="0"/>
        <v>Excess</v>
      </c>
      <c r="AH16" s="38"/>
      <c r="AI16" s="36">
        <v>449405.32</v>
      </c>
      <c r="AJ16" s="37">
        <f>364266.09+85139.23</f>
        <v>449405.32</v>
      </c>
      <c r="AK16" s="26">
        <f t="shared" si="1"/>
        <v>0</v>
      </c>
      <c r="AL16" s="25" t="str">
        <f t="shared" si="2"/>
        <v>Matched</v>
      </c>
      <c r="AM16" s="38"/>
    </row>
    <row r="17" spans="1:39" ht="12.75" customHeight="1" x14ac:dyDescent="0.25">
      <c r="A17" s="31">
        <v>63374</v>
      </c>
      <c r="B17" s="32" t="str">
        <f>IF(A17="","",VLOOKUP(A17,'Employee Database'!A:B,2,FALSE))</f>
        <v>Aftab Ali</v>
      </c>
      <c r="C17" s="31"/>
      <c r="D17" s="31"/>
      <c r="E17" s="31"/>
      <c r="F17" s="39">
        <f>IF(COUNT(C17:E17)=0,0,SUMPRODUCT({5000,1000,500},C17:E17))</f>
        <v>0</v>
      </c>
      <c r="G17" s="31">
        <v>19</v>
      </c>
      <c r="H17" s="31">
        <v>44</v>
      </c>
      <c r="I17" s="31">
        <v>22</v>
      </c>
      <c r="J17" s="39">
        <f>IF(COUNT(G17:I17)=0,0,SUMPRODUCT({5000,1000,500},G17:I17))</f>
        <v>150000</v>
      </c>
      <c r="K17" s="31"/>
      <c r="L17" s="31"/>
      <c r="M17" s="31"/>
      <c r="N17" s="39">
        <f>IF(COUNT(K17:M17)=0,0,SUMPRODUCT({5000,1000,500},K17:M17))</f>
        <v>0</v>
      </c>
      <c r="O17" s="31"/>
      <c r="P17" s="31"/>
      <c r="Q17" s="31"/>
      <c r="R17" s="39">
        <f>IF(COUNT(O17:Q17)=0,0,SUMPRODUCT({5000,1000,500},O17:Q17))</f>
        <v>0</v>
      </c>
      <c r="S17" s="31">
        <v>7</v>
      </c>
      <c r="T17" s="31">
        <v>12</v>
      </c>
      <c r="U17" s="31">
        <v>3</v>
      </c>
      <c r="V17" s="31">
        <v>11</v>
      </c>
      <c r="W17" s="31"/>
      <c r="X17" s="31">
        <v>480</v>
      </c>
      <c r="Y17" s="31">
        <v>1</v>
      </c>
      <c r="Z17" s="31">
        <v>557</v>
      </c>
      <c r="AA17" s="31"/>
      <c r="AB17" s="31"/>
      <c r="AC17" s="31"/>
      <c r="AD17" s="34">
        <f>IF(COUNT(S17:AC17)=0,0,SUMPRODUCT({5000,1000,500,100,75,50,20,10,5,2,1}, S17:AC17))</f>
        <v>79190</v>
      </c>
      <c r="AE17" s="33">
        <v>229170</v>
      </c>
      <c r="AF17" s="24">
        <f>IF(AND(COUNT(C17:E17)=0,COUNT(G17:I17)=0,COUNT(K17:M17)=0,COUNT(O17:Q17)=0,COUNT(S17:AC17)=0,AE17=""),"",(IF(COUNT(C17:E17)=0,0,SUMPRODUCT({5000,1000,500},C17:E17))+IF(COUNT(G17:I17)=0,0,SUMPRODUCT({5000,1000,500},G17:I17))+IF(COUNT(K17:M17)=0,0,SUMPRODUCT({5000,1000,500},K17:M17))+IF(COUNT(O17:Q17)=0,0,SUMPRODUCT({5000,1000,500},O17:Q17))+AD17)-N(AE17))</f>
        <v>20</v>
      </c>
      <c r="AG17" s="35" t="str">
        <f t="shared" si="0"/>
        <v>Excess</v>
      </c>
      <c r="AH17" s="38"/>
      <c r="AI17" s="36">
        <v>635167.19999999995</v>
      </c>
      <c r="AJ17" s="37">
        <f>125336.71+509830.49</f>
        <v>635167.19999999995</v>
      </c>
      <c r="AK17" s="26">
        <f t="shared" si="1"/>
        <v>0</v>
      </c>
      <c r="AL17" s="25" t="str">
        <f t="shared" si="2"/>
        <v>Matched</v>
      </c>
      <c r="AM17" s="38"/>
    </row>
    <row r="18" spans="1:39" ht="12.75" customHeight="1" x14ac:dyDescent="0.25">
      <c r="A18" s="31">
        <v>67250</v>
      </c>
      <c r="B18" s="32" t="str">
        <f>IF(A18="","",VLOOKUP(A18,'Employee Database'!A:B,2,FALSE))</f>
        <v>M Fiaz</v>
      </c>
      <c r="C18" s="31"/>
      <c r="D18" s="31"/>
      <c r="E18" s="31"/>
      <c r="F18" s="39">
        <f>IF(COUNT(C18:E18)=0,0,SUMPRODUCT({5000,1000,500},C18:E18))</f>
        <v>0</v>
      </c>
      <c r="G18" s="31">
        <v>22</v>
      </c>
      <c r="H18" s="31">
        <v>101</v>
      </c>
      <c r="I18" s="31">
        <v>0</v>
      </c>
      <c r="J18" s="39">
        <f>IF(COUNT(G18:I18)=0,0,SUMPRODUCT({5000,1000,500},G18:I18))</f>
        <v>211000</v>
      </c>
      <c r="K18" s="31"/>
      <c r="L18" s="31"/>
      <c r="M18" s="31"/>
      <c r="N18" s="39">
        <f>IF(COUNT(K18:M18)=0,0,SUMPRODUCT({5000,1000,500},K18:M18))</f>
        <v>0</v>
      </c>
      <c r="O18" s="31"/>
      <c r="P18" s="31"/>
      <c r="Q18" s="31"/>
      <c r="R18" s="39">
        <f>IF(COUNT(O18:Q18)=0,0,SUMPRODUCT({5000,1000,500},O18:Q18))</f>
        <v>0</v>
      </c>
      <c r="S18" s="31">
        <v>5</v>
      </c>
      <c r="T18" s="31">
        <v>27</v>
      </c>
      <c r="U18" s="31">
        <v>6</v>
      </c>
      <c r="V18" s="31">
        <v>6</v>
      </c>
      <c r="W18" s="31"/>
      <c r="X18" s="31">
        <v>38</v>
      </c>
      <c r="Y18" s="31"/>
      <c r="Z18" s="31">
        <v>35</v>
      </c>
      <c r="AA18" s="31"/>
      <c r="AB18" s="31"/>
      <c r="AC18" s="31"/>
      <c r="AD18" s="34">
        <f>IF(COUNT(S18:AC18)=0,0,SUMPRODUCT({5000,1000,500,100,75,50,20,10,5,2,1}, S18:AC18))</f>
        <v>57850</v>
      </c>
      <c r="AE18" s="33">
        <v>268878</v>
      </c>
      <c r="AF18" s="24">
        <f>IF(AND(COUNT(C18:E18)=0,COUNT(G18:I18)=0,COUNT(K18:M18)=0,COUNT(O18:Q18)=0,COUNT(S18:AC18)=0,AE18=""),"",(IF(COUNT(C18:E18)=0,0,SUMPRODUCT({5000,1000,500},C18:E18))+IF(COUNT(G18:I18)=0,0,SUMPRODUCT({5000,1000,500},G18:I18))+IF(COUNT(K18:M18)=0,0,SUMPRODUCT({5000,1000,500},K18:M18))+IF(COUNT(O18:Q18)=0,0,SUMPRODUCT({5000,1000,500},O18:Q18))+AD18)-N(AE18))</f>
        <v>-28</v>
      </c>
      <c r="AG18" s="35" t="str">
        <f t="shared" si="0"/>
        <v>Short</v>
      </c>
      <c r="AH18" s="38"/>
      <c r="AI18" s="36">
        <v>750919.15</v>
      </c>
      <c r="AJ18" s="37">
        <f>34162.59+716756.56</f>
        <v>750919.15</v>
      </c>
      <c r="AK18" s="26">
        <f t="shared" si="1"/>
        <v>0</v>
      </c>
      <c r="AL18" s="25" t="str">
        <f t="shared" si="2"/>
        <v>Matched</v>
      </c>
      <c r="AM18" s="38"/>
    </row>
    <row r="19" spans="1:39" ht="12.75" customHeight="1" x14ac:dyDescent="0.25">
      <c r="A19" s="31">
        <v>77424</v>
      </c>
      <c r="B19" s="32" t="str">
        <f>IF(A19="","",VLOOKUP(A19,'Employee Database'!A:B,2,FALSE))</f>
        <v>M Husnain</v>
      </c>
      <c r="C19" s="31"/>
      <c r="D19" s="31"/>
      <c r="E19" s="31"/>
      <c r="F19" s="39">
        <f>IF(COUNT(C19:E19)=0,0,SUMPRODUCT({5000,1000,500},C19:E19))</f>
        <v>0</v>
      </c>
      <c r="G19" s="31">
        <v>22</v>
      </c>
      <c r="H19" s="31">
        <v>80</v>
      </c>
      <c r="I19" s="31">
        <v>0</v>
      </c>
      <c r="J19" s="39">
        <f>IF(COUNT(G19:I19)=0,0,SUMPRODUCT({5000,1000,500},G19:I19))</f>
        <v>190000</v>
      </c>
      <c r="K19" s="31"/>
      <c r="L19" s="31"/>
      <c r="M19" s="31"/>
      <c r="N19" s="39">
        <f>IF(COUNT(K19:M19)=0,0,SUMPRODUCT({5000,1000,500},K19:M19))</f>
        <v>0</v>
      </c>
      <c r="O19" s="31"/>
      <c r="P19" s="31"/>
      <c r="Q19" s="31"/>
      <c r="R19" s="39">
        <f>IF(COUNT(O19:Q19)=0,0,SUMPRODUCT({5000,1000,500},O19:Q19))</f>
        <v>0</v>
      </c>
      <c r="S19" s="31">
        <v>5</v>
      </c>
      <c r="T19" s="31">
        <v>12</v>
      </c>
      <c r="U19" s="31">
        <v>1</v>
      </c>
      <c r="V19" s="31">
        <v>14</v>
      </c>
      <c r="W19" s="31"/>
      <c r="X19" s="31">
        <v>111</v>
      </c>
      <c r="Y19" s="31">
        <v>1</v>
      </c>
      <c r="Z19" s="31">
        <v>89</v>
      </c>
      <c r="AA19" s="31"/>
      <c r="AB19" s="31"/>
      <c r="AC19" s="31"/>
      <c r="AD19" s="34">
        <f>IF(COUNT(S19:AC19)=0,0,SUMPRODUCT({5000,1000,500,100,75,50,20,10,5,2,1}, S19:AC19))</f>
        <v>45360</v>
      </c>
      <c r="AE19" s="33">
        <v>235364</v>
      </c>
      <c r="AF19" s="24">
        <f>IF(AND(COUNT(C19:E19)=0,COUNT(G19:I19)=0,COUNT(K19:M19)=0,COUNT(O19:Q19)=0,COUNT(S19:AC19)=0,AE19=""),"",(IF(COUNT(C19:E19)=0,0,SUMPRODUCT({5000,1000,500},C19:E19))+IF(COUNT(G19:I19)=0,0,SUMPRODUCT({5000,1000,500},G19:I19))+IF(COUNT(K19:M19)=0,0,SUMPRODUCT({5000,1000,500},K19:M19))+IF(COUNT(O19:Q19)=0,0,SUMPRODUCT({5000,1000,500},O19:Q19))+AD19)-N(AE19))</f>
        <v>-4</v>
      </c>
      <c r="AG19" s="35" t="str">
        <f t="shared" si="0"/>
        <v>Short</v>
      </c>
      <c r="AH19" s="38"/>
      <c r="AI19" s="36">
        <v>928761.01</v>
      </c>
      <c r="AJ19" s="37">
        <v>928761.01</v>
      </c>
      <c r="AK19" s="26">
        <f t="shared" si="1"/>
        <v>0</v>
      </c>
      <c r="AL19" s="25" t="str">
        <f t="shared" si="2"/>
        <v>Matched</v>
      </c>
      <c r="AM19" s="38"/>
    </row>
    <row r="20" spans="1:39" ht="12.75" customHeight="1" x14ac:dyDescent="0.25">
      <c r="A20" s="31">
        <v>73679</v>
      </c>
      <c r="B20" s="32" t="str">
        <f>IF(A20="","",VLOOKUP(A20,'Employee Database'!A:B,2,FALSE))</f>
        <v>Imran Waqar</v>
      </c>
      <c r="C20" s="31"/>
      <c r="D20" s="31"/>
      <c r="E20" s="31"/>
      <c r="F20" s="39">
        <f>IF(COUNT(C20:E20)=0,0,SUMPRODUCT({5000,1000,500},C20:E20))</f>
        <v>0</v>
      </c>
      <c r="G20" s="31">
        <v>20</v>
      </c>
      <c r="H20" s="31">
        <v>70</v>
      </c>
      <c r="I20" s="31">
        <v>0</v>
      </c>
      <c r="J20" s="39">
        <f>IF(COUNT(G20:I20)=0,0,SUMPRODUCT({5000,1000,500},G20:I20))</f>
        <v>170000</v>
      </c>
      <c r="K20" s="31"/>
      <c r="L20" s="31"/>
      <c r="M20" s="31"/>
      <c r="N20" s="39">
        <f>IF(COUNT(K20:M20)=0,0,SUMPRODUCT({5000,1000,500},K20:M20))</f>
        <v>0</v>
      </c>
      <c r="O20" s="31"/>
      <c r="P20" s="31"/>
      <c r="Q20" s="31"/>
      <c r="R20" s="39">
        <f>IF(COUNT(O20:Q20)=0,0,SUMPRODUCT({5000,1000,500},O20:Q20))</f>
        <v>0</v>
      </c>
      <c r="S20" s="31">
        <v>7</v>
      </c>
      <c r="T20" s="31">
        <v>11</v>
      </c>
      <c r="U20" s="31">
        <v>15</v>
      </c>
      <c r="V20" s="31">
        <v>5</v>
      </c>
      <c r="W20" s="31"/>
      <c r="X20" s="31">
        <v>48</v>
      </c>
      <c r="Y20" s="31">
        <v>1</v>
      </c>
      <c r="Z20" s="31">
        <v>67</v>
      </c>
      <c r="AA20" s="31"/>
      <c r="AB20" s="31"/>
      <c r="AC20" s="31"/>
      <c r="AD20" s="34">
        <f>IF(COUNT(S20:AC20)=0,0,SUMPRODUCT({5000,1000,500,100,75,50,20,10,5,2,1}, S20:AC20))</f>
        <v>57090</v>
      </c>
      <c r="AE20" s="33">
        <v>227081</v>
      </c>
      <c r="AF20" s="24">
        <f>IF(AND(COUNT(C20:E20)=0,COUNT(G20:I20)=0,COUNT(K20:M20)=0,COUNT(O20:Q20)=0,COUNT(S20:AC20)=0,AE20=""),"",(IF(COUNT(C20:E20)=0,0,SUMPRODUCT({5000,1000,500},C20:E20))+IF(COUNT(G20:I20)=0,0,SUMPRODUCT({5000,1000,500},G20:I20))+IF(COUNT(K20:M20)=0,0,SUMPRODUCT({5000,1000,500},K20:M20))+IF(COUNT(O20:Q20)=0,0,SUMPRODUCT({5000,1000,500},O20:Q20))+AD20)-N(AE20))</f>
        <v>9</v>
      </c>
      <c r="AG20" s="35" t="str">
        <f t="shared" si="0"/>
        <v>Excess</v>
      </c>
      <c r="AH20" s="38"/>
      <c r="AI20" s="36">
        <v>709087.23</v>
      </c>
      <c r="AJ20" s="37">
        <f>366305.93+342781.3</f>
        <v>709087.23</v>
      </c>
      <c r="AK20" s="26">
        <f t="shared" si="1"/>
        <v>0</v>
      </c>
      <c r="AL20" s="25" t="str">
        <f t="shared" si="2"/>
        <v>Matched</v>
      </c>
      <c r="AM20" s="38"/>
    </row>
    <row r="21" spans="1:39" ht="12.75" customHeight="1" x14ac:dyDescent="0.25">
      <c r="A21" s="31">
        <v>69213</v>
      </c>
      <c r="B21" s="32" t="str">
        <f>IF(A21="","",VLOOKUP(A21,'Employee Database'!A:B,2,FALSE))</f>
        <v>Muhammad Shahbaz</v>
      </c>
      <c r="C21" s="31"/>
      <c r="D21" s="31"/>
      <c r="E21" s="31"/>
      <c r="F21" s="39">
        <f>IF(COUNT(C21:E21)=0,0,SUMPRODUCT({5000,1000,500},C21:E21))</f>
        <v>0</v>
      </c>
      <c r="G21" s="31"/>
      <c r="H21" s="31"/>
      <c r="I21" s="31"/>
      <c r="J21" s="39">
        <f>IF(COUNT(G21:I21)=0,0,SUMPRODUCT({5000,1000,500},G21:I21))</f>
        <v>0</v>
      </c>
      <c r="K21" s="31"/>
      <c r="L21" s="31"/>
      <c r="M21" s="31"/>
      <c r="N21" s="39">
        <f>IF(COUNT(K21:M21)=0,0,SUMPRODUCT({5000,1000,500},K21:M21))</f>
        <v>0</v>
      </c>
      <c r="O21" s="31"/>
      <c r="P21" s="31"/>
      <c r="Q21" s="31"/>
      <c r="R21" s="39">
        <f>IF(COUNT(O21:Q21)=0,0,SUMPRODUCT({5000,1000,500},O21:Q21))</f>
        <v>0</v>
      </c>
      <c r="S21" s="31">
        <v>9</v>
      </c>
      <c r="T21" s="31">
        <v>65</v>
      </c>
      <c r="U21" s="31">
        <v>4</v>
      </c>
      <c r="V21" s="31">
        <v>8</v>
      </c>
      <c r="W21" s="31"/>
      <c r="X21" s="31">
        <v>38</v>
      </c>
      <c r="Y21" s="31"/>
      <c r="Z21" s="31">
        <v>130</v>
      </c>
      <c r="AA21" s="31"/>
      <c r="AB21" s="31"/>
      <c r="AC21" s="31"/>
      <c r="AD21" s="34">
        <f>IF(COUNT(S21:AC21)=0,0,SUMPRODUCT({5000,1000,500,100,75,50,20,10,5,2,1}, S21:AC21))</f>
        <v>116000</v>
      </c>
      <c r="AE21" s="33">
        <v>115908</v>
      </c>
      <c r="AF21" s="24">
        <f>IF(AND(COUNT(C21:E21)=0,COUNT(G21:I21)=0,COUNT(K21:M21)=0,COUNT(O21:Q21)=0,COUNT(S21:AC21)=0,AE21=""),"",(IF(COUNT(C21:E21)=0,0,SUMPRODUCT({5000,1000,500},C21:E21))+IF(COUNT(G21:I21)=0,0,SUMPRODUCT({5000,1000,500},G21:I21))+IF(COUNT(K21:M21)=0,0,SUMPRODUCT({5000,1000,500},K21:M21))+IF(COUNT(O21:Q21)=0,0,SUMPRODUCT({5000,1000,500},O21:Q21))+AD21)-N(AE21))</f>
        <v>92</v>
      </c>
      <c r="AG21" s="35" t="str">
        <f t="shared" si="0"/>
        <v>Excess</v>
      </c>
      <c r="AH21" s="38"/>
      <c r="AI21" s="36">
        <v>186340.42</v>
      </c>
      <c r="AJ21" s="37">
        <f>102296.73+84043.69</f>
        <v>186340.41999999998</v>
      </c>
      <c r="AK21" s="26">
        <f t="shared" si="1"/>
        <v>2.9103830456733704E-11</v>
      </c>
      <c r="AL21" s="25" t="str">
        <f t="shared" si="2"/>
        <v>POS Excess</v>
      </c>
      <c r="AM21" s="38"/>
    </row>
    <row r="22" spans="1:39" ht="12.75" customHeight="1" x14ac:dyDescent="0.25">
      <c r="A22" s="31">
        <v>76412</v>
      </c>
      <c r="B22" s="32" t="str">
        <f>IF(A22="","",VLOOKUP(A22,'Employee Database'!A:B,2,FALSE))</f>
        <v>Zubair Abbas</v>
      </c>
      <c r="C22" s="31"/>
      <c r="D22" s="31"/>
      <c r="E22" s="31"/>
      <c r="F22" s="39">
        <f>IF(COUNT(C22:E22)=0,0,SUMPRODUCT({5000,1000,500},C22:E22))</f>
        <v>0</v>
      </c>
      <c r="G22" s="31"/>
      <c r="H22" s="31"/>
      <c r="I22" s="31"/>
      <c r="J22" s="39">
        <f>IF(COUNT(G22:I22)=0,0,SUMPRODUCT({5000,1000,500},G22:I22))</f>
        <v>0</v>
      </c>
      <c r="K22" s="31"/>
      <c r="L22" s="31"/>
      <c r="M22" s="31"/>
      <c r="N22" s="39">
        <f>IF(COUNT(K22:M22)=0,0,SUMPRODUCT({5000,1000,500},K22:M22))</f>
        <v>0</v>
      </c>
      <c r="O22" s="31"/>
      <c r="P22" s="31"/>
      <c r="Q22" s="31"/>
      <c r="R22" s="39">
        <f>IF(COUNT(O22:Q22)=0,0,SUMPRODUCT({5000,1000,500},O22:Q22))</f>
        <v>0</v>
      </c>
      <c r="S22" s="31">
        <v>11</v>
      </c>
      <c r="T22" s="31">
        <v>35</v>
      </c>
      <c r="U22" s="31">
        <v>19</v>
      </c>
      <c r="V22" s="31"/>
      <c r="W22" s="31"/>
      <c r="X22" s="31">
        <v>43</v>
      </c>
      <c r="Y22" s="31">
        <v>1</v>
      </c>
      <c r="Z22" s="31">
        <v>79</v>
      </c>
      <c r="AA22" s="31"/>
      <c r="AB22" s="31"/>
      <c r="AC22" s="31"/>
      <c r="AD22" s="34">
        <f>IF(COUNT(S22:AC22)=0,0,SUMPRODUCT({5000,1000,500,100,75,50,20,10,5,2,1}, S22:AC22))</f>
        <v>102460</v>
      </c>
      <c r="AE22" s="33">
        <v>102544</v>
      </c>
      <c r="AF22" s="24">
        <f>IF(AND(COUNT(C22:E22)=0,COUNT(G22:I22)=0,COUNT(K22:M22)=0,COUNT(O22:Q22)=0,COUNT(S22:AC22)=0,AE22=""),"",(IF(COUNT(C22:E22)=0,0,SUMPRODUCT({5000,1000,500},C22:E22))+IF(COUNT(G22:I22)=0,0,SUMPRODUCT({5000,1000,500},G22:I22))+IF(COUNT(K22:M22)=0,0,SUMPRODUCT({5000,1000,500},K22:M22))+IF(COUNT(O22:Q22)=0,0,SUMPRODUCT({5000,1000,500},O22:Q22))+AD22)-N(AE22))</f>
        <v>-84</v>
      </c>
      <c r="AG22" s="35" t="str">
        <f t="shared" si="0"/>
        <v>Short</v>
      </c>
      <c r="AH22" s="38"/>
      <c r="AI22" s="36">
        <v>147252.72</v>
      </c>
      <c r="AJ22" s="37">
        <f>66224.32+81028.4</f>
        <v>147252.72</v>
      </c>
      <c r="AK22" s="26">
        <f t="shared" si="1"/>
        <v>0</v>
      </c>
      <c r="AL22" s="25" t="str">
        <f t="shared" si="2"/>
        <v>Matched</v>
      </c>
      <c r="AM22" s="38"/>
    </row>
    <row r="23" spans="1:39" ht="12.75" customHeight="1" x14ac:dyDescent="0.25">
      <c r="A23" s="31">
        <v>50394</v>
      </c>
      <c r="B23" s="32" t="str">
        <f>IF(A23="","",VLOOKUP(A23,'Employee Database'!A:B,2,FALSE))</f>
        <v>Qasir Ali</v>
      </c>
      <c r="C23" s="31"/>
      <c r="D23" s="31"/>
      <c r="E23" s="31"/>
      <c r="F23" s="39">
        <f>IF(COUNT(C23:E23)=0,0,SUMPRODUCT({5000,1000,500},C23:E23))</f>
        <v>0</v>
      </c>
      <c r="G23" s="31"/>
      <c r="H23" s="31"/>
      <c r="I23" s="31"/>
      <c r="J23" s="39">
        <f>IF(COUNT(G23:I23)=0,0,SUMPRODUCT({5000,1000,500},G23:I23))</f>
        <v>0</v>
      </c>
      <c r="K23" s="31"/>
      <c r="L23" s="31"/>
      <c r="M23" s="31"/>
      <c r="N23" s="39">
        <f>IF(COUNT(K23:M23)=0,0,SUMPRODUCT({5000,1000,500},K23:M23))</f>
        <v>0</v>
      </c>
      <c r="O23" s="31"/>
      <c r="P23" s="31"/>
      <c r="Q23" s="31"/>
      <c r="R23" s="39">
        <f>IF(COUNT(O23:Q23)=0,0,SUMPRODUCT({5000,1000,500},O23:Q23))</f>
        <v>0</v>
      </c>
      <c r="S23" s="31">
        <v>20</v>
      </c>
      <c r="T23" s="31">
        <v>24</v>
      </c>
      <c r="U23" s="31">
        <v>7</v>
      </c>
      <c r="V23" s="31">
        <v>1</v>
      </c>
      <c r="W23" s="31"/>
      <c r="X23" s="31">
        <v>50</v>
      </c>
      <c r="Y23" s="31"/>
      <c r="Z23" s="31">
        <v>69</v>
      </c>
      <c r="AA23" s="31"/>
      <c r="AB23" s="31"/>
      <c r="AC23" s="31"/>
      <c r="AD23" s="34">
        <f>IF(COUNT(S23:AC23)=0,0,SUMPRODUCT({5000,1000,500,100,75,50,20,10,5,2,1}, S23:AC23))</f>
        <v>130790</v>
      </c>
      <c r="AE23" s="33">
        <v>130796</v>
      </c>
      <c r="AF23" s="24">
        <f>IF(AND(COUNT(C23:E23)=0,COUNT(G23:I23)=0,COUNT(K23:M23)=0,COUNT(O23:Q23)=0,COUNT(S23:AC23)=0,AE23=""),"",(IF(COUNT(C23:E23)=0,0,SUMPRODUCT({5000,1000,500},C23:E23))+IF(COUNT(G23:I23)=0,0,SUMPRODUCT({5000,1000,500},G23:I23))+IF(COUNT(K23:M23)=0,0,SUMPRODUCT({5000,1000,500},K23:M23))+IF(COUNT(O23:Q23)=0,0,SUMPRODUCT({5000,1000,500},O23:Q23))+AD23)-N(AE23))</f>
        <v>-6</v>
      </c>
      <c r="AG23" s="35" t="str">
        <f t="shared" si="0"/>
        <v>Short</v>
      </c>
      <c r="AH23" s="38"/>
      <c r="AI23" s="36">
        <v>386888.76</v>
      </c>
      <c r="AJ23" s="37">
        <v>386888.76</v>
      </c>
      <c r="AK23" s="26">
        <f t="shared" si="1"/>
        <v>0</v>
      </c>
      <c r="AL23" s="25" t="str">
        <f t="shared" si="2"/>
        <v>Matched</v>
      </c>
      <c r="AM23" s="38"/>
    </row>
    <row r="24" spans="1:39" ht="12.75" customHeight="1" x14ac:dyDescent="0.25">
      <c r="A24" s="31">
        <v>71788</v>
      </c>
      <c r="B24" s="32" t="str">
        <f>IF(A24="","",VLOOKUP(A24,'Employee Database'!A:B,2,FALSE))</f>
        <v>Saaim</v>
      </c>
      <c r="C24" s="31"/>
      <c r="D24" s="31"/>
      <c r="E24" s="31"/>
      <c r="F24" s="39">
        <f>IF(COUNT(C24:E24)=0,0,SUMPRODUCT({5000,1000,500},C24:E24))</f>
        <v>0</v>
      </c>
      <c r="G24" s="31"/>
      <c r="H24" s="31"/>
      <c r="I24" s="31"/>
      <c r="J24" s="39">
        <f>IF(COUNT(G24:I24)=0,0,SUMPRODUCT({5000,1000,500},G24:I24))</f>
        <v>0</v>
      </c>
      <c r="K24" s="31"/>
      <c r="L24" s="31"/>
      <c r="M24" s="31"/>
      <c r="N24" s="39">
        <f>IF(COUNT(K24:M24)=0,0,SUMPRODUCT({5000,1000,500},K24:M24))</f>
        <v>0</v>
      </c>
      <c r="O24" s="31"/>
      <c r="P24" s="31"/>
      <c r="Q24" s="31"/>
      <c r="R24" s="39">
        <f>IF(COUNT(O24:Q24)=0,0,SUMPRODUCT({5000,1000,500},O24:Q24))</f>
        <v>0</v>
      </c>
      <c r="S24" s="31">
        <v>12</v>
      </c>
      <c r="T24" s="31">
        <v>23</v>
      </c>
      <c r="U24" s="31">
        <v>12</v>
      </c>
      <c r="V24" s="31">
        <v>1</v>
      </c>
      <c r="W24" s="31"/>
      <c r="X24" s="31">
        <v>41</v>
      </c>
      <c r="Y24" s="31"/>
      <c r="Z24" s="31">
        <v>62</v>
      </c>
      <c r="AA24" s="31"/>
      <c r="AB24" s="31"/>
      <c r="AC24" s="31"/>
      <c r="AD24" s="34">
        <f>IF(COUNT(S24:AC24)=0,0,SUMPRODUCT({5000,1000,500,100,75,50,20,10,5,2,1}, S24:AC24))</f>
        <v>91770</v>
      </c>
      <c r="AE24" s="33">
        <v>91779</v>
      </c>
      <c r="AF24" s="24">
        <f>IF(AND(COUNT(C24:E24)=0,COUNT(G24:I24)=0,COUNT(K24:M24)=0,COUNT(O24:Q24)=0,COUNT(S24:AC24)=0,AE24=""),"",(IF(COUNT(C24:E24)=0,0,SUMPRODUCT({5000,1000,500},C24:E24))+IF(COUNT(G24:I24)=0,0,SUMPRODUCT({5000,1000,500},G24:I24))+IF(COUNT(K24:M24)=0,0,SUMPRODUCT({5000,1000,500},K24:M24))+IF(COUNT(O24:Q24)=0,0,SUMPRODUCT({5000,1000,500},O24:Q24))+AD24)-N(AE24))</f>
        <v>-9</v>
      </c>
      <c r="AG24" s="35" t="str">
        <f t="shared" si="0"/>
        <v>Short</v>
      </c>
      <c r="AH24" s="38"/>
      <c r="AI24" s="36">
        <f>227141.07+100277.25</f>
        <v>327418.32</v>
      </c>
      <c r="AJ24" s="37">
        <f>6507.93+14269.6+93769.32+212871.47</f>
        <v>327418.32</v>
      </c>
      <c r="AK24" s="26">
        <f t="shared" si="1"/>
        <v>0</v>
      </c>
      <c r="AL24" s="25" t="str">
        <f t="shared" si="2"/>
        <v>Matched</v>
      </c>
      <c r="AM24" s="38"/>
    </row>
    <row r="25" spans="1:39" ht="12.75" customHeight="1" x14ac:dyDescent="0.25">
      <c r="A25" s="31">
        <v>50313</v>
      </c>
      <c r="B25" s="32" t="str">
        <f>IF(A25="","",VLOOKUP(A25,'Employee Database'!A:B,2,FALSE))</f>
        <v>Waseem Raza</v>
      </c>
      <c r="C25" s="31"/>
      <c r="D25" s="31"/>
      <c r="E25" s="31"/>
      <c r="F25" s="39">
        <f>IF(COUNT(C25:E25)=0,0,SUMPRODUCT({5000,1000,500},C25:E25))</f>
        <v>0</v>
      </c>
      <c r="G25" s="31"/>
      <c r="H25" s="31"/>
      <c r="I25" s="31"/>
      <c r="J25" s="39">
        <f>IF(COUNT(G25:I25)=0,0,SUMPRODUCT({5000,1000,500},G25:I25))</f>
        <v>0</v>
      </c>
      <c r="K25" s="31"/>
      <c r="L25" s="31"/>
      <c r="M25" s="31"/>
      <c r="N25" s="39">
        <f>IF(COUNT(K25:M25)=0,0,SUMPRODUCT({5000,1000,500},K25:M25))</f>
        <v>0</v>
      </c>
      <c r="O25" s="31"/>
      <c r="P25" s="31"/>
      <c r="Q25" s="31"/>
      <c r="R25" s="39">
        <f>IF(COUNT(O25:Q25)=0,0,SUMPRODUCT({5000,1000,500},O25:Q25))</f>
        <v>0</v>
      </c>
      <c r="S25" s="31"/>
      <c r="T25" s="31">
        <v>1</v>
      </c>
      <c r="U25" s="31"/>
      <c r="V25" s="31"/>
      <c r="W25" s="31"/>
      <c r="X25" s="31">
        <v>2</v>
      </c>
      <c r="Y25" s="31"/>
      <c r="Z25" s="31">
        <v>4</v>
      </c>
      <c r="AA25" s="31"/>
      <c r="AB25" s="31"/>
      <c r="AC25" s="31"/>
      <c r="AD25" s="34">
        <f>IF(COUNT(S25:AC25)=0,0,SUMPRODUCT({5000,1000,500,100,75,50,20,10,5,2,1}, S25:AC25))</f>
        <v>1140</v>
      </c>
      <c r="AE25" s="33">
        <v>1138</v>
      </c>
      <c r="AF25" s="24">
        <f>IF(AND(COUNT(C25:E25)=0,COUNT(G25:I25)=0,COUNT(K25:M25)=0,COUNT(O25:Q25)=0,COUNT(S25:AC25)=0,AE25=""),"",(IF(COUNT(C25:E25)=0,0,SUMPRODUCT({5000,1000,500},C25:E25))+IF(COUNT(G25:I25)=0,0,SUMPRODUCT({5000,1000,500},G25:I25))+IF(COUNT(K25:M25)=0,0,SUMPRODUCT({5000,1000,500},K25:M25))+IF(COUNT(O25:Q25)=0,0,SUMPRODUCT({5000,1000,500},O25:Q25))+AD25)-N(AE25))</f>
        <v>2</v>
      </c>
      <c r="AG25" s="35" t="str">
        <f t="shared" si="0"/>
        <v>Excess</v>
      </c>
      <c r="AH25" s="38"/>
      <c r="AI25" s="36"/>
      <c r="AJ25" s="37"/>
      <c r="AK25" s="26" t="str">
        <f t="shared" si="1"/>
        <v/>
      </c>
      <c r="AL25" s="25" t="str">
        <f t="shared" si="2"/>
        <v/>
      </c>
      <c r="AM25" s="38"/>
    </row>
    <row r="26" spans="1:39" ht="12.75" customHeight="1" x14ac:dyDescent="0.25">
      <c r="A26" s="31"/>
      <c r="B26" s="32" t="str">
        <f>IF(A26="","",VLOOKUP(A26,'Employee Database'!A:B,2,FALSE))</f>
        <v/>
      </c>
      <c r="C26" s="31"/>
      <c r="D26" s="31"/>
      <c r="E26" s="31"/>
      <c r="F26" s="39">
        <f>IF(COUNT(C26:E26)=0,0,SUMPRODUCT({5000,1000,500},C26:E26))</f>
        <v>0</v>
      </c>
      <c r="G26" s="31"/>
      <c r="H26" s="31"/>
      <c r="I26" s="31"/>
      <c r="J26" s="39">
        <f>IF(COUNT(G26:I26)=0,0,SUMPRODUCT({5000,1000,500},G26:I26))</f>
        <v>0</v>
      </c>
      <c r="K26" s="31"/>
      <c r="L26" s="31"/>
      <c r="M26" s="31"/>
      <c r="N26" s="39">
        <f>IF(COUNT(K26:M26)=0,0,SUMPRODUCT({5000,1000,500},K26:M26))</f>
        <v>0</v>
      </c>
      <c r="O26" s="31"/>
      <c r="P26" s="31"/>
      <c r="Q26" s="31"/>
      <c r="R26" s="39">
        <f>IF(COUNT(O26:Q26)=0,0,SUMPRODUCT({5000,1000,500},O26:Q26))</f>
        <v>0</v>
      </c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4">
        <f>IF(COUNT(S26:AC26)=0,0,SUMPRODUCT({5000,1000,500,100,75,50,20,10,5,2,1}, S26:AC26))</f>
        <v>0</v>
      </c>
      <c r="AE26" s="33"/>
      <c r="AF26" s="24" t="str">
        <f>IF(AND(COUNT(C26:E26)=0,COUNT(G26:I26)=0,COUNT(K26:M26)=0,COUNT(O26:Q26)=0,COUNT(S26:AC26)=0,AE26=""),"",(IF(COUNT(C26:E26)=0,0,SUMPRODUCT({5000,1000,500},C26:E26))+IF(COUNT(G26:I26)=0,0,SUMPRODUCT({5000,1000,500},G26:I26))+IF(COUNT(K26:M26)=0,0,SUMPRODUCT({5000,1000,500},K26:M26))+IF(COUNT(O26:Q26)=0,0,SUMPRODUCT({5000,1000,500},O26:Q26))+AD26)-N(AE26))</f>
        <v/>
      </c>
      <c r="AG26" s="35" t="str">
        <f t="shared" si="0"/>
        <v/>
      </c>
      <c r="AH26" s="38"/>
      <c r="AI26" s="36"/>
      <c r="AJ26" s="37"/>
      <c r="AK26" s="26" t="str">
        <f t="shared" si="1"/>
        <v/>
      </c>
      <c r="AL26" s="25" t="str">
        <f t="shared" si="2"/>
        <v/>
      </c>
      <c r="AM26" s="38"/>
    </row>
    <row r="27" spans="1:39" ht="12.75" customHeight="1" x14ac:dyDescent="0.25">
      <c r="A27" s="31"/>
      <c r="B27" s="32" t="str">
        <f>IF(A27="","",VLOOKUP(A27,'Employee Database'!A:B,2,FALSE))</f>
        <v/>
      </c>
      <c r="C27" s="31"/>
      <c r="D27" s="31"/>
      <c r="E27" s="31"/>
      <c r="F27" s="39">
        <f>IF(COUNT(C27:E27)=0,0,SUMPRODUCT({5000,1000,500},C27:E27))</f>
        <v>0</v>
      </c>
      <c r="G27" s="31"/>
      <c r="H27" s="31"/>
      <c r="I27" s="31"/>
      <c r="J27" s="39">
        <f>IF(COUNT(G27:I27)=0,0,SUMPRODUCT({5000,1000,500},G27:I27))</f>
        <v>0</v>
      </c>
      <c r="K27" s="31"/>
      <c r="L27" s="31"/>
      <c r="M27" s="31"/>
      <c r="N27" s="39">
        <f>IF(COUNT(K27:M27)=0,0,SUMPRODUCT({5000,1000,500},K27:M27))</f>
        <v>0</v>
      </c>
      <c r="O27" s="31"/>
      <c r="P27" s="31"/>
      <c r="Q27" s="31"/>
      <c r="R27" s="39">
        <f>IF(COUNT(O27:Q27)=0,0,SUMPRODUCT({5000,1000,500},O27:Q27))</f>
        <v>0</v>
      </c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4">
        <f>IF(COUNT(S27:AC27)=0,0,SUMPRODUCT({5000,1000,500,100,75,50,20,10,5,2,1}, S27:AC27))</f>
        <v>0</v>
      </c>
      <c r="AE27" s="33"/>
      <c r="AF27" s="24" t="str">
        <f>IF(AND(COUNT(C27:E27)=0,COUNT(G27:I27)=0,COUNT(K27:M27)=0,COUNT(O27:Q27)=0,COUNT(S27:AC27)=0,AE27=""),"",(IF(COUNT(C27:E27)=0,0,SUMPRODUCT({5000,1000,500},C27:E27))+IF(COUNT(G27:I27)=0,0,SUMPRODUCT({5000,1000,500},G27:I27))+IF(COUNT(K27:M27)=0,0,SUMPRODUCT({5000,1000,500},K27:M27))+IF(COUNT(O27:Q27)=0,0,SUMPRODUCT({5000,1000,500},O27:Q27))+AD27)-N(AE27))</f>
        <v/>
      </c>
      <c r="AG27" s="35" t="str">
        <f t="shared" si="0"/>
        <v/>
      </c>
      <c r="AH27" s="38"/>
      <c r="AI27" s="36"/>
      <c r="AJ27" s="37"/>
      <c r="AK27" s="26" t="str">
        <f t="shared" si="1"/>
        <v/>
      </c>
      <c r="AL27" s="25" t="str">
        <f t="shared" si="2"/>
        <v/>
      </c>
      <c r="AM27" s="38"/>
    </row>
    <row r="28" spans="1:39" ht="12.75" customHeight="1" x14ac:dyDescent="0.25">
      <c r="A28" s="31"/>
      <c r="B28" s="32" t="str">
        <f>IF(A28="","",VLOOKUP(A28,'Employee Database'!A:B,2,FALSE))</f>
        <v/>
      </c>
      <c r="C28" s="31"/>
      <c r="D28" s="31"/>
      <c r="E28" s="31"/>
      <c r="F28" s="39">
        <f>IF(COUNT(C28:E28)=0,0,SUMPRODUCT({5000,1000,500},C28:E28))</f>
        <v>0</v>
      </c>
      <c r="G28" s="31"/>
      <c r="H28" s="31"/>
      <c r="I28" s="31"/>
      <c r="J28" s="39">
        <f>IF(COUNT(G28:I28)=0,0,SUMPRODUCT({5000,1000,500},G28:I28))</f>
        <v>0</v>
      </c>
      <c r="K28" s="31"/>
      <c r="L28" s="31"/>
      <c r="M28" s="31"/>
      <c r="N28" s="39">
        <f>IF(COUNT(K28:M28)=0,0,SUMPRODUCT({5000,1000,500},K28:M28))</f>
        <v>0</v>
      </c>
      <c r="O28" s="31"/>
      <c r="P28" s="31"/>
      <c r="Q28" s="31"/>
      <c r="R28" s="39">
        <f>IF(COUNT(O28:Q28)=0,0,SUMPRODUCT({5000,1000,500},O28:Q28))</f>
        <v>0</v>
      </c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4">
        <f>IF(COUNT(S28:AC28)=0,0,SUMPRODUCT({5000,1000,500,100,75,50,20,10,5,2,1}, S28:AC28))</f>
        <v>0</v>
      </c>
      <c r="AE28" s="33"/>
      <c r="AF28" s="24" t="str">
        <f>IF(AND(COUNT(C28:E28)=0,COUNT(G28:I28)=0,COUNT(K28:M28)=0,COUNT(O28:Q28)=0,COUNT(S28:AC28)=0,AE28=""),"",(IF(COUNT(C28:E28)=0,0,SUMPRODUCT({5000,1000,500},C28:E28))+IF(COUNT(G28:I28)=0,0,SUMPRODUCT({5000,1000,500},G28:I28))+IF(COUNT(K28:M28)=0,0,SUMPRODUCT({5000,1000,500},K28:M28))+IF(COUNT(O28:Q28)=0,0,SUMPRODUCT({5000,1000,500},O28:Q28))+AD28)-N(AE28))</f>
        <v/>
      </c>
      <c r="AG28" s="35" t="str">
        <f t="shared" si="0"/>
        <v/>
      </c>
      <c r="AH28" s="38"/>
      <c r="AI28" s="36"/>
      <c r="AJ28" s="37"/>
      <c r="AK28" s="26" t="str">
        <f t="shared" si="1"/>
        <v/>
      </c>
      <c r="AL28" s="25" t="str">
        <f t="shared" si="2"/>
        <v/>
      </c>
      <c r="AM28" s="38"/>
    </row>
    <row r="29" spans="1:39" ht="12.75" customHeight="1" x14ac:dyDescent="0.25">
      <c r="A29" s="31"/>
      <c r="B29" s="32" t="str">
        <f>IF(A29="","",VLOOKUP(A29,'Employee Database'!A:B,2,FALSE))</f>
        <v/>
      </c>
      <c r="C29" s="31"/>
      <c r="D29" s="31"/>
      <c r="E29" s="31"/>
      <c r="F29" s="39">
        <f>IF(COUNT(C29:E29)=0,0,SUMPRODUCT({5000,1000,500},C29:E29))</f>
        <v>0</v>
      </c>
      <c r="G29" s="31"/>
      <c r="H29" s="31"/>
      <c r="I29" s="31"/>
      <c r="J29" s="39">
        <f>IF(COUNT(G29:I29)=0,0,SUMPRODUCT({5000,1000,500},G29:I29))</f>
        <v>0</v>
      </c>
      <c r="K29" s="31"/>
      <c r="L29" s="31"/>
      <c r="M29" s="31"/>
      <c r="N29" s="39">
        <f>IF(COUNT(K29:M29)=0,0,SUMPRODUCT({5000,1000,500},K29:M29))</f>
        <v>0</v>
      </c>
      <c r="O29" s="31"/>
      <c r="P29" s="31"/>
      <c r="Q29" s="31"/>
      <c r="R29" s="39">
        <f>IF(COUNT(O29:Q29)=0,0,SUMPRODUCT({5000,1000,500},O29:Q29))</f>
        <v>0</v>
      </c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4">
        <f>IF(COUNT(S29:AC29)=0,0,SUMPRODUCT({5000,1000,500,100,75,50,20,10,5,2,1}, S29:AC29))</f>
        <v>0</v>
      </c>
      <c r="AE29" s="33"/>
      <c r="AF29" s="24" t="str">
        <f>IF(AND(COUNT(C29:E29)=0,COUNT(G29:I29)=0,COUNT(K29:M29)=0,COUNT(O29:Q29)=0,COUNT(S29:AC29)=0,AE29=""),"",(IF(COUNT(C29:E29)=0,0,SUMPRODUCT({5000,1000,500},C29:E29))+IF(COUNT(G29:I29)=0,0,SUMPRODUCT({5000,1000,500},G29:I29))+IF(COUNT(K29:M29)=0,0,SUMPRODUCT({5000,1000,500},K29:M29))+IF(COUNT(O29:Q29)=0,0,SUMPRODUCT({5000,1000,500},O29:Q29))+AD29)-N(AE29))</f>
        <v/>
      </c>
      <c r="AG29" s="35" t="str">
        <f t="shared" si="0"/>
        <v/>
      </c>
      <c r="AH29" s="38"/>
      <c r="AI29" s="36"/>
      <c r="AJ29" s="37"/>
      <c r="AK29" s="26" t="str">
        <f t="shared" si="1"/>
        <v/>
      </c>
      <c r="AL29" s="25" t="str">
        <f t="shared" si="2"/>
        <v/>
      </c>
      <c r="AM29" s="38"/>
    </row>
    <row r="30" spans="1:39" ht="12.75" customHeight="1" x14ac:dyDescent="0.25">
      <c r="A30" s="31"/>
      <c r="B30" s="32" t="str">
        <f>IF(A30="","",VLOOKUP(A30,'Employee Database'!A:B,2,FALSE))</f>
        <v/>
      </c>
      <c r="C30" s="31"/>
      <c r="D30" s="31"/>
      <c r="E30" s="31"/>
      <c r="F30" s="39">
        <f>IF(COUNT(C30:E30)=0,0,SUMPRODUCT({5000,1000,500},C30:E30))</f>
        <v>0</v>
      </c>
      <c r="G30" s="31"/>
      <c r="H30" s="31"/>
      <c r="I30" s="31"/>
      <c r="J30" s="39">
        <f>IF(COUNT(G30:I30)=0,0,SUMPRODUCT({5000,1000,500},G30:I30))</f>
        <v>0</v>
      </c>
      <c r="K30" s="31"/>
      <c r="L30" s="31"/>
      <c r="M30" s="31"/>
      <c r="N30" s="39">
        <f>IF(COUNT(K30:M30)=0,0,SUMPRODUCT({5000,1000,500},K30:M30))</f>
        <v>0</v>
      </c>
      <c r="O30" s="31"/>
      <c r="P30" s="31"/>
      <c r="Q30" s="31"/>
      <c r="R30" s="39">
        <f>IF(COUNT(O30:Q30)=0,0,SUMPRODUCT({5000,1000,500},O30:Q30))</f>
        <v>0</v>
      </c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4">
        <f>IF(COUNT(S30:AC30)=0,0,SUMPRODUCT({5000,1000,500,100,75,50,20,10,5,2,1}, S30:AC30))</f>
        <v>0</v>
      </c>
      <c r="AE30" s="33"/>
      <c r="AF30" s="24" t="str">
        <f>IF(AND(COUNT(C30:E30)=0,COUNT(G30:I30)=0,COUNT(K30:M30)=0,COUNT(O30:Q30)=0,COUNT(S30:AC30)=0,AE30=""),"",(IF(COUNT(C30:E30)=0,0,SUMPRODUCT({5000,1000,500},C30:E30))+IF(COUNT(G30:I30)=0,0,SUMPRODUCT({5000,1000,500},G30:I30))+IF(COUNT(K30:M30)=0,0,SUMPRODUCT({5000,1000,500},K30:M30))+IF(COUNT(O30:Q30)=0,0,SUMPRODUCT({5000,1000,500},O30:Q30))+AD30)-N(AE30))</f>
        <v/>
      </c>
      <c r="AG30" s="35" t="str">
        <f t="shared" si="0"/>
        <v/>
      </c>
      <c r="AH30" s="38"/>
      <c r="AI30" s="36"/>
      <c r="AJ30" s="37"/>
      <c r="AK30" s="26" t="str">
        <f t="shared" si="1"/>
        <v/>
      </c>
      <c r="AL30" s="25" t="str">
        <f t="shared" si="2"/>
        <v/>
      </c>
      <c r="AM30" s="38"/>
    </row>
    <row r="31" spans="1:39" ht="12.75" customHeight="1" x14ac:dyDescent="0.25">
      <c r="A31" s="31"/>
      <c r="B31" s="32" t="str">
        <f>IF(A31="","",VLOOKUP(A31,'Employee Database'!A:B,2,FALSE))</f>
        <v/>
      </c>
      <c r="C31" s="31"/>
      <c r="D31" s="31"/>
      <c r="E31" s="31"/>
      <c r="F31" s="39">
        <f>IF(COUNT(C31:E31)=0,0,SUMPRODUCT({5000,1000,500},C31:E31))</f>
        <v>0</v>
      </c>
      <c r="G31" s="31"/>
      <c r="H31" s="31"/>
      <c r="I31" s="31"/>
      <c r="J31" s="39">
        <f>IF(COUNT(G31:I31)=0,0,SUMPRODUCT({5000,1000,500},G31:I31))</f>
        <v>0</v>
      </c>
      <c r="K31" s="31"/>
      <c r="L31" s="31"/>
      <c r="M31" s="31"/>
      <c r="N31" s="39">
        <f>IF(COUNT(K31:M31)=0,0,SUMPRODUCT({5000,1000,500},K31:M31))</f>
        <v>0</v>
      </c>
      <c r="O31" s="31"/>
      <c r="P31" s="31"/>
      <c r="Q31" s="31"/>
      <c r="R31" s="39">
        <f>IF(COUNT(O31:Q31)=0,0,SUMPRODUCT({5000,1000,500},O31:Q31))</f>
        <v>0</v>
      </c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4">
        <f>IF(COUNT(S31:AC31)=0,0,SUMPRODUCT({5000,1000,500,100,75,50,20,10,5,2,1}, S31:AC31))</f>
        <v>0</v>
      </c>
      <c r="AE31" s="33"/>
      <c r="AF31" s="24" t="str">
        <f>IF(AND(COUNT(C31:E31)=0,COUNT(G31:I31)=0,COUNT(K31:M31)=0,COUNT(O31:Q31)=0,COUNT(S31:AC31)=0,AE31=""),"",(IF(COUNT(C31:E31)=0,0,SUMPRODUCT({5000,1000,500},C31:E31))+IF(COUNT(G31:I31)=0,0,SUMPRODUCT({5000,1000,500},G31:I31))+IF(COUNT(K31:M31)=0,0,SUMPRODUCT({5000,1000,500},K31:M31))+IF(COUNT(O31:Q31)=0,0,SUMPRODUCT({5000,1000,500},O31:Q31))+AD31)-N(AE31))</f>
        <v/>
      </c>
      <c r="AG31" s="35" t="str">
        <f t="shared" si="0"/>
        <v/>
      </c>
      <c r="AH31" s="38"/>
      <c r="AI31" s="36"/>
      <c r="AJ31" s="37"/>
      <c r="AK31" s="26" t="str">
        <f t="shared" si="1"/>
        <v/>
      </c>
      <c r="AL31" s="25" t="str">
        <f t="shared" si="2"/>
        <v/>
      </c>
      <c r="AM31" s="38"/>
    </row>
    <row r="32" spans="1:39" ht="12.75" customHeight="1" x14ac:dyDescent="0.25">
      <c r="A32" s="31"/>
      <c r="B32" s="32" t="str">
        <f>IF(A32="","",VLOOKUP(A32,'Employee Database'!A:B,2,FALSE))</f>
        <v/>
      </c>
      <c r="C32" s="31"/>
      <c r="D32" s="31"/>
      <c r="E32" s="31"/>
      <c r="F32" s="39">
        <f>IF(COUNT(C32:E32)=0,0,SUMPRODUCT({5000,1000,500},C32:E32))</f>
        <v>0</v>
      </c>
      <c r="G32" s="31"/>
      <c r="H32" s="31"/>
      <c r="I32" s="31"/>
      <c r="J32" s="39">
        <f>IF(COUNT(G32:I32)=0,0,SUMPRODUCT({5000,1000,500},G32:I32))</f>
        <v>0</v>
      </c>
      <c r="K32" s="31"/>
      <c r="L32" s="31"/>
      <c r="M32" s="31"/>
      <c r="N32" s="39">
        <f>IF(COUNT(K32:M32)=0,0,SUMPRODUCT({5000,1000,500},K32:M32))</f>
        <v>0</v>
      </c>
      <c r="O32" s="31"/>
      <c r="P32" s="31"/>
      <c r="Q32" s="31"/>
      <c r="R32" s="39">
        <f>IF(COUNT(O32:Q32)=0,0,SUMPRODUCT({5000,1000,500},O32:Q32))</f>
        <v>0</v>
      </c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4">
        <f>IF(COUNT(S32:AC32)=0,0,SUMPRODUCT({5000,1000,500,100,75,50,20,10,5,2,1}, S32:AC32))</f>
        <v>0</v>
      </c>
      <c r="AE32" s="33"/>
      <c r="AF32" s="24" t="str">
        <f>IF(AND(COUNT(C32:E32)=0,COUNT(G32:I32)=0,COUNT(K32:M32)=0,COUNT(O32:Q32)=0,COUNT(S32:AC32)=0,AE32=""),"",(IF(COUNT(C32:E32)=0,0,SUMPRODUCT({5000,1000,500},C32:E32))+IF(COUNT(G32:I32)=0,0,SUMPRODUCT({5000,1000,500},G32:I32))+IF(COUNT(K32:M32)=0,0,SUMPRODUCT({5000,1000,500},K32:M32))+IF(COUNT(O32:Q32)=0,0,SUMPRODUCT({5000,1000,500},O32:Q32))+AD32)-N(AE32))</f>
        <v/>
      </c>
      <c r="AG32" s="35" t="str">
        <f t="shared" si="0"/>
        <v/>
      </c>
      <c r="AH32" s="38"/>
      <c r="AI32" s="36"/>
      <c r="AJ32" s="37"/>
      <c r="AK32" s="26" t="str">
        <f t="shared" si="1"/>
        <v/>
      </c>
      <c r="AL32" s="25" t="str">
        <f t="shared" si="2"/>
        <v/>
      </c>
      <c r="AM32" s="38"/>
    </row>
    <row r="33" spans="1:39" ht="12.75" customHeight="1" x14ac:dyDescent="0.25">
      <c r="A33" s="31"/>
      <c r="B33" s="32" t="str">
        <f>IF(A33="","",VLOOKUP(A33,'Employee Database'!A:B,2,FALSE))</f>
        <v/>
      </c>
      <c r="C33" s="31"/>
      <c r="D33" s="31"/>
      <c r="E33" s="31"/>
      <c r="F33" s="39">
        <f>IF(COUNT(C33:E33)=0,0,SUMPRODUCT({5000,1000,500},C33:E33))</f>
        <v>0</v>
      </c>
      <c r="G33" s="31"/>
      <c r="H33" s="31"/>
      <c r="I33" s="31"/>
      <c r="J33" s="39">
        <f>IF(COUNT(G33:I33)=0,0,SUMPRODUCT({5000,1000,500},G33:I33))</f>
        <v>0</v>
      </c>
      <c r="K33" s="31"/>
      <c r="L33" s="31"/>
      <c r="M33" s="31"/>
      <c r="N33" s="39">
        <f>IF(COUNT(K33:M33)=0,0,SUMPRODUCT({5000,1000,500},K33:M33))</f>
        <v>0</v>
      </c>
      <c r="O33" s="31"/>
      <c r="P33" s="31"/>
      <c r="Q33" s="31"/>
      <c r="R33" s="39">
        <f>IF(COUNT(O33:Q33)=0,0,SUMPRODUCT({5000,1000,500},O33:Q33))</f>
        <v>0</v>
      </c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4">
        <f>IF(COUNT(S33:AC33)=0,0,SUMPRODUCT({5000,1000,500,100,75,50,20,10,5,2,1}, S33:AC33))</f>
        <v>0</v>
      </c>
      <c r="AE33" s="33"/>
      <c r="AF33" s="24" t="str">
        <f>IF(AND(COUNT(C33:E33)=0,COUNT(G33:I33)=0,COUNT(K33:M33)=0,COUNT(O33:Q33)=0,COUNT(S33:AC33)=0,AE33=""),"",(IF(COUNT(C33:E33)=0,0,SUMPRODUCT({5000,1000,500},C33:E33))+IF(COUNT(G33:I33)=0,0,SUMPRODUCT({5000,1000,500},G33:I33))+IF(COUNT(K33:M33)=0,0,SUMPRODUCT({5000,1000,500},K33:M33))+IF(COUNT(O33:Q33)=0,0,SUMPRODUCT({5000,1000,500},O33:Q33))+AD33)-N(AE33))</f>
        <v/>
      </c>
      <c r="AG33" s="35" t="str">
        <f t="shared" si="0"/>
        <v/>
      </c>
      <c r="AH33" s="38"/>
      <c r="AI33" s="36"/>
      <c r="AJ33" s="37"/>
      <c r="AK33" s="26" t="str">
        <f t="shared" si="1"/>
        <v/>
      </c>
      <c r="AL33" s="25" t="str">
        <f t="shared" si="2"/>
        <v/>
      </c>
      <c r="AM33" s="38"/>
    </row>
    <row r="34" spans="1:39" ht="12.75" customHeight="1" x14ac:dyDescent="0.25">
      <c r="A34" s="31"/>
      <c r="B34" s="32" t="str">
        <f>IF(A34="","",VLOOKUP(A34,'Employee Database'!A:B,2,FALSE))</f>
        <v/>
      </c>
      <c r="C34" s="31"/>
      <c r="D34" s="31"/>
      <c r="E34" s="31"/>
      <c r="F34" s="39">
        <f>IF(COUNT(C34:E34)=0,0,SUMPRODUCT({5000,1000,500},C34:E34))</f>
        <v>0</v>
      </c>
      <c r="G34" s="31"/>
      <c r="H34" s="31"/>
      <c r="I34" s="31"/>
      <c r="J34" s="39">
        <f>IF(COUNT(G34:I34)=0,0,SUMPRODUCT({5000,1000,500},G34:I34))</f>
        <v>0</v>
      </c>
      <c r="K34" s="31"/>
      <c r="L34" s="31"/>
      <c r="M34" s="31"/>
      <c r="N34" s="39">
        <f>IF(COUNT(K34:M34)=0,0,SUMPRODUCT({5000,1000,500},K34:M34))</f>
        <v>0</v>
      </c>
      <c r="O34" s="31"/>
      <c r="P34" s="31"/>
      <c r="Q34" s="31"/>
      <c r="R34" s="39">
        <f>IF(COUNT(O34:Q34)=0,0,SUMPRODUCT({5000,1000,500},O34:Q34))</f>
        <v>0</v>
      </c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4">
        <f>IF(COUNT(S34:AC34)=0,0,SUMPRODUCT({5000,1000,500,100,75,50,20,10,5,2,1}, S34:AC34))</f>
        <v>0</v>
      </c>
      <c r="AE34" s="33"/>
      <c r="AF34" s="24" t="str">
        <f>IF(AND(COUNT(C34:E34)=0,COUNT(G34:I34)=0,COUNT(K34:M34)=0,COUNT(O34:Q34)=0,COUNT(S34:AC34)=0,AE34=""),"",(IF(COUNT(C34:E34)=0,0,SUMPRODUCT({5000,1000,500},C34:E34))+IF(COUNT(G34:I34)=0,0,SUMPRODUCT({5000,1000,500},G34:I34))+IF(COUNT(K34:M34)=0,0,SUMPRODUCT({5000,1000,500},K34:M34))+IF(COUNT(O34:Q34)=0,0,SUMPRODUCT({5000,1000,500},O34:Q34))+AD34)-N(AE34))</f>
        <v/>
      </c>
      <c r="AG34" s="35" t="str">
        <f t="shared" si="0"/>
        <v/>
      </c>
      <c r="AH34" s="38"/>
      <c r="AI34" s="36"/>
      <c r="AJ34" s="37"/>
      <c r="AK34" s="26" t="str">
        <f t="shared" si="1"/>
        <v/>
      </c>
      <c r="AL34" s="25" t="str">
        <f t="shared" si="2"/>
        <v/>
      </c>
      <c r="AM34" s="38"/>
    </row>
    <row r="35" spans="1:39" ht="22.5" customHeight="1" x14ac:dyDescent="0.25">
      <c r="A35" s="27" t="s">
        <v>24</v>
      </c>
      <c r="B35" s="27" t="s">
        <v>24</v>
      </c>
      <c r="C35" s="28">
        <f t="shared" ref="C35:AF35" si="3">SUM(C5:C34)</f>
        <v>211</v>
      </c>
      <c r="D35" s="28">
        <f t="shared" si="3"/>
        <v>670</v>
      </c>
      <c r="E35" s="28">
        <f t="shared" si="3"/>
        <v>79</v>
      </c>
      <c r="F35" s="40">
        <f t="shared" si="3"/>
        <v>1764500</v>
      </c>
      <c r="G35" s="28">
        <f t="shared" si="3"/>
        <v>195</v>
      </c>
      <c r="H35" s="28">
        <f t="shared" si="3"/>
        <v>568</v>
      </c>
      <c r="I35" s="28">
        <f t="shared" si="3"/>
        <v>56</v>
      </c>
      <c r="J35" s="40">
        <f t="shared" si="3"/>
        <v>1571000</v>
      </c>
      <c r="K35" s="28">
        <f t="shared" si="3"/>
        <v>0</v>
      </c>
      <c r="L35" s="28">
        <f t="shared" si="3"/>
        <v>0</v>
      </c>
      <c r="M35" s="28">
        <f t="shared" si="3"/>
        <v>0</v>
      </c>
      <c r="N35" s="40">
        <f t="shared" si="3"/>
        <v>0</v>
      </c>
      <c r="O35" s="28">
        <f t="shared" si="3"/>
        <v>0</v>
      </c>
      <c r="P35" s="28">
        <f t="shared" si="3"/>
        <v>0</v>
      </c>
      <c r="Q35" s="28">
        <f t="shared" si="3"/>
        <v>0</v>
      </c>
      <c r="R35" s="40">
        <f t="shared" si="3"/>
        <v>0</v>
      </c>
      <c r="S35" s="28">
        <f t="shared" si="3"/>
        <v>89</v>
      </c>
      <c r="T35" s="28">
        <f t="shared" si="3"/>
        <v>273</v>
      </c>
      <c r="U35" s="28">
        <f t="shared" si="3"/>
        <v>98</v>
      </c>
      <c r="V35" s="28">
        <f t="shared" si="3"/>
        <v>55</v>
      </c>
      <c r="W35" s="28">
        <f t="shared" si="3"/>
        <v>0</v>
      </c>
      <c r="X35" s="28">
        <f t="shared" si="3"/>
        <v>1178</v>
      </c>
      <c r="Y35" s="28">
        <f t="shared" si="3"/>
        <v>7</v>
      </c>
      <c r="Z35" s="28">
        <f t="shared" si="3"/>
        <v>1653</v>
      </c>
      <c r="AA35" s="28">
        <f t="shared" si="3"/>
        <v>0</v>
      </c>
      <c r="AB35" s="28">
        <f t="shared" si="3"/>
        <v>0</v>
      </c>
      <c r="AC35" s="28">
        <f t="shared" si="3"/>
        <v>3</v>
      </c>
      <c r="AD35" s="40">
        <f t="shared" si="3"/>
        <v>848073</v>
      </c>
      <c r="AE35" s="41">
        <f t="shared" si="3"/>
        <v>4183054.82</v>
      </c>
      <c r="AF35" s="29">
        <f t="shared" si="3"/>
        <v>518.17999999999302</v>
      </c>
      <c r="AG35" s="27" t="s">
        <v>24</v>
      </c>
      <c r="AH35" s="27" t="s">
        <v>24</v>
      </c>
      <c r="AI35" s="28">
        <f>SUM(AI5:AI34)</f>
        <v>10358989.180000002</v>
      </c>
      <c r="AJ35" s="28">
        <f>SUM(AJ5:AJ34)</f>
        <v>10358989.180000002</v>
      </c>
      <c r="AK35" s="28">
        <f>SUM(AK5:AK34)</f>
        <v>1.4551915228366852E-10</v>
      </c>
      <c r="AL35" s="28">
        <f>AJ35+AE35</f>
        <v>14542044.000000002</v>
      </c>
      <c r="AM35" s="28">
        <f>SUM(AM5:AM34)</f>
        <v>0</v>
      </c>
    </row>
  </sheetData>
  <sheetProtection algorithmName="SHA-512" hashValue="Tn6b7+ynTfTAKfHkfCcVFE+xihv2SorIwtzunP59S14d5bs42rwHGINSxoTTWQYy/sdRr1QsNW6s5ZlgZzg9XA==" saltValue="yk/ATd2L2lBpbE+bt4H5Zw==" spinCount="100000" sheet="1" objects="1" scenarios="1"/>
  <mergeCells count="9">
    <mergeCell ref="S3:AC3"/>
    <mergeCell ref="AD3:AG3"/>
    <mergeCell ref="AH3:AM3"/>
    <mergeCell ref="A1:B1"/>
    <mergeCell ref="A3:B3"/>
    <mergeCell ref="C3:F3"/>
    <mergeCell ref="G3:J3"/>
    <mergeCell ref="K3:N3"/>
    <mergeCell ref="O3:R3"/>
  </mergeCells>
  <conditionalFormatting sqref="A5">
    <cfRule type="duplicateValues" dxfId="29" priority="3"/>
    <cfRule type="duplicateValues" dxfId="28" priority="4"/>
  </conditionalFormatting>
  <conditionalFormatting sqref="A6">
    <cfRule type="duplicateValues" dxfId="27" priority="5"/>
    <cfRule type="duplicateValues" dxfId="26" priority="6"/>
  </conditionalFormatting>
  <conditionalFormatting sqref="A7:A34">
    <cfRule type="duplicateValues" dxfId="25" priority="1"/>
    <cfRule type="duplicateValues" dxfId="24" priority="2"/>
  </conditionalFormatting>
  <conditionalFormatting sqref="A35">
    <cfRule type="duplicateValues" dxfId="23" priority="7"/>
  </conditionalFormatting>
  <dataValidations count="1">
    <dataValidation type="list" allowBlank="1" showInputMessage="1" showErrorMessage="1" sqref="A1:B1" xr:uid="{00000000-0002-0000-1D00-000000000000}">
      <formula1>Locations</formula1>
    </dataValidation>
  </dataValidations>
  <pageMargins left="0.75" right="0.75" top="1" bottom="1" header="0.5" footer="0.5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1">
    <tabColor rgb="FFFF0000"/>
  </sheetPr>
  <dimension ref="A1:AM35"/>
  <sheetViews>
    <sheetView showGridLines="0" topLeftCell="A5" zoomScale="85" zoomScaleNormal="85" workbookViewId="0">
      <pane xSplit="2" topLeftCell="S1" activePane="topRight" state="frozen"/>
      <selection pane="topRight" activeCell="AD35" sqref="AD35"/>
    </sheetView>
  </sheetViews>
  <sheetFormatPr defaultRowHeight="15" x14ac:dyDescent="0.25"/>
  <cols>
    <col min="1" max="1" width="11.85546875" customWidth="1"/>
    <col min="2" max="2" width="20.5703125" customWidth="1"/>
    <col min="6" max="6" width="14.42578125" bestFit="1" customWidth="1"/>
    <col min="10" max="10" width="14.42578125" bestFit="1" customWidth="1"/>
    <col min="14" max="14" width="14.42578125" bestFit="1" customWidth="1"/>
    <col min="18" max="18" width="14.42578125" bestFit="1" customWidth="1"/>
    <col min="30" max="31" width="18" customWidth="1"/>
    <col min="32" max="32" width="20" customWidth="1"/>
    <col min="33" max="33" width="14" customWidth="1"/>
    <col min="35" max="35" width="18" customWidth="1"/>
    <col min="36" max="36" width="22" customWidth="1"/>
    <col min="37" max="37" width="16" customWidth="1"/>
    <col min="38" max="38" width="14" customWidth="1"/>
  </cols>
  <sheetData>
    <row r="1" spans="1:39" ht="43.5" customHeight="1" x14ac:dyDescent="0.25">
      <c r="A1" s="48" t="s">
        <v>306</v>
      </c>
      <c r="B1" s="48"/>
    </row>
    <row r="2" spans="1:39" ht="13.5" customHeight="1" x14ac:dyDescent="0.25">
      <c r="A2" s="30">
        <f>'28'!A2+1</f>
        <v>46232</v>
      </c>
    </row>
    <row r="3" spans="1:39" ht="24" customHeight="1" x14ac:dyDescent="0.25">
      <c r="A3" s="49" t="s">
        <v>0</v>
      </c>
      <c r="B3" s="49"/>
      <c r="C3" s="49" t="s">
        <v>93</v>
      </c>
      <c r="D3" s="50"/>
      <c r="E3" s="50"/>
      <c r="F3" s="50"/>
      <c r="G3" s="49" t="s">
        <v>94</v>
      </c>
      <c r="H3" s="50"/>
      <c r="I3" s="50"/>
      <c r="J3" s="50"/>
      <c r="K3" s="49" t="s">
        <v>95</v>
      </c>
      <c r="L3" s="50"/>
      <c r="M3" s="50"/>
      <c r="N3" s="50"/>
      <c r="O3" s="49" t="s">
        <v>96</v>
      </c>
      <c r="P3" s="50"/>
      <c r="Q3" s="50"/>
      <c r="R3" s="50"/>
      <c r="S3" s="45" t="s">
        <v>1</v>
      </c>
      <c r="T3" s="46"/>
      <c r="U3" s="46"/>
      <c r="V3" s="46"/>
      <c r="W3" s="46"/>
      <c r="X3" s="46"/>
      <c r="Y3" s="46"/>
      <c r="Z3" s="46"/>
      <c r="AA3" s="46"/>
      <c r="AB3" s="46"/>
      <c r="AC3" s="46"/>
      <c r="AD3" s="47" t="s">
        <v>97</v>
      </c>
      <c r="AE3" s="46"/>
      <c r="AF3" s="46"/>
      <c r="AG3" s="46"/>
      <c r="AH3" s="47" t="s">
        <v>98</v>
      </c>
      <c r="AI3" s="46"/>
      <c r="AJ3" s="46"/>
      <c r="AK3" s="46"/>
      <c r="AL3" s="46"/>
      <c r="AM3" s="46"/>
    </row>
    <row r="4" spans="1:39" ht="27.95" customHeight="1" x14ac:dyDescent="0.25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92</v>
      </c>
      <c r="G4" s="1" t="s">
        <v>5</v>
      </c>
      <c r="H4" s="1" t="s">
        <v>6</v>
      </c>
      <c r="I4" s="1" t="s">
        <v>7</v>
      </c>
      <c r="J4" s="1" t="s">
        <v>92</v>
      </c>
      <c r="K4" s="1" t="s">
        <v>5</v>
      </c>
      <c r="L4" s="1" t="s">
        <v>6</v>
      </c>
      <c r="M4" s="1" t="s">
        <v>7</v>
      </c>
      <c r="N4" s="1" t="s">
        <v>92</v>
      </c>
      <c r="O4" s="1" t="s">
        <v>5</v>
      </c>
      <c r="P4" s="1" t="s">
        <v>6</v>
      </c>
      <c r="Q4" s="1" t="s">
        <v>7</v>
      </c>
      <c r="R4" s="1" t="s">
        <v>92</v>
      </c>
      <c r="S4" s="1" t="s">
        <v>5</v>
      </c>
      <c r="T4" s="1" t="s">
        <v>6</v>
      </c>
      <c r="U4" s="1" t="s">
        <v>7</v>
      </c>
      <c r="V4" s="1" t="s">
        <v>8</v>
      </c>
      <c r="W4" s="1" t="s">
        <v>9</v>
      </c>
      <c r="X4" s="1" t="s">
        <v>10</v>
      </c>
      <c r="Y4" s="1" t="s">
        <v>11</v>
      </c>
      <c r="Z4" s="1" t="s">
        <v>12</v>
      </c>
      <c r="AA4" s="1" t="s">
        <v>13</v>
      </c>
      <c r="AB4" s="1" t="s">
        <v>14</v>
      </c>
      <c r="AC4" s="1" t="s">
        <v>15</v>
      </c>
      <c r="AD4" s="1" t="s">
        <v>16</v>
      </c>
      <c r="AE4" s="1" t="s">
        <v>17</v>
      </c>
      <c r="AF4" s="1" t="s">
        <v>18</v>
      </c>
      <c r="AG4" s="1" t="s">
        <v>19</v>
      </c>
      <c r="AH4" s="1" t="s">
        <v>20</v>
      </c>
      <c r="AI4" s="4" t="s">
        <v>99</v>
      </c>
      <c r="AJ4" s="1" t="s">
        <v>21</v>
      </c>
      <c r="AK4" s="1" t="s">
        <v>22</v>
      </c>
      <c r="AL4" s="1" t="s">
        <v>23</v>
      </c>
      <c r="AM4" s="4" t="s">
        <v>100</v>
      </c>
    </row>
    <row r="5" spans="1:39" ht="12.75" customHeight="1" x14ac:dyDescent="0.25">
      <c r="A5" s="31">
        <v>68107</v>
      </c>
      <c r="B5" s="32" t="str">
        <f>IF(A5="","",VLOOKUP(A5,'Employee Database'!A:B,2,FALSE))</f>
        <v>M Harris</v>
      </c>
      <c r="C5" s="31">
        <v>25</v>
      </c>
      <c r="D5" s="31">
        <v>43</v>
      </c>
      <c r="E5" s="31"/>
      <c r="F5" s="39">
        <f>IF(COUNT(C5:E5)=0,0,SUMPRODUCT({5000,1000,500},C5:E5))</f>
        <v>168000</v>
      </c>
      <c r="G5" s="31"/>
      <c r="H5" s="31"/>
      <c r="I5" s="31"/>
      <c r="J5" s="39">
        <f>IF(COUNT(G5:I5)=0,0,SUMPRODUCT({5000,1000,500},G5:I5))</f>
        <v>0</v>
      </c>
      <c r="K5" s="31"/>
      <c r="L5" s="31"/>
      <c r="M5" s="31"/>
      <c r="N5" s="39">
        <f>IF(COUNT(K5:M5)=0,0,SUMPRODUCT({5000,1000,500},K5:M5))</f>
        <v>0</v>
      </c>
      <c r="O5" s="31"/>
      <c r="P5" s="31"/>
      <c r="Q5" s="31"/>
      <c r="R5" s="39">
        <f>IF(COUNT(O5:Q5)=0,0,SUMPRODUCT({5000,1000,500},O5:Q5))</f>
        <v>0</v>
      </c>
      <c r="S5" s="31"/>
      <c r="T5" s="31"/>
      <c r="U5" s="31"/>
      <c r="V5" s="31"/>
      <c r="W5" s="31"/>
      <c r="X5" s="31"/>
      <c r="Y5" s="31">
        <v>1</v>
      </c>
      <c r="Z5" s="31"/>
      <c r="AA5" s="31"/>
      <c r="AB5" s="31"/>
      <c r="AC5" s="31"/>
      <c r="AD5" s="34">
        <f>IF(COUNT(S5:AC5)=0,0,SUMPRODUCT({5000,1000,500,100,75,50,20,10,5,2,1}, S5:AC5))</f>
        <v>20</v>
      </c>
      <c r="AE5" s="33">
        <v>168016</v>
      </c>
      <c r="AF5" s="24">
        <f>IF(AND(COUNT(C5:E5)=0,COUNT(G5:I5)=0,COUNT(K5:M5)=0,COUNT(O5:Q5)=0,COUNT(S5:AC5)=0,AE5=""),"",(IF(COUNT(C5:E5)=0,0,SUMPRODUCT({5000,1000,500},C5:E5))+IF(COUNT(G5:I5)=0,0,SUMPRODUCT({5000,1000,500},G5:I5))+IF(COUNT(K5:M5)=0,0,SUMPRODUCT({5000,1000,500},K5:M5))+IF(COUNT(O5:Q5)=0,0,SUMPRODUCT({5000,1000,500},O5:Q5))+AD5)-N(AE5))</f>
        <v>4</v>
      </c>
      <c r="AG5" s="35" t="str">
        <f t="shared" ref="AG5:AG34" si="0">IF(AF5="","",IF(AF5&gt;0,"Excess",IF(AF5&lt;0,"Short","Balanced")))</f>
        <v>Excess</v>
      </c>
      <c r="AH5" s="38"/>
      <c r="AI5" s="36">
        <v>227924</v>
      </c>
      <c r="AJ5" s="37">
        <f>51005+211093+1</f>
        <v>262099</v>
      </c>
      <c r="AK5" s="26">
        <f t="shared" ref="AK5:AK34" si="1">IF(AND(AI5="",AJ5=""),"",N(AI5)-N(AJ5))</f>
        <v>-34175</v>
      </c>
      <c r="AL5" s="25" t="str">
        <f t="shared" ref="AL5:AL34" si="2">IF(AK5="","",IF(AK5&gt;0,"POS Excess",IF(AK5&lt;0,"Bank Short","Matched")))</f>
        <v>Bank Short</v>
      </c>
      <c r="AM5" s="38"/>
    </row>
    <row r="6" spans="1:39" ht="12.75" customHeight="1" x14ac:dyDescent="0.25">
      <c r="A6" s="31">
        <v>72873</v>
      </c>
      <c r="B6" s="32" t="str">
        <f>IF(A6="","",VLOOKUP(A6,'Employee Database'!A:B,2,FALSE))</f>
        <v>M Shajee</v>
      </c>
      <c r="C6" s="31">
        <v>34</v>
      </c>
      <c r="D6" s="31">
        <v>99</v>
      </c>
      <c r="E6" s="31">
        <v>1</v>
      </c>
      <c r="F6" s="39">
        <f>IF(COUNT(C6:E6)=0,0,SUMPRODUCT({5000,1000,500},C6:E6))</f>
        <v>269500</v>
      </c>
      <c r="G6" s="31"/>
      <c r="H6" s="31"/>
      <c r="I6" s="31"/>
      <c r="J6" s="39">
        <f>IF(COUNT(G6:I6)=0,0,SUMPRODUCT({5000,1000,500},G6:I6))</f>
        <v>0</v>
      </c>
      <c r="K6" s="31"/>
      <c r="L6" s="31"/>
      <c r="M6" s="31"/>
      <c r="N6" s="39">
        <f>IF(COUNT(K6:M6)=0,0,SUMPRODUCT({5000,1000,500},K6:M6))</f>
        <v>0</v>
      </c>
      <c r="O6" s="31"/>
      <c r="P6" s="31"/>
      <c r="Q6" s="31"/>
      <c r="R6" s="39">
        <f>IF(COUNT(O6:Q6)=0,0,SUMPRODUCT({5000,1000,500},O6:Q6))</f>
        <v>0</v>
      </c>
      <c r="S6" s="31"/>
      <c r="T6" s="31"/>
      <c r="U6" s="31"/>
      <c r="V6" s="31">
        <v>1</v>
      </c>
      <c r="W6" s="31"/>
      <c r="X6" s="31">
        <v>49</v>
      </c>
      <c r="Y6" s="31"/>
      <c r="Z6" s="31">
        <v>20</v>
      </c>
      <c r="AA6" s="31"/>
      <c r="AB6" s="31"/>
      <c r="AC6" s="31"/>
      <c r="AD6" s="34">
        <f>IF(COUNT(S6:AC6)=0,0,SUMPRODUCT({5000,1000,500,100,75,50,20,10,5,2,1}, S6:AC6))</f>
        <v>2750</v>
      </c>
      <c r="AE6" s="33">
        <v>272063</v>
      </c>
      <c r="AF6" s="24">
        <f>IF(AND(COUNT(C6:E6)=0,COUNT(G6:I6)=0,COUNT(K6:M6)=0,COUNT(O6:Q6)=0,COUNT(S6:AC6)=0,AE6=""),"",(IF(COUNT(C6:E6)=0,0,SUMPRODUCT({5000,1000,500},C6:E6))+IF(COUNT(G6:I6)=0,0,SUMPRODUCT({5000,1000,500},G6:I6))+IF(COUNT(K6:M6)=0,0,SUMPRODUCT({5000,1000,500},K6:M6))+IF(COUNT(O6:Q6)=0,0,SUMPRODUCT({5000,1000,500},O6:Q6))+AD6)-N(AE6))</f>
        <v>187</v>
      </c>
      <c r="AG6" s="35" t="str">
        <f t="shared" si="0"/>
        <v>Excess</v>
      </c>
      <c r="AH6" s="38"/>
      <c r="AI6" s="36">
        <v>269390</v>
      </c>
      <c r="AJ6" s="37">
        <f>129536+139854</f>
        <v>269390</v>
      </c>
      <c r="AK6" s="26">
        <f t="shared" si="1"/>
        <v>0</v>
      </c>
      <c r="AL6" s="25" t="str">
        <f t="shared" si="2"/>
        <v>Matched</v>
      </c>
      <c r="AM6" s="38"/>
    </row>
    <row r="7" spans="1:39" ht="12.75" customHeight="1" x14ac:dyDescent="0.25">
      <c r="A7" s="31">
        <v>65299</v>
      </c>
      <c r="B7" s="32" t="str">
        <f>IF(A7="","",VLOOKUP(A7,'Employee Database'!A:B,2,FALSE))</f>
        <v>M Faisal</v>
      </c>
      <c r="C7" s="31">
        <v>29</v>
      </c>
      <c r="D7" s="31">
        <v>101</v>
      </c>
      <c r="E7" s="31">
        <v>48</v>
      </c>
      <c r="F7" s="39">
        <f>IF(COUNT(C7:E7)=0,0,SUMPRODUCT({5000,1000,500},C7:E7))</f>
        <v>270000</v>
      </c>
      <c r="G7" s="31"/>
      <c r="H7" s="31"/>
      <c r="I7" s="31"/>
      <c r="J7" s="39">
        <f>IF(COUNT(G7:I7)=0,0,SUMPRODUCT({5000,1000,500},G7:I7))</f>
        <v>0</v>
      </c>
      <c r="K7" s="31"/>
      <c r="L7" s="31"/>
      <c r="M7" s="31"/>
      <c r="N7" s="39">
        <f>IF(COUNT(K7:M7)=0,0,SUMPRODUCT({5000,1000,500},K7:M7))</f>
        <v>0</v>
      </c>
      <c r="O7" s="31"/>
      <c r="P7" s="31"/>
      <c r="Q7" s="31"/>
      <c r="R7" s="39">
        <f>IF(COUNT(O7:Q7)=0,0,SUMPRODUCT({5000,1000,500},O7:Q7))</f>
        <v>0</v>
      </c>
      <c r="S7" s="31"/>
      <c r="T7" s="31"/>
      <c r="U7" s="31"/>
      <c r="V7" s="31"/>
      <c r="W7" s="31"/>
      <c r="X7" s="31">
        <v>28</v>
      </c>
      <c r="Y7" s="31"/>
      <c r="Z7" s="31">
        <v>55</v>
      </c>
      <c r="AA7" s="31"/>
      <c r="AB7" s="31"/>
      <c r="AC7" s="31"/>
      <c r="AD7" s="34">
        <f>IF(COUNT(S7:AC7)=0,0,SUMPRODUCT({5000,1000,500,100,75,50,20,10,5,2,1}, S7:AC7))</f>
        <v>1950</v>
      </c>
      <c r="AE7" s="33">
        <v>271889</v>
      </c>
      <c r="AF7" s="24">
        <f>IF(AND(COUNT(C7:E7)=0,COUNT(G7:I7)=0,COUNT(K7:M7)=0,COUNT(O7:Q7)=0,COUNT(S7:AC7)=0,AE7=""),"",(IF(COUNT(C7:E7)=0,0,SUMPRODUCT({5000,1000,500},C7:E7))+IF(COUNT(G7:I7)=0,0,SUMPRODUCT({5000,1000,500},G7:I7))+IF(COUNT(K7:M7)=0,0,SUMPRODUCT({5000,1000,500},K7:M7))+IF(COUNT(O7:Q7)=0,0,SUMPRODUCT({5000,1000,500},O7:Q7))+AD7)-N(AE7))</f>
        <v>61</v>
      </c>
      <c r="AG7" s="35" t="str">
        <f t="shared" si="0"/>
        <v>Excess</v>
      </c>
      <c r="AH7" s="38"/>
      <c r="AI7" s="36">
        <v>521611</v>
      </c>
      <c r="AJ7" s="37">
        <f>328956+192655</f>
        <v>521611</v>
      </c>
      <c r="AK7" s="26">
        <f t="shared" si="1"/>
        <v>0</v>
      </c>
      <c r="AL7" s="25" t="str">
        <f t="shared" si="2"/>
        <v>Matched</v>
      </c>
      <c r="AM7" s="38"/>
    </row>
    <row r="8" spans="1:39" ht="12.75" customHeight="1" x14ac:dyDescent="0.25">
      <c r="A8" s="31">
        <v>67249</v>
      </c>
      <c r="B8" s="32" t="str">
        <f>IF(A8="","",VLOOKUP(A8,'Employee Database'!A:B,2,FALSE))</f>
        <v>Hanan Javaid</v>
      </c>
      <c r="C8" s="31">
        <v>22</v>
      </c>
      <c r="D8" s="31">
        <v>27</v>
      </c>
      <c r="E8" s="31">
        <v>5</v>
      </c>
      <c r="F8" s="39">
        <f>IF(COUNT(C8:E8)=0,0,SUMPRODUCT({5000,1000,500},C8:E8))</f>
        <v>139500</v>
      </c>
      <c r="G8" s="31"/>
      <c r="H8" s="31"/>
      <c r="I8" s="31"/>
      <c r="J8" s="39">
        <f>IF(COUNT(G8:I8)=0,0,SUMPRODUCT({5000,1000,500},G8:I8))</f>
        <v>0</v>
      </c>
      <c r="K8" s="31"/>
      <c r="L8" s="31"/>
      <c r="M8" s="31"/>
      <c r="N8" s="39">
        <f>IF(COUNT(K8:M8)=0,0,SUMPRODUCT({5000,1000,500},K8:M8))</f>
        <v>0</v>
      </c>
      <c r="O8" s="31"/>
      <c r="P8" s="31"/>
      <c r="Q8" s="31"/>
      <c r="R8" s="39">
        <f>IF(COUNT(O8:Q8)=0,0,SUMPRODUCT({5000,1000,500},O8:Q8))</f>
        <v>0</v>
      </c>
      <c r="S8" s="31"/>
      <c r="T8" s="31"/>
      <c r="U8" s="31"/>
      <c r="V8" s="31">
        <v>2</v>
      </c>
      <c r="W8" s="31"/>
      <c r="X8" s="31">
        <v>43</v>
      </c>
      <c r="Y8" s="31"/>
      <c r="Z8" s="31">
        <v>12</v>
      </c>
      <c r="AA8" s="31"/>
      <c r="AB8" s="31"/>
      <c r="AC8" s="31"/>
      <c r="AD8" s="34">
        <f>IF(COUNT(S8:AC8)=0,0,SUMPRODUCT({5000,1000,500,100,75,50,20,10,5,2,1}, S8:AC8))</f>
        <v>2470</v>
      </c>
      <c r="AE8" s="33">
        <v>142021</v>
      </c>
      <c r="AF8" s="24">
        <f>IF(AND(COUNT(C8:E8)=0,COUNT(G8:I8)=0,COUNT(K8:M8)=0,COUNT(O8:Q8)=0,COUNT(S8:AC8)=0,AE8=""),"",(IF(COUNT(C8:E8)=0,0,SUMPRODUCT({5000,1000,500},C8:E8))+IF(COUNT(G8:I8)=0,0,SUMPRODUCT({5000,1000,500},G8:I8))+IF(COUNT(K8:M8)=0,0,SUMPRODUCT({5000,1000,500},K8:M8))+IF(COUNT(O8:Q8)=0,0,SUMPRODUCT({5000,1000,500},O8:Q8))+AD8)-N(AE8))</f>
        <v>-51</v>
      </c>
      <c r="AG8" s="35" t="str">
        <f t="shared" si="0"/>
        <v>Short</v>
      </c>
      <c r="AH8" s="38"/>
      <c r="AI8" s="36">
        <v>324006</v>
      </c>
      <c r="AJ8" s="37">
        <f>136321+187685</f>
        <v>324006</v>
      </c>
      <c r="AK8" s="26">
        <f t="shared" si="1"/>
        <v>0</v>
      </c>
      <c r="AL8" s="25" t="str">
        <f t="shared" si="2"/>
        <v>Matched</v>
      </c>
      <c r="AM8" s="38"/>
    </row>
    <row r="9" spans="1:39" ht="12.75" customHeight="1" x14ac:dyDescent="0.25">
      <c r="A9" s="31">
        <v>63854</v>
      </c>
      <c r="B9" s="32" t="str">
        <f>IF(A9="","",VLOOKUP(A9,'Employee Database'!A:B,2,FALSE))</f>
        <v>Maham</v>
      </c>
      <c r="C9" s="31">
        <v>52</v>
      </c>
      <c r="D9" s="31">
        <v>130</v>
      </c>
      <c r="E9" s="31">
        <v>10</v>
      </c>
      <c r="F9" s="39">
        <f>IF(COUNT(C9:E9)=0,0,SUMPRODUCT({5000,1000,500},C9:E9))</f>
        <v>395000</v>
      </c>
      <c r="G9" s="31"/>
      <c r="H9" s="31"/>
      <c r="I9" s="31"/>
      <c r="J9" s="39">
        <f>IF(COUNT(G9:I9)=0,0,SUMPRODUCT({5000,1000,500},G9:I9))</f>
        <v>0</v>
      </c>
      <c r="K9" s="31"/>
      <c r="L9" s="31"/>
      <c r="M9" s="31"/>
      <c r="N9" s="39">
        <f>IF(COUNT(K9:M9)=0,0,SUMPRODUCT({5000,1000,500},K9:M9))</f>
        <v>0</v>
      </c>
      <c r="O9" s="31"/>
      <c r="P9" s="31"/>
      <c r="Q9" s="31"/>
      <c r="R9" s="39">
        <f>IF(COUNT(O9:Q9)=0,0,SUMPRODUCT({5000,1000,500},O9:Q9))</f>
        <v>0</v>
      </c>
      <c r="S9" s="31"/>
      <c r="T9" s="31"/>
      <c r="U9" s="31"/>
      <c r="V9" s="31"/>
      <c r="W9" s="31"/>
      <c r="X9" s="31">
        <v>9</v>
      </c>
      <c r="Y9" s="31"/>
      <c r="Z9" s="31">
        <v>43</v>
      </c>
      <c r="AA9" s="31"/>
      <c r="AB9" s="31"/>
      <c r="AC9" s="31"/>
      <c r="AD9" s="34">
        <f>IF(COUNT(S9:AC9)=0,0,SUMPRODUCT({5000,1000,500,100,75,50,20,10,5,2,1}, S9:AC9))</f>
        <v>880</v>
      </c>
      <c r="AE9" s="33">
        <v>395862</v>
      </c>
      <c r="AF9" s="24">
        <f>IF(AND(COUNT(C9:E9)=0,COUNT(G9:I9)=0,COUNT(K9:M9)=0,COUNT(O9:Q9)=0,COUNT(S9:AC9)=0,AE9=""),"",(IF(COUNT(C9:E9)=0,0,SUMPRODUCT({5000,1000,500},C9:E9))+IF(COUNT(G9:I9)=0,0,SUMPRODUCT({5000,1000,500},G9:I9))+IF(COUNT(K9:M9)=0,0,SUMPRODUCT({5000,1000,500},K9:M9))+IF(COUNT(O9:Q9)=0,0,SUMPRODUCT({5000,1000,500},O9:Q9))+AD9)-N(AE9))</f>
        <v>18</v>
      </c>
      <c r="AG9" s="35" t="str">
        <f t="shared" si="0"/>
        <v>Excess</v>
      </c>
      <c r="AH9" s="38"/>
      <c r="AI9" s="36">
        <v>815183</v>
      </c>
      <c r="AJ9" s="37">
        <f>120956+365215+329011+1</f>
        <v>815183</v>
      </c>
      <c r="AK9" s="26">
        <f t="shared" si="1"/>
        <v>0</v>
      </c>
      <c r="AL9" s="25" t="str">
        <f t="shared" si="2"/>
        <v>Matched</v>
      </c>
      <c r="AM9" s="38"/>
    </row>
    <row r="10" spans="1:39" ht="12.75" customHeight="1" x14ac:dyDescent="0.25">
      <c r="A10" s="31">
        <v>71205</v>
      </c>
      <c r="B10" s="32" t="str">
        <f>IF(A10="","",VLOOKUP(A10,'Employee Database'!A:B,2,FALSE))</f>
        <v>M Yaqoob</v>
      </c>
      <c r="C10" s="31">
        <v>52</v>
      </c>
      <c r="D10" s="31">
        <v>144</v>
      </c>
      <c r="E10" s="31">
        <v>1</v>
      </c>
      <c r="F10" s="39">
        <f>IF(COUNT(C10:E10)=0,0,SUMPRODUCT({5000,1000,500},C10:E10))</f>
        <v>404500</v>
      </c>
      <c r="G10" s="31"/>
      <c r="H10" s="31"/>
      <c r="I10" s="31"/>
      <c r="J10" s="39">
        <f>IF(COUNT(G10:I10)=0,0,SUMPRODUCT({5000,1000,500},G10:I10))</f>
        <v>0</v>
      </c>
      <c r="K10" s="31"/>
      <c r="L10" s="31"/>
      <c r="M10" s="31"/>
      <c r="N10" s="39">
        <f>IF(COUNT(K10:M10)=0,0,SUMPRODUCT({5000,1000,500},K10:M10))</f>
        <v>0</v>
      </c>
      <c r="O10" s="31"/>
      <c r="P10" s="31"/>
      <c r="Q10" s="31"/>
      <c r="R10" s="39">
        <f>IF(COUNT(O10:Q10)=0,0,SUMPRODUCT({5000,1000,500},O10:Q10))</f>
        <v>0</v>
      </c>
      <c r="S10" s="31"/>
      <c r="T10" s="31"/>
      <c r="U10" s="31"/>
      <c r="V10" s="31">
        <v>1</v>
      </c>
      <c r="W10" s="31"/>
      <c r="X10" s="31"/>
      <c r="Y10" s="31"/>
      <c r="Z10" s="31">
        <v>21</v>
      </c>
      <c r="AA10" s="31"/>
      <c r="AB10" s="31"/>
      <c r="AC10" s="31"/>
      <c r="AD10" s="34">
        <f>IF(COUNT(S10:AC10)=0,0,SUMPRODUCT({5000,1000,500,100,75,50,20,10,5,2,1}, S10:AC10))</f>
        <v>310</v>
      </c>
      <c r="AE10" s="33">
        <v>404857</v>
      </c>
      <c r="AF10" s="24">
        <f>IF(AND(COUNT(C10:E10)=0,COUNT(G10:I10)=0,COUNT(K10:M10)=0,COUNT(O10:Q10)=0,COUNT(S10:AC10)=0,AE10=""),"",(IF(COUNT(C10:E10)=0,0,SUMPRODUCT({5000,1000,500},C10:E10))+IF(COUNT(G10:I10)=0,0,SUMPRODUCT({5000,1000,500},G10:I10))+IF(COUNT(K10:M10)=0,0,SUMPRODUCT({5000,1000,500},K10:M10))+IF(COUNT(O10:Q10)=0,0,SUMPRODUCT({5000,1000,500},O10:Q10))+AD10)-N(AE10))</f>
        <v>-47</v>
      </c>
      <c r="AG10" s="35" t="str">
        <f t="shared" si="0"/>
        <v>Short</v>
      </c>
      <c r="AH10" s="38"/>
      <c r="AI10" s="36">
        <v>619706</v>
      </c>
      <c r="AJ10" s="37">
        <f>204610+415095+1</f>
        <v>619706</v>
      </c>
      <c r="AK10" s="26">
        <f t="shared" si="1"/>
        <v>0</v>
      </c>
      <c r="AL10" s="25" t="str">
        <f t="shared" si="2"/>
        <v>Matched</v>
      </c>
      <c r="AM10" s="38"/>
    </row>
    <row r="11" spans="1:39" ht="12.75" customHeight="1" x14ac:dyDescent="0.25">
      <c r="A11" s="31">
        <v>56189</v>
      </c>
      <c r="B11" s="32" t="str">
        <f>IF(A11="","",VLOOKUP(A11,'Employee Database'!A:B,2,FALSE))</f>
        <v>Iffat Sultan</v>
      </c>
      <c r="C11" s="31">
        <v>28</v>
      </c>
      <c r="D11" s="31">
        <v>26</v>
      </c>
      <c r="E11" s="31">
        <v>1</v>
      </c>
      <c r="F11" s="39">
        <f>IF(COUNT(C11:E11)=0,0,SUMPRODUCT({5000,1000,500},C11:E11))</f>
        <v>166500</v>
      </c>
      <c r="G11" s="31"/>
      <c r="H11" s="31"/>
      <c r="I11" s="31"/>
      <c r="J11" s="39">
        <f>IF(COUNT(G11:I11)=0,0,SUMPRODUCT({5000,1000,500},G11:I11))</f>
        <v>0</v>
      </c>
      <c r="K11" s="31"/>
      <c r="L11" s="31"/>
      <c r="M11" s="31"/>
      <c r="N11" s="39">
        <f>IF(COUNT(K11:M11)=0,0,SUMPRODUCT({5000,1000,500},K11:M11))</f>
        <v>0</v>
      </c>
      <c r="O11" s="31"/>
      <c r="P11" s="31"/>
      <c r="Q11" s="31"/>
      <c r="R11" s="39">
        <f>IF(COUNT(O11:Q11)=0,0,SUMPRODUCT({5000,1000,500},O11:Q11))</f>
        <v>0</v>
      </c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4">
        <f>IF(COUNT(S11:AC11)=0,0,SUMPRODUCT({5000,1000,500,100,75,50,20,10,5,2,1}, S11:AC11))</f>
        <v>0</v>
      </c>
      <c r="AE11" s="33">
        <v>166518</v>
      </c>
      <c r="AF11" s="24">
        <f>IF(AND(COUNT(C11:E11)=0,COUNT(G11:I11)=0,COUNT(K11:M11)=0,COUNT(O11:Q11)=0,COUNT(S11:AC11)=0,AE11=""),"",(IF(COUNT(C11:E11)=0,0,SUMPRODUCT({5000,1000,500},C11:E11))+IF(COUNT(G11:I11)=0,0,SUMPRODUCT({5000,1000,500},G11:I11))+IF(COUNT(K11:M11)=0,0,SUMPRODUCT({5000,1000,500},K11:M11))+IF(COUNT(O11:Q11)=0,0,SUMPRODUCT({5000,1000,500},O11:Q11))+AD11)-N(AE11))</f>
        <v>-18</v>
      </c>
      <c r="AG11" s="35" t="str">
        <f t="shared" si="0"/>
        <v>Short</v>
      </c>
      <c r="AH11" s="38"/>
      <c r="AI11" s="36">
        <v>321956</v>
      </c>
      <c r="AJ11" s="37">
        <f>138349+183607</f>
        <v>321956</v>
      </c>
      <c r="AK11" s="26">
        <f t="shared" si="1"/>
        <v>0</v>
      </c>
      <c r="AL11" s="25" t="str">
        <f t="shared" si="2"/>
        <v>Matched</v>
      </c>
      <c r="AM11" s="38"/>
    </row>
    <row r="12" spans="1:39" ht="12.75" customHeight="1" x14ac:dyDescent="0.25">
      <c r="A12" s="31">
        <v>68475</v>
      </c>
      <c r="B12" s="32" t="str">
        <f>IF(A12="","",VLOOKUP(A12,'Employee Database'!A:B,2,FALSE))</f>
        <v>M Azeem</v>
      </c>
      <c r="C12" s="31"/>
      <c r="D12" s="31"/>
      <c r="E12" s="31"/>
      <c r="F12" s="39">
        <f>IF(COUNT(C12:E12)=0,0,SUMPRODUCT({5000,1000,500},C12:E12))</f>
        <v>0</v>
      </c>
      <c r="G12" s="31">
        <v>33</v>
      </c>
      <c r="H12" s="31">
        <v>74</v>
      </c>
      <c r="I12" s="31">
        <v>0</v>
      </c>
      <c r="J12" s="39">
        <f>IF(COUNT(G12:I12)=0,0,SUMPRODUCT({5000,1000,500},G12:I12))</f>
        <v>239000</v>
      </c>
      <c r="K12" s="31">
        <v>11</v>
      </c>
      <c r="L12" s="31">
        <v>52</v>
      </c>
      <c r="M12" s="31">
        <v>0</v>
      </c>
      <c r="N12" s="39">
        <f>IF(COUNT(K12:M12)=0,0,SUMPRODUCT({5000,1000,500},K12:M12))</f>
        <v>107000</v>
      </c>
      <c r="O12" s="31"/>
      <c r="P12" s="31"/>
      <c r="Q12" s="31"/>
      <c r="R12" s="39">
        <f>IF(COUNT(O12:Q12)=0,0,SUMPRODUCT({5000,1000,500},O12:Q12))</f>
        <v>0</v>
      </c>
      <c r="S12" s="31"/>
      <c r="T12" s="31"/>
      <c r="U12" s="31"/>
      <c r="V12" s="31">
        <v>4</v>
      </c>
      <c r="W12" s="31"/>
      <c r="X12" s="31">
        <v>22</v>
      </c>
      <c r="Y12" s="31">
        <v>2</v>
      </c>
      <c r="Z12" s="31">
        <v>40</v>
      </c>
      <c r="AA12" s="31"/>
      <c r="AB12" s="31"/>
      <c r="AC12" s="31"/>
      <c r="AD12" s="34">
        <f>IF(COUNT(S12:AC12)=0,0,SUMPRODUCT({5000,1000,500,100,75,50,20,10,5,2,1}, S12:AC12))</f>
        <v>1940</v>
      </c>
      <c r="AE12" s="33">
        <v>347866</v>
      </c>
      <c r="AF12" s="24">
        <f>IF(AND(COUNT(C12:E12)=0,COUNT(G12:I12)=0,COUNT(K12:M12)=0,COUNT(O12:Q12)=0,COUNT(S12:AC12)=0,AE12=""),"",(IF(COUNT(C12:E12)=0,0,SUMPRODUCT({5000,1000,500},C12:E12))+IF(COUNT(G12:I12)=0,0,SUMPRODUCT({5000,1000,500},G12:I12))+IF(COUNT(K12:M12)=0,0,SUMPRODUCT({5000,1000,500},K12:M12))+IF(COUNT(O12:Q12)=0,0,SUMPRODUCT({5000,1000,500},O12:Q12))+AD12)-N(AE12))</f>
        <v>74</v>
      </c>
      <c r="AG12" s="35" t="str">
        <f t="shared" si="0"/>
        <v>Excess</v>
      </c>
      <c r="AH12" s="38"/>
      <c r="AI12" s="36">
        <v>726910.4</v>
      </c>
      <c r="AJ12" s="37">
        <v>726910.4</v>
      </c>
      <c r="AK12" s="26">
        <f t="shared" si="1"/>
        <v>0</v>
      </c>
      <c r="AL12" s="25" t="str">
        <f t="shared" si="2"/>
        <v>Matched</v>
      </c>
      <c r="AM12" s="38"/>
    </row>
    <row r="13" spans="1:39" ht="12.75" customHeight="1" x14ac:dyDescent="0.25">
      <c r="A13" s="31">
        <v>50134</v>
      </c>
      <c r="B13" s="32" t="str">
        <f>IF(A13="","",VLOOKUP(A13,'Employee Database'!A:B,2,FALSE))</f>
        <v>Asif Abbas</v>
      </c>
      <c r="C13" s="31"/>
      <c r="D13" s="31"/>
      <c r="E13" s="31"/>
      <c r="F13" s="39">
        <f>IF(COUNT(C13:E13)=0,0,SUMPRODUCT({5000,1000,500},C13:E13))</f>
        <v>0</v>
      </c>
      <c r="G13" s="31">
        <v>31</v>
      </c>
      <c r="H13" s="31">
        <v>95</v>
      </c>
      <c r="I13" s="31">
        <v>0</v>
      </c>
      <c r="J13" s="39">
        <f>IF(COUNT(G13:I13)=0,0,SUMPRODUCT({5000,1000,500},G13:I13))</f>
        <v>250000</v>
      </c>
      <c r="K13" s="31">
        <v>4</v>
      </c>
      <c r="L13" s="31">
        <v>116</v>
      </c>
      <c r="M13" s="31">
        <v>21</v>
      </c>
      <c r="N13" s="39">
        <f>IF(COUNT(K13:M13)=0,0,SUMPRODUCT({5000,1000,500},K13:M13))</f>
        <v>146500</v>
      </c>
      <c r="O13" s="31"/>
      <c r="P13" s="31"/>
      <c r="Q13" s="31"/>
      <c r="R13" s="39">
        <f>IF(COUNT(O13:Q13)=0,0,SUMPRODUCT({5000,1000,500},O13:Q13))</f>
        <v>0</v>
      </c>
      <c r="S13" s="31"/>
      <c r="T13" s="31"/>
      <c r="U13" s="31"/>
      <c r="V13" s="31">
        <v>2</v>
      </c>
      <c r="W13" s="31"/>
      <c r="X13" s="31">
        <v>15</v>
      </c>
      <c r="Y13" s="31"/>
      <c r="Z13" s="31">
        <v>34</v>
      </c>
      <c r="AA13" s="31"/>
      <c r="AB13" s="31"/>
      <c r="AC13" s="31"/>
      <c r="AD13" s="34">
        <f>IF(COUNT(S13:AC13)=0,0,SUMPRODUCT({5000,1000,500,100,75,50,20,10,5,2,1}, S13:AC13))</f>
        <v>1290</v>
      </c>
      <c r="AE13" s="33">
        <v>397827</v>
      </c>
      <c r="AF13" s="24">
        <f>IF(AND(COUNT(C13:E13)=0,COUNT(G13:I13)=0,COUNT(K13:M13)=0,COUNT(O13:Q13)=0,COUNT(S13:AC13)=0,AE13=""),"",(IF(COUNT(C13:E13)=0,0,SUMPRODUCT({5000,1000,500},C13:E13))+IF(COUNT(G13:I13)=0,0,SUMPRODUCT({5000,1000,500},G13:I13))+IF(COUNT(K13:M13)=0,0,SUMPRODUCT({5000,1000,500},K13:M13))+IF(COUNT(O13:Q13)=0,0,SUMPRODUCT({5000,1000,500},O13:Q13))+AD13)-N(AE13))</f>
        <v>-37</v>
      </c>
      <c r="AG13" s="35" t="str">
        <f t="shared" si="0"/>
        <v>Short</v>
      </c>
      <c r="AH13" s="38"/>
      <c r="AI13" s="36">
        <v>924753</v>
      </c>
      <c r="AJ13" s="37">
        <v>924753</v>
      </c>
      <c r="AK13" s="26">
        <f t="shared" si="1"/>
        <v>0</v>
      </c>
      <c r="AL13" s="25" t="str">
        <f t="shared" si="2"/>
        <v>Matched</v>
      </c>
      <c r="AM13" s="38"/>
    </row>
    <row r="14" spans="1:39" ht="12.75" customHeight="1" x14ac:dyDescent="0.25">
      <c r="A14" s="31">
        <v>67799</v>
      </c>
      <c r="B14" s="32" t="str">
        <f>IF(A14="","",VLOOKUP(A14,'Employee Database'!A:B,2,FALSE))</f>
        <v>Hassan Raza</v>
      </c>
      <c r="C14" s="31"/>
      <c r="D14" s="31"/>
      <c r="E14" s="31"/>
      <c r="F14" s="39">
        <f>IF(COUNT(C14:E14)=0,0,SUMPRODUCT({5000,1000,500},C14:E14))</f>
        <v>0</v>
      </c>
      <c r="G14" s="31"/>
      <c r="H14" s="31"/>
      <c r="I14" s="31"/>
      <c r="J14" s="39">
        <f>IF(COUNT(G14:I14)=0,0,SUMPRODUCT({5000,1000,500},G14:I14))</f>
        <v>0</v>
      </c>
      <c r="K14" s="31">
        <v>42</v>
      </c>
      <c r="L14" s="31">
        <v>54</v>
      </c>
      <c r="M14" s="31">
        <v>7</v>
      </c>
      <c r="N14" s="39">
        <f>IF(COUNT(K14:M14)=0,0,SUMPRODUCT({5000,1000,500},K14:M14))</f>
        <v>267500</v>
      </c>
      <c r="O14" s="31"/>
      <c r="P14" s="31"/>
      <c r="Q14" s="31"/>
      <c r="R14" s="39">
        <f>IF(COUNT(O14:Q14)=0,0,SUMPRODUCT({5000,1000,500},O14:Q14))</f>
        <v>0</v>
      </c>
      <c r="S14" s="31"/>
      <c r="T14" s="31"/>
      <c r="U14" s="31"/>
      <c r="V14" s="31">
        <v>2</v>
      </c>
      <c r="W14" s="31"/>
      <c r="X14" s="31">
        <v>52</v>
      </c>
      <c r="Y14" s="31"/>
      <c r="Z14" s="31">
        <v>29</v>
      </c>
      <c r="AA14" s="31"/>
      <c r="AB14" s="31"/>
      <c r="AC14" s="31"/>
      <c r="AD14" s="34">
        <f>IF(COUNT(S14:AC14)=0,0,SUMPRODUCT({5000,1000,500,100,75,50,20,10,5,2,1}, S14:AC14))</f>
        <v>3090</v>
      </c>
      <c r="AE14" s="33">
        <v>270638</v>
      </c>
      <c r="AF14" s="24">
        <f>IF(AND(COUNT(C14:E14)=0,COUNT(G14:I14)=0,COUNT(K14:M14)=0,COUNT(O14:Q14)=0,COUNT(S14:AC14)=0,AE14=""),"",(IF(COUNT(C14:E14)=0,0,SUMPRODUCT({5000,1000,500},C14:E14))+IF(COUNT(G14:I14)=0,0,SUMPRODUCT({5000,1000,500},G14:I14))+IF(COUNT(K14:M14)=0,0,SUMPRODUCT({5000,1000,500},K14:M14))+IF(COUNT(O14:Q14)=0,0,SUMPRODUCT({5000,1000,500},O14:Q14))+AD14)-N(AE14))</f>
        <v>-48</v>
      </c>
      <c r="AG14" s="35" t="str">
        <f t="shared" si="0"/>
        <v>Short</v>
      </c>
      <c r="AH14" s="38"/>
      <c r="AI14" s="36">
        <v>753027.66</v>
      </c>
      <c r="AJ14" s="37">
        <f>103427.84+649599.82</f>
        <v>753027.65999999992</v>
      </c>
      <c r="AK14" s="26">
        <f t="shared" si="1"/>
        <v>1.1641532182693481E-10</v>
      </c>
      <c r="AL14" s="25" t="str">
        <f t="shared" si="2"/>
        <v>POS Excess</v>
      </c>
      <c r="AM14" s="38"/>
    </row>
    <row r="15" spans="1:39" ht="12.75" customHeight="1" x14ac:dyDescent="0.25">
      <c r="A15" s="31">
        <v>50394</v>
      </c>
      <c r="B15" s="32" t="str">
        <f>IF(A15="","",VLOOKUP(A15,'Employee Database'!A:B,2,FALSE))</f>
        <v>Qasir Ali</v>
      </c>
      <c r="C15" s="31"/>
      <c r="D15" s="31"/>
      <c r="E15" s="31"/>
      <c r="F15" s="39">
        <f>IF(COUNT(C15:E15)=0,0,SUMPRODUCT({5000,1000,500},C15:E15))</f>
        <v>0</v>
      </c>
      <c r="G15" s="31">
        <v>11</v>
      </c>
      <c r="H15" s="31">
        <f>31+15</f>
        <v>46</v>
      </c>
      <c r="I15" s="31">
        <v>0</v>
      </c>
      <c r="J15" s="39">
        <f>IF(COUNT(G15:I15)=0,0,SUMPRODUCT({5000,1000,500},G15:I15))</f>
        <v>101000</v>
      </c>
      <c r="K15" s="31">
        <v>4</v>
      </c>
      <c r="L15" s="31">
        <v>3</v>
      </c>
      <c r="M15" s="31">
        <v>2</v>
      </c>
      <c r="N15" s="39">
        <f>IF(COUNT(K15:M15)=0,0,SUMPRODUCT({5000,1000,500},K15:M15))</f>
        <v>24000</v>
      </c>
      <c r="O15" s="31"/>
      <c r="P15" s="31"/>
      <c r="Q15" s="31"/>
      <c r="R15" s="39">
        <f>IF(COUNT(O15:Q15)=0,0,SUMPRODUCT({5000,1000,500},O15:Q15))</f>
        <v>0</v>
      </c>
      <c r="S15" s="31"/>
      <c r="T15" s="31"/>
      <c r="U15" s="31"/>
      <c r="V15" s="31"/>
      <c r="W15" s="31"/>
      <c r="X15" s="31">
        <v>20</v>
      </c>
      <c r="Y15" s="31"/>
      <c r="Z15" s="31">
        <v>73</v>
      </c>
      <c r="AA15" s="31"/>
      <c r="AB15" s="31"/>
      <c r="AC15" s="31"/>
      <c r="AD15" s="34">
        <f>IF(COUNT(S15:AC15)=0,0,SUMPRODUCT({5000,1000,500,100,75,50,20,10,5,2,1}, S15:AC15))</f>
        <v>1730</v>
      </c>
      <c r="AE15" s="33">
        <v>126628</v>
      </c>
      <c r="AF15" s="24">
        <f>IF(AND(COUNT(C15:E15)=0,COUNT(G15:I15)=0,COUNT(K15:M15)=0,COUNT(O15:Q15)=0,COUNT(S15:AC15)=0,AE15=""),"",(IF(COUNT(C15:E15)=0,0,SUMPRODUCT({5000,1000,500},C15:E15))+IF(COUNT(G15:I15)=0,0,SUMPRODUCT({5000,1000,500},G15:I15))+IF(COUNT(K15:M15)=0,0,SUMPRODUCT({5000,1000,500},K15:M15))+IF(COUNT(O15:Q15)=0,0,SUMPRODUCT({5000,1000,500},O15:Q15))+AD15)-N(AE15))</f>
        <v>102</v>
      </c>
      <c r="AG15" s="35" t="str">
        <f t="shared" si="0"/>
        <v>Excess</v>
      </c>
      <c r="AH15" s="38"/>
      <c r="AI15" s="36">
        <v>363513.32</v>
      </c>
      <c r="AJ15" s="37">
        <f>63500.98+9128.6+290883.74</f>
        <v>363513.32</v>
      </c>
      <c r="AK15" s="26">
        <f t="shared" si="1"/>
        <v>0</v>
      </c>
      <c r="AL15" s="25" t="str">
        <f t="shared" si="2"/>
        <v>Matched</v>
      </c>
      <c r="AM15" s="38"/>
    </row>
    <row r="16" spans="1:39" ht="12.75" customHeight="1" x14ac:dyDescent="0.25">
      <c r="A16" s="31">
        <v>73679</v>
      </c>
      <c r="B16" s="32" t="str">
        <f>IF(A16="","",VLOOKUP(A16,'Employee Database'!A:B,2,FALSE))</f>
        <v>Imran Waqar</v>
      </c>
      <c r="C16" s="31"/>
      <c r="D16" s="31"/>
      <c r="E16" s="31"/>
      <c r="F16" s="39">
        <f>IF(COUNT(C16:E16)=0,0,SUMPRODUCT({5000,1000,500},C16:E16))</f>
        <v>0</v>
      </c>
      <c r="G16" s="31">
        <v>23</v>
      </c>
      <c r="H16" s="31">
        <v>65</v>
      </c>
      <c r="I16" s="31">
        <v>0</v>
      </c>
      <c r="J16" s="39">
        <f>IF(COUNT(G16:I16)=0,0,SUMPRODUCT({5000,1000,500},G16:I16))</f>
        <v>180000</v>
      </c>
      <c r="K16" s="31">
        <v>10</v>
      </c>
      <c r="L16" s="31">
        <v>43</v>
      </c>
      <c r="M16" s="31">
        <v>9</v>
      </c>
      <c r="N16" s="39">
        <f>IF(COUNT(K16:M16)=0,0,SUMPRODUCT({5000,1000,500},K16:M16))</f>
        <v>97500</v>
      </c>
      <c r="O16" s="31"/>
      <c r="P16" s="31"/>
      <c r="Q16" s="31"/>
      <c r="R16" s="39">
        <f>IF(COUNT(O16:Q16)=0,0,SUMPRODUCT({5000,1000,500},O16:Q16))</f>
        <v>0</v>
      </c>
      <c r="S16" s="31"/>
      <c r="T16" s="31"/>
      <c r="U16" s="31"/>
      <c r="V16" s="31">
        <v>2</v>
      </c>
      <c r="W16" s="31"/>
      <c r="X16" s="31">
        <v>26</v>
      </c>
      <c r="Y16" s="31"/>
      <c r="Z16" s="31">
        <v>33</v>
      </c>
      <c r="AA16" s="31"/>
      <c r="AB16" s="31"/>
      <c r="AC16" s="31"/>
      <c r="AD16" s="34">
        <f>IF(COUNT(S16:AC16)=0,0,SUMPRODUCT({5000,1000,500,100,75,50,20,10,5,2,1}, S16:AC16))</f>
        <v>1830</v>
      </c>
      <c r="AE16" s="33">
        <v>279329</v>
      </c>
      <c r="AF16" s="24">
        <f>IF(AND(COUNT(C16:E16)=0,COUNT(G16:I16)=0,COUNT(K16:M16)=0,COUNT(O16:Q16)=0,COUNT(S16:AC16)=0,AE16=""),"",(IF(COUNT(C16:E16)=0,0,SUMPRODUCT({5000,1000,500},C16:E16))+IF(COUNT(G16:I16)=0,0,SUMPRODUCT({5000,1000,500},G16:I16))+IF(COUNT(K16:M16)=0,0,SUMPRODUCT({5000,1000,500},K16:M16))+IF(COUNT(O16:Q16)=0,0,SUMPRODUCT({5000,1000,500},O16:Q16))+AD16)-N(AE16))</f>
        <v>1</v>
      </c>
      <c r="AG16" s="35" t="str">
        <f t="shared" si="0"/>
        <v>Excess</v>
      </c>
      <c r="AH16" s="38"/>
      <c r="AI16" s="36">
        <v>582110.97</v>
      </c>
      <c r="AJ16" s="37">
        <f>169640.42+378295.54</f>
        <v>547935.96</v>
      </c>
      <c r="AK16" s="26">
        <f t="shared" si="1"/>
        <v>34175.010000000009</v>
      </c>
      <c r="AL16" s="25" t="str">
        <f t="shared" si="2"/>
        <v>POS Excess</v>
      </c>
      <c r="AM16" s="38"/>
    </row>
    <row r="17" spans="1:39" ht="12.75" customHeight="1" x14ac:dyDescent="0.25">
      <c r="A17" s="31">
        <v>71788</v>
      </c>
      <c r="B17" s="32" t="str">
        <f>IF(A17="","",VLOOKUP(A17,'Employee Database'!A:B,2,FALSE))</f>
        <v>Saaim</v>
      </c>
      <c r="C17" s="31"/>
      <c r="D17" s="31"/>
      <c r="E17" s="31"/>
      <c r="F17" s="39">
        <f>IF(COUNT(C17:E17)=0,0,SUMPRODUCT({5000,1000,500},C17:E17))</f>
        <v>0</v>
      </c>
      <c r="G17" s="31">
        <v>27</v>
      </c>
      <c r="H17" s="31">
        <v>66</v>
      </c>
      <c r="I17" s="31">
        <v>0</v>
      </c>
      <c r="J17" s="39">
        <f>IF(COUNT(G17:I17)=0,0,SUMPRODUCT({5000,1000,500},G17:I17))</f>
        <v>201000</v>
      </c>
      <c r="K17" s="31">
        <v>6</v>
      </c>
      <c r="L17" s="31">
        <v>27</v>
      </c>
      <c r="M17" s="31">
        <v>15</v>
      </c>
      <c r="N17" s="39">
        <f>IF(COUNT(K17:M17)=0,0,SUMPRODUCT({5000,1000,500},K17:M17))</f>
        <v>64500</v>
      </c>
      <c r="O17" s="31"/>
      <c r="P17" s="31"/>
      <c r="Q17" s="31"/>
      <c r="R17" s="39">
        <f>IF(COUNT(O17:Q17)=0,0,SUMPRODUCT({5000,1000,500},O17:Q17))</f>
        <v>0</v>
      </c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4">
        <f>IF(COUNT(S17:AC17)=0,0,SUMPRODUCT({5000,1000,500,100,75,50,20,10,5,2,1}, S17:AC17))</f>
        <v>0</v>
      </c>
      <c r="AE17" s="33">
        <v>265592</v>
      </c>
      <c r="AF17" s="24">
        <f>IF(AND(COUNT(C17:E17)=0,COUNT(G17:I17)=0,COUNT(K17:M17)=0,COUNT(O17:Q17)=0,COUNT(S17:AC17)=0,AE17=""),"",(IF(COUNT(C17:E17)=0,0,SUMPRODUCT({5000,1000,500},C17:E17))+IF(COUNT(G17:I17)=0,0,SUMPRODUCT({5000,1000,500},G17:I17))+IF(COUNT(K17:M17)=0,0,SUMPRODUCT({5000,1000,500},K17:M17))+IF(COUNT(O17:Q17)=0,0,SUMPRODUCT({5000,1000,500},O17:Q17))+AD17)-N(AE17))</f>
        <v>-92</v>
      </c>
      <c r="AG17" s="35" t="str">
        <f t="shared" si="0"/>
        <v>Short</v>
      </c>
      <c r="AH17" s="38"/>
      <c r="AI17" s="36">
        <f>626392.91+209167.83</f>
        <v>835560.74</v>
      </c>
      <c r="AJ17" s="37">
        <f>626392.91+209167.83</f>
        <v>835560.74</v>
      </c>
      <c r="AK17" s="26">
        <f t="shared" si="1"/>
        <v>0</v>
      </c>
      <c r="AL17" s="25" t="str">
        <f t="shared" si="2"/>
        <v>Matched</v>
      </c>
      <c r="AM17" s="38"/>
    </row>
    <row r="18" spans="1:39" ht="12.75" customHeight="1" x14ac:dyDescent="0.25">
      <c r="A18" s="31">
        <v>53893</v>
      </c>
      <c r="B18" s="32" t="str">
        <f>IF(A18="","",VLOOKUP(A18,'Employee Database'!A:B,2,FALSE))</f>
        <v>M Binyameen</v>
      </c>
      <c r="C18" s="31"/>
      <c r="D18" s="31"/>
      <c r="E18" s="31"/>
      <c r="F18" s="39">
        <f>IF(COUNT(C18:E18)=0,0,SUMPRODUCT({5000,1000,500},C18:E18))</f>
        <v>0</v>
      </c>
      <c r="G18" s="31">
        <v>30</v>
      </c>
      <c r="H18" s="31">
        <v>52</v>
      </c>
      <c r="I18" s="31">
        <v>16</v>
      </c>
      <c r="J18" s="39">
        <f>IF(COUNT(G18:I18)=0,0,SUMPRODUCT({5000,1000,500},G18:I18))</f>
        <v>210000</v>
      </c>
      <c r="K18" s="31">
        <v>10</v>
      </c>
      <c r="L18" s="31">
        <v>21</v>
      </c>
      <c r="M18" s="31">
        <v>3</v>
      </c>
      <c r="N18" s="39">
        <f>IF(COUNT(K18:M18)=0,0,SUMPRODUCT({5000,1000,500},K18:M18))</f>
        <v>72500</v>
      </c>
      <c r="O18" s="31"/>
      <c r="P18" s="31"/>
      <c r="Q18" s="31"/>
      <c r="R18" s="39">
        <f>IF(COUNT(O18:Q18)=0,0,SUMPRODUCT({5000,1000,500},O18:Q18))</f>
        <v>0</v>
      </c>
      <c r="S18" s="31"/>
      <c r="T18" s="31"/>
      <c r="U18" s="31"/>
      <c r="V18" s="31">
        <v>2</v>
      </c>
      <c r="W18" s="31"/>
      <c r="X18" s="31">
        <v>211</v>
      </c>
      <c r="Y18" s="31">
        <v>2</v>
      </c>
      <c r="Z18" s="31">
        <v>582</v>
      </c>
      <c r="AA18" s="31"/>
      <c r="AB18" s="31"/>
      <c r="AC18" s="31"/>
      <c r="AD18" s="34">
        <f>IF(COUNT(S18:AC18)=0,0,SUMPRODUCT({5000,1000,500,100,75,50,20,10,5,2,1}, S18:AC18))</f>
        <v>16610</v>
      </c>
      <c r="AE18" s="33">
        <v>299155</v>
      </c>
      <c r="AF18" s="24">
        <f>IF(AND(COUNT(C18:E18)=0,COUNT(G18:I18)=0,COUNT(K18:M18)=0,COUNT(O18:Q18)=0,COUNT(S18:AC18)=0,AE18=""),"",(IF(COUNT(C18:E18)=0,0,SUMPRODUCT({5000,1000,500},C18:E18))+IF(COUNT(G18:I18)=0,0,SUMPRODUCT({5000,1000,500},G18:I18))+IF(COUNT(K18:M18)=0,0,SUMPRODUCT({5000,1000,500},K18:M18))+IF(COUNT(O18:Q18)=0,0,SUMPRODUCT({5000,1000,500},O18:Q18))+AD18)-N(AE18))</f>
        <v>-45</v>
      </c>
      <c r="AG18" s="35" t="str">
        <f t="shared" si="0"/>
        <v>Short</v>
      </c>
      <c r="AH18" s="38"/>
      <c r="AI18" s="36">
        <f>634966.99+37088.07</f>
        <v>672055.05999999994</v>
      </c>
      <c r="AJ18" s="37">
        <f>11613.8+37088.07+623353.19</f>
        <v>672055.05999999994</v>
      </c>
      <c r="AK18" s="26">
        <f t="shared" si="1"/>
        <v>0</v>
      </c>
      <c r="AL18" s="25" t="str">
        <f t="shared" si="2"/>
        <v>Matched</v>
      </c>
      <c r="AM18" s="38"/>
    </row>
    <row r="19" spans="1:39" ht="12.75" customHeight="1" x14ac:dyDescent="0.25">
      <c r="A19" s="31">
        <v>61648</v>
      </c>
      <c r="B19" s="32" t="str">
        <f>IF(A19="","",VLOOKUP(A19,'Employee Database'!A:B,2,FALSE))</f>
        <v>Rizwan</v>
      </c>
      <c r="C19" s="31"/>
      <c r="D19" s="31"/>
      <c r="E19" s="31"/>
      <c r="F19" s="39">
        <f>IF(COUNT(C19:E19)=0,0,SUMPRODUCT({5000,1000,500},C19:E19))</f>
        <v>0</v>
      </c>
      <c r="G19" s="31">
        <v>22</v>
      </c>
      <c r="H19" s="31">
        <v>55</v>
      </c>
      <c r="I19" s="31">
        <v>0</v>
      </c>
      <c r="J19" s="39">
        <f>IF(COUNT(G19:I19)=0,0,SUMPRODUCT({5000,1000,500},G19:I19))</f>
        <v>165000</v>
      </c>
      <c r="K19" s="31">
        <v>3</v>
      </c>
      <c r="L19" s="31">
        <v>28</v>
      </c>
      <c r="M19" s="31">
        <v>16</v>
      </c>
      <c r="N19" s="39">
        <f>IF(COUNT(K19:M19)=0,0,SUMPRODUCT({5000,1000,500},K19:M19))</f>
        <v>51000</v>
      </c>
      <c r="O19" s="31"/>
      <c r="P19" s="31" t="s">
        <v>314</v>
      </c>
      <c r="Q19" s="31"/>
      <c r="R19" s="39">
        <f>IF(COUNT(O19:Q19)=0,0,SUMPRODUCT({5000,1000,500},O19:Q19))</f>
        <v>0</v>
      </c>
      <c r="S19" s="31"/>
      <c r="T19" s="31"/>
      <c r="U19" s="31"/>
      <c r="V19" s="31">
        <v>1</v>
      </c>
      <c r="W19" s="31"/>
      <c r="X19" s="31">
        <v>61</v>
      </c>
      <c r="Y19" s="31"/>
      <c r="Z19" s="31">
        <v>55</v>
      </c>
      <c r="AA19" s="31"/>
      <c r="AB19" s="31"/>
      <c r="AC19" s="31"/>
      <c r="AD19" s="34">
        <f>IF(COUNT(S19:AC19)=0,0,SUMPRODUCT({5000,1000,500,100,75,50,20,10,5,2,1}, S19:AC19))</f>
        <v>3700</v>
      </c>
      <c r="AE19" s="33">
        <v>219717</v>
      </c>
      <c r="AF19" s="24">
        <f>IF(AND(COUNT(C19:E19)=0,COUNT(G19:I19)=0,COUNT(K19:M19)=0,COUNT(O19:Q19)=0,COUNT(S19:AC19)=0,AE19=""),"",(IF(COUNT(C19:E19)=0,0,SUMPRODUCT({5000,1000,500},C19:E19))+IF(COUNT(G19:I19)=0,0,SUMPRODUCT({5000,1000,500},G19:I19))+IF(COUNT(K19:M19)=0,0,SUMPRODUCT({5000,1000,500},K19:M19))+IF(COUNT(O19:Q19)=0,0,SUMPRODUCT({5000,1000,500},O19:Q19))+AD19)-N(AE19))</f>
        <v>-17</v>
      </c>
      <c r="AG19" s="35" t="str">
        <f t="shared" si="0"/>
        <v>Short</v>
      </c>
      <c r="AH19" s="38"/>
      <c r="AI19" s="36">
        <v>895801.64</v>
      </c>
      <c r="AJ19" s="37">
        <f>300292.83+595508.81</f>
        <v>895801.64000000013</v>
      </c>
      <c r="AK19" s="26">
        <f t="shared" si="1"/>
        <v>-1.1641532182693481E-10</v>
      </c>
      <c r="AL19" s="25" t="str">
        <f t="shared" si="2"/>
        <v>Bank Short</v>
      </c>
      <c r="AM19" s="38"/>
    </row>
    <row r="20" spans="1:39" ht="12.75" customHeight="1" x14ac:dyDescent="0.25">
      <c r="A20" s="31">
        <v>69213</v>
      </c>
      <c r="B20" s="32" t="str">
        <f>IF(A20="","",VLOOKUP(A20,'Employee Database'!A:B,2,FALSE))</f>
        <v>Muhammad Shahbaz</v>
      </c>
      <c r="C20" s="31"/>
      <c r="D20" s="31"/>
      <c r="E20" s="31"/>
      <c r="F20" s="39">
        <f>IF(COUNT(C20:E20)=0,0,SUMPRODUCT({5000,1000,500},C20:E20))</f>
        <v>0</v>
      </c>
      <c r="G20" s="31">
        <v>29</v>
      </c>
      <c r="H20" s="31">
        <v>75</v>
      </c>
      <c r="I20" s="31">
        <v>0</v>
      </c>
      <c r="J20" s="39">
        <f>IF(COUNT(G20:I20)=0,0,SUMPRODUCT({5000,1000,500},G20:I20))</f>
        <v>220000</v>
      </c>
      <c r="K20" s="31">
        <v>7</v>
      </c>
      <c r="L20" s="31">
        <v>5</v>
      </c>
      <c r="M20" s="31">
        <v>7</v>
      </c>
      <c r="N20" s="39">
        <f>IF(COUNT(K20:M20)=0,0,SUMPRODUCT({5000,1000,500},K20:M20))</f>
        <v>43500</v>
      </c>
      <c r="O20" s="31"/>
      <c r="P20" s="31"/>
      <c r="Q20" s="31"/>
      <c r="R20" s="39">
        <f>IF(COUNT(O20:Q20)=0,0,SUMPRODUCT({5000,1000,500},O20:Q20))</f>
        <v>0</v>
      </c>
      <c r="S20" s="31"/>
      <c r="T20" s="31"/>
      <c r="U20" s="31"/>
      <c r="V20" s="31">
        <v>4</v>
      </c>
      <c r="W20" s="31"/>
      <c r="X20" s="31">
        <v>85</v>
      </c>
      <c r="Y20" s="31">
        <v>1</v>
      </c>
      <c r="Z20" s="31">
        <v>49</v>
      </c>
      <c r="AA20" s="31"/>
      <c r="AB20" s="31"/>
      <c r="AC20" s="31"/>
      <c r="AD20" s="34">
        <f>IF(COUNT(S20:AC20)=0,0,SUMPRODUCT({5000,1000,500,100,75,50,20,10,5,2,1}, S20:AC20))</f>
        <v>5160</v>
      </c>
      <c r="AE20" s="33">
        <v>268669</v>
      </c>
      <c r="AF20" s="24">
        <f>IF(AND(COUNT(C20:E20)=0,COUNT(G20:I20)=0,COUNT(K20:M20)=0,COUNT(O20:Q20)=0,COUNT(S20:AC20)=0,AE20=""),"",(IF(COUNT(C20:E20)=0,0,SUMPRODUCT({5000,1000,500},C20:E20))+IF(COUNT(G20:I20)=0,0,SUMPRODUCT({5000,1000,500},G20:I20))+IF(COUNT(K20:M20)=0,0,SUMPRODUCT({5000,1000,500},K20:M20))+IF(COUNT(O20:Q20)=0,0,SUMPRODUCT({5000,1000,500},O20:Q20))+AD20)-N(AE20))</f>
        <v>-9</v>
      </c>
      <c r="AG20" s="35" t="str">
        <f t="shared" si="0"/>
        <v>Short</v>
      </c>
      <c r="AH20" s="38"/>
      <c r="AI20" s="36">
        <v>478838.55</v>
      </c>
      <c r="AJ20" s="37">
        <f>136099.6+342738.95</f>
        <v>478838.55000000005</v>
      </c>
      <c r="AK20" s="26">
        <f t="shared" si="1"/>
        <v>-5.8207660913467407E-11</v>
      </c>
      <c r="AL20" s="25" t="str">
        <f t="shared" si="2"/>
        <v>Bank Short</v>
      </c>
      <c r="AM20" s="38"/>
    </row>
    <row r="21" spans="1:39" ht="12.75" customHeight="1" x14ac:dyDescent="0.25">
      <c r="A21" s="31">
        <v>50313</v>
      </c>
      <c r="B21" s="32" t="str">
        <f>IF(A21="","",VLOOKUP(A21,'Employee Database'!A:B,2,FALSE))</f>
        <v>Waseem Raza</v>
      </c>
      <c r="C21" s="31"/>
      <c r="D21" s="31"/>
      <c r="E21" s="31"/>
      <c r="F21" s="39">
        <f>IF(COUNT(C21:E21)=0,0,SUMPRODUCT({5000,1000,500},C21:E21))</f>
        <v>0</v>
      </c>
      <c r="G21" s="31"/>
      <c r="H21" s="31"/>
      <c r="I21" s="31"/>
      <c r="J21" s="39">
        <f>IF(COUNT(G21:I21)=0,0,SUMPRODUCT({5000,1000,500},G21:I21))</f>
        <v>0</v>
      </c>
      <c r="K21" s="31"/>
      <c r="L21" s="31">
        <v>1</v>
      </c>
      <c r="M21" s="31"/>
      <c r="N21" s="39">
        <f>IF(COUNT(K21:M21)=0,0,SUMPRODUCT({5000,1000,500},K21:M21))</f>
        <v>1000</v>
      </c>
      <c r="O21" s="31"/>
      <c r="P21" s="31"/>
      <c r="Q21" s="31"/>
      <c r="R21" s="39">
        <f>IF(COUNT(O21:Q21)=0,0,SUMPRODUCT({5000,1000,500},O21:Q21))</f>
        <v>0</v>
      </c>
      <c r="S21" s="31"/>
      <c r="T21" s="31"/>
      <c r="U21" s="31"/>
      <c r="V21" s="31"/>
      <c r="W21" s="31"/>
      <c r="X21" s="31">
        <v>3</v>
      </c>
      <c r="Y21" s="31"/>
      <c r="Z21" s="31">
        <v>1</v>
      </c>
      <c r="AA21" s="31"/>
      <c r="AB21" s="31"/>
      <c r="AC21" s="31"/>
      <c r="AD21" s="34">
        <f>IF(COUNT(S21:AC21)=0,0,SUMPRODUCT({5000,1000,500,100,75,50,20,10,5,2,1}, S21:AC21))</f>
        <v>160</v>
      </c>
      <c r="AE21" s="33">
        <v>1161</v>
      </c>
      <c r="AF21" s="24">
        <f>IF(AND(COUNT(C21:E21)=0,COUNT(G21:I21)=0,COUNT(K21:M21)=0,COUNT(O21:Q21)=0,COUNT(S21:AC21)=0,AE21=""),"",(IF(COUNT(C21:E21)=0,0,SUMPRODUCT({5000,1000,500},C21:E21))+IF(COUNT(G21:I21)=0,0,SUMPRODUCT({5000,1000,500},G21:I21))+IF(COUNT(K21:M21)=0,0,SUMPRODUCT({5000,1000,500},K21:M21))+IF(COUNT(O21:Q21)=0,0,SUMPRODUCT({5000,1000,500},O21:Q21))+AD21)-N(AE21))</f>
        <v>-1</v>
      </c>
      <c r="AG21" s="35" t="str">
        <f t="shared" si="0"/>
        <v>Short</v>
      </c>
      <c r="AH21" s="38"/>
      <c r="AI21" s="36"/>
      <c r="AJ21" s="37"/>
      <c r="AK21" s="26" t="str">
        <f t="shared" si="1"/>
        <v/>
      </c>
      <c r="AL21" s="25" t="str">
        <f t="shared" si="2"/>
        <v/>
      </c>
      <c r="AM21" s="38"/>
    </row>
    <row r="22" spans="1:39" ht="12.75" customHeight="1" x14ac:dyDescent="0.25">
      <c r="A22" s="31">
        <v>69728</v>
      </c>
      <c r="B22" s="32" t="str">
        <f>IF(A22="","",VLOOKUP(A22,'Employee Database'!A:B,2,FALSE))</f>
        <v>Hafiz Hafeez Ur Rehman</v>
      </c>
      <c r="C22" s="31"/>
      <c r="D22" s="31"/>
      <c r="E22" s="31"/>
      <c r="F22" s="39">
        <f>IF(COUNT(C22:E22)=0,0,SUMPRODUCT({5000,1000,500},C22:E22))</f>
        <v>0</v>
      </c>
      <c r="G22" s="31"/>
      <c r="H22" s="31"/>
      <c r="I22" s="31"/>
      <c r="J22" s="39">
        <f>IF(COUNT(G22:I22)=0,0,SUMPRODUCT({5000,1000,500},G22:I22))</f>
        <v>0</v>
      </c>
      <c r="K22" s="31">
        <v>12</v>
      </c>
      <c r="L22" s="31">
        <v>23</v>
      </c>
      <c r="M22" s="31">
        <v>3</v>
      </c>
      <c r="N22" s="39">
        <f>IF(COUNT(K22:M22)=0,0,SUMPRODUCT({5000,1000,500},K22:M22))</f>
        <v>84500</v>
      </c>
      <c r="O22" s="31"/>
      <c r="P22" s="31"/>
      <c r="Q22" s="31"/>
      <c r="R22" s="39">
        <f>IF(COUNT(O22:Q22)=0,0,SUMPRODUCT({5000,1000,500},O22:Q22))</f>
        <v>0</v>
      </c>
      <c r="S22" s="31"/>
      <c r="T22" s="31"/>
      <c r="U22" s="31"/>
      <c r="V22" s="31">
        <v>4</v>
      </c>
      <c r="W22" s="31"/>
      <c r="X22" s="31">
        <v>41</v>
      </c>
      <c r="Y22" s="31"/>
      <c r="Z22" s="31">
        <v>86</v>
      </c>
      <c r="AA22" s="31"/>
      <c r="AB22" s="31"/>
      <c r="AC22" s="31"/>
      <c r="AD22" s="34">
        <f>IF(COUNT(S22:AC22)=0,0,SUMPRODUCT({5000,1000,500,100,75,50,20,10,5,2,1}, S22:AC22))</f>
        <v>3310</v>
      </c>
      <c r="AE22" s="33">
        <v>87810</v>
      </c>
      <c r="AF22" s="24">
        <f>IF(AND(COUNT(C22:E22)=0,COUNT(G22:I22)=0,COUNT(K22:M22)=0,COUNT(O22:Q22)=0,COUNT(S22:AC22)=0,AE22=""),"",(IF(COUNT(C22:E22)=0,0,SUMPRODUCT({5000,1000,500},C22:E22))+IF(COUNT(G22:I22)=0,0,SUMPRODUCT({5000,1000,500},G22:I22))+IF(COUNT(K22:M22)=0,0,SUMPRODUCT({5000,1000,500},K22:M22))+IF(COUNT(O22:Q22)=0,0,SUMPRODUCT({5000,1000,500},O22:Q22))+AD22)-N(AE22))</f>
        <v>0</v>
      </c>
      <c r="AG22" s="35" t="str">
        <f t="shared" si="0"/>
        <v>Balanced</v>
      </c>
      <c r="AH22" s="38"/>
      <c r="AI22" s="36">
        <v>81012.100000000006</v>
      </c>
      <c r="AJ22" s="37">
        <f>6146.4+74865.7</f>
        <v>81012.099999999991</v>
      </c>
      <c r="AK22" s="26">
        <f t="shared" si="1"/>
        <v>1.4551915228366852E-11</v>
      </c>
      <c r="AL22" s="25" t="str">
        <f t="shared" si="2"/>
        <v>POS Excess</v>
      </c>
      <c r="AM22" s="38"/>
    </row>
    <row r="23" spans="1:39" ht="12.75" customHeight="1" x14ac:dyDescent="0.25">
      <c r="A23" s="31">
        <v>75768</v>
      </c>
      <c r="B23" s="32" t="str">
        <f>IF(A23="","",VLOOKUP(A23,'Employee Database'!A:B,2,FALSE))</f>
        <v>Zuhaib</v>
      </c>
      <c r="C23" s="31"/>
      <c r="D23" s="31"/>
      <c r="E23" s="31"/>
      <c r="F23" s="39">
        <f>IF(COUNT(C23:E23)=0,0,SUMPRODUCT({5000,1000,500},C23:E23))</f>
        <v>0</v>
      </c>
      <c r="G23" s="31"/>
      <c r="H23" s="31"/>
      <c r="I23" s="31"/>
      <c r="J23" s="39">
        <f>IF(COUNT(G23:I23)=0,0,SUMPRODUCT({5000,1000,500},G23:I23))</f>
        <v>0</v>
      </c>
      <c r="K23" s="31">
        <v>7</v>
      </c>
      <c r="L23" s="31">
        <v>14</v>
      </c>
      <c r="M23" s="31">
        <v>2</v>
      </c>
      <c r="N23" s="39">
        <f>IF(COUNT(K23:M23)=0,0,SUMPRODUCT({5000,1000,500},K23:M23))</f>
        <v>50000</v>
      </c>
      <c r="O23" s="31"/>
      <c r="P23" s="31"/>
      <c r="Q23" s="31"/>
      <c r="R23" s="39">
        <f>IF(COUNT(O23:Q23)=0,0,SUMPRODUCT({5000,1000,500},O23:Q23))</f>
        <v>0</v>
      </c>
      <c r="S23" s="31"/>
      <c r="T23" s="31"/>
      <c r="U23" s="31"/>
      <c r="V23" s="31">
        <v>14</v>
      </c>
      <c r="W23" s="31"/>
      <c r="X23" s="31">
        <v>43</v>
      </c>
      <c r="Y23" s="31"/>
      <c r="Z23" s="31">
        <v>28</v>
      </c>
      <c r="AA23" s="31"/>
      <c r="AB23" s="31">
        <v>8</v>
      </c>
      <c r="AC23" s="31">
        <v>1</v>
      </c>
      <c r="AD23" s="34">
        <f>IF(COUNT(S23:AC23)=0,0,SUMPRODUCT({5000,1000,500,100,75,50,20,10,5,2,1}, S23:AC23))</f>
        <v>3847</v>
      </c>
      <c r="AE23" s="33">
        <v>53742</v>
      </c>
      <c r="AF23" s="24">
        <f>IF(AND(COUNT(C23:E23)=0,COUNT(G23:I23)=0,COUNT(K23:M23)=0,COUNT(O23:Q23)=0,COUNT(S23:AC23)=0,AE23=""),"",(IF(COUNT(C23:E23)=0,0,SUMPRODUCT({5000,1000,500},C23:E23))+IF(COUNT(G23:I23)=0,0,SUMPRODUCT({5000,1000,500},G23:I23))+IF(COUNT(K23:M23)=0,0,SUMPRODUCT({5000,1000,500},K23:M23))+IF(COUNT(O23:Q23)=0,0,SUMPRODUCT({5000,1000,500},O23:Q23))+AD23)-N(AE23))</f>
        <v>105</v>
      </c>
      <c r="AG23" s="35" t="str">
        <f t="shared" si="0"/>
        <v>Excess</v>
      </c>
      <c r="AH23" s="38"/>
      <c r="AI23" s="36">
        <f>41933.34+15861</f>
        <v>57794.34</v>
      </c>
      <c r="AJ23" s="37">
        <f>41933.34+15861</f>
        <v>57794.34</v>
      </c>
      <c r="AK23" s="26">
        <f t="shared" si="1"/>
        <v>0</v>
      </c>
      <c r="AL23" s="25" t="str">
        <f t="shared" si="2"/>
        <v>Matched</v>
      </c>
      <c r="AM23" s="38"/>
    </row>
    <row r="24" spans="1:39" ht="12.75" customHeight="1" x14ac:dyDescent="0.25">
      <c r="A24" s="31">
        <v>79593</v>
      </c>
      <c r="B24" s="32" t="str">
        <f>IF(A24="","",VLOOKUP(A24,'Employee Database'!A:B,2,FALSE))</f>
        <v>Amir</v>
      </c>
      <c r="C24" s="31"/>
      <c r="D24" s="31"/>
      <c r="E24" s="31"/>
      <c r="F24" s="39">
        <f>IF(COUNT(C24:E24)=0,0,SUMPRODUCT({5000,1000,500},C24:E24))</f>
        <v>0</v>
      </c>
      <c r="G24" s="31"/>
      <c r="H24" s="31"/>
      <c r="I24" s="31"/>
      <c r="J24" s="39">
        <f>IF(COUNT(G24:I24)=0,0,SUMPRODUCT({5000,1000,500},G24:I24))</f>
        <v>0</v>
      </c>
      <c r="K24" s="31">
        <v>11</v>
      </c>
      <c r="L24" s="31">
        <v>85</v>
      </c>
      <c r="M24" s="31">
        <v>9</v>
      </c>
      <c r="N24" s="39">
        <f>IF(COUNT(K24:M24)=0,0,SUMPRODUCT({5000,1000,500},K24:M24))</f>
        <v>144500</v>
      </c>
      <c r="O24" s="31"/>
      <c r="P24" s="31"/>
      <c r="Q24" s="31"/>
      <c r="R24" s="39">
        <f>IF(COUNT(O24:Q24)=0,0,SUMPRODUCT({5000,1000,500},O24:Q24))</f>
        <v>0</v>
      </c>
      <c r="S24" s="31"/>
      <c r="T24" s="31"/>
      <c r="U24" s="31"/>
      <c r="V24" s="31">
        <v>1</v>
      </c>
      <c r="W24" s="31"/>
      <c r="X24" s="31">
        <v>1</v>
      </c>
      <c r="Y24" s="31"/>
      <c r="Z24" s="31">
        <v>35</v>
      </c>
      <c r="AA24" s="31"/>
      <c r="AB24" s="31"/>
      <c r="AC24" s="31"/>
      <c r="AD24" s="34">
        <f>IF(COUNT(S24:AC24)=0,0,SUMPRODUCT({5000,1000,500,100,75,50,20,10,5,2,1}, S24:AC24))</f>
        <v>500</v>
      </c>
      <c r="AE24" s="33">
        <v>145235</v>
      </c>
      <c r="AF24" s="24">
        <f>IF(AND(COUNT(C24:E24)=0,COUNT(G24:I24)=0,COUNT(K24:M24)=0,COUNT(O24:Q24)=0,COUNT(S24:AC24)=0,AE24=""),"",(IF(COUNT(C24:E24)=0,0,SUMPRODUCT({5000,1000,500},C24:E24))+IF(COUNT(G24:I24)=0,0,SUMPRODUCT({5000,1000,500},G24:I24))+IF(COUNT(K24:M24)=0,0,SUMPRODUCT({5000,1000,500},K24:M24))+IF(COUNT(O24:Q24)=0,0,SUMPRODUCT({5000,1000,500},O24:Q24))+AD24)-N(AE24))</f>
        <v>-235</v>
      </c>
      <c r="AG24" s="35" t="str">
        <f t="shared" si="0"/>
        <v>Short</v>
      </c>
      <c r="AH24" s="38"/>
      <c r="AI24" s="36">
        <f>273299.16+127707.1</f>
        <v>401006.26</v>
      </c>
      <c r="AJ24" s="37">
        <f>20645.6+372152.72+252653.56</f>
        <v>645451.87999999989</v>
      </c>
      <c r="AK24" s="26">
        <f t="shared" si="1"/>
        <v>-244445.61999999988</v>
      </c>
      <c r="AL24" s="25" t="str">
        <f t="shared" si="2"/>
        <v>Bank Short</v>
      </c>
      <c r="AM24" s="38"/>
    </row>
    <row r="25" spans="1:39" ht="12.75" customHeight="1" x14ac:dyDescent="0.25">
      <c r="A25" s="31">
        <v>78242</v>
      </c>
      <c r="B25" s="32" t="str">
        <f>IF(A25="","",VLOOKUP(A25,'Employee Database'!A:B,2,FALSE))</f>
        <v>Hamad Mughal</v>
      </c>
      <c r="C25" s="31"/>
      <c r="D25" s="31"/>
      <c r="E25" s="31"/>
      <c r="F25" s="39">
        <f>IF(COUNT(C25:E25)=0,0,SUMPRODUCT({5000,1000,500},C25:E25))</f>
        <v>0</v>
      </c>
      <c r="G25" s="31"/>
      <c r="H25" s="31"/>
      <c r="I25" s="31"/>
      <c r="J25" s="39">
        <f>IF(COUNT(G25:I25)=0,0,SUMPRODUCT({5000,1000,500},G25:I25))</f>
        <v>0</v>
      </c>
      <c r="K25" s="31">
        <v>16</v>
      </c>
      <c r="L25" s="31">
        <v>114</v>
      </c>
      <c r="M25" s="31">
        <v>1</v>
      </c>
      <c r="N25" s="39">
        <f>IF(COUNT(K25:M25)=0,0,SUMPRODUCT({5000,1000,500},K25:M25))</f>
        <v>194500</v>
      </c>
      <c r="O25" s="31"/>
      <c r="P25" s="31"/>
      <c r="Q25" s="31"/>
      <c r="R25" s="39">
        <f>IF(COUNT(O25:Q25)=0,0,SUMPRODUCT({5000,1000,500},O25:Q25))</f>
        <v>0</v>
      </c>
      <c r="S25" s="31"/>
      <c r="T25" s="31"/>
      <c r="U25" s="31"/>
      <c r="V25" s="31"/>
      <c r="W25" s="31"/>
      <c r="X25" s="31">
        <v>15</v>
      </c>
      <c r="Y25" s="31"/>
      <c r="Z25" s="31">
        <v>34</v>
      </c>
      <c r="AA25" s="31"/>
      <c r="AB25" s="31"/>
      <c r="AC25" s="31"/>
      <c r="AD25" s="34">
        <f>IF(COUNT(S25:AC25)=0,0,SUMPRODUCT({5000,1000,500,100,75,50,20,10,5,2,1}, S25:AC25))</f>
        <v>1090</v>
      </c>
      <c r="AE25" s="33">
        <v>195613</v>
      </c>
      <c r="AF25" s="24">
        <f>IF(AND(COUNT(C25:E25)=0,COUNT(G25:I25)=0,COUNT(K25:M25)=0,COUNT(O25:Q25)=0,COUNT(S25:AC25)=0,AE25=""),"",(IF(COUNT(C25:E25)=0,0,SUMPRODUCT({5000,1000,500},C25:E25))+IF(COUNT(G25:I25)=0,0,SUMPRODUCT({5000,1000,500},G25:I25))+IF(COUNT(K25:M25)=0,0,SUMPRODUCT({5000,1000,500},K25:M25))+IF(COUNT(O25:Q25)=0,0,SUMPRODUCT({5000,1000,500},O25:Q25))+AD25)-N(AE25))</f>
        <v>-23</v>
      </c>
      <c r="AG25" s="35" t="str">
        <f t="shared" si="0"/>
        <v>Short</v>
      </c>
      <c r="AH25" s="38"/>
      <c r="AI25" s="36">
        <v>319184.01</v>
      </c>
      <c r="AJ25" s="37">
        <f>93212.28+192769.63+33202.1</f>
        <v>319184.01</v>
      </c>
      <c r="AK25" s="26">
        <f t="shared" si="1"/>
        <v>0</v>
      </c>
      <c r="AL25" s="25" t="str">
        <f t="shared" si="2"/>
        <v>Matched</v>
      </c>
      <c r="AM25" s="38"/>
    </row>
    <row r="26" spans="1:39" ht="12.75" customHeight="1" x14ac:dyDescent="0.25">
      <c r="A26" s="31">
        <v>50524</v>
      </c>
      <c r="B26" s="32" t="str">
        <f>IF(A26="","",VLOOKUP(A26,'Employee Database'!A:B,2,FALSE))</f>
        <v>Allah Rakha</v>
      </c>
      <c r="C26" s="31"/>
      <c r="D26" s="31"/>
      <c r="E26" s="31"/>
      <c r="F26" s="39">
        <f>IF(COUNT(C26:E26)=0,0,SUMPRODUCT({5000,1000,500},C26:E26))</f>
        <v>0</v>
      </c>
      <c r="G26" s="31">
        <v>19</v>
      </c>
      <c r="H26" s="31">
        <v>45</v>
      </c>
      <c r="I26" s="31">
        <v>0</v>
      </c>
      <c r="J26" s="39">
        <f>IF(COUNT(G26:I26)=0,0,SUMPRODUCT({5000,1000,500},G26:I26))</f>
        <v>140000</v>
      </c>
      <c r="K26" s="31">
        <v>11</v>
      </c>
      <c r="L26" s="31">
        <v>53</v>
      </c>
      <c r="M26" s="31">
        <v>0</v>
      </c>
      <c r="N26" s="39">
        <f>IF(COUNT(K26:M26)=0,0,SUMPRODUCT({5000,1000,500},K26:M26))</f>
        <v>108000</v>
      </c>
      <c r="O26" s="31"/>
      <c r="P26" s="31"/>
      <c r="Q26" s="31"/>
      <c r="R26" s="39">
        <f>IF(COUNT(O26:Q26)=0,0,SUMPRODUCT({5000,1000,500},O26:Q26))</f>
        <v>0</v>
      </c>
      <c r="S26" s="31"/>
      <c r="T26" s="31"/>
      <c r="U26" s="31"/>
      <c r="V26" s="31">
        <v>8</v>
      </c>
      <c r="W26" s="31"/>
      <c r="X26" s="31">
        <v>48</v>
      </c>
      <c r="Y26" s="31"/>
      <c r="Z26" s="31">
        <v>37</v>
      </c>
      <c r="AA26" s="31"/>
      <c r="AB26" s="31"/>
      <c r="AC26" s="31"/>
      <c r="AD26" s="34">
        <f>IF(COUNT(S26:AC26)=0,0,SUMPRODUCT({5000,1000,500,100,75,50,20,10,5,2,1}, S26:AC26))</f>
        <v>3570</v>
      </c>
      <c r="AE26" s="33">
        <v>251729</v>
      </c>
      <c r="AF26" s="24">
        <f>IF(AND(COUNT(C26:E26)=0,COUNT(G26:I26)=0,COUNT(K26:M26)=0,COUNT(O26:Q26)=0,COUNT(S26:AC26)=0,AE26=""),"",(IF(COUNT(C26:E26)=0,0,SUMPRODUCT({5000,1000,500},C26:E26))+IF(COUNT(G26:I26)=0,0,SUMPRODUCT({5000,1000,500},G26:I26))+IF(COUNT(K26:M26)=0,0,SUMPRODUCT({5000,1000,500},K26:M26))+IF(COUNT(O26:Q26)=0,0,SUMPRODUCT({5000,1000,500},O26:Q26))+AD26)-N(AE26))</f>
        <v>-159</v>
      </c>
      <c r="AG26" s="35" t="str">
        <f t="shared" si="0"/>
        <v>Short</v>
      </c>
      <c r="AH26" s="38"/>
      <c r="AI26" s="36">
        <v>711967.87</v>
      </c>
      <c r="AJ26" s="37">
        <v>467522.25</v>
      </c>
      <c r="AK26" s="26">
        <f t="shared" si="1"/>
        <v>244445.62</v>
      </c>
      <c r="AL26" s="25" t="str">
        <f t="shared" si="2"/>
        <v>POS Excess</v>
      </c>
      <c r="AM26" s="38"/>
    </row>
    <row r="27" spans="1:39" ht="12.75" customHeight="1" x14ac:dyDescent="0.25">
      <c r="A27" s="31"/>
      <c r="B27" s="32" t="str">
        <f>IF(A27="","",VLOOKUP(A27,'Employee Database'!A:B,2,FALSE))</f>
        <v/>
      </c>
      <c r="C27" s="31"/>
      <c r="D27" s="31"/>
      <c r="E27" s="31"/>
      <c r="F27" s="39">
        <f>IF(COUNT(C27:E27)=0,0,SUMPRODUCT({5000,1000,500},C27:E27))</f>
        <v>0</v>
      </c>
      <c r="G27" s="31"/>
      <c r="H27" s="31"/>
      <c r="I27" s="31"/>
      <c r="J27" s="39">
        <f>IF(COUNT(G27:I27)=0,0,SUMPRODUCT({5000,1000,500},G27:I27))</f>
        <v>0</v>
      </c>
      <c r="K27" s="31"/>
      <c r="L27" s="31"/>
      <c r="M27" s="31"/>
      <c r="N27" s="39">
        <f>IF(COUNT(K27:M27)=0,0,SUMPRODUCT({5000,1000,500},K27:M27))</f>
        <v>0</v>
      </c>
      <c r="O27" s="31"/>
      <c r="P27" s="31"/>
      <c r="Q27" s="31"/>
      <c r="R27" s="39">
        <f>IF(COUNT(O27:Q27)=0,0,SUMPRODUCT({5000,1000,500},O27:Q27))</f>
        <v>0</v>
      </c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4">
        <f>IF(COUNT(S27:AC27)=0,0,SUMPRODUCT({5000,1000,500,100,75,50,20,10,5,2,1}, S27:AC27))</f>
        <v>0</v>
      </c>
      <c r="AE27" s="33"/>
      <c r="AF27" s="24" t="str">
        <f>IF(AND(COUNT(C27:E27)=0,COUNT(G27:I27)=0,COUNT(K27:M27)=0,COUNT(O27:Q27)=0,COUNT(S27:AC27)=0,AE27=""),"",(IF(COUNT(C27:E27)=0,0,SUMPRODUCT({5000,1000,500},C27:E27))+IF(COUNT(G27:I27)=0,0,SUMPRODUCT({5000,1000,500},G27:I27))+IF(COUNT(K27:M27)=0,0,SUMPRODUCT({5000,1000,500},K27:M27))+IF(COUNT(O27:Q27)=0,0,SUMPRODUCT({5000,1000,500},O27:Q27))+AD27)-N(AE27))</f>
        <v/>
      </c>
      <c r="AG27" s="35" t="str">
        <f t="shared" si="0"/>
        <v/>
      </c>
      <c r="AH27" s="38"/>
      <c r="AI27" s="36"/>
      <c r="AJ27" s="37"/>
      <c r="AK27" s="26" t="str">
        <f t="shared" si="1"/>
        <v/>
      </c>
      <c r="AL27" s="25" t="str">
        <f t="shared" si="2"/>
        <v/>
      </c>
      <c r="AM27" s="38"/>
    </row>
    <row r="28" spans="1:39" ht="12.75" customHeight="1" x14ac:dyDescent="0.25">
      <c r="A28" s="31"/>
      <c r="B28" s="32" t="str">
        <f>IF(A28="","",VLOOKUP(A28,'Employee Database'!A:B,2,FALSE))</f>
        <v/>
      </c>
      <c r="C28" s="31"/>
      <c r="D28" s="31"/>
      <c r="E28" s="31"/>
      <c r="F28" s="39">
        <f>IF(COUNT(C28:E28)=0,0,SUMPRODUCT({5000,1000,500},C28:E28))</f>
        <v>0</v>
      </c>
      <c r="G28" s="31"/>
      <c r="H28" s="31"/>
      <c r="I28" s="31"/>
      <c r="J28" s="39">
        <f>IF(COUNT(G28:I28)=0,0,SUMPRODUCT({5000,1000,500},G28:I28))</f>
        <v>0</v>
      </c>
      <c r="K28" s="31"/>
      <c r="L28" s="31"/>
      <c r="M28" s="31"/>
      <c r="N28" s="39">
        <f>IF(COUNT(K28:M28)=0,0,SUMPRODUCT({5000,1000,500},K28:M28))</f>
        <v>0</v>
      </c>
      <c r="O28" s="31"/>
      <c r="P28" s="31"/>
      <c r="Q28" s="31"/>
      <c r="R28" s="39">
        <f>IF(COUNT(O28:Q28)=0,0,SUMPRODUCT({5000,1000,500},O28:Q28))</f>
        <v>0</v>
      </c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4">
        <f>IF(COUNT(S28:AC28)=0,0,SUMPRODUCT({5000,1000,500,100,75,50,20,10,5,2,1}, S28:AC28))</f>
        <v>0</v>
      </c>
      <c r="AE28" s="33"/>
      <c r="AF28" s="24" t="str">
        <f>IF(AND(COUNT(C28:E28)=0,COUNT(G28:I28)=0,COUNT(K28:M28)=0,COUNT(O28:Q28)=0,COUNT(S28:AC28)=0,AE28=""),"",(IF(COUNT(C28:E28)=0,0,SUMPRODUCT({5000,1000,500},C28:E28))+IF(COUNT(G28:I28)=0,0,SUMPRODUCT({5000,1000,500},G28:I28))+IF(COUNT(K28:M28)=0,0,SUMPRODUCT({5000,1000,500},K28:M28))+IF(COUNT(O28:Q28)=0,0,SUMPRODUCT({5000,1000,500},O28:Q28))+AD28)-N(AE28))</f>
        <v/>
      </c>
      <c r="AG28" s="35" t="str">
        <f t="shared" si="0"/>
        <v/>
      </c>
      <c r="AH28" s="38"/>
      <c r="AI28" s="36"/>
      <c r="AJ28" s="37"/>
      <c r="AK28" s="26" t="str">
        <f t="shared" si="1"/>
        <v/>
      </c>
      <c r="AL28" s="25" t="str">
        <f t="shared" si="2"/>
        <v/>
      </c>
      <c r="AM28" s="38"/>
    </row>
    <row r="29" spans="1:39" ht="12.75" customHeight="1" x14ac:dyDescent="0.25">
      <c r="A29" s="31"/>
      <c r="B29" s="32" t="str">
        <f>IF(A29="","",VLOOKUP(A29,'Employee Database'!A:B,2,FALSE))</f>
        <v/>
      </c>
      <c r="C29" s="31"/>
      <c r="D29" s="31"/>
      <c r="E29" s="31"/>
      <c r="F29" s="39">
        <f>IF(COUNT(C29:E29)=0,0,SUMPRODUCT({5000,1000,500},C29:E29))</f>
        <v>0</v>
      </c>
      <c r="G29" s="31"/>
      <c r="H29" s="31"/>
      <c r="I29" s="31"/>
      <c r="J29" s="39">
        <f>IF(COUNT(G29:I29)=0,0,SUMPRODUCT({5000,1000,500},G29:I29))</f>
        <v>0</v>
      </c>
      <c r="K29" s="31"/>
      <c r="L29" s="31"/>
      <c r="M29" s="31"/>
      <c r="N29" s="39">
        <f>IF(COUNT(K29:M29)=0,0,SUMPRODUCT({5000,1000,500},K29:M29))</f>
        <v>0</v>
      </c>
      <c r="O29" s="31"/>
      <c r="P29" s="31"/>
      <c r="Q29" s="31"/>
      <c r="R29" s="39">
        <f>IF(COUNT(O29:Q29)=0,0,SUMPRODUCT({5000,1000,500},O29:Q29))</f>
        <v>0</v>
      </c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4">
        <f>IF(COUNT(S29:AC29)=0,0,SUMPRODUCT({5000,1000,500,100,75,50,20,10,5,2,1}, S29:AC29))</f>
        <v>0</v>
      </c>
      <c r="AE29" s="33"/>
      <c r="AF29" s="24" t="str">
        <f>IF(AND(COUNT(C29:E29)=0,COUNT(G29:I29)=0,COUNT(K29:M29)=0,COUNT(O29:Q29)=0,COUNT(S29:AC29)=0,AE29=""),"",(IF(COUNT(C29:E29)=0,0,SUMPRODUCT({5000,1000,500},C29:E29))+IF(COUNT(G29:I29)=0,0,SUMPRODUCT({5000,1000,500},G29:I29))+IF(COUNT(K29:M29)=0,0,SUMPRODUCT({5000,1000,500},K29:M29))+IF(COUNT(O29:Q29)=0,0,SUMPRODUCT({5000,1000,500},O29:Q29))+AD29)-N(AE29))</f>
        <v/>
      </c>
      <c r="AG29" s="35" t="str">
        <f t="shared" si="0"/>
        <v/>
      </c>
      <c r="AH29" s="38"/>
      <c r="AI29" s="36"/>
      <c r="AJ29" s="37"/>
      <c r="AK29" s="26" t="str">
        <f t="shared" si="1"/>
        <v/>
      </c>
      <c r="AL29" s="25" t="str">
        <f t="shared" si="2"/>
        <v/>
      </c>
      <c r="AM29" s="38"/>
    </row>
    <row r="30" spans="1:39" ht="12.75" customHeight="1" x14ac:dyDescent="0.25">
      <c r="A30" s="31"/>
      <c r="B30" s="32" t="str">
        <f>IF(A30="","",VLOOKUP(A30,'Employee Database'!A:B,2,FALSE))</f>
        <v/>
      </c>
      <c r="C30" s="31"/>
      <c r="D30" s="31"/>
      <c r="E30" s="31"/>
      <c r="F30" s="39">
        <f>IF(COUNT(C30:E30)=0,0,SUMPRODUCT({5000,1000,500},C30:E30))</f>
        <v>0</v>
      </c>
      <c r="G30" s="31"/>
      <c r="H30" s="31"/>
      <c r="I30" s="31"/>
      <c r="J30" s="39">
        <f>IF(COUNT(G30:I30)=0,0,SUMPRODUCT({5000,1000,500},G30:I30))</f>
        <v>0</v>
      </c>
      <c r="K30" s="31"/>
      <c r="L30" s="31"/>
      <c r="M30" s="31"/>
      <c r="N30" s="39">
        <f>IF(COUNT(K30:M30)=0,0,SUMPRODUCT({5000,1000,500},K30:M30))</f>
        <v>0</v>
      </c>
      <c r="O30" s="31"/>
      <c r="P30" s="31"/>
      <c r="Q30" s="31"/>
      <c r="R30" s="39">
        <f>IF(COUNT(O30:Q30)=0,0,SUMPRODUCT({5000,1000,500},O30:Q30))</f>
        <v>0</v>
      </c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4">
        <f>IF(COUNT(S30:AC30)=0,0,SUMPRODUCT({5000,1000,500,100,75,50,20,10,5,2,1}, S30:AC30))</f>
        <v>0</v>
      </c>
      <c r="AE30" s="33"/>
      <c r="AF30" s="24" t="str">
        <f>IF(AND(COUNT(C30:E30)=0,COUNT(G30:I30)=0,COUNT(K30:M30)=0,COUNT(O30:Q30)=0,COUNT(S30:AC30)=0,AE30=""),"",(IF(COUNT(C30:E30)=0,0,SUMPRODUCT({5000,1000,500},C30:E30))+IF(COUNT(G30:I30)=0,0,SUMPRODUCT({5000,1000,500},G30:I30))+IF(COUNT(K30:M30)=0,0,SUMPRODUCT({5000,1000,500},K30:M30))+IF(COUNT(O30:Q30)=0,0,SUMPRODUCT({5000,1000,500},O30:Q30))+AD30)-N(AE30))</f>
        <v/>
      </c>
      <c r="AG30" s="35" t="str">
        <f t="shared" si="0"/>
        <v/>
      </c>
      <c r="AH30" s="38"/>
      <c r="AI30" s="36"/>
      <c r="AJ30" s="37"/>
      <c r="AK30" s="26" t="str">
        <f t="shared" si="1"/>
        <v/>
      </c>
      <c r="AL30" s="25" t="str">
        <f t="shared" si="2"/>
        <v/>
      </c>
      <c r="AM30" s="38"/>
    </row>
    <row r="31" spans="1:39" ht="12.75" customHeight="1" x14ac:dyDescent="0.25">
      <c r="A31" s="31"/>
      <c r="B31" s="32" t="str">
        <f>IF(A31="","",VLOOKUP(A31,'Employee Database'!A:B,2,FALSE))</f>
        <v/>
      </c>
      <c r="C31" s="31"/>
      <c r="D31" s="31"/>
      <c r="E31" s="31"/>
      <c r="F31" s="39">
        <f>IF(COUNT(C31:E31)=0,0,SUMPRODUCT({5000,1000,500},C31:E31))</f>
        <v>0</v>
      </c>
      <c r="G31" s="31"/>
      <c r="H31" s="31"/>
      <c r="I31" s="31"/>
      <c r="J31" s="39">
        <f>IF(COUNT(G31:I31)=0,0,SUMPRODUCT({5000,1000,500},G31:I31))</f>
        <v>0</v>
      </c>
      <c r="K31" s="31"/>
      <c r="L31" s="31"/>
      <c r="M31" s="31"/>
      <c r="N31" s="39">
        <f>IF(COUNT(K31:M31)=0,0,SUMPRODUCT({5000,1000,500},K31:M31))</f>
        <v>0</v>
      </c>
      <c r="O31" s="31"/>
      <c r="P31" s="31"/>
      <c r="Q31" s="31"/>
      <c r="R31" s="39">
        <f>IF(COUNT(O31:Q31)=0,0,SUMPRODUCT({5000,1000,500},O31:Q31))</f>
        <v>0</v>
      </c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4">
        <f>IF(COUNT(S31:AC31)=0,0,SUMPRODUCT({5000,1000,500,100,75,50,20,10,5,2,1}, S31:AC31))</f>
        <v>0</v>
      </c>
      <c r="AE31" s="33"/>
      <c r="AF31" s="24" t="str">
        <f>IF(AND(COUNT(C31:E31)=0,COUNT(G31:I31)=0,COUNT(K31:M31)=0,COUNT(O31:Q31)=0,COUNT(S31:AC31)=0,AE31=""),"",(IF(COUNT(C31:E31)=0,0,SUMPRODUCT({5000,1000,500},C31:E31))+IF(COUNT(G31:I31)=0,0,SUMPRODUCT({5000,1000,500},G31:I31))+IF(COUNT(K31:M31)=0,0,SUMPRODUCT({5000,1000,500},K31:M31))+IF(COUNT(O31:Q31)=0,0,SUMPRODUCT({5000,1000,500},O31:Q31))+AD31)-N(AE31))</f>
        <v/>
      </c>
      <c r="AG31" s="35" t="str">
        <f t="shared" si="0"/>
        <v/>
      </c>
      <c r="AH31" s="38"/>
      <c r="AI31" s="36"/>
      <c r="AJ31" s="37"/>
      <c r="AK31" s="26" t="str">
        <f t="shared" si="1"/>
        <v/>
      </c>
      <c r="AL31" s="25" t="str">
        <f t="shared" si="2"/>
        <v/>
      </c>
      <c r="AM31" s="38"/>
    </row>
    <row r="32" spans="1:39" ht="12.75" customHeight="1" x14ac:dyDescent="0.25">
      <c r="A32" s="31"/>
      <c r="B32" s="32" t="str">
        <f>IF(A32="","",VLOOKUP(A32,'Employee Database'!A:B,2,FALSE))</f>
        <v/>
      </c>
      <c r="C32" s="31"/>
      <c r="D32" s="31"/>
      <c r="E32" s="31"/>
      <c r="F32" s="39">
        <f>IF(COUNT(C32:E32)=0,0,SUMPRODUCT({5000,1000,500},C32:E32))</f>
        <v>0</v>
      </c>
      <c r="G32" s="31"/>
      <c r="H32" s="31"/>
      <c r="I32" s="31"/>
      <c r="J32" s="39">
        <f>IF(COUNT(G32:I32)=0,0,SUMPRODUCT({5000,1000,500},G32:I32))</f>
        <v>0</v>
      </c>
      <c r="K32" s="31"/>
      <c r="L32" s="31"/>
      <c r="M32" s="31"/>
      <c r="N32" s="39">
        <f>IF(COUNT(K32:M32)=0,0,SUMPRODUCT({5000,1000,500},K32:M32))</f>
        <v>0</v>
      </c>
      <c r="O32" s="31"/>
      <c r="P32" s="31"/>
      <c r="Q32" s="31"/>
      <c r="R32" s="39">
        <f>IF(COUNT(O32:Q32)=0,0,SUMPRODUCT({5000,1000,500},O32:Q32))</f>
        <v>0</v>
      </c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4">
        <f>IF(COUNT(S32:AC32)=0,0,SUMPRODUCT({5000,1000,500,100,75,50,20,10,5,2,1}, S32:AC32))</f>
        <v>0</v>
      </c>
      <c r="AE32" s="33"/>
      <c r="AF32" s="24" t="str">
        <f>IF(AND(COUNT(C32:E32)=0,COUNT(G32:I32)=0,COUNT(K32:M32)=0,COUNT(O32:Q32)=0,COUNT(S32:AC32)=0,AE32=""),"",(IF(COUNT(C32:E32)=0,0,SUMPRODUCT({5000,1000,500},C32:E32))+IF(COUNT(G32:I32)=0,0,SUMPRODUCT({5000,1000,500},G32:I32))+IF(COUNT(K32:M32)=0,0,SUMPRODUCT({5000,1000,500},K32:M32))+IF(COUNT(O32:Q32)=0,0,SUMPRODUCT({5000,1000,500},O32:Q32))+AD32)-N(AE32))</f>
        <v/>
      </c>
      <c r="AG32" s="35" t="str">
        <f t="shared" si="0"/>
        <v/>
      </c>
      <c r="AH32" s="38"/>
      <c r="AI32" s="36"/>
      <c r="AJ32" s="37"/>
      <c r="AK32" s="26" t="str">
        <f t="shared" si="1"/>
        <v/>
      </c>
      <c r="AL32" s="25" t="str">
        <f t="shared" si="2"/>
        <v/>
      </c>
      <c r="AM32" s="38"/>
    </row>
    <row r="33" spans="1:39" ht="12.75" customHeight="1" x14ac:dyDescent="0.25">
      <c r="A33" s="31"/>
      <c r="B33" s="32" t="str">
        <f>IF(A33="","",VLOOKUP(A33,'Employee Database'!A:B,2,FALSE))</f>
        <v/>
      </c>
      <c r="C33" s="31"/>
      <c r="D33" s="31"/>
      <c r="E33" s="31"/>
      <c r="F33" s="39">
        <f>IF(COUNT(C33:E33)=0,0,SUMPRODUCT({5000,1000,500},C33:E33))</f>
        <v>0</v>
      </c>
      <c r="G33" s="31"/>
      <c r="H33" s="31"/>
      <c r="I33" s="31"/>
      <c r="J33" s="39">
        <f>IF(COUNT(G33:I33)=0,0,SUMPRODUCT({5000,1000,500},G33:I33))</f>
        <v>0</v>
      </c>
      <c r="K33" s="31"/>
      <c r="L33" s="31"/>
      <c r="M33" s="31"/>
      <c r="N33" s="39">
        <f>IF(COUNT(K33:M33)=0,0,SUMPRODUCT({5000,1000,500},K33:M33))</f>
        <v>0</v>
      </c>
      <c r="O33" s="31"/>
      <c r="P33" s="31"/>
      <c r="Q33" s="31"/>
      <c r="R33" s="39">
        <f>IF(COUNT(O33:Q33)=0,0,SUMPRODUCT({5000,1000,500},O33:Q33))</f>
        <v>0</v>
      </c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4">
        <f>IF(COUNT(S33:AC33)=0,0,SUMPRODUCT({5000,1000,500,100,75,50,20,10,5,2,1}, S33:AC33))</f>
        <v>0</v>
      </c>
      <c r="AE33" s="33"/>
      <c r="AF33" s="24" t="str">
        <f>IF(AND(COUNT(C33:E33)=0,COUNT(G33:I33)=0,COUNT(K33:M33)=0,COUNT(O33:Q33)=0,COUNT(S33:AC33)=0,AE33=""),"",(IF(COUNT(C33:E33)=0,0,SUMPRODUCT({5000,1000,500},C33:E33))+IF(COUNT(G33:I33)=0,0,SUMPRODUCT({5000,1000,500},G33:I33))+IF(COUNT(K33:M33)=0,0,SUMPRODUCT({5000,1000,500},K33:M33))+IF(COUNT(O33:Q33)=0,0,SUMPRODUCT({5000,1000,500},O33:Q33))+AD33)-N(AE33))</f>
        <v/>
      </c>
      <c r="AG33" s="35" t="str">
        <f t="shared" si="0"/>
        <v/>
      </c>
      <c r="AH33" s="38"/>
      <c r="AI33" s="36"/>
      <c r="AJ33" s="37"/>
      <c r="AK33" s="26" t="str">
        <f t="shared" si="1"/>
        <v/>
      </c>
      <c r="AL33" s="25" t="str">
        <f t="shared" si="2"/>
        <v/>
      </c>
      <c r="AM33" s="38"/>
    </row>
    <row r="34" spans="1:39" ht="12.75" customHeight="1" x14ac:dyDescent="0.25">
      <c r="A34" s="31"/>
      <c r="B34" s="32" t="str">
        <f>IF(A34="","",VLOOKUP(A34,'Employee Database'!A:B,2,FALSE))</f>
        <v/>
      </c>
      <c r="C34" s="31"/>
      <c r="D34" s="31"/>
      <c r="E34" s="31"/>
      <c r="F34" s="39">
        <f>IF(COUNT(C34:E34)=0,0,SUMPRODUCT({5000,1000,500},C34:E34))</f>
        <v>0</v>
      </c>
      <c r="G34" s="31"/>
      <c r="H34" s="31"/>
      <c r="I34" s="31"/>
      <c r="J34" s="39">
        <f>IF(COUNT(G34:I34)=0,0,SUMPRODUCT({5000,1000,500},G34:I34))</f>
        <v>0</v>
      </c>
      <c r="K34" s="31"/>
      <c r="L34" s="31"/>
      <c r="M34" s="31"/>
      <c r="N34" s="39">
        <f>IF(COUNT(K34:M34)=0,0,SUMPRODUCT({5000,1000,500},K34:M34))</f>
        <v>0</v>
      </c>
      <c r="O34" s="31"/>
      <c r="P34" s="31"/>
      <c r="Q34" s="31"/>
      <c r="R34" s="39">
        <f>IF(COUNT(O34:Q34)=0,0,SUMPRODUCT({5000,1000,500},O34:Q34))</f>
        <v>0</v>
      </c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4">
        <f>IF(COUNT(S34:AC34)=0,0,SUMPRODUCT({5000,1000,500,100,75,50,20,10,5,2,1}, S34:AC34))</f>
        <v>0</v>
      </c>
      <c r="AE34" s="33"/>
      <c r="AF34" s="24" t="str">
        <f>IF(AND(COUNT(C34:E34)=0,COUNT(G34:I34)=0,COUNT(K34:M34)=0,COUNT(O34:Q34)=0,COUNT(S34:AC34)=0,AE34=""),"",(IF(COUNT(C34:E34)=0,0,SUMPRODUCT({5000,1000,500},C34:E34))+IF(COUNT(G34:I34)=0,0,SUMPRODUCT({5000,1000,500},G34:I34))+IF(COUNT(K34:M34)=0,0,SUMPRODUCT({5000,1000,500},K34:M34))+IF(COUNT(O34:Q34)=0,0,SUMPRODUCT({5000,1000,500},O34:Q34))+AD34)-N(AE34))</f>
        <v/>
      </c>
      <c r="AG34" s="35" t="str">
        <f t="shared" si="0"/>
        <v/>
      </c>
      <c r="AH34" s="38"/>
      <c r="AI34" s="36"/>
      <c r="AJ34" s="37"/>
      <c r="AK34" s="26" t="str">
        <f t="shared" si="1"/>
        <v/>
      </c>
      <c r="AL34" s="25" t="str">
        <f t="shared" si="2"/>
        <v/>
      </c>
      <c r="AM34" s="38"/>
    </row>
    <row r="35" spans="1:39" ht="22.5" customHeight="1" x14ac:dyDescent="0.25">
      <c r="A35" s="27" t="s">
        <v>24</v>
      </c>
      <c r="B35" s="27" t="s">
        <v>24</v>
      </c>
      <c r="C35" s="28">
        <f t="shared" ref="C35:AF35" si="3">SUM(C5:C34)</f>
        <v>242</v>
      </c>
      <c r="D35" s="28">
        <f t="shared" si="3"/>
        <v>570</v>
      </c>
      <c r="E35" s="28">
        <f t="shared" si="3"/>
        <v>66</v>
      </c>
      <c r="F35" s="40">
        <f t="shared" si="3"/>
        <v>1813000</v>
      </c>
      <c r="G35" s="28">
        <f t="shared" si="3"/>
        <v>225</v>
      </c>
      <c r="H35" s="28">
        <f t="shared" si="3"/>
        <v>573</v>
      </c>
      <c r="I35" s="28">
        <f t="shared" si="3"/>
        <v>16</v>
      </c>
      <c r="J35" s="40">
        <f t="shared" si="3"/>
        <v>1706000</v>
      </c>
      <c r="K35" s="28">
        <f t="shared" si="3"/>
        <v>154</v>
      </c>
      <c r="L35" s="28">
        <f t="shared" si="3"/>
        <v>639</v>
      </c>
      <c r="M35" s="28">
        <f t="shared" si="3"/>
        <v>95</v>
      </c>
      <c r="N35" s="40">
        <f t="shared" si="3"/>
        <v>1456500</v>
      </c>
      <c r="O35" s="28">
        <f t="shared" si="3"/>
        <v>0</v>
      </c>
      <c r="P35" s="28">
        <f t="shared" si="3"/>
        <v>0</v>
      </c>
      <c r="Q35" s="28">
        <f t="shared" si="3"/>
        <v>0</v>
      </c>
      <c r="R35" s="40">
        <f t="shared" si="3"/>
        <v>0</v>
      </c>
      <c r="S35" s="28">
        <f t="shared" si="3"/>
        <v>0</v>
      </c>
      <c r="T35" s="28">
        <f t="shared" si="3"/>
        <v>0</v>
      </c>
      <c r="U35" s="28">
        <f t="shared" si="3"/>
        <v>0</v>
      </c>
      <c r="V35" s="28">
        <f t="shared" si="3"/>
        <v>48</v>
      </c>
      <c r="W35" s="28">
        <f t="shared" si="3"/>
        <v>0</v>
      </c>
      <c r="X35" s="28">
        <f t="shared" si="3"/>
        <v>772</v>
      </c>
      <c r="Y35" s="28">
        <f t="shared" si="3"/>
        <v>6</v>
      </c>
      <c r="Z35" s="28">
        <f t="shared" si="3"/>
        <v>1267</v>
      </c>
      <c r="AA35" s="28">
        <f t="shared" si="3"/>
        <v>0</v>
      </c>
      <c r="AB35" s="28">
        <f t="shared" si="3"/>
        <v>8</v>
      </c>
      <c r="AC35" s="28">
        <f t="shared" si="3"/>
        <v>1</v>
      </c>
      <c r="AD35" s="40">
        <f t="shared" si="3"/>
        <v>56207</v>
      </c>
      <c r="AE35" s="41">
        <f t="shared" si="3"/>
        <v>5031937</v>
      </c>
      <c r="AF35" s="29">
        <f t="shared" si="3"/>
        <v>-230</v>
      </c>
      <c r="AG35" s="27" t="s">
        <v>24</v>
      </c>
      <c r="AH35" s="27" t="s">
        <v>24</v>
      </c>
      <c r="AI35" s="28">
        <f>SUM(AI5:AI34)</f>
        <v>10903311.92</v>
      </c>
      <c r="AJ35" s="28">
        <f>SUM(AJ5:AJ34)</f>
        <v>10903311.910000002</v>
      </c>
      <c r="AK35" s="28">
        <f>SUM(AK5:AK34)</f>
        <v>1.0000000067520887E-2</v>
      </c>
      <c r="AL35" s="28">
        <f>AJ35+AE35</f>
        <v>15935248.910000002</v>
      </c>
      <c r="AM35" s="28">
        <f>SUM(AM5:AM34)</f>
        <v>0</v>
      </c>
    </row>
  </sheetData>
  <mergeCells count="9">
    <mergeCell ref="S3:AC3"/>
    <mergeCell ref="AD3:AG3"/>
    <mergeCell ref="AH3:AM3"/>
    <mergeCell ref="A1:B1"/>
    <mergeCell ref="A3:B3"/>
    <mergeCell ref="C3:F3"/>
    <mergeCell ref="G3:J3"/>
    <mergeCell ref="K3:N3"/>
    <mergeCell ref="O3:R3"/>
  </mergeCells>
  <conditionalFormatting sqref="A5">
    <cfRule type="duplicateValues" dxfId="22" priority="3"/>
    <cfRule type="duplicateValues" dxfId="21" priority="4"/>
  </conditionalFormatting>
  <conditionalFormatting sqref="A6">
    <cfRule type="duplicateValues" dxfId="20" priority="5"/>
    <cfRule type="duplicateValues" dxfId="19" priority="6"/>
  </conditionalFormatting>
  <conditionalFormatting sqref="A7:A34">
    <cfRule type="duplicateValues" dxfId="18" priority="1"/>
    <cfRule type="duplicateValues" dxfId="17" priority="2"/>
  </conditionalFormatting>
  <conditionalFormatting sqref="A35">
    <cfRule type="duplicateValues" dxfId="16" priority="7"/>
  </conditionalFormatting>
  <dataValidations count="1">
    <dataValidation type="list" allowBlank="1" showInputMessage="1" showErrorMessage="1" sqref="A1:B1" xr:uid="{00000000-0002-0000-1E00-000000000000}">
      <formula1>Locations</formula1>
    </dataValidation>
  </dataValidations>
  <pageMargins left="0.75" right="0.75" top="1" bottom="1" header="0.5" footer="0.5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2">
    <tabColor rgb="FFFF0000"/>
  </sheetPr>
  <dimension ref="A1:AM35"/>
  <sheetViews>
    <sheetView showGridLines="0" topLeftCell="A5" zoomScale="85" zoomScaleNormal="85" workbookViewId="0">
      <pane xSplit="2" topLeftCell="R1" activePane="topRight" state="frozen"/>
      <selection activeCell="A4" sqref="A4"/>
      <selection pane="topRight" activeCell="X35" sqref="X35"/>
    </sheetView>
  </sheetViews>
  <sheetFormatPr defaultRowHeight="15" x14ac:dyDescent="0.25"/>
  <cols>
    <col min="1" max="1" width="11.85546875" customWidth="1"/>
    <col min="2" max="2" width="20.5703125" customWidth="1"/>
    <col min="6" max="6" width="14.42578125" bestFit="1" customWidth="1"/>
    <col min="10" max="10" width="14.42578125" bestFit="1" customWidth="1"/>
    <col min="14" max="14" width="14.42578125" bestFit="1" customWidth="1"/>
    <col min="18" max="18" width="14.42578125" bestFit="1" customWidth="1"/>
    <col min="30" max="31" width="18" customWidth="1"/>
    <col min="32" max="32" width="20" customWidth="1"/>
    <col min="33" max="33" width="14" customWidth="1"/>
    <col min="35" max="35" width="18" customWidth="1"/>
    <col min="36" max="36" width="22" customWidth="1"/>
    <col min="37" max="37" width="16" customWidth="1"/>
    <col min="38" max="38" width="14" customWidth="1"/>
  </cols>
  <sheetData>
    <row r="1" spans="1:39" ht="43.5" customHeight="1" x14ac:dyDescent="0.25">
      <c r="A1" s="48" t="s">
        <v>306</v>
      </c>
      <c r="B1" s="48"/>
    </row>
    <row r="2" spans="1:39" ht="13.5" customHeight="1" x14ac:dyDescent="0.25">
      <c r="A2" s="30">
        <f>'29'!A2+1</f>
        <v>46233</v>
      </c>
    </row>
    <row r="3" spans="1:39" ht="24" customHeight="1" x14ac:dyDescent="0.25">
      <c r="A3" s="49" t="s">
        <v>0</v>
      </c>
      <c r="B3" s="49"/>
      <c r="C3" s="49" t="s">
        <v>93</v>
      </c>
      <c r="D3" s="50"/>
      <c r="E3" s="50"/>
      <c r="F3" s="50"/>
      <c r="G3" s="49" t="s">
        <v>94</v>
      </c>
      <c r="H3" s="50"/>
      <c r="I3" s="50"/>
      <c r="J3" s="50"/>
      <c r="K3" s="49" t="s">
        <v>95</v>
      </c>
      <c r="L3" s="50"/>
      <c r="M3" s="50"/>
      <c r="N3" s="50"/>
      <c r="O3" s="49" t="s">
        <v>96</v>
      </c>
      <c r="P3" s="50"/>
      <c r="Q3" s="50"/>
      <c r="R3" s="50"/>
      <c r="S3" s="45" t="s">
        <v>1</v>
      </c>
      <c r="T3" s="46"/>
      <c r="U3" s="46"/>
      <c r="V3" s="46"/>
      <c r="W3" s="46"/>
      <c r="X3" s="46"/>
      <c r="Y3" s="46"/>
      <c r="Z3" s="46"/>
      <c r="AA3" s="46"/>
      <c r="AB3" s="46"/>
      <c r="AC3" s="46"/>
      <c r="AD3" s="47" t="s">
        <v>97</v>
      </c>
      <c r="AE3" s="46"/>
      <c r="AF3" s="46"/>
      <c r="AG3" s="46"/>
      <c r="AH3" s="47" t="s">
        <v>98</v>
      </c>
      <c r="AI3" s="46"/>
      <c r="AJ3" s="46"/>
      <c r="AK3" s="46"/>
      <c r="AL3" s="46"/>
      <c r="AM3" s="46"/>
    </row>
    <row r="4" spans="1:39" ht="27.95" customHeight="1" x14ac:dyDescent="0.25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92</v>
      </c>
      <c r="G4" s="1" t="s">
        <v>5</v>
      </c>
      <c r="H4" s="1" t="s">
        <v>6</v>
      </c>
      <c r="I4" s="1" t="s">
        <v>7</v>
      </c>
      <c r="J4" s="1" t="s">
        <v>92</v>
      </c>
      <c r="K4" s="1" t="s">
        <v>5</v>
      </c>
      <c r="L4" s="1" t="s">
        <v>6</v>
      </c>
      <c r="M4" s="1" t="s">
        <v>7</v>
      </c>
      <c r="N4" s="1" t="s">
        <v>92</v>
      </c>
      <c r="O4" s="1" t="s">
        <v>5</v>
      </c>
      <c r="P4" s="1" t="s">
        <v>6</v>
      </c>
      <c r="Q4" s="1" t="s">
        <v>7</v>
      </c>
      <c r="R4" s="1" t="s">
        <v>92</v>
      </c>
      <c r="S4" s="1" t="s">
        <v>5</v>
      </c>
      <c r="T4" s="1" t="s">
        <v>6</v>
      </c>
      <c r="U4" s="1" t="s">
        <v>7</v>
      </c>
      <c r="V4" s="1" t="s">
        <v>8</v>
      </c>
      <c r="W4" s="1" t="s">
        <v>9</v>
      </c>
      <c r="X4" s="1" t="s">
        <v>10</v>
      </c>
      <c r="Y4" s="1" t="s">
        <v>11</v>
      </c>
      <c r="Z4" s="1" t="s">
        <v>12</v>
      </c>
      <c r="AA4" s="1" t="s">
        <v>13</v>
      </c>
      <c r="AB4" s="1" t="s">
        <v>14</v>
      </c>
      <c r="AC4" s="1" t="s">
        <v>15</v>
      </c>
      <c r="AD4" s="1" t="s">
        <v>16</v>
      </c>
      <c r="AE4" s="1" t="s">
        <v>17</v>
      </c>
      <c r="AF4" s="1" t="s">
        <v>18</v>
      </c>
      <c r="AG4" s="1" t="s">
        <v>19</v>
      </c>
      <c r="AH4" s="1" t="s">
        <v>20</v>
      </c>
      <c r="AI4" s="4" t="s">
        <v>99</v>
      </c>
      <c r="AJ4" s="1" t="s">
        <v>21</v>
      </c>
      <c r="AK4" s="1" t="s">
        <v>22</v>
      </c>
      <c r="AL4" s="1" t="s">
        <v>23</v>
      </c>
      <c r="AM4" s="4" t="s">
        <v>100</v>
      </c>
    </row>
    <row r="5" spans="1:39" ht="12.75" customHeight="1" x14ac:dyDescent="0.25">
      <c r="A5" s="31">
        <v>71205</v>
      </c>
      <c r="B5" s="32" t="str">
        <f>IF(A5="","",VLOOKUP(A5,'Employee Database'!A:B,2,FALSE))</f>
        <v>M Yaqoob</v>
      </c>
      <c r="C5" s="31">
        <v>13</v>
      </c>
      <c r="D5" s="31">
        <v>50</v>
      </c>
      <c r="E5" s="31">
        <v>0</v>
      </c>
      <c r="F5" s="39">
        <f>IF(COUNT(C5:E5)=0,0,SUMPRODUCT({5000,1000,500},C5:E5))</f>
        <v>115000</v>
      </c>
      <c r="G5" s="31"/>
      <c r="H5" s="31"/>
      <c r="I5" s="31"/>
      <c r="J5" s="39">
        <f>IF(COUNT(G5:I5)=0,0,SUMPRODUCT({5000,1000,500},G5:I5))</f>
        <v>0</v>
      </c>
      <c r="K5" s="31"/>
      <c r="L5" s="31"/>
      <c r="M5" s="31"/>
      <c r="N5" s="39">
        <f>IF(COUNT(K5:M5)=0,0,SUMPRODUCT({5000,1000,500},K5:M5))</f>
        <v>0</v>
      </c>
      <c r="O5" s="31"/>
      <c r="P5" s="31"/>
      <c r="Q5" s="31"/>
      <c r="R5" s="39">
        <f>IF(COUNT(O5:Q5)=0,0,SUMPRODUCT({5000,1000,500},O5:Q5))</f>
        <v>0</v>
      </c>
      <c r="S5" s="31"/>
      <c r="T5" s="31"/>
      <c r="U5" s="31"/>
      <c r="V5" s="31"/>
      <c r="W5" s="31"/>
      <c r="X5" s="31"/>
      <c r="Y5" s="31"/>
      <c r="Z5" s="31">
        <v>5</v>
      </c>
      <c r="AA5" s="31"/>
      <c r="AB5" s="31"/>
      <c r="AC5" s="31">
        <v>1</v>
      </c>
      <c r="AD5" s="34">
        <f>IF(COUNT(S5:AC5)=0,0,SUMPRODUCT({5000,1000,500,100,75,50,20,10,5,2,1}, S5:AC5))</f>
        <v>51</v>
      </c>
      <c r="AE5" s="33">
        <v>115027</v>
      </c>
      <c r="AF5" s="24">
        <f>IF(AND(COUNT(C5:E5)=0,COUNT(G5:I5)=0,COUNT(K5:M5)=0,COUNT(O5:Q5)=0,COUNT(S5:AC5)=0,AE5=""),"",(IF(COUNT(C5:E5)=0,0,SUMPRODUCT({5000,1000,500},C5:E5))+IF(COUNT(G5:I5)=0,0,SUMPRODUCT({5000,1000,500},G5:I5))+IF(COUNT(K5:M5)=0,0,SUMPRODUCT({5000,1000,500},K5:M5))+IF(COUNT(O5:Q5)=0,0,SUMPRODUCT({5000,1000,500},O5:Q5))+AD5)-N(AE5))</f>
        <v>24</v>
      </c>
      <c r="AG5" s="35" t="str">
        <f t="shared" ref="AG5:AG34" si="0">IF(AF5="","",IF(AF5&gt;0,"Excess",IF(AF5&lt;0,"Short","Balanced")))</f>
        <v>Excess</v>
      </c>
      <c r="AH5" s="38"/>
      <c r="AI5" s="36">
        <v>294441.87</v>
      </c>
      <c r="AJ5" s="37">
        <f>45027.95+249413.92</f>
        <v>294441.87</v>
      </c>
      <c r="AK5" s="26">
        <f t="shared" ref="AK5:AK33" si="1">IF(AND(AI5="",AJ5=""),"",N(AI5)-N(AJ5))</f>
        <v>0</v>
      </c>
      <c r="AL5" s="25" t="str">
        <f t="shared" ref="AL5:AL34" si="2">IF(AK5="","",IF(AK5&gt;0,"POS Excess",IF(AK5&lt;0,"Bank Short","Matched")))</f>
        <v>Matched</v>
      </c>
      <c r="AM5" s="38"/>
    </row>
    <row r="6" spans="1:39" ht="12.75" customHeight="1" x14ac:dyDescent="0.25">
      <c r="A6" s="31">
        <v>68107</v>
      </c>
      <c r="B6" s="32" t="str">
        <f>IF(A6="","",VLOOKUP(A6,'Employee Database'!A:B,2,FALSE))</f>
        <v>M Harris</v>
      </c>
      <c r="C6" s="31">
        <v>35</v>
      </c>
      <c r="D6" s="31">
        <v>70</v>
      </c>
      <c r="E6" s="31">
        <v>62</v>
      </c>
      <c r="F6" s="39">
        <f>IF(COUNT(C6:E6)=0,0,SUMPRODUCT({5000,1000,500},C6:E6))</f>
        <v>276000</v>
      </c>
      <c r="G6" s="31"/>
      <c r="H6" s="31"/>
      <c r="I6" s="31"/>
      <c r="J6" s="39">
        <f>IF(COUNT(G6:I6)=0,0,SUMPRODUCT({5000,1000,500},G6:I6))</f>
        <v>0</v>
      </c>
      <c r="K6" s="31"/>
      <c r="L6" s="31"/>
      <c r="M6" s="31"/>
      <c r="N6" s="39">
        <f>IF(COUNT(K6:M6)=0,0,SUMPRODUCT({5000,1000,500},K6:M6))</f>
        <v>0</v>
      </c>
      <c r="O6" s="31"/>
      <c r="P6" s="31"/>
      <c r="Q6" s="31"/>
      <c r="R6" s="39">
        <f>IF(COUNT(O6:Q6)=0,0,SUMPRODUCT({5000,1000,500},O6:Q6))</f>
        <v>0</v>
      </c>
      <c r="S6" s="31"/>
      <c r="T6" s="31"/>
      <c r="U6" s="31"/>
      <c r="V6" s="31">
        <v>3</v>
      </c>
      <c r="W6" s="31"/>
      <c r="X6" s="31">
        <v>53</v>
      </c>
      <c r="Y6" s="31"/>
      <c r="Z6" s="31">
        <v>57</v>
      </c>
      <c r="AA6" s="31"/>
      <c r="AB6" s="31"/>
      <c r="AC6" s="31"/>
      <c r="AD6" s="34">
        <f>IF(COUNT(S6:AC6)=0,0,SUMPRODUCT({5000,1000,500,100,75,50,20,10,5,2,1}, S6:AC6))</f>
        <v>3520</v>
      </c>
      <c r="AE6" s="33">
        <v>279482</v>
      </c>
      <c r="AF6" s="24">
        <f>IF(AND(COUNT(C6:E6)=0,COUNT(G6:I6)=0,COUNT(K6:M6)=0,COUNT(O6:Q6)=0,COUNT(S6:AC6)=0,AE6=""),"",(IF(COUNT(C6:E6)=0,0,SUMPRODUCT({5000,1000,500},C6:E6))+IF(COUNT(G6:I6)=0,0,SUMPRODUCT({5000,1000,500},G6:I6))+IF(COUNT(K6:M6)=0,0,SUMPRODUCT({5000,1000,500},K6:M6))+IF(COUNT(O6:Q6)=0,0,SUMPRODUCT({5000,1000,500},O6:Q6))+AD6)-N(AE6))</f>
        <v>38</v>
      </c>
      <c r="AG6" s="35" t="str">
        <f t="shared" si="0"/>
        <v>Excess</v>
      </c>
      <c r="AH6" s="38"/>
      <c r="AI6" s="36">
        <v>632915.07999999996</v>
      </c>
      <c r="AJ6" s="37">
        <f>445755.2+187159.88</f>
        <v>632915.08000000007</v>
      </c>
      <c r="AK6" s="26">
        <f t="shared" si="1"/>
        <v>-1.1641532182693481E-10</v>
      </c>
      <c r="AL6" s="25" t="str">
        <f t="shared" si="2"/>
        <v>Bank Short</v>
      </c>
      <c r="AM6" s="38"/>
    </row>
    <row r="7" spans="1:39" ht="12.75" customHeight="1" x14ac:dyDescent="0.25">
      <c r="A7" s="31">
        <v>58112</v>
      </c>
      <c r="B7" s="32" t="str">
        <f>IF(A7="","",VLOOKUP(A7,'Employee Database'!A:B,2,FALSE))</f>
        <v>Shama</v>
      </c>
      <c r="C7" s="31">
        <f>9+25</f>
        <v>34</v>
      </c>
      <c r="D7" s="31">
        <f>104+36-4</f>
        <v>136</v>
      </c>
      <c r="E7" s="31">
        <f>2+17</f>
        <v>19</v>
      </c>
      <c r="F7" s="39">
        <f>IF(COUNT(C7:E7)=0,0,SUMPRODUCT({5000,1000,500},C7:E7))</f>
        <v>315500</v>
      </c>
      <c r="G7" s="31"/>
      <c r="H7" s="31"/>
      <c r="I7" s="31"/>
      <c r="J7" s="39">
        <f>IF(COUNT(G7:I7)=0,0,SUMPRODUCT({5000,1000,500},G7:I7))</f>
        <v>0</v>
      </c>
      <c r="K7" s="31"/>
      <c r="L7" s="31"/>
      <c r="M7" s="31"/>
      <c r="N7" s="39">
        <f>IF(COUNT(K7:M7)=0,0,SUMPRODUCT({5000,1000,500},K7:M7))</f>
        <v>0</v>
      </c>
      <c r="O7" s="31"/>
      <c r="P7" s="31"/>
      <c r="Q7" s="31"/>
      <c r="R7" s="39">
        <f>IF(COUNT(O7:Q7)=0,0,SUMPRODUCT({5000,1000,500},O7:Q7))</f>
        <v>0</v>
      </c>
      <c r="S7" s="31"/>
      <c r="T7" s="31"/>
      <c r="U7" s="31"/>
      <c r="V7" s="31"/>
      <c r="W7" s="31"/>
      <c r="X7" s="31">
        <v>13</v>
      </c>
      <c r="Y7" s="31"/>
      <c r="Z7" s="31">
        <v>44</v>
      </c>
      <c r="AA7" s="31"/>
      <c r="AB7" s="31"/>
      <c r="AC7" s="31"/>
      <c r="AD7" s="34">
        <f>IF(COUNT(S7:AC7)=0,0,SUMPRODUCT({5000,1000,500,100,75,50,20,10,5,2,1}, S7:AC7))</f>
        <v>1090</v>
      </c>
      <c r="AE7" s="33">
        <v>316589</v>
      </c>
      <c r="AF7" s="24">
        <f>IF(AND(COUNT(C7:E7)=0,COUNT(G7:I7)=0,COUNT(K7:M7)=0,COUNT(O7:Q7)=0,COUNT(S7:AC7)=0,AE7=""),"",(IF(COUNT(C7:E7)=0,0,SUMPRODUCT({5000,1000,500},C7:E7))+IF(COUNT(G7:I7)=0,0,SUMPRODUCT({5000,1000,500},G7:I7))+IF(COUNT(K7:M7)=0,0,SUMPRODUCT({5000,1000,500},K7:M7))+IF(COUNT(O7:Q7)=0,0,SUMPRODUCT({5000,1000,500},O7:Q7))+AD7)-N(AE7))</f>
        <v>1</v>
      </c>
      <c r="AG7" s="35" t="str">
        <f t="shared" si="0"/>
        <v>Excess</v>
      </c>
      <c r="AH7" s="38"/>
      <c r="AI7" s="36">
        <v>1137588.81</v>
      </c>
      <c r="AJ7" s="37">
        <f>636440.49+501148.32</f>
        <v>1137588.81</v>
      </c>
      <c r="AK7" s="26">
        <f t="shared" si="1"/>
        <v>0</v>
      </c>
      <c r="AL7" s="25" t="str">
        <f t="shared" si="2"/>
        <v>Matched</v>
      </c>
      <c r="AM7" s="38"/>
    </row>
    <row r="8" spans="1:39" ht="12.75" customHeight="1" x14ac:dyDescent="0.25">
      <c r="A8" s="31">
        <v>77423</v>
      </c>
      <c r="B8" s="32" t="str">
        <f>IF(A8="","",VLOOKUP(A8,'Employee Database'!A:B,2,FALSE))</f>
        <v>Shoaib Akhtar</v>
      </c>
      <c r="C8" s="31">
        <v>24</v>
      </c>
      <c r="D8" s="31">
        <v>110</v>
      </c>
      <c r="E8" s="31">
        <v>30</v>
      </c>
      <c r="F8" s="39">
        <f>IF(COUNT(C8:E8)=0,0,SUMPRODUCT({5000,1000,500},C8:E8))</f>
        <v>245000</v>
      </c>
      <c r="G8" s="31"/>
      <c r="H8" s="31"/>
      <c r="I8" s="31"/>
      <c r="J8" s="39">
        <f>IF(COUNT(G8:I8)=0,0,SUMPRODUCT({5000,1000,500},G8:I8))</f>
        <v>0</v>
      </c>
      <c r="K8" s="31"/>
      <c r="L8" s="31"/>
      <c r="M8" s="31"/>
      <c r="N8" s="39">
        <f>IF(COUNT(K8:M8)=0,0,SUMPRODUCT({5000,1000,500},K8:M8))</f>
        <v>0</v>
      </c>
      <c r="O8" s="31"/>
      <c r="P8" s="31"/>
      <c r="Q8" s="31"/>
      <c r="R8" s="39">
        <f>IF(COUNT(O8:Q8)=0,0,SUMPRODUCT({5000,1000,500},O8:Q8))</f>
        <v>0</v>
      </c>
      <c r="S8" s="31"/>
      <c r="T8" s="31"/>
      <c r="U8" s="31"/>
      <c r="V8" s="31"/>
      <c r="W8" s="31"/>
      <c r="X8" s="31">
        <v>10</v>
      </c>
      <c r="Y8" s="31"/>
      <c r="Z8" s="31">
        <v>2</v>
      </c>
      <c r="AA8" s="31"/>
      <c r="AB8" s="31"/>
      <c r="AC8" s="31"/>
      <c r="AD8" s="34">
        <f>IF(COUNT(S8:AC8)=0,0,SUMPRODUCT({5000,1000,500,100,75,50,20,10,5,2,1}, S8:AC8))</f>
        <v>520</v>
      </c>
      <c r="AE8" s="33">
        <v>245680</v>
      </c>
      <c r="AF8" s="24">
        <f>IF(AND(COUNT(C8:E8)=0,COUNT(G8:I8)=0,COUNT(K8:M8)=0,COUNT(O8:Q8)=0,COUNT(S8:AC8)=0,AE8=""),"",(IF(COUNT(C8:E8)=0,0,SUMPRODUCT({5000,1000,500},C8:E8))+IF(COUNT(G8:I8)=0,0,SUMPRODUCT({5000,1000,500},G8:I8))+IF(COUNT(K8:M8)=0,0,SUMPRODUCT({5000,1000,500},K8:M8))+IF(COUNT(O8:Q8)=0,0,SUMPRODUCT({5000,1000,500},O8:Q8))+AD8)-N(AE8))</f>
        <v>-160</v>
      </c>
      <c r="AG8" s="35" t="str">
        <f t="shared" si="0"/>
        <v>Short</v>
      </c>
      <c r="AH8" s="38"/>
      <c r="AI8" s="36">
        <v>319420.94</v>
      </c>
      <c r="AJ8" s="37">
        <f>188117.89+131303.05</f>
        <v>319420.94</v>
      </c>
      <c r="AK8" s="26">
        <f t="shared" si="1"/>
        <v>0</v>
      </c>
      <c r="AL8" s="25" t="str">
        <f t="shared" si="2"/>
        <v>Matched</v>
      </c>
      <c r="AM8" s="38"/>
    </row>
    <row r="9" spans="1:39" ht="12.75" customHeight="1" x14ac:dyDescent="0.25">
      <c r="A9" s="31">
        <v>59257</v>
      </c>
      <c r="B9" s="32" t="str">
        <f>IF(A9="","",VLOOKUP(A9,'Employee Database'!A:B,2,FALSE))</f>
        <v>Saddiqa Maryam</v>
      </c>
      <c r="C9" s="31">
        <v>30</v>
      </c>
      <c r="D9" s="31">
        <v>79</v>
      </c>
      <c r="E9" s="31">
        <v>3</v>
      </c>
      <c r="F9" s="39">
        <f>IF(COUNT(C9:E9)=0,0,SUMPRODUCT({5000,1000,500},C9:E9))</f>
        <v>230500</v>
      </c>
      <c r="G9" s="31"/>
      <c r="H9" s="31"/>
      <c r="I9" s="31"/>
      <c r="J9" s="39">
        <f>IF(COUNT(G9:I9)=0,0,SUMPRODUCT({5000,1000,500},G9:I9))</f>
        <v>0</v>
      </c>
      <c r="K9" s="31"/>
      <c r="L9" s="31"/>
      <c r="M9" s="31"/>
      <c r="N9" s="39">
        <f>IF(COUNT(K9:M9)=0,0,SUMPRODUCT({5000,1000,500},K9:M9))</f>
        <v>0</v>
      </c>
      <c r="O9" s="31"/>
      <c r="P9" s="31"/>
      <c r="Q9" s="31"/>
      <c r="R9" s="39">
        <f>IF(COUNT(O9:Q9)=0,0,SUMPRODUCT({5000,1000,500},O9:Q9))</f>
        <v>0</v>
      </c>
      <c r="S9" s="31"/>
      <c r="T9" s="31"/>
      <c r="U9" s="31"/>
      <c r="V9" s="31">
        <v>2</v>
      </c>
      <c r="W9" s="31"/>
      <c r="X9" s="31">
        <v>46</v>
      </c>
      <c r="Y9" s="31">
        <v>1</v>
      </c>
      <c r="Z9" s="31">
        <v>38</v>
      </c>
      <c r="AA9" s="31"/>
      <c r="AB9" s="31"/>
      <c r="AC9" s="31"/>
      <c r="AD9" s="34">
        <f>IF(COUNT(S9:AC9)=0,0,SUMPRODUCT({5000,1000,500,100,75,50,20,10,5,2,1}, S9:AC9))</f>
        <v>2900</v>
      </c>
      <c r="AE9" s="33">
        <v>233376</v>
      </c>
      <c r="AF9" s="24">
        <f>IF(AND(COUNT(C9:E9)=0,COUNT(G9:I9)=0,COUNT(K9:M9)=0,COUNT(O9:Q9)=0,COUNT(S9:AC9)=0,AE9=""),"",(IF(COUNT(C9:E9)=0,0,SUMPRODUCT({5000,1000,500},C9:E9))+IF(COUNT(G9:I9)=0,0,SUMPRODUCT({5000,1000,500},G9:I9))+IF(COUNT(K9:M9)=0,0,SUMPRODUCT({5000,1000,500},K9:M9))+IF(COUNT(O9:Q9)=0,0,SUMPRODUCT({5000,1000,500},O9:Q9))+AD9)-N(AE9))</f>
        <v>24</v>
      </c>
      <c r="AG9" s="35" t="str">
        <f t="shared" si="0"/>
        <v>Excess</v>
      </c>
      <c r="AH9" s="38"/>
      <c r="AI9" s="36">
        <v>790512.99</v>
      </c>
      <c r="AJ9" s="37">
        <f>414516.57+375996.42</f>
        <v>790512.99</v>
      </c>
      <c r="AK9" s="26">
        <f t="shared" si="1"/>
        <v>0</v>
      </c>
      <c r="AL9" s="25" t="str">
        <f t="shared" si="2"/>
        <v>Matched</v>
      </c>
      <c r="AM9" s="38"/>
    </row>
    <row r="10" spans="1:39" ht="12.75" customHeight="1" x14ac:dyDescent="0.25">
      <c r="A10" s="31">
        <v>63854</v>
      </c>
      <c r="B10" s="32" t="str">
        <f>IF(A10="","",VLOOKUP(A10,'Employee Database'!A:B,2,FALSE))</f>
        <v>Maham</v>
      </c>
      <c r="C10" s="31">
        <v>28</v>
      </c>
      <c r="D10" s="31">
        <v>143</v>
      </c>
      <c r="E10" s="31">
        <v>7</v>
      </c>
      <c r="F10" s="39">
        <f>IF(COUNT(C10:E10)=0,0,SUMPRODUCT({5000,1000,500},C10:E10))</f>
        <v>286500</v>
      </c>
      <c r="G10" s="31"/>
      <c r="H10" s="31"/>
      <c r="I10" s="31"/>
      <c r="J10" s="39">
        <f>IF(COUNT(G10:I10)=0,0,SUMPRODUCT({5000,1000,500},G10:I10))</f>
        <v>0</v>
      </c>
      <c r="K10" s="31"/>
      <c r="L10" s="31"/>
      <c r="M10" s="31"/>
      <c r="N10" s="39">
        <f>IF(COUNT(K10:M10)=0,0,SUMPRODUCT({5000,1000,500},K10:M10))</f>
        <v>0</v>
      </c>
      <c r="O10" s="31"/>
      <c r="P10" s="31"/>
      <c r="Q10" s="31"/>
      <c r="R10" s="39">
        <f>IF(COUNT(O10:Q10)=0,0,SUMPRODUCT({5000,1000,500},O10:Q10))</f>
        <v>0</v>
      </c>
      <c r="S10" s="31"/>
      <c r="T10" s="31"/>
      <c r="U10" s="31"/>
      <c r="V10" s="31"/>
      <c r="W10" s="31"/>
      <c r="X10" s="31">
        <v>4</v>
      </c>
      <c r="Y10" s="31"/>
      <c r="Z10" s="31">
        <v>30</v>
      </c>
      <c r="AA10" s="31"/>
      <c r="AB10" s="31"/>
      <c r="AC10" s="31"/>
      <c r="AD10" s="34">
        <f>IF(COUNT(S10:AC10)=0,0,SUMPRODUCT({5000,1000,500,100,75,50,20,10,5,2,1}, S10:AC10))</f>
        <v>500</v>
      </c>
      <c r="AE10" s="33">
        <v>286987</v>
      </c>
      <c r="AF10" s="24">
        <f>IF(AND(COUNT(C10:E10)=0,COUNT(G10:I10)=0,COUNT(K10:M10)=0,COUNT(O10:Q10)=0,COUNT(S10:AC10)=0,AE10=""),"",(IF(COUNT(C10:E10)=0,0,SUMPRODUCT({5000,1000,500},C10:E10))+IF(COUNT(G10:I10)=0,0,SUMPRODUCT({5000,1000,500},G10:I10))+IF(COUNT(K10:M10)=0,0,SUMPRODUCT({5000,1000,500},K10:M10))+IF(COUNT(O10:Q10)=0,0,SUMPRODUCT({5000,1000,500},O10:Q10))+AD10)-N(AE10))</f>
        <v>13</v>
      </c>
      <c r="AG10" s="35" t="str">
        <f t="shared" si="0"/>
        <v>Excess</v>
      </c>
      <c r="AH10" s="38"/>
      <c r="AI10" s="36">
        <f>723466.62+11396.01</f>
        <v>734862.63</v>
      </c>
      <c r="AJ10" s="37">
        <f>408850.43+314616.19+11396.01</f>
        <v>734862.63</v>
      </c>
      <c r="AK10" s="26">
        <f t="shared" si="1"/>
        <v>0</v>
      </c>
      <c r="AL10" s="25" t="str">
        <f t="shared" si="2"/>
        <v>Matched</v>
      </c>
      <c r="AM10" s="38"/>
    </row>
    <row r="11" spans="1:39" ht="12.75" customHeight="1" x14ac:dyDescent="0.25">
      <c r="A11" s="31">
        <v>56189</v>
      </c>
      <c r="B11" s="32" t="str">
        <f>IF(A11="","",VLOOKUP(A11,'Employee Database'!A:B,2,FALSE))</f>
        <v>Iffat Sultan</v>
      </c>
      <c r="C11" s="31">
        <v>14</v>
      </c>
      <c r="D11" s="31">
        <v>28</v>
      </c>
      <c r="E11" s="31">
        <v>3</v>
      </c>
      <c r="F11" s="39">
        <f>IF(COUNT(C11:E11)=0,0,SUMPRODUCT({5000,1000,500},C11:E11))</f>
        <v>99500</v>
      </c>
      <c r="G11" s="31"/>
      <c r="H11" s="31"/>
      <c r="I11" s="31"/>
      <c r="J11" s="39">
        <f>IF(COUNT(G11:I11)=0,0,SUMPRODUCT({5000,1000,500},G11:I11))</f>
        <v>0</v>
      </c>
      <c r="K11" s="31"/>
      <c r="L11" s="31"/>
      <c r="M11" s="31"/>
      <c r="N11" s="39">
        <f>IF(COUNT(K11:M11)=0,0,SUMPRODUCT({5000,1000,500},K11:M11))</f>
        <v>0</v>
      </c>
      <c r="O11" s="31"/>
      <c r="P11" s="31"/>
      <c r="Q11" s="31"/>
      <c r="R11" s="39">
        <f>IF(COUNT(O11:Q11)=0,0,SUMPRODUCT({5000,1000,500},O11:Q11))</f>
        <v>0</v>
      </c>
      <c r="S11" s="31"/>
      <c r="T11" s="31"/>
      <c r="U11" s="31"/>
      <c r="V11" s="31">
        <v>5</v>
      </c>
      <c r="W11" s="31"/>
      <c r="X11" s="31">
        <v>6</v>
      </c>
      <c r="Y11" s="31"/>
      <c r="Z11" s="31">
        <v>10</v>
      </c>
      <c r="AA11" s="31"/>
      <c r="AB11" s="31"/>
      <c r="AC11" s="31"/>
      <c r="AD11" s="34">
        <f>IF(COUNT(S11:AC11)=0,0,SUMPRODUCT({5000,1000,500,100,75,50,20,10,5,2,1}, S11:AC11))</f>
        <v>900</v>
      </c>
      <c r="AE11" s="33">
        <v>100372</v>
      </c>
      <c r="AF11" s="24">
        <f>IF(AND(COUNT(C11:E11)=0,COUNT(G11:I11)=0,COUNT(K11:M11)=0,COUNT(O11:Q11)=0,COUNT(S11:AC11)=0,AE11=""),"",(IF(COUNT(C11:E11)=0,0,SUMPRODUCT({5000,1000,500},C11:E11))+IF(COUNT(G11:I11)=0,0,SUMPRODUCT({5000,1000,500},G11:I11))+IF(COUNT(K11:M11)=0,0,SUMPRODUCT({5000,1000,500},K11:M11))+IF(COUNT(O11:Q11)=0,0,SUMPRODUCT({5000,1000,500},O11:Q11))+AD11)-N(AE11))</f>
        <v>28</v>
      </c>
      <c r="AG11" s="35" t="str">
        <f t="shared" si="0"/>
        <v>Excess</v>
      </c>
      <c r="AH11" s="38"/>
      <c r="AI11" s="36">
        <v>340347.1</v>
      </c>
      <c r="AJ11" s="37">
        <f>131888+208459.1</f>
        <v>340347.1</v>
      </c>
      <c r="AK11" s="26">
        <f t="shared" si="1"/>
        <v>0</v>
      </c>
      <c r="AL11" s="25" t="str">
        <f t="shared" si="2"/>
        <v>Matched</v>
      </c>
      <c r="AM11" s="38"/>
    </row>
    <row r="12" spans="1:39" ht="12.75" customHeight="1" x14ac:dyDescent="0.25">
      <c r="A12" s="31">
        <v>50524</v>
      </c>
      <c r="B12" s="32" t="str">
        <f>IF(A12="","",VLOOKUP(A12,'Employee Database'!A:B,2,FALSE))</f>
        <v>Allah Rakha</v>
      </c>
      <c r="C12" s="31"/>
      <c r="D12" s="31"/>
      <c r="E12" s="31"/>
      <c r="F12" s="39">
        <f>IF(COUNT(C12:E12)=0,0,SUMPRODUCT({5000,1000,500},C12:E12))</f>
        <v>0</v>
      </c>
      <c r="G12" s="31">
        <v>26</v>
      </c>
      <c r="H12" s="31">
        <v>81</v>
      </c>
      <c r="I12" s="31">
        <v>9</v>
      </c>
      <c r="J12" s="39">
        <f>IF(COUNT(G12:I12)=0,0,SUMPRODUCT({5000,1000,500},G12:I12))</f>
        <v>215500</v>
      </c>
      <c r="K12" s="31"/>
      <c r="L12" s="31"/>
      <c r="M12" s="31"/>
      <c r="N12" s="39">
        <f>IF(COUNT(K12:M12)=0,0,SUMPRODUCT({5000,1000,500},K12:M12))</f>
        <v>0</v>
      </c>
      <c r="O12" s="31"/>
      <c r="P12" s="31"/>
      <c r="Q12" s="31"/>
      <c r="R12" s="39">
        <f>IF(COUNT(O12:Q12)=0,0,SUMPRODUCT({5000,1000,500},O12:Q12))</f>
        <v>0</v>
      </c>
      <c r="S12" s="31"/>
      <c r="T12" s="31"/>
      <c r="U12" s="31"/>
      <c r="V12" s="31">
        <v>3</v>
      </c>
      <c r="W12" s="31"/>
      <c r="X12" s="31">
        <v>51</v>
      </c>
      <c r="Y12" s="31"/>
      <c r="Z12" s="31">
        <v>57</v>
      </c>
      <c r="AA12" s="31"/>
      <c r="AB12" s="31"/>
      <c r="AC12" s="31"/>
      <c r="AD12" s="34">
        <f>IF(COUNT(S12:AC12)=0,0,SUMPRODUCT({5000,1000,500,100,75,50,20,10,5,2,1}, S12:AC12))</f>
        <v>3420</v>
      </c>
      <c r="AE12" s="33">
        <v>218961</v>
      </c>
      <c r="AF12" s="24">
        <f>IF(AND(COUNT(C12:E12)=0,COUNT(G12:I12)=0,COUNT(K12:M12)=0,COUNT(O12:Q12)=0,COUNT(S12:AC12)=0,AE12=""),"",(IF(COUNT(C12:E12)=0,0,SUMPRODUCT({5000,1000,500},C12:E12))+IF(COUNT(G12:I12)=0,0,SUMPRODUCT({5000,1000,500},G12:I12))+IF(COUNT(K12:M12)=0,0,SUMPRODUCT({5000,1000,500},K12:M12))+IF(COUNT(O12:Q12)=0,0,SUMPRODUCT({5000,1000,500},O12:Q12))+AD12)-N(AE12))</f>
        <v>-41</v>
      </c>
      <c r="AG12" s="35" t="str">
        <f t="shared" si="0"/>
        <v>Short</v>
      </c>
      <c r="AH12" s="38"/>
      <c r="AI12" s="36">
        <f>47885.85+492627.31+111318.34</f>
        <v>651831.5</v>
      </c>
      <c r="AJ12" s="37">
        <f>492627.31+47885.85+102937.62+8380.72</f>
        <v>651831.5</v>
      </c>
      <c r="AK12" s="26">
        <f t="shared" si="1"/>
        <v>0</v>
      </c>
      <c r="AL12" s="25" t="str">
        <f t="shared" si="2"/>
        <v>Matched</v>
      </c>
      <c r="AM12" s="38"/>
    </row>
    <row r="13" spans="1:39" ht="12.75" customHeight="1" x14ac:dyDescent="0.25">
      <c r="A13" s="31">
        <v>55417</v>
      </c>
      <c r="B13" s="32" t="str">
        <f>IF(A13="","",VLOOKUP(A13,'Employee Database'!A:B,2,FALSE))</f>
        <v>M Imran</v>
      </c>
      <c r="C13" s="31"/>
      <c r="D13" s="31"/>
      <c r="E13" s="31"/>
      <c r="F13" s="39">
        <f>IF(COUNT(C13:E13)=0,0,SUMPRODUCT({5000,1000,500},C13:E13))</f>
        <v>0</v>
      </c>
      <c r="G13" s="31">
        <v>44</v>
      </c>
      <c r="H13" s="31">
        <v>39</v>
      </c>
      <c r="I13" s="31">
        <v>1</v>
      </c>
      <c r="J13" s="39">
        <f>IF(COUNT(G13:I13)=0,0,SUMPRODUCT({5000,1000,500},G13:I13))</f>
        <v>259500</v>
      </c>
      <c r="K13" s="31"/>
      <c r="L13" s="31"/>
      <c r="M13" s="31"/>
      <c r="N13" s="39">
        <f>IF(COUNT(K13:M13)=0,0,SUMPRODUCT({5000,1000,500},K13:M13))</f>
        <v>0</v>
      </c>
      <c r="O13" s="31"/>
      <c r="P13" s="31"/>
      <c r="Q13" s="31"/>
      <c r="R13" s="39">
        <f>IF(COUNT(O13:Q13)=0,0,SUMPRODUCT({5000,1000,500},O13:Q13))</f>
        <v>0</v>
      </c>
      <c r="S13" s="31"/>
      <c r="T13" s="31"/>
      <c r="U13" s="31"/>
      <c r="V13" s="31"/>
      <c r="W13" s="31"/>
      <c r="X13" s="31">
        <v>10</v>
      </c>
      <c r="Y13" s="31">
        <v>1</v>
      </c>
      <c r="Z13" s="31">
        <v>69</v>
      </c>
      <c r="AA13" s="31"/>
      <c r="AB13" s="31"/>
      <c r="AC13" s="31"/>
      <c r="AD13" s="34">
        <f>IF(COUNT(S13:AC13)=0,0,SUMPRODUCT({5000,1000,500,100,75,50,20,10,5,2,1}, S13:AC13))</f>
        <v>1210</v>
      </c>
      <c r="AE13" s="33">
        <v>260896</v>
      </c>
      <c r="AF13" s="24">
        <f>IF(AND(COUNT(C13:E13)=0,COUNT(G13:I13)=0,COUNT(K13:M13)=0,COUNT(O13:Q13)=0,COUNT(S13:AC13)=0,AE13=""),"",(IF(COUNT(C13:E13)=0,0,SUMPRODUCT({5000,1000,500},C13:E13))+IF(COUNT(G13:I13)=0,0,SUMPRODUCT({5000,1000,500},G13:I13))+IF(COUNT(K13:M13)=0,0,SUMPRODUCT({5000,1000,500},K13:M13))+IF(COUNT(O13:Q13)=0,0,SUMPRODUCT({5000,1000,500},O13:Q13))+AD13)-N(AE13))</f>
        <v>-186</v>
      </c>
      <c r="AG13" s="35" t="str">
        <f t="shared" si="0"/>
        <v>Short</v>
      </c>
      <c r="AH13" s="38"/>
      <c r="AI13" s="36">
        <v>457939.27</v>
      </c>
      <c r="AJ13" s="37">
        <f>358081.72+99857.55</f>
        <v>457939.26999999996</v>
      </c>
      <c r="AK13" s="26">
        <f t="shared" si="1"/>
        <v>5.8207660913467407E-11</v>
      </c>
      <c r="AL13" s="25" t="str">
        <f t="shared" si="2"/>
        <v>POS Excess</v>
      </c>
      <c r="AM13" s="38"/>
    </row>
    <row r="14" spans="1:39" ht="12.75" customHeight="1" x14ac:dyDescent="0.25">
      <c r="A14" s="31">
        <v>63374</v>
      </c>
      <c r="B14" s="32" t="str">
        <f>IF(A14="","",VLOOKUP(A14,'Employee Database'!A:B,2,FALSE))</f>
        <v>Aftab Ali</v>
      </c>
      <c r="C14" s="31"/>
      <c r="D14" s="31"/>
      <c r="E14" s="31"/>
      <c r="F14" s="39">
        <f>IF(COUNT(C14:E14)=0,0,SUMPRODUCT({5000,1000,500},C14:E14))</f>
        <v>0</v>
      </c>
      <c r="G14" s="31">
        <v>56</v>
      </c>
      <c r="H14" s="31">
        <v>135</v>
      </c>
      <c r="I14" s="31">
        <v>14</v>
      </c>
      <c r="J14" s="39">
        <f>IF(COUNT(G14:I14)=0,0,SUMPRODUCT({5000,1000,500},G14:I14))</f>
        <v>422000</v>
      </c>
      <c r="K14" s="31"/>
      <c r="L14" s="31"/>
      <c r="M14" s="31"/>
      <c r="N14" s="39">
        <f>IF(COUNT(K14:M14)=0,0,SUMPRODUCT({5000,1000,500},K14:M14))</f>
        <v>0</v>
      </c>
      <c r="O14" s="31"/>
      <c r="P14" s="31"/>
      <c r="Q14" s="31"/>
      <c r="R14" s="39">
        <f>IF(COUNT(O14:Q14)=0,0,SUMPRODUCT({5000,1000,500},O14:Q14))</f>
        <v>0</v>
      </c>
      <c r="S14" s="31"/>
      <c r="T14" s="31"/>
      <c r="U14" s="31"/>
      <c r="V14" s="31">
        <v>4</v>
      </c>
      <c r="W14" s="31"/>
      <c r="X14" s="31">
        <v>88</v>
      </c>
      <c r="Y14" s="31"/>
      <c r="Z14" s="31">
        <v>18</v>
      </c>
      <c r="AA14" s="31"/>
      <c r="AB14" s="31"/>
      <c r="AC14" s="31"/>
      <c r="AD14" s="34">
        <f>IF(COUNT(S14:AC14)=0,0,SUMPRODUCT({5000,1000,500,100,75,50,20,10,5,2,1}, S14:AC14))</f>
        <v>4980</v>
      </c>
      <c r="AE14" s="33">
        <v>426940</v>
      </c>
      <c r="AF14" s="24">
        <f>IF(AND(COUNT(C14:E14)=0,COUNT(G14:I14)=0,COUNT(K14:M14)=0,COUNT(O14:Q14)=0,COUNT(S14:AC14)=0,AE14=""),"",(IF(COUNT(C14:E14)=0,0,SUMPRODUCT({5000,1000,500},C14:E14))+IF(COUNT(G14:I14)=0,0,SUMPRODUCT({5000,1000,500},G14:I14))+IF(COUNT(K14:M14)=0,0,SUMPRODUCT({5000,1000,500},K14:M14))+IF(COUNT(O14:Q14)=0,0,SUMPRODUCT({5000,1000,500},O14:Q14))+AD14)-N(AE14))</f>
        <v>40</v>
      </c>
      <c r="AG14" s="35" t="str">
        <f t="shared" si="0"/>
        <v>Excess</v>
      </c>
      <c r="AH14" s="38"/>
      <c r="AI14" s="36">
        <v>876081.59</v>
      </c>
      <c r="AJ14" s="37">
        <v>876081.59</v>
      </c>
      <c r="AK14" s="26">
        <f t="shared" si="1"/>
        <v>0</v>
      </c>
      <c r="AL14" s="25" t="str">
        <f t="shared" si="2"/>
        <v>Matched</v>
      </c>
      <c r="AM14" s="38"/>
    </row>
    <row r="15" spans="1:39" ht="12.75" customHeight="1" x14ac:dyDescent="0.25">
      <c r="A15" s="31">
        <v>50313</v>
      </c>
      <c r="B15" s="32" t="str">
        <f>IF(A15="","",VLOOKUP(A15,'Employee Database'!A:B,2,FALSE))</f>
        <v>Waseem Raza</v>
      </c>
      <c r="C15" s="31"/>
      <c r="D15" s="31"/>
      <c r="E15" s="31"/>
      <c r="F15" s="39">
        <f>IF(COUNT(C15:E15)=0,0,SUMPRODUCT({5000,1000,500},C15:E15))</f>
        <v>0</v>
      </c>
      <c r="G15" s="31">
        <v>1</v>
      </c>
      <c r="H15" s="31">
        <v>15</v>
      </c>
      <c r="I15" s="31">
        <v>1</v>
      </c>
      <c r="J15" s="39">
        <f>IF(COUNT(G15:I15)=0,0,SUMPRODUCT({5000,1000,500},G15:I15))</f>
        <v>20500</v>
      </c>
      <c r="K15" s="31"/>
      <c r="L15" s="31"/>
      <c r="M15" s="31"/>
      <c r="N15" s="39">
        <f>IF(COUNT(K15:M15)=0,0,SUMPRODUCT({5000,1000,500},K15:M15))</f>
        <v>0</v>
      </c>
      <c r="O15" s="31"/>
      <c r="P15" s="31"/>
      <c r="Q15" s="31"/>
      <c r="R15" s="39">
        <f>IF(COUNT(O15:Q15)=0,0,SUMPRODUCT({5000,1000,500},O15:Q15))</f>
        <v>0</v>
      </c>
      <c r="S15" s="31"/>
      <c r="T15" s="31"/>
      <c r="U15" s="31"/>
      <c r="V15" s="31">
        <v>1</v>
      </c>
      <c r="W15" s="31"/>
      <c r="X15" s="31">
        <v>9</v>
      </c>
      <c r="Y15" s="31"/>
      <c r="Z15" s="31">
        <v>2</v>
      </c>
      <c r="AA15" s="31"/>
      <c r="AB15" s="31"/>
      <c r="AC15" s="31"/>
      <c r="AD15" s="34">
        <f>IF(COUNT(S15:AC15)=0,0,SUMPRODUCT({5000,1000,500,100,75,50,20,10,5,2,1}, S15:AC15))</f>
        <v>570</v>
      </c>
      <c r="AE15" s="33">
        <v>21061</v>
      </c>
      <c r="AF15" s="24">
        <f>IF(AND(COUNT(C15:E15)=0,COUNT(G15:I15)=0,COUNT(K15:M15)=0,COUNT(O15:Q15)=0,COUNT(S15:AC15)=0,AE15=""),"",(IF(COUNT(C15:E15)=0,0,SUMPRODUCT({5000,1000,500},C15:E15))+IF(COUNT(G15:I15)=0,0,SUMPRODUCT({5000,1000,500},G15:I15))+IF(COUNT(K15:M15)=0,0,SUMPRODUCT({5000,1000,500},K15:M15))+IF(COUNT(O15:Q15)=0,0,SUMPRODUCT({5000,1000,500},O15:Q15))+AD15)-N(AE15))</f>
        <v>9</v>
      </c>
      <c r="AG15" s="35" t="str">
        <f t="shared" si="0"/>
        <v>Excess</v>
      </c>
      <c r="AH15" s="38"/>
      <c r="AI15" s="36"/>
      <c r="AJ15" s="37"/>
      <c r="AK15" s="26" t="str">
        <f t="shared" si="1"/>
        <v/>
      </c>
      <c r="AL15" s="25" t="str">
        <f t="shared" si="2"/>
        <v/>
      </c>
      <c r="AM15" s="38"/>
    </row>
    <row r="16" spans="1:39" ht="12.75" customHeight="1" x14ac:dyDescent="0.25">
      <c r="A16" s="31">
        <v>61648</v>
      </c>
      <c r="B16" s="32" t="str">
        <f>IF(A16="","",VLOOKUP(A16,'Employee Database'!A:B,2,FALSE))</f>
        <v>Rizwan</v>
      </c>
      <c r="C16" s="31"/>
      <c r="D16" s="31"/>
      <c r="E16" s="31"/>
      <c r="F16" s="39">
        <f>IF(COUNT(C16:E16)=0,0,SUMPRODUCT({5000,1000,500},C16:E16))</f>
        <v>0</v>
      </c>
      <c r="G16" s="31">
        <v>55</v>
      </c>
      <c r="H16" s="31">
        <v>96</v>
      </c>
      <c r="I16" s="31">
        <v>18</v>
      </c>
      <c r="J16" s="39">
        <f>IF(COUNT(G16:I16)=0,0,SUMPRODUCT({5000,1000,500},G16:I16))</f>
        <v>380000</v>
      </c>
      <c r="K16" s="31"/>
      <c r="L16" s="31"/>
      <c r="M16" s="31"/>
      <c r="N16" s="39">
        <f>IF(COUNT(K16:M16)=0,0,SUMPRODUCT({5000,1000,500},K16:M16))</f>
        <v>0</v>
      </c>
      <c r="O16" s="31"/>
      <c r="P16" s="31"/>
      <c r="Q16" s="31"/>
      <c r="R16" s="39">
        <f>IF(COUNT(O16:Q16)=0,0,SUMPRODUCT({5000,1000,500},O16:Q16))</f>
        <v>0</v>
      </c>
      <c r="S16" s="31"/>
      <c r="T16" s="31"/>
      <c r="U16" s="31"/>
      <c r="V16" s="31">
        <v>9</v>
      </c>
      <c r="W16" s="31"/>
      <c r="X16" s="31">
        <v>36</v>
      </c>
      <c r="Y16" s="31"/>
      <c r="Z16" s="31">
        <v>14</v>
      </c>
      <c r="AA16" s="31"/>
      <c r="AB16" s="31"/>
      <c r="AC16" s="31"/>
      <c r="AD16" s="34">
        <f>IF(COUNT(S16:AC16)=0,0,SUMPRODUCT({5000,1000,500,100,75,50,20,10,5,2,1}, S16:AC16))</f>
        <v>2840</v>
      </c>
      <c r="AE16" s="33">
        <v>382804</v>
      </c>
      <c r="AF16" s="24">
        <f>IF(AND(COUNT(C16:E16)=0,COUNT(G16:I16)=0,COUNT(K16:M16)=0,COUNT(O16:Q16)=0,COUNT(S16:AC16)=0,AE16=""),"",(IF(COUNT(C16:E16)=0,0,SUMPRODUCT({5000,1000,500},C16:E16))+IF(COUNT(G16:I16)=0,0,SUMPRODUCT({5000,1000,500},G16:I16))+IF(COUNT(K16:M16)=0,0,SUMPRODUCT({5000,1000,500},K16:M16))+IF(COUNT(O16:Q16)=0,0,SUMPRODUCT({5000,1000,500},O16:Q16))+AD16)-N(AE16))</f>
        <v>36</v>
      </c>
      <c r="AG16" s="35" t="str">
        <f t="shared" si="0"/>
        <v>Excess</v>
      </c>
      <c r="AH16" s="38"/>
      <c r="AI16" s="36">
        <v>1007535.73</v>
      </c>
      <c r="AJ16" s="37">
        <f>409173.36+598362.37</f>
        <v>1007535.73</v>
      </c>
      <c r="AK16" s="26">
        <f t="shared" si="1"/>
        <v>0</v>
      </c>
      <c r="AL16" s="25" t="str">
        <f t="shared" si="2"/>
        <v>Matched</v>
      </c>
      <c r="AM16" s="38"/>
    </row>
    <row r="17" spans="1:39" ht="12.75" customHeight="1" x14ac:dyDescent="0.25">
      <c r="A17" s="31">
        <v>67250</v>
      </c>
      <c r="B17" s="32" t="str">
        <f>IF(A17="","",VLOOKUP(A17,'Employee Database'!A:B,2,FALSE))</f>
        <v>M Fiaz</v>
      </c>
      <c r="C17" s="31"/>
      <c r="D17" s="31"/>
      <c r="E17" s="31"/>
      <c r="F17" s="39">
        <f>IF(COUNT(C17:E17)=0,0,SUMPRODUCT({5000,1000,500},C17:E17))</f>
        <v>0</v>
      </c>
      <c r="G17" s="31">
        <f>4+42</f>
        <v>46</v>
      </c>
      <c r="H17" s="31">
        <f>71+40</f>
        <v>111</v>
      </c>
      <c r="I17" s="31">
        <v>10</v>
      </c>
      <c r="J17" s="39">
        <f>IF(COUNT(G17:I17)=0,0,SUMPRODUCT({5000,1000,500},G17:I17))</f>
        <v>346000</v>
      </c>
      <c r="K17" s="31"/>
      <c r="L17" s="31"/>
      <c r="M17" s="31"/>
      <c r="N17" s="39">
        <f>IF(COUNT(K17:M17)=0,0,SUMPRODUCT({5000,1000,500},K17:M17))</f>
        <v>0</v>
      </c>
      <c r="O17" s="31"/>
      <c r="P17" s="31"/>
      <c r="Q17" s="31"/>
      <c r="R17" s="39">
        <f>IF(COUNT(O17:Q17)=0,0,SUMPRODUCT({5000,1000,500},O17:Q17))</f>
        <v>0</v>
      </c>
      <c r="S17" s="31"/>
      <c r="T17" s="31"/>
      <c r="U17" s="31"/>
      <c r="V17" s="31">
        <v>5</v>
      </c>
      <c r="W17" s="31"/>
      <c r="X17" s="31">
        <v>21</v>
      </c>
      <c r="Y17" s="31"/>
      <c r="Z17" s="31">
        <v>42</v>
      </c>
      <c r="AA17" s="31"/>
      <c r="AB17" s="31"/>
      <c r="AC17" s="31"/>
      <c r="AD17" s="34">
        <f>IF(COUNT(S17:AC17)=0,0,SUMPRODUCT({5000,1000,500,100,75,50,20,10,5,2,1}, S17:AC17))</f>
        <v>1970</v>
      </c>
      <c r="AE17" s="33">
        <v>347903</v>
      </c>
      <c r="AF17" s="24">
        <f>IF(AND(COUNT(C17:E17)=0,COUNT(G17:I17)=0,COUNT(K17:M17)=0,COUNT(O17:Q17)=0,COUNT(S17:AC17)=0,AE17=""),"",(IF(COUNT(C17:E17)=0,0,SUMPRODUCT({5000,1000,500},C17:E17))+IF(COUNT(G17:I17)=0,0,SUMPRODUCT({5000,1000,500},G17:I17))+IF(COUNT(K17:M17)=0,0,SUMPRODUCT({5000,1000,500},K17:M17))+IF(COUNT(O17:Q17)=0,0,SUMPRODUCT({5000,1000,500},O17:Q17))+AD17)-N(AE17))</f>
        <v>67</v>
      </c>
      <c r="AG17" s="35" t="str">
        <f t="shared" si="0"/>
        <v>Excess</v>
      </c>
      <c r="AH17" s="38"/>
      <c r="AI17" s="36">
        <f>907241.04+37623</f>
        <v>944864.04</v>
      </c>
      <c r="AJ17" s="37">
        <f>497473.42+409767.62+37623</f>
        <v>944864.04</v>
      </c>
      <c r="AK17" s="26">
        <f t="shared" si="1"/>
        <v>0</v>
      </c>
      <c r="AL17" s="25" t="str">
        <f t="shared" si="2"/>
        <v>Matched</v>
      </c>
      <c r="AM17" s="38"/>
    </row>
    <row r="18" spans="1:39" ht="12.75" customHeight="1" x14ac:dyDescent="0.25">
      <c r="A18" s="31">
        <v>69728</v>
      </c>
      <c r="B18" s="32" t="str">
        <f>IF(A18="","",VLOOKUP(A18,'Employee Database'!A:B,2,FALSE))</f>
        <v>Hafiz Hafeez Ur Rehman</v>
      </c>
      <c r="C18" s="31"/>
      <c r="D18" s="31"/>
      <c r="E18" s="31"/>
      <c r="F18" s="39">
        <f>IF(COUNT(C18:E18)=0,0,SUMPRODUCT({5000,1000,500},C18:E18))</f>
        <v>0</v>
      </c>
      <c r="G18" s="31">
        <v>43</v>
      </c>
      <c r="H18" s="31">
        <v>43</v>
      </c>
      <c r="I18" s="31">
        <v>4</v>
      </c>
      <c r="J18" s="39">
        <f>IF(COUNT(G18:I18)=0,0,SUMPRODUCT({5000,1000,500},G18:I18))</f>
        <v>260000</v>
      </c>
      <c r="K18" s="31"/>
      <c r="L18" s="31"/>
      <c r="M18" s="31"/>
      <c r="N18" s="39">
        <f>IF(COUNT(K18:M18)=0,0,SUMPRODUCT({5000,1000,500},K18:M18))</f>
        <v>0</v>
      </c>
      <c r="O18" s="31"/>
      <c r="P18" s="31"/>
      <c r="Q18" s="31"/>
      <c r="R18" s="39">
        <f>IF(COUNT(O18:Q18)=0,0,SUMPRODUCT({5000,1000,500},O18:Q18))</f>
        <v>0</v>
      </c>
      <c r="S18" s="31"/>
      <c r="T18" s="31"/>
      <c r="U18" s="31"/>
      <c r="V18" s="31">
        <v>4</v>
      </c>
      <c r="W18" s="31"/>
      <c r="X18" s="31">
        <v>33</v>
      </c>
      <c r="Y18" s="31"/>
      <c r="Z18" s="31">
        <v>79</v>
      </c>
      <c r="AA18" s="31"/>
      <c r="AB18" s="31"/>
      <c r="AC18" s="31"/>
      <c r="AD18" s="34">
        <f>IF(COUNT(S18:AC18)=0,0,SUMPRODUCT({5000,1000,500,100,75,50,20,10,5,2,1}, S18:AC18))</f>
        <v>2840</v>
      </c>
      <c r="AE18" s="33">
        <v>262836</v>
      </c>
      <c r="AF18" s="24">
        <f>IF(AND(COUNT(C18:E18)=0,COUNT(G18:I18)=0,COUNT(K18:M18)=0,COUNT(O18:Q18)=0,COUNT(S18:AC18)=0,AE18=""),"",(IF(COUNT(C18:E18)=0,0,SUMPRODUCT({5000,1000,500},C18:E18))+IF(COUNT(G18:I18)=0,0,SUMPRODUCT({5000,1000,500},G18:I18))+IF(COUNT(K18:M18)=0,0,SUMPRODUCT({5000,1000,500},K18:M18))+IF(COUNT(O18:Q18)=0,0,SUMPRODUCT({5000,1000,500},O18:Q18))+AD18)-N(AE18))</f>
        <v>4</v>
      </c>
      <c r="AG18" s="35" t="str">
        <f t="shared" si="0"/>
        <v>Excess</v>
      </c>
      <c r="AH18" s="38"/>
      <c r="AI18" s="36">
        <f>581643.23+237887.01</f>
        <v>819530.23999999999</v>
      </c>
      <c r="AJ18" s="37">
        <f>123723.9+237887.01+457919.33</f>
        <v>819530.23999999999</v>
      </c>
      <c r="AK18" s="26">
        <f t="shared" si="1"/>
        <v>0</v>
      </c>
      <c r="AL18" s="25" t="str">
        <f t="shared" si="2"/>
        <v>Matched</v>
      </c>
      <c r="AM18" s="38"/>
    </row>
    <row r="19" spans="1:39" ht="12.75" customHeight="1" x14ac:dyDescent="0.25">
      <c r="A19" s="31">
        <v>71788</v>
      </c>
      <c r="B19" s="32" t="str">
        <f>IF(A19="","",VLOOKUP(A19,'Employee Database'!A:B,2,FALSE))</f>
        <v>Saaim</v>
      </c>
      <c r="C19" s="31"/>
      <c r="D19" s="31"/>
      <c r="E19" s="31"/>
      <c r="F19" s="39">
        <f>IF(COUNT(C19:E19)=0,0,SUMPRODUCT({5000,1000,500},C19:E19))</f>
        <v>0</v>
      </c>
      <c r="G19" s="31">
        <f>37+3</f>
        <v>40</v>
      </c>
      <c r="H19" s="31">
        <f>45+64</f>
        <v>109</v>
      </c>
      <c r="I19" s="31">
        <v>37</v>
      </c>
      <c r="J19" s="39">
        <f>IF(COUNT(G19:I19)=0,0,SUMPRODUCT({5000,1000,500},G19:I19))</f>
        <v>327500</v>
      </c>
      <c r="K19" s="31"/>
      <c r="L19" s="31"/>
      <c r="M19" s="31"/>
      <c r="N19" s="39">
        <f>IF(COUNT(K19:M19)=0,0,SUMPRODUCT({5000,1000,500},K19:M19))</f>
        <v>0</v>
      </c>
      <c r="O19" s="31"/>
      <c r="P19" s="31"/>
      <c r="Q19" s="31"/>
      <c r="R19" s="39">
        <f>IF(COUNT(O19:Q19)=0,0,SUMPRODUCT({5000,1000,500},O19:Q19))</f>
        <v>0</v>
      </c>
      <c r="S19" s="31"/>
      <c r="T19" s="31"/>
      <c r="U19" s="31"/>
      <c r="V19" s="31"/>
      <c r="W19" s="31"/>
      <c r="X19" s="31">
        <v>42</v>
      </c>
      <c r="Y19" s="31"/>
      <c r="Z19" s="31">
        <v>45</v>
      </c>
      <c r="AA19" s="31"/>
      <c r="AB19" s="31"/>
      <c r="AC19" s="31"/>
      <c r="AD19" s="34">
        <f>IF(COUNT(S19:AC19)=0,0,SUMPRODUCT({5000,1000,500,100,75,50,20,10,5,2,1}, S19:AC19))</f>
        <v>2550</v>
      </c>
      <c r="AE19" s="33">
        <v>330028</v>
      </c>
      <c r="AF19" s="24">
        <f>IF(AND(COUNT(C19:E19)=0,COUNT(G19:I19)=0,COUNT(K19:M19)=0,COUNT(O19:Q19)=0,COUNT(S19:AC19)=0,AE19=""),"",(IF(COUNT(C19:E19)=0,0,SUMPRODUCT({5000,1000,500},C19:E19))+IF(COUNT(G19:I19)=0,0,SUMPRODUCT({5000,1000,500},G19:I19))+IF(COUNT(K19:M19)=0,0,SUMPRODUCT({5000,1000,500},K19:M19))+IF(COUNT(O19:Q19)=0,0,SUMPRODUCT({5000,1000,500},O19:Q19))+AD19)-N(AE19))</f>
        <v>22</v>
      </c>
      <c r="AG19" s="35" t="str">
        <f t="shared" si="0"/>
        <v>Excess</v>
      </c>
      <c r="AH19" s="38"/>
      <c r="AI19" s="36">
        <f>527147.99+280127.93</f>
        <v>807275.91999999993</v>
      </c>
      <c r="AJ19" s="37">
        <f>280127.93+527147.99</f>
        <v>807275.91999999993</v>
      </c>
      <c r="AK19" s="26">
        <f t="shared" si="1"/>
        <v>0</v>
      </c>
      <c r="AL19" s="25" t="str">
        <f t="shared" si="2"/>
        <v>Matched</v>
      </c>
      <c r="AM19" s="38"/>
    </row>
    <row r="20" spans="1:39" ht="12.75" customHeight="1" x14ac:dyDescent="0.25">
      <c r="A20" s="31">
        <v>53893</v>
      </c>
      <c r="B20" s="32" t="str">
        <f>IF(A20="","",VLOOKUP(A20,'Employee Database'!A:B,2,FALSE))</f>
        <v>M Binyameen</v>
      </c>
      <c r="C20" s="31"/>
      <c r="D20" s="31"/>
      <c r="E20" s="31"/>
      <c r="F20" s="39">
        <f>IF(COUNT(C20:E20)=0,0,SUMPRODUCT({5000,1000,500},C20:E20))</f>
        <v>0</v>
      </c>
      <c r="G20" s="31">
        <v>17</v>
      </c>
      <c r="H20" s="31">
        <v>35</v>
      </c>
      <c r="I20" s="31">
        <v>10</v>
      </c>
      <c r="J20" s="39">
        <f>IF(COUNT(G20:I20)=0,0,SUMPRODUCT({5000,1000,500},G20:I20))</f>
        <v>125000</v>
      </c>
      <c r="K20" s="31"/>
      <c r="L20" s="31"/>
      <c r="M20" s="31"/>
      <c r="N20" s="39">
        <f>IF(COUNT(K20:M20)=0,0,SUMPRODUCT({5000,1000,500},K20:M20))</f>
        <v>0</v>
      </c>
      <c r="O20" s="31"/>
      <c r="P20" s="31"/>
      <c r="Q20" s="31"/>
      <c r="R20" s="39">
        <f>IF(COUNT(O20:Q20)=0,0,SUMPRODUCT({5000,1000,500},O20:Q20))</f>
        <v>0</v>
      </c>
      <c r="S20" s="31"/>
      <c r="T20" s="31"/>
      <c r="U20" s="31"/>
      <c r="V20" s="31">
        <v>5</v>
      </c>
      <c r="W20" s="31"/>
      <c r="X20" s="31">
        <v>58</v>
      </c>
      <c r="Y20" s="31">
        <v>1</v>
      </c>
      <c r="Z20" s="31">
        <v>32</v>
      </c>
      <c r="AA20" s="31"/>
      <c r="AB20" s="31"/>
      <c r="AC20" s="31"/>
      <c r="AD20" s="34">
        <f>IF(COUNT(S20:AC20)=0,0,SUMPRODUCT({5000,1000,500,100,75,50,20,10,5,2,1}, S20:AC20))</f>
        <v>3740</v>
      </c>
      <c r="AE20" s="33">
        <v>128832</v>
      </c>
      <c r="AF20" s="24">
        <f>IF(AND(COUNT(C20:E20)=0,COUNT(G20:I20)=0,COUNT(K20:M20)=0,COUNT(O20:Q20)=0,COUNT(S20:AC20)=0,AE20=""),"",(IF(COUNT(C20:E20)=0,0,SUMPRODUCT({5000,1000,500},C20:E20))+IF(COUNT(G20:I20)=0,0,SUMPRODUCT({5000,1000,500},G20:I20))+IF(COUNT(K20:M20)=0,0,SUMPRODUCT({5000,1000,500},K20:M20))+IF(COUNT(O20:Q20)=0,0,SUMPRODUCT({5000,1000,500},O20:Q20))+AD20)-N(AE20))</f>
        <v>-92</v>
      </c>
      <c r="AG20" s="35" t="str">
        <f t="shared" si="0"/>
        <v>Short</v>
      </c>
      <c r="AH20" s="38"/>
      <c r="AI20" s="36">
        <f>31560.55+201442.97</f>
        <v>233003.51999999999</v>
      </c>
      <c r="AJ20" s="37">
        <f>146774.54+31560.55+54668.43</f>
        <v>233003.51999999999</v>
      </c>
      <c r="AK20" s="26">
        <f t="shared" si="1"/>
        <v>0</v>
      </c>
      <c r="AL20" s="25" t="str">
        <f t="shared" si="2"/>
        <v>Matched</v>
      </c>
      <c r="AM20" s="38"/>
    </row>
    <row r="21" spans="1:39" ht="12.75" customHeight="1" x14ac:dyDescent="0.25">
      <c r="A21" s="31">
        <v>76412</v>
      </c>
      <c r="B21" s="32" t="str">
        <f>IF(A21="","",VLOOKUP(A21,'Employee Database'!A:B,2,FALSE))</f>
        <v>Zubair Abbas</v>
      </c>
      <c r="C21" s="31"/>
      <c r="D21" s="31"/>
      <c r="E21" s="31"/>
      <c r="F21" s="39">
        <f>IF(COUNT(C21:E21)=0,0,SUMPRODUCT({5000,1000,500},C21:E21))</f>
        <v>0</v>
      </c>
      <c r="G21" s="31">
        <v>33</v>
      </c>
      <c r="H21" s="31">
        <v>142</v>
      </c>
      <c r="I21" s="31">
        <v>22</v>
      </c>
      <c r="J21" s="39">
        <f>IF(COUNT(G21:I21)=0,0,SUMPRODUCT({5000,1000,500},G21:I21))</f>
        <v>318000</v>
      </c>
      <c r="K21" s="31"/>
      <c r="L21" s="31"/>
      <c r="M21" s="31"/>
      <c r="N21" s="39">
        <f>IF(COUNT(K21:M21)=0,0,SUMPRODUCT({5000,1000,500},K21:M21))</f>
        <v>0</v>
      </c>
      <c r="O21" s="31"/>
      <c r="P21" s="31"/>
      <c r="Q21" s="31"/>
      <c r="R21" s="39">
        <f>IF(COUNT(O21:Q21)=0,0,SUMPRODUCT({5000,1000,500},O21:Q21))</f>
        <v>0</v>
      </c>
      <c r="S21" s="31"/>
      <c r="T21" s="31"/>
      <c r="U21" s="31"/>
      <c r="V21" s="31"/>
      <c r="W21" s="31"/>
      <c r="X21" s="31">
        <v>14</v>
      </c>
      <c r="Y21" s="31"/>
      <c r="Z21" s="31">
        <v>31</v>
      </c>
      <c r="AA21" s="31"/>
      <c r="AB21" s="31"/>
      <c r="AC21" s="31"/>
      <c r="AD21" s="34">
        <f>IF(COUNT(S21:AC21)=0,0,SUMPRODUCT({5000,1000,500,100,75,50,20,10,5,2,1}, S21:AC21))</f>
        <v>1010</v>
      </c>
      <c r="AE21" s="33">
        <v>319005</v>
      </c>
      <c r="AF21" s="24">
        <f>IF(AND(COUNT(C21:E21)=0,COUNT(G21:I21)=0,COUNT(K21:M21)=0,COUNT(O21:Q21)=0,COUNT(S21:AC21)=0,AE21=""),"",(IF(COUNT(C21:E21)=0,0,SUMPRODUCT({5000,1000,500},C21:E21))+IF(COUNT(G21:I21)=0,0,SUMPRODUCT({5000,1000,500},G21:I21))+IF(COUNT(K21:M21)=0,0,SUMPRODUCT({5000,1000,500},K21:M21))+IF(COUNT(O21:Q21)=0,0,SUMPRODUCT({5000,1000,500},O21:Q21))+AD21)-N(AE21))</f>
        <v>5</v>
      </c>
      <c r="AG21" s="35" t="str">
        <f t="shared" si="0"/>
        <v>Excess</v>
      </c>
      <c r="AH21" s="38"/>
      <c r="AI21" s="36">
        <v>911989</v>
      </c>
      <c r="AJ21" s="37">
        <f>804118.45+43232.34+64638.21</f>
        <v>911988.99999999988</v>
      </c>
      <c r="AK21" s="26">
        <f t="shared" si="1"/>
        <v>1.1641532182693481E-10</v>
      </c>
      <c r="AL21" s="25" t="str">
        <f t="shared" si="2"/>
        <v>POS Excess</v>
      </c>
      <c r="AM21" s="38"/>
    </row>
    <row r="22" spans="1:39" ht="12.75" customHeight="1" x14ac:dyDescent="0.25">
      <c r="A22" s="31">
        <v>69213</v>
      </c>
      <c r="B22" s="32" t="str">
        <f>IF(A22="","",VLOOKUP(A22,'Employee Database'!A:B,2,FALSE))</f>
        <v>Muhammad Shahbaz</v>
      </c>
      <c r="C22" s="31"/>
      <c r="D22" s="31"/>
      <c r="E22" s="31"/>
      <c r="F22" s="39">
        <f>IF(COUNT(C22:E22)=0,0,SUMPRODUCT({5000,1000,500},C22:E22))</f>
        <v>0</v>
      </c>
      <c r="G22" s="31">
        <v>15</v>
      </c>
      <c r="H22" s="31">
        <v>76</v>
      </c>
      <c r="I22" s="31">
        <v>11</v>
      </c>
      <c r="J22" s="39">
        <f>IF(COUNT(G22:I22)=0,0,SUMPRODUCT({5000,1000,500},G22:I22))</f>
        <v>156500</v>
      </c>
      <c r="K22" s="31"/>
      <c r="L22" s="31"/>
      <c r="M22" s="31"/>
      <c r="N22" s="39">
        <f>IF(COUNT(K22:M22)=0,0,SUMPRODUCT({5000,1000,500},K22:M22))</f>
        <v>0</v>
      </c>
      <c r="O22" s="31"/>
      <c r="P22" s="31"/>
      <c r="Q22" s="31"/>
      <c r="R22" s="39">
        <f>IF(COUNT(O22:Q22)=0,0,SUMPRODUCT({5000,1000,500},O22:Q22))</f>
        <v>0</v>
      </c>
      <c r="S22" s="31"/>
      <c r="T22" s="31"/>
      <c r="U22" s="31"/>
      <c r="V22" s="31">
        <v>2</v>
      </c>
      <c r="W22" s="31"/>
      <c r="X22" s="31">
        <v>14</v>
      </c>
      <c r="Y22" s="31"/>
      <c r="Z22" s="31">
        <v>56</v>
      </c>
      <c r="AA22" s="31"/>
      <c r="AB22" s="31"/>
      <c r="AC22" s="31"/>
      <c r="AD22" s="34">
        <f>IF(COUNT(S22:AC22)=0,0,SUMPRODUCT({5000,1000,500,100,75,50,20,10,5,2,1}, S22:AC22))</f>
        <v>1460</v>
      </c>
      <c r="AE22" s="33">
        <v>157905</v>
      </c>
      <c r="AF22" s="24">
        <f>IF(AND(COUNT(C22:E22)=0,COUNT(G22:I22)=0,COUNT(K22:M22)=0,COUNT(O22:Q22)=0,COUNT(S22:AC22)=0,AE22=""),"",(IF(COUNT(C22:E22)=0,0,SUMPRODUCT({5000,1000,500},C22:E22))+IF(COUNT(G22:I22)=0,0,SUMPRODUCT({5000,1000,500},G22:I22))+IF(COUNT(K22:M22)=0,0,SUMPRODUCT({5000,1000,500},K22:M22))+IF(COUNT(O22:Q22)=0,0,SUMPRODUCT({5000,1000,500},O22:Q22))+AD22)-N(AE22))</f>
        <v>55</v>
      </c>
      <c r="AG22" s="35" t="str">
        <f t="shared" si="0"/>
        <v>Excess</v>
      </c>
      <c r="AH22" s="38"/>
      <c r="AI22" s="36">
        <v>263031.62</v>
      </c>
      <c r="AJ22" s="37">
        <f>140061.49+122970.13</f>
        <v>263031.62</v>
      </c>
      <c r="AK22" s="26">
        <f t="shared" si="1"/>
        <v>0</v>
      </c>
      <c r="AL22" s="25" t="str">
        <f t="shared" si="2"/>
        <v>Matched</v>
      </c>
      <c r="AM22" s="38"/>
    </row>
    <row r="23" spans="1:39" ht="12.75" customHeight="1" x14ac:dyDescent="0.25">
      <c r="A23" s="31">
        <v>77424</v>
      </c>
      <c r="B23" s="32" t="str">
        <f>IF(A23="","",VLOOKUP(A23,'Employee Database'!A:B,2,FALSE))</f>
        <v>M Husnain</v>
      </c>
      <c r="C23" s="31"/>
      <c r="D23" s="31"/>
      <c r="E23" s="31"/>
      <c r="F23" s="39">
        <f>IF(COUNT(C23:E23)=0,0,SUMPRODUCT({5000,1000,500},C23:E23))</f>
        <v>0</v>
      </c>
      <c r="G23" s="31">
        <v>63</v>
      </c>
      <c r="H23" s="31">
        <v>88</v>
      </c>
      <c r="I23" s="31">
        <v>1</v>
      </c>
      <c r="J23" s="39">
        <f>IF(COUNT(G23:I23)=0,0,SUMPRODUCT({5000,1000,500},G23:I23))</f>
        <v>403500</v>
      </c>
      <c r="K23" s="31"/>
      <c r="L23" s="31"/>
      <c r="M23" s="31"/>
      <c r="N23" s="39">
        <f>IF(COUNT(K23:M23)=0,0,SUMPRODUCT({5000,1000,500},K23:M23))</f>
        <v>0</v>
      </c>
      <c r="O23" s="31"/>
      <c r="P23" s="31"/>
      <c r="Q23" s="31"/>
      <c r="R23" s="39">
        <f>IF(COUNT(O23:Q23)=0,0,SUMPRODUCT({5000,1000,500},O23:Q23))</f>
        <v>0</v>
      </c>
      <c r="S23" s="31"/>
      <c r="T23" s="31"/>
      <c r="U23" s="31"/>
      <c r="V23" s="31">
        <v>100</v>
      </c>
      <c r="W23" s="31"/>
      <c r="X23" s="31">
        <v>31</v>
      </c>
      <c r="Y23" s="31"/>
      <c r="Z23" s="31">
        <v>72</v>
      </c>
      <c r="AA23" s="31"/>
      <c r="AB23" s="31"/>
      <c r="AC23" s="31"/>
      <c r="AD23" s="34">
        <f>IF(COUNT(S23:AC23)=0,0,SUMPRODUCT({5000,1000,500,100,75,50,20,10,5,2,1}, S23:AC23))</f>
        <v>12270</v>
      </c>
      <c r="AE23" s="33">
        <v>415709</v>
      </c>
      <c r="AF23" s="24">
        <f>IF(AND(COUNT(C23:E23)=0,COUNT(G23:I23)=0,COUNT(K23:M23)=0,COUNT(O23:Q23)=0,COUNT(S23:AC23)=0,AE23=""),"",(IF(COUNT(C23:E23)=0,0,SUMPRODUCT({5000,1000,500},C23:E23))+IF(COUNT(G23:I23)=0,0,SUMPRODUCT({5000,1000,500},G23:I23))+IF(COUNT(K23:M23)=0,0,SUMPRODUCT({5000,1000,500},K23:M23))+IF(COUNT(O23:Q23)=0,0,SUMPRODUCT({5000,1000,500},O23:Q23))+AD23)-N(AE23))</f>
        <v>61</v>
      </c>
      <c r="AG23" s="35" t="str">
        <f t="shared" si="0"/>
        <v>Excess</v>
      </c>
      <c r="AH23" s="38"/>
      <c r="AI23" s="36">
        <f>87049.6+664497.8</f>
        <v>751547.4</v>
      </c>
      <c r="AJ23" s="37">
        <f>1854+542353.64+120290.16+87049.6</f>
        <v>751547.4</v>
      </c>
      <c r="AK23" s="26">
        <f t="shared" si="1"/>
        <v>0</v>
      </c>
      <c r="AL23" s="25" t="str">
        <f t="shared" si="2"/>
        <v>Matched</v>
      </c>
      <c r="AM23" s="38"/>
    </row>
    <row r="24" spans="1:39" ht="12.75" customHeight="1" x14ac:dyDescent="0.25">
      <c r="A24" s="31">
        <v>68475</v>
      </c>
      <c r="B24" s="32" t="str">
        <f>IF(A24="","",VLOOKUP(A24,'Employee Database'!A:B,2,FALSE))</f>
        <v>M Azeem</v>
      </c>
      <c r="C24" s="31"/>
      <c r="D24" s="31"/>
      <c r="E24" s="31"/>
      <c r="F24" s="39">
        <f>IF(COUNT(C24:E24)=0,0,SUMPRODUCT({5000,1000,500},C24:E24))</f>
        <v>0</v>
      </c>
      <c r="G24" s="31">
        <v>56</v>
      </c>
      <c r="H24" s="31">
        <v>136</v>
      </c>
      <c r="I24" s="31">
        <v>32</v>
      </c>
      <c r="J24" s="39">
        <f>IF(COUNT(G24:I24)=0,0,SUMPRODUCT({5000,1000,500},G24:I24))</f>
        <v>432000</v>
      </c>
      <c r="K24" s="31"/>
      <c r="L24" s="31"/>
      <c r="M24" s="31"/>
      <c r="N24" s="39">
        <f>IF(COUNT(K24:M24)=0,0,SUMPRODUCT({5000,1000,500},K24:M24))</f>
        <v>0</v>
      </c>
      <c r="O24" s="31"/>
      <c r="P24" s="31"/>
      <c r="Q24" s="31"/>
      <c r="R24" s="39">
        <f>IF(COUNT(O24:Q24)=0,0,SUMPRODUCT({5000,1000,500},O24:Q24))</f>
        <v>0</v>
      </c>
      <c r="S24" s="31"/>
      <c r="T24" s="31"/>
      <c r="U24" s="31"/>
      <c r="V24" s="31">
        <v>10</v>
      </c>
      <c r="W24" s="31"/>
      <c r="X24" s="31">
        <v>517</v>
      </c>
      <c r="Y24" s="31"/>
      <c r="Z24" s="31">
        <v>133</v>
      </c>
      <c r="AA24" s="31"/>
      <c r="AB24" s="31"/>
      <c r="AC24" s="31"/>
      <c r="AD24" s="34">
        <f>IF(COUNT(S24:AC24)=0,0,SUMPRODUCT({5000,1000,500,100,75,50,20,10,5,2,1}, S24:AC24))</f>
        <v>28180</v>
      </c>
      <c r="AE24" s="33">
        <v>460157</v>
      </c>
      <c r="AF24" s="24">
        <f>IF(AND(COUNT(C24:E24)=0,COUNT(G24:I24)=0,COUNT(K24:M24)=0,COUNT(O24:Q24)=0,COUNT(S24:AC24)=0,AE24=""),"",(IF(COUNT(C24:E24)=0,0,SUMPRODUCT({5000,1000,500},C24:E24))+IF(COUNT(G24:I24)=0,0,SUMPRODUCT({5000,1000,500},G24:I24))+IF(COUNT(K24:M24)=0,0,SUMPRODUCT({5000,1000,500},K24:M24))+IF(COUNT(O24:Q24)=0,0,SUMPRODUCT({5000,1000,500},O24:Q24))+AD24)-N(AE24))</f>
        <v>23</v>
      </c>
      <c r="AG24" s="35" t="str">
        <f t="shared" si="0"/>
        <v>Excess</v>
      </c>
      <c r="AH24" s="38"/>
      <c r="AI24" s="36">
        <f>227347.72+55095+526375.55</f>
        <v>808818.27</v>
      </c>
      <c r="AJ24" s="37">
        <f>526375.55+55095+227347.72</f>
        <v>808818.27</v>
      </c>
      <c r="AK24" s="26">
        <f t="shared" si="1"/>
        <v>0</v>
      </c>
      <c r="AL24" s="25" t="str">
        <f t="shared" si="2"/>
        <v>Matched</v>
      </c>
      <c r="AM24" s="38"/>
    </row>
    <row r="25" spans="1:39" ht="12.75" customHeight="1" x14ac:dyDescent="0.25">
      <c r="A25" s="31">
        <v>75768</v>
      </c>
      <c r="B25" s="32" t="str">
        <f>IF(A25="","",VLOOKUP(A25,'Employee Database'!A:B,2,FALSE))</f>
        <v>Zuhaib</v>
      </c>
      <c r="C25" s="31"/>
      <c r="D25" s="31"/>
      <c r="E25" s="31"/>
      <c r="F25" s="39">
        <f>IF(COUNT(C25:E25)=0,0,SUMPRODUCT({5000,1000,500},C25:E25))</f>
        <v>0</v>
      </c>
      <c r="G25" s="31">
        <v>43</v>
      </c>
      <c r="H25" s="31">
        <v>140</v>
      </c>
      <c r="I25" s="31">
        <v>36</v>
      </c>
      <c r="J25" s="39">
        <f>IF(COUNT(G25:I25)=0,0,SUMPRODUCT({5000,1000,500},G25:I25))</f>
        <v>373000</v>
      </c>
      <c r="K25" s="31"/>
      <c r="L25" s="31"/>
      <c r="M25" s="31"/>
      <c r="N25" s="39">
        <f>IF(COUNT(K25:M25)=0,0,SUMPRODUCT({5000,1000,500},K25:M25))</f>
        <v>0</v>
      </c>
      <c r="O25" s="31"/>
      <c r="P25" s="31"/>
      <c r="Q25" s="31"/>
      <c r="R25" s="39">
        <f>IF(COUNT(O25:Q25)=0,0,SUMPRODUCT({5000,1000,500},O25:Q25))</f>
        <v>0</v>
      </c>
      <c r="S25" s="31"/>
      <c r="T25" s="31"/>
      <c r="U25" s="31"/>
      <c r="V25" s="31">
        <v>11</v>
      </c>
      <c r="W25" s="31"/>
      <c r="X25" s="31">
        <v>45</v>
      </c>
      <c r="Y25" s="31">
        <v>1</v>
      </c>
      <c r="Z25" s="31">
        <v>37</v>
      </c>
      <c r="AA25" s="31"/>
      <c r="AB25" s="31"/>
      <c r="AC25" s="31"/>
      <c r="AD25" s="34">
        <f>IF(COUNT(S25:AC25)=0,0,SUMPRODUCT({5000,1000,500,100,75,50,20,10,5,2,1}, S25:AC25))</f>
        <v>3740</v>
      </c>
      <c r="AE25" s="33">
        <v>376792</v>
      </c>
      <c r="AF25" s="24">
        <f>IF(AND(COUNT(C25:E25)=0,COUNT(G25:I25)=0,COUNT(K25:M25)=0,COUNT(O25:Q25)=0,COUNT(S25:AC25)=0,AE25=""),"",(IF(COUNT(C25:E25)=0,0,SUMPRODUCT({5000,1000,500},C25:E25))+IF(COUNT(G25:I25)=0,0,SUMPRODUCT({5000,1000,500},G25:I25))+IF(COUNT(K25:M25)=0,0,SUMPRODUCT({5000,1000,500},K25:M25))+IF(COUNT(O25:Q25)=0,0,SUMPRODUCT({5000,1000,500},O25:Q25))+AD25)-N(AE25))</f>
        <v>-52</v>
      </c>
      <c r="AG25" s="35" t="str">
        <f t="shared" si="0"/>
        <v>Short</v>
      </c>
      <c r="AH25" s="38"/>
      <c r="AI25" s="36">
        <f>79872.26+291524.51</f>
        <v>371396.77</v>
      </c>
      <c r="AJ25" s="37">
        <f>233270.09+79872.26+58254.42</f>
        <v>371396.76999999996</v>
      </c>
      <c r="AK25" s="26">
        <f t="shared" si="1"/>
        <v>5.8207660913467407E-11</v>
      </c>
      <c r="AL25" s="25" t="str">
        <f t="shared" si="2"/>
        <v>POS Excess</v>
      </c>
      <c r="AM25" s="38"/>
    </row>
    <row r="26" spans="1:39" ht="12.75" customHeight="1" x14ac:dyDescent="0.25">
      <c r="A26" s="31"/>
      <c r="B26" s="32" t="str">
        <f>IF(A26="","",VLOOKUP(A26,'Employee Database'!A:B,2,FALSE))</f>
        <v/>
      </c>
      <c r="C26" s="31"/>
      <c r="D26" s="31"/>
      <c r="E26" s="31"/>
      <c r="F26" s="39">
        <f>IF(COUNT(C26:E26)=0,0,SUMPRODUCT({5000,1000,500},C26:E26))</f>
        <v>0</v>
      </c>
      <c r="G26" s="31"/>
      <c r="H26" s="31"/>
      <c r="I26" s="31"/>
      <c r="J26" s="39">
        <f>IF(COUNT(G26:I26)=0,0,SUMPRODUCT({5000,1000,500},G26:I26))</f>
        <v>0</v>
      </c>
      <c r="K26" s="31"/>
      <c r="L26" s="31"/>
      <c r="M26" s="31"/>
      <c r="N26" s="39">
        <f>IF(COUNT(K26:M26)=0,0,SUMPRODUCT({5000,1000,500},K26:M26))</f>
        <v>0</v>
      </c>
      <c r="O26" s="31"/>
      <c r="P26" s="31"/>
      <c r="Q26" s="31"/>
      <c r="R26" s="39">
        <f>IF(COUNT(O26:Q26)=0,0,SUMPRODUCT({5000,1000,500},O26:Q26))</f>
        <v>0</v>
      </c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4">
        <f>IF(COUNT(S26:AC26)=0,0,SUMPRODUCT({5000,1000,500,100,75,50,20,10,5,2,1}, S26:AC26))</f>
        <v>0</v>
      </c>
      <c r="AE26" s="33"/>
      <c r="AF26" s="24" t="str">
        <f>IF(AND(COUNT(C26:E26)=0,COUNT(G26:I26)=0,COUNT(K26:M26)=0,COUNT(O26:Q26)=0,COUNT(S26:AC26)=0,AE26=""),"",(IF(COUNT(C26:E26)=0,0,SUMPRODUCT({5000,1000,500},C26:E26))+IF(COUNT(G26:I26)=0,0,SUMPRODUCT({5000,1000,500},G26:I26))+IF(COUNT(K26:M26)=0,0,SUMPRODUCT({5000,1000,500},K26:M26))+IF(COUNT(O26:Q26)=0,0,SUMPRODUCT({5000,1000,500},O26:Q26))+AD26)-N(AE26))</f>
        <v/>
      </c>
      <c r="AG26" s="35" t="str">
        <f t="shared" si="0"/>
        <v/>
      </c>
      <c r="AH26" s="38"/>
      <c r="AI26" s="36"/>
      <c r="AJ26" s="37"/>
      <c r="AK26" s="26" t="str">
        <f t="shared" si="1"/>
        <v/>
      </c>
      <c r="AL26" s="25" t="str">
        <f t="shared" si="2"/>
        <v/>
      </c>
      <c r="AM26" s="38"/>
    </row>
    <row r="27" spans="1:39" ht="12.75" customHeight="1" x14ac:dyDescent="0.25">
      <c r="A27" s="31"/>
      <c r="B27" s="32" t="str">
        <f>IF(A27="","",VLOOKUP(A27,'Employee Database'!A:B,2,FALSE))</f>
        <v/>
      </c>
      <c r="C27" s="31"/>
      <c r="D27" s="31"/>
      <c r="E27" s="31"/>
      <c r="F27" s="39">
        <f>IF(COUNT(C27:E27)=0,0,SUMPRODUCT({5000,1000,500},C27:E27))</f>
        <v>0</v>
      </c>
      <c r="G27" s="31"/>
      <c r="H27" s="31"/>
      <c r="I27" s="31"/>
      <c r="J27" s="39">
        <f>IF(COUNT(G27:I27)=0,0,SUMPRODUCT({5000,1000,500},G27:I27))</f>
        <v>0</v>
      </c>
      <c r="K27" s="31"/>
      <c r="L27" s="31"/>
      <c r="M27" s="31"/>
      <c r="N27" s="39">
        <f>IF(COUNT(K27:M27)=0,0,SUMPRODUCT({5000,1000,500},K27:M27))</f>
        <v>0</v>
      </c>
      <c r="O27" s="31"/>
      <c r="P27" s="31"/>
      <c r="Q27" s="31"/>
      <c r="R27" s="39">
        <f>IF(COUNT(O27:Q27)=0,0,SUMPRODUCT({5000,1000,500},O27:Q27))</f>
        <v>0</v>
      </c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4">
        <f>IF(COUNT(S27:AC27)=0,0,SUMPRODUCT({5000,1000,500,100,75,50,20,10,5,2,1}, S27:AC27))</f>
        <v>0</v>
      </c>
      <c r="AE27" s="33"/>
      <c r="AF27" s="24" t="str">
        <f>IF(AND(COUNT(C27:E27)=0,COUNT(G27:I27)=0,COUNT(K27:M27)=0,COUNT(O27:Q27)=0,COUNT(S27:AC27)=0,AE27=""),"",(IF(COUNT(C27:E27)=0,0,SUMPRODUCT({5000,1000,500},C27:E27))+IF(COUNT(G27:I27)=0,0,SUMPRODUCT({5000,1000,500},G27:I27))+IF(COUNT(K27:M27)=0,0,SUMPRODUCT({5000,1000,500},K27:M27))+IF(COUNT(O27:Q27)=0,0,SUMPRODUCT({5000,1000,500},O27:Q27))+AD27)-N(AE27))</f>
        <v/>
      </c>
      <c r="AG27" s="35" t="str">
        <f t="shared" si="0"/>
        <v/>
      </c>
      <c r="AH27" s="38"/>
      <c r="AI27" s="36"/>
      <c r="AJ27" s="37"/>
      <c r="AK27" s="26" t="str">
        <f t="shared" si="1"/>
        <v/>
      </c>
      <c r="AL27" s="25" t="str">
        <f t="shared" si="2"/>
        <v/>
      </c>
      <c r="AM27" s="38"/>
    </row>
    <row r="28" spans="1:39" ht="12.75" customHeight="1" x14ac:dyDescent="0.25">
      <c r="A28" s="31"/>
      <c r="B28" s="32" t="str">
        <f>IF(A28="","",VLOOKUP(A28,'Employee Database'!A:B,2,FALSE))</f>
        <v/>
      </c>
      <c r="C28" s="31"/>
      <c r="D28" s="31"/>
      <c r="E28" s="31"/>
      <c r="F28" s="39">
        <f>IF(COUNT(C28:E28)=0,0,SUMPRODUCT({5000,1000,500},C28:E28))</f>
        <v>0</v>
      </c>
      <c r="G28" s="31"/>
      <c r="H28" s="31"/>
      <c r="I28" s="31"/>
      <c r="J28" s="39">
        <f>IF(COUNT(G28:I28)=0,0,SUMPRODUCT({5000,1000,500},G28:I28))</f>
        <v>0</v>
      </c>
      <c r="K28" s="31"/>
      <c r="L28" s="31"/>
      <c r="M28" s="31"/>
      <c r="N28" s="39">
        <f>IF(COUNT(K28:M28)=0,0,SUMPRODUCT({5000,1000,500},K28:M28))</f>
        <v>0</v>
      </c>
      <c r="O28" s="31"/>
      <c r="P28" s="31"/>
      <c r="Q28" s="31"/>
      <c r="R28" s="39">
        <f>IF(COUNT(O28:Q28)=0,0,SUMPRODUCT({5000,1000,500},O28:Q28))</f>
        <v>0</v>
      </c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4">
        <f>IF(COUNT(S28:AC28)=0,0,SUMPRODUCT({5000,1000,500,100,75,50,20,10,5,2,1}, S28:AC28))</f>
        <v>0</v>
      </c>
      <c r="AE28" s="33"/>
      <c r="AF28" s="24" t="str">
        <f>IF(AND(COUNT(C28:E28)=0,COUNT(G28:I28)=0,COUNT(K28:M28)=0,COUNT(O28:Q28)=0,COUNT(S28:AC28)=0,AE28=""),"",(IF(COUNT(C28:E28)=0,0,SUMPRODUCT({5000,1000,500},C28:E28))+IF(COUNT(G28:I28)=0,0,SUMPRODUCT({5000,1000,500},G28:I28))+IF(COUNT(K28:M28)=0,0,SUMPRODUCT({5000,1000,500},K28:M28))+IF(COUNT(O28:Q28)=0,0,SUMPRODUCT({5000,1000,500},O28:Q28))+AD28)-N(AE28))</f>
        <v/>
      </c>
      <c r="AG28" s="35" t="str">
        <f t="shared" si="0"/>
        <v/>
      </c>
      <c r="AH28" s="38"/>
      <c r="AI28" s="36"/>
      <c r="AJ28" s="37"/>
      <c r="AK28" s="26" t="str">
        <f t="shared" si="1"/>
        <v/>
      </c>
      <c r="AL28" s="25" t="str">
        <f t="shared" si="2"/>
        <v/>
      </c>
      <c r="AM28" s="38"/>
    </row>
    <row r="29" spans="1:39" ht="12.75" customHeight="1" x14ac:dyDescent="0.25">
      <c r="A29" s="31"/>
      <c r="B29" s="32" t="str">
        <f>IF(A29="","",VLOOKUP(A29,'Employee Database'!A:B,2,FALSE))</f>
        <v/>
      </c>
      <c r="C29" s="31"/>
      <c r="D29" s="31"/>
      <c r="E29" s="31"/>
      <c r="F29" s="39">
        <f>IF(COUNT(C29:E29)=0,0,SUMPRODUCT({5000,1000,500},C29:E29))</f>
        <v>0</v>
      </c>
      <c r="G29" s="31"/>
      <c r="H29" s="31"/>
      <c r="I29" s="31"/>
      <c r="J29" s="39">
        <f>IF(COUNT(G29:I29)=0,0,SUMPRODUCT({5000,1000,500},G29:I29))</f>
        <v>0</v>
      </c>
      <c r="K29" s="31"/>
      <c r="L29" s="31"/>
      <c r="M29" s="31"/>
      <c r="N29" s="39">
        <f>IF(COUNT(K29:M29)=0,0,SUMPRODUCT({5000,1000,500},K29:M29))</f>
        <v>0</v>
      </c>
      <c r="O29" s="31"/>
      <c r="P29" s="31"/>
      <c r="Q29" s="31"/>
      <c r="R29" s="39">
        <f>IF(COUNT(O29:Q29)=0,0,SUMPRODUCT({5000,1000,500},O29:Q29))</f>
        <v>0</v>
      </c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4">
        <f>IF(COUNT(S29:AC29)=0,0,SUMPRODUCT({5000,1000,500,100,75,50,20,10,5,2,1}, S29:AC29))</f>
        <v>0</v>
      </c>
      <c r="AE29" s="33"/>
      <c r="AF29" s="24" t="str">
        <f>IF(AND(COUNT(C29:E29)=0,COUNT(G29:I29)=0,COUNT(K29:M29)=0,COUNT(O29:Q29)=0,COUNT(S29:AC29)=0,AE29=""),"",(IF(COUNT(C29:E29)=0,0,SUMPRODUCT({5000,1000,500},C29:E29))+IF(COUNT(G29:I29)=0,0,SUMPRODUCT({5000,1000,500},G29:I29))+IF(COUNT(K29:M29)=0,0,SUMPRODUCT({5000,1000,500},K29:M29))+IF(COUNT(O29:Q29)=0,0,SUMPRODUCT({5000,1000,500},O29:Q29))+AD29)-N(AE29))</f>
        <v/>
      </c>
      <c r="AG29" s="35" t="str">
        <f t="shared" si="0"/>
        <v/>
      </c>
      <c r="AH29" s="38"/>
      <c r="AI29" s="36"/>
      <c r="AJ29" s="37"/>
      <c r="AK29" s="26" t="str">
        <f t="shared" si="1"/>
        <v/>
      </c>
      <c r="AL29" s="25" t="str">
        <f t="shared" si="2"/>
        <v/>
      </c>
      <c r="AM29" s="38"/>
    </row>
    <row r="30" spans="1:39" ht="12.75" customHeight="1" x14ac:dyDescent="0.25">
      <c r="A30" s="31"/>
      <c r="B30" s="32" t="str">
        <f>IF(A30="","",VLOOKUP(A30,'Employee Database'!A:B,2,FALSE))</f>
        <v/>
      </c>
      <c r="C30" s="31"/>
      <c r="D30" s="31"/>
      <c r="E30" s="31"/>
      <c r="F30" s="39">
        <f>IF(COUNT(C30:E30)=0,0,SUMPRODUCT({5000,1000,500},C30:E30))</f>
        <v>0</v>
      </c>
      <c r="G30" s="31"/>
      <c r="H30" s="31"/>
      <c r="I30" s="31"/>
      <c r="J30" s="39">
        <f>IF(COUNT(G30:I30)=0,0,SUMPRODUCT({5000,1000,500},G30:I30))</f>
        <v>0</v>
      </c>
      <c r="K30" s="31"/>
      <c r="L30" s="31"/>
      <c r="M30" s="31"/>
      <c r="N30" s="39">
        <f>IF(COUNT(K30:M30)=0,0,SUMPRODUCT({5000,1000,500},K30:M30))</f>
        <v>0</v>
      </c>
      <c r="O30" s="31"/>
      <c r="P30" s="31"/>
      <c r="Q30" s="31"/>
      <c r="R30" s="39">
        <f>IF(COUNT(O30:Q30)=0,0,SUMPRODUCT({5000,1000,500},O30:Q30))</f>
        <v>0</v>
      </c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4">
        <f>IF(COUNT(S30:AC30)=0,0,SUMPRODUCT({5000,1000,500,100,75,50,20,10,5,2,1}, S30:AC30))</f>
        <v>0</v>
      </c>
      <c r="AE30" s="33"/>
      <c r="AF30" s="24" t="str">
        <f>IF(AND(COUNT(C30:E30)=0,COUNT(G30:I30)=0,COUNT(K30:M30)=0,COUNT(O30:Q30)=0,COUNT(S30:AC30)=0,AE30=""),"",(IF(COUNT(C30:E30)=0,0,SUMPRODUCT({5000,1000,500},C30:E30))+IF(COUNT(G30:I30)=0,0,SUMPRODUCT({5000,1000,500},G30:I30))+IF(COUNT(K30:M30)=0,0,SUMPRODUCT({5000,1000,500},K30:M30))+IF(COUNT(O30:Q30)=0,0,SUMPRODUCT({5000,1000,500},O30:Q30))+AD30)-N(AE30))</f>
        <v/>
      </c>
      <c r="AG30" s="35" t="str">
        <f t="shared" si="0"/>
        <v/>
      </c>
      <c r="AH30" s="38"/>
      <c r="AI30" s="36"/>
      <c r="AJ30" s="37"/>
      <c r="AK30" s="26" t="str">
        <f t="shared" si="1"/>
        <v/>
      </c>
      <c r="AL30" s="25" t="str">
        <f t="shared" si="2"/>
        <v/>
      </c>
      <c r="AM30" s="38"/>
    </row>
    <row r="31" spans="1:39" ht="12.75" customHeight="1" x14ac:dyDescent="0.25">
      <c r="A31" s="31"/>
      <c r="B31" s="32" t="str">
        <f>IF(A31="","",VLOOKUP(A31,'Employee Database'!A:B,2,FALSE))</f>
        <v/>
      </c>
      <c r="C31" s="31"/>
      <c r="D31" s="31"/>
      <c r="E31" s="31"/>
      <c r="F31" s="39">
        <f>IF(COUNT(C31:E31)=0,0,SUMPRODUCT({5000,1000,500},C31:E31))</f>
        <v>0</v>
      </c>
      <c r="G31" s="31"/>
      <c r="H31" s="31"/>
      <c r="I31" s="31"/>
      <c r="J31" s="39">
        <f>IF(COUNT(G31:I31)=0,0,SUMPRODUCT({5000,1000,500},G31:I31))</f>
        <v>0</v>
      </c>
      <c r="K31" s="31"/>
      <c r="L31" s="31"/>
      <c r="M31" s="31"/>
      <c r="N31" s="39">
        <f>IF(COUNT(K31:M31)=0,0,SUMPRODUCT({5000,1000,500},K31:M31))</f>
        <v>0</v>
      </c>
      <c r="O31" s="31"/>
      <c r="P31" s="31"/>
      <c r="Q31" s="31"/>
      <c r="R31" s="39">
        <f>IF(COUNT(O31:Q31)=0,0,SUMPRODUCT({5000,1000,500},O31:Q31))</f>
        <v>0</v>
      </c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4">
        <f>IF(COUNT(S31:AC31)=0,0,SUMPRODUCT({5000,1000,500,100,75,50,20,10,5,2,1}, S31:AC31))</f>
        <v>0</v>
      </c>
      <c r="AE31" s="33"/>
      <c r="AF31" s="24" t="str">
        <f>IF(AND(COUNT(C31:E31)=0,COUNT(G31:I31)=0,COUNT(K31:M31)=0,COUNT(O31:Q31)=0,COUNT(S31:AC31)=0,AE31=""),"",(IF(COUNT(C31:E31)=0,0,SUMPRODUCT({5000,1000,500},C31:E31))+IF(COUNT(G31:I31)=0,0,SUMPRODUCT({5000,1000,500},G31:I31))+IF(COUNT(K31:M31)=0,0,SUMPRODUCT({5000,1000,500},K31:M31))+IF(COUNT(O31:Q31)=0,0,SUMPRODUCT({5000,1000,500},O31:Q31))+AD31)-N(AE31))</f>
        <v/>
      </c>
      <c r="AG31" s="35" t="str">
        <f t="shared" si="0"/>
        <v/>
      </c>
      <c r="AH31" s="38"/>
      <c r="AI31" s="36"/>
      <c r="AJ31" s="37"/>
      <c r="AK31" s="26" t="str">
        <f t="shared" si="1"/>
        <v/>
      </c>
      <c r="AL31" s="25" t="str">
        <f t="shared" si="2"/>
        <v/>
      </c>
      <c r="AM31" s="38"/>
    </row>
    <row r="32" spans="1:39" ht="12.75" customHeight="1" x14ac:dyDescent="0.25">
      <c r="A32" s="31"/>
      <c r="B32" s="32" t="str">
        <f>IF(A32="","",VLOOKUP(A32,'Employee Database'!A:B,2,FALSE))</f>
        <v/>
      </c>
      <c r="C32" s="31"/>
      <c r="D32" s="31"/>
      <c r="E32" s="31"/>
      <c r="F32" s="39">
        <f>IF(COUNT(C32:E32)=0,0,SUMPRODUCT({5000,1000,500},C32:E32))</f>
        <v>0</v>
      </c>
      <c r="G32" s="31"/>
      <c r="H32" s="31"/>
      <c r="I32" s="31"/>
      <c r="J32" s="39">
        <f>IF(COUNT(G32:I32)=0,0,SUMPRODUCT({5000,1000,500},G32:I32))</f>
        <v>0</v>
      </c>
      <c r="K32" s="31"/>
      <c r="L32" s="31"/>
      <c r="M32" s="31"/>
      <c r="N32" s="39">
        <f>IF(COUNT(K32:M32)=0,0,SUMPRODUCT({5000,1000,500},K32:M32))</f>
        <v>0</v>
      </c>
      <c r="O32" s="31"/>
      <c r="P32" s="31"/>
      <c r="Q32" s="31"/>
      <c r="R32" s="39">
        <f>IF(COUNT(O32:Q32)=0,0,SUMPRODUCT({5000,1000,500},O32:Q32))</f>
        <v>0</v>
      </c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4">
        <f>IF(COUNT(S32:AC32)=0,0,SUMPRODUCT({5000,1000,500,100,75,50,20,10,5,2,1}, S32:AC32))</f>
        <v>0</v>
      </c>
      <c r="AE32" s="33"/>
      <c r="AF32" s="24" t="str">
        <f>IF(AND(COUNT(C32:E32)=0,COUNT(G32:I32)=0,COUNT(K32:M32)=0,COUNT(O32:Q32)=0,COUNT(S32:AC32)=0,AE32=""),"",(IF(COUNT(C32:E32)=0,0,SUMPRODUCT({5000,1000,500},C32:E32))+IF(COUNT(G32:I32)=0,0,SUMPRODUCT({5000,1000,500},G32:I32))+IF(COUNT(K32:M32)=0,0,SUMPRODUCT({5000,1000,500},K32:M32))+IF(COUNT(O32:Q32)=0,0,SUMPRODUCT({5000,1000,500},O32:Q32))+AD32)-N(AE32))</f>
        <v/>
      </c>
      <c r="AG32" s="35" t="str">
        <f t="shared" si="0"/>
        <v/>
      </c>
      <c r="AH32" s="38"/>
      <c r="AI32" s="36"/>
      <c r="AJ32" s="37"/>
      <c r="AK32" s="26" t="str">
        <f t="shared" si="1"/>
        <v/>
      </c>
      <c r="AL32" s="25" t="str">
        <f t="shared" si="2"/>
        <v/>
      </c>
      <c r="AM32" s="38"/>
    </row>
    <row r="33" spans="1:39" ht="12.75" customHeight="1" x14ac:dyDescent="0.25">
      <c r="A33" s="31"/>
      <c r="B33" s="32" t="str">
        <f>IF(A33="","",VLOOKUP(A33,'Employee Database'!A:B,2,FALSE))</f>
        <v/>
      </c>
      <c r="C33" s="31"/>
      <c r="D33" s="31"/>
      <c r="E33" s="31"/>
      <c r="F33" s="39">
        <f>IF(COUNT(C33:E33)=0,0,SUMPRODUCT({5000,1000,500},C33:E33))</f>
        <v>0</v>
      </c>
      <c r="G33" s="31"/>
      <c r="H33" s="31"/>
      <c r="I33" s="31"/>
      <c r="J33" s="39">
        <f>IF(COUNT(G33:I33)=0,0,SUMPRODUCT({5000,1000,500},G33:I33))</f>
        <v>0</v>
      </c>
      <c r="K33" s="31"/>
      <c r="L33" s="31"/>
      <c r="M33" s="31"/>
      <c r="N33" s="39">
        <f>IF(COUNT(K33:M33)=0,0,SUMPRODUCT({5000,1000,500},K33:M33))</f>
        <v>0</v>
      </c>
      <c r="O33" s="31"/>
      <c r="P33" s="31"/>
      <c r="Q33" s="31"/>
      <c r="R33" s="39">
        <f>IF(COUNT(O33:Q33)=0,0,SUMPRODUCT({5000,1000,500},O33:Q33))</f>
        <v>0</v>
      </c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4">
        <f>IF(COUNT(S33:AC33)=0,0,SUMPRODUCT({5000,1000,500,100,75,50,20,10,5,2,1}, S33:AC33))</f>
        <v>0</v>
      </c>
      <c r="AE33" s="33"/>
      <c r="AF33" s="24" t="str">
        <f>IF(AND(COUNT(C33:E33)=0,COUNT(G33:I33)=0,COUNT(K33:M33)=0,COUNT(O33:Q33)=0,COUNT(S33:AC33)=0,AE33=""),"",(IF(COUNT(C33:E33)=0,0,SUMPRODUCT({5000,1000,500},C33:E33))+IF(COUNT(G33:I33)=0,0,SUMPRODUCT({5000,1000,500},G33:I33))+IF(COUNT(K33:M33)=0,0,SUMPRODUCT({5000,1000,500},K33:M33))+IF(COUNT(O33:Q33)=0,0,SUMPRODUCT({5000,1000,500},O33:Q33))+AD33)-N(AE33))</f>
        <v/>
      </c>
      <c r="AG33" s="35" t="str">
        <f t="shared" si="0"/>
        <v/>
      </c>
      <c r="AH33" s="38"/>
      <c r="AI33" s="36"/>
      <c r="AJ33" s="37"/>
      <c r="AK33" s="26" t="str">
        <f t="shared" si="1"/>
        <v/>
      </c>
      <c r="AL33" s="25" t="str">
        <f t="shared" si="2"/>
        <v/>
      </c>
      <c r="AM33" s="38"/>
    </row>
    <row r="34" spans="1:39" ht="12.75" customHeight="1" x14ac:dyDescent="0.25">
      <c r="A34" s="31"/>
      <c r="B34" s="32" t="str">
        <f>IF(A34="","",VLOOKUP(A34,'Employee Database'!A:B,2,FALSE))</f>
        <v/>
      </c>
      <c r="C34" s="31"/>
      <c r="D34" s="31"/>
      <c r="E34" s="31"/>
      <c r="F34" s="39">
        <f>IF(COUNT(C34:E34)=0,0,SUMPRODUCT({5000,1000,500},C34:E34))</f>
        <v>0</v>
      </c>
      <c r="G34" s="31"/>
      <c r="H34" s="31"/>
      <c r="I34" s="31"/>
      <c r="J34" s="39">
        <f>IF(COUNT(G34:I34)=0,0,SUMPRODUCT({5000,1000,500},G34:I34))</f>
        <v>0</v>
      </c>
      <c r="K34" s="31"/>
      <c r="L34" s="31"/>
      <c r="M34" s="31"/>
      <c r="N34" s="39">
        <f>IF(COUNT(K34:M34)=0,0,SUMPRODUCT({5000,1000,500},K34:M34))</f>
        <v>0</v>
      </c>
      <c r="O34" s="31"/>
      <c r="P34" s="31"/>
      <c r="Q34" s="31"/>
      <c r="R34" s="39">
        <f>IF(COUNT(O34:Q34)=0,0,SUMPRODUCT({5000,1000,500},O34:Q34))</f>
        <v>0</v>
      </c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4">
        <f>IF(COUNT(S34:AC34)=0,0,SUMPRODUCT({5000,1000,500,100,75,50,20,10,5,2,1}, S34:AC34))</f>
        <v>0</v>
      </c>
      <c r="AE34" s="33"/>
      <c r="AF34" s="24" t="str">
        <f>IF(AND(COUNT(C34:E34)=0,COUNT(G34:I34)=0,COUNT(K34:M34)=0,COUNT(O34:Q34)=0,COUNT(S34:AC34)=0,AE34=""),"",(IF(COUNT(C34:E34)=0,0,SUMPRODUCT({5000,1000,500},C34:E34))+IF(COUNT(G34:I34)=0,0,SUMPRODUCT({5000,1000,500},G34:I34))+IF(COUNT(K34:M34)=0,0,SUMPRODUCT({5000,1000,500},K34:M34))+IF(COUNT(O34:Q34)=0,0,SUMPRODUCT({5000,1000,500},O34:Q34))+AD34)-N(AE34))</f>
        <v/>
      </c>
      <c r="AG34" s="35" t="str">
        <f t="shared" si="0"/>
        <v/>
      </c>
      <c r="AH34" s="38"/>
      <c r="AI34" s="36"/>
      <c r="AJ34" s="37"/>
      <c r="AK34" s="26"/>
      <c r="AL34" s="25" t="str">
        <f t="shared" si="2"/>
        <v/>
      </c>
      <c r="AM34" s="38"/>
    </row>
    <row r="35" spans="1:39" ht="22.5" customHeight="1" x14ac:dyDescent="0.25">
      <c r="A35" s="27" t="s">
        <v>24</v>
      </c>
      <c r="B35" s="27" t="s">
        <v>24</v>
      </c>
      <c r="C35" s="28">
        <f t="shared" ref="C35:AF35" si="3">SUM(C5:C34)</f>
        <v>178</v>
      </c>
      <c r="D35" s="28">
        <f t="shared" si="3"/>
        <v>616</v>
      </c>
      <c r="E35" s="28">
        <f t="shared" si="3"/>
        <v>124</v>
      </c>
      <c r="F35" s="40">
        <f t="shared" si="3"/>
        <v>1568000</v>
      </c>
      <c r="G35" s="28">
        <f t="shared" si="3"/>
        <v>538</v>
      </c>
      <c r="H35" s="28">
        <f t="shared" si="3"/>
        <v>1246</v>
      </c>
      <c r="I35" s="28">
        <f t="shared" si="3"/>
        <v>206</v>
      </c>
      <c r="J35" s="40">
        <f t="shared" si="3"/>
        <v>4039000</v>
      </c>
      <c r="K35" s="28">
        <f t="shared" si="3"/>
        <v>0</v>
      </c>
      <c r="L35" s="28">
        <f t="shared" si="3"/>
        <v>0</v>
      </c>
      <c r="M35" s="28">
        <f t="shared" si="3"/>
        <v>0</v>
      </c>
      <c r="N35" s="40">
        <f t="shared" si="3"/>
        <v>0</v>
      </c>
      <c r="O35" s="28">
        <f t="shared" si="3"/>
        <v>0</v>
      </c>
      <c r="P35" s="28">
        <f t="shared" si="3"/>
        <v>0</v>
      </c>
      <c r="Q35" s="28">
        <f t="shared" si="3"/>
        <v>0</v>
      </c>
      <c r="R35" s="40">
        <f t="shared" si="3"/>
        <v>0</v>
      </c>
      <c r="S35" s="28">
        <f t="shared" si="3"/>
        <v>0</v>
      </c>
      <c r="T35" s="28">
        <f t="shared" si="3"/>
        <v>0</v>
      </c>
      <c r="U35" s="28">
        <f t="shared" si="3"/>
        <v>0</v>
      </c>
      <c r="V35" s="28">
        <f t="shared" si="3"/>
        <v>164</v>
      </c>
      <c r="W35" s="28">
        <f t="shared" si="3"/>
        <v>0</v>
      </c>
      <c r="X35" s="28">
        <f t="shared" si="3"/>
        <v>1101</v>
      </c>
      <c r="Y35" s="28">
        <f t="shared" si="3"/>
        <v>4</v>
      </c>
      <c r="Z35" s="28">
        <f t="shared" si="3"/>
        <v>873</v>
      </c>
      <c r="AA35" s="28">
        <f t="shared" si="3"/>
        <v>0</v>
      </c>
      <c r="AB35" s="28">
        <f t="shared" si="3"/>
        <v>0</v>
      </c>
      <c r="AC35" s="28">
        <f t="shared" si="3"/>
        <v>1</v>
      </c>
      <c r="AD35" s="40">
        <f t="shared" si="3"/>
        <v>80261</v>
      </c>
      <c r="AE35" s="41">
        <f t="shared" si="3"/>
        <v>5687342</v>
      </c>
      <c r="AF35" s="29">
        <f t="shared" si="3"/>
        <v>-81</v>
      </c>
      <c r="AG35" s="27" t="s">
        <v>24</v>
      </c>
      <c r="AH35" s="27" t="s">
        <v>24</v>
      </c>
      <c r="AI35" s="28">
        <f>SUM(AI5:AI34)</f>
        <v>13154934.289999997</v>
      </c>
      <c r="AJ35" s="28">
        <f>SUM(AJ5:AJ34)</f>
        <v>13154934.289999997</v>
      </c>
      <c r="AK35" s="28">
        <f>SUM(AK5:AK34)</f>
        <v>1.1641532182693481E-10</v>
      </c>
      <c r="AL35" s="28">
        <f>AJ35+AE35</f>
        <v>18842276.289999999</v>
      </c>
      <c r="AM35" s="28">
        <f>SUM(AM5:AM34)</f>
        <v>0</v>
      </c>
    </row>
  </sheetData>
  <mergeCells count="9">
    <mergeCell ref="S3:AC3"/>
    <mergeCell ref="AD3:AG3"/>
    <mergeCell ref="AH3:AM3"/>
    <mergeCell ref="A1:B1"/>
    <mergeCell ref="A3:B3"/>
    <mergeCell ref="C3:F3"/>
    <mergeCell ref="G3:J3"/>
    <mergeCell ref="K3:N3"/>
    <mergeCell ref="O3:R3"/>
  </mergeCells>
  <conditionalFormatting sqref="A5">
    <cfRule type="duplicateValues" dxfId="15" priority="3"/>
    <cfRule type="duplicateValues" dxfId="14" priority="4"/>
  </conditionalFormatting>
  <conditionalFormatting sqref="A6">
    <cfRule type="duplicateValues" dxfId="13" priority="5"/>
    <cfRule type="duplicateValues" dxfId="12" priority="6"/>
  </conditionalFormatting>
  <conditionalFormatting sqref="A7:A34">
    <cfRule type="duplicateValues" dxfId="11" priority="1"/>
    <cfRule type="duplicateValues" dxfId="10" priority="2"/>
  </conditionalFormatting>
  <conditionalFormatting sqref="A35">
    <cfRule type="duplicateValues" dxfId="9" priority="7"/>
  </conditionalFormatting>
  <dataValidations disablePrompts="1" count="1">
    <dataValidation type="list" allowBlank="1" showInputMessage="1" showErrorMessage="1" sqref="A1:B1" xr:uid="{00000000-0002-0000-1F00-000000000000}">
      <formula1>Locations</formula1>
    </dataValidation>
  </dataValidations>
  <pageMargins left="0.75" right="0.75" top="1" bottom="1" header="0.5" footer="0.5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3"/>
  <dimension ref="A1:AM35"/>
  <sheetViews>
    <sheetView showGridLines="0" topLeftCell="A2" zoomScale="85" zoomScaleNormal="85" workbookViewId="0">
      <pane xSplit="2" topLeftCell="X1" activePane="topRight" state="frozen"/>
      <selection activeCell="A4" sqref="A4"/>
      <selection pane="topRight" activeCell="AC10" sqref="AC10"/>
    </sheetView>
  </sheetViews>
  <sheetFormatPr defaultRowHeight="15" x14ac:dyDescent="0.25"/>
  <cols>
    <col min="1" max="1" width="11.85546875" customWidth="1"/>
    <col min="2" max="2" width="20.5703125" customWidth="1"/>
    <col min="6" max="6" width="14.42578125" bestFit="1" customWidth="1"/>
    <col min="10" max="10" width="14.42578125" bestFit="1" customWidth="1"/>
    <col min="14" max="14" width="14.42578125" bestFit="1" customWidth="1"/>
    <col min="18" max="18" width="14.42578125" bestFit="1" customWidth="1"/>
    <col min="30" max="31" width="18" customWidth="1"/>
    <col min="32" max="32" width="20" customWidth="1"/>
    <col min="33" max="33" width="14" customWidth="1"/>
    <col min="35" max="35" width="18" customWidth="1"/>
    <col min="36" max="36" width="22" customWidth="1"/>
    <col min="37" max="37" width="16" customWidth="1"/>
    <col min="38" max="38" width="14" customWidth="1"/>
  </cols>
  <sheetData>
    <row r="1" spans="1:39" ht="43.5" customHeight="1" x14ac:dyDescent="0.25">
      <c r="A1" s="48" t="s">
        <v>306</v>
      </c>
      <c r="B1" s="48"/>
    </row>
    <row r="2" spans="1:39" ht="13.5" customHeight="1" x14ac:dyDescent="0.25">
      <c r="A2" s="30">
        <f>'30'!A2+1</f>
        <v>46234</v>
      </c>
    </row>
    <row r="3" spans="1:39" ht="24" customHeight="1" x14ac:dyDescent="0.25">
      <c r="A3" s="49" t="s">
        <v>0</v>
      </c>
      <c r="B3" s="49"/>
      <c r="C3" s="49" t="s">
        <v>93</v>
      </c>
      <c r="D3" s="50"/>
      <c r="E3" s="50"/>
      <c r="F3" s="50"/>
      <c r="G3" s="49" t="s">
        <v>94</v>
      </c>
      <c r="H3" s="50"/>
      <c r="I3" s="50"/>
      <c r="J3" s="50"/>
      <c r="K3" s="49" t="s">
        <v>95</v>
      </c>
      <c r="L3" s="50"/>
      <c r="M3" s="50"/>
      <c r="N3" s="50"/>
      <c r="O3" s="49" t="s">
        <v>96</v>
      </c>
      <c r="P3" s="50"/>
      <c r="Q3" s="50"/>
      <c r="R3" s="50"/>
      <c r="S3" s="45" t="s">
        <v>1</v>
      </c>
      <c r="T3" s="46"/>
      <c r="U3" s="46"/>
      <c r="V3" s="46"/>
      <c r="W3" s="46"/>
      <c r="X3" s="46"/>
      <c r="Y3" s="46"/>
      <c r="Z3" s="46"/>
      <c r="AA3" s="46"/>
      <c r="AB3" s="46"/>
      <c r="AC3" s="46"/>
      <c r="AD3" s="47" t="s">
        <v>97</v>
      </c>
      <c r="AE3" s="46"/>
      <c r="AF3" s="46"/>
      <c r="AG3" s="46"/>
      <c r="AH3" s="47" t="s">
        <v>98</v>
      </c>
      <c r="AI3" s="46"/>
      <c r="AJ3" s="46"/>
      <c r="AK3" s="46"/>
      <c r="AL3" s="46"/>
      <c r="AM3" s="46"/>
    </row>
    <row r="4" spans="1:39" ht="27.95" customHeight="1" x14ac:dyDescent="0.25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92</v>
      </c>
      <c r="G4" s="1" t="s">
        <v>5</v>
      </c>
      <c r="H4" s="1" t="s">
        <v>6</v>
      </c>
      <c r="I4" s="1" t="s">
        <v>7</v>
      </c>
      <c r="J4" s="1" t="s">
        <v>92</v>
      </c>
      <c r="K4" s="1" t="s">
        <v>5</v>
      </c>
      <c r="L4" s="1" t="s">
        <v>6</v>
      </c>
      <c r="M4" s="1" t="s">
        <v>7</v>
      </c>
      <c r="N4" s="1" t="s">
        <v>92</v>
      </c>
      <c r="O4" s="1" t="s">
        <v>5</v>
      </c>
      <c r="P4" s="1" t="s">
        <v>6</v>
      </c>
      <c r="Q4" s="1" t="s">
        <v>7</v>
      </c>
      <c r="R4" s="1" t="s">
        <v>92</v>
      </c>
      <c r="S4" s="1" t="s">
        <v>5</v>
      </c>
      <c r="T4" s="1" t="s">
        <v>6</v>
      </c>
      <c r="U4" s="1" t="s">
        <v>7</v>
      </c>
      <c r="V4" s="1" t="s">
        <v>8</v>
      </c>
      <c r="W4" s="1" t="s">
        <v>9</v>
      </c>
      <c r="X4" s="1" t="s">
        <v>10</v>
      </c>
      <c r="Y4" s="1" t="s">
        <v>11</v>
      </c>
      <c r="Z4" s="1" t="s">
        <v>12</v>
      </c>
      <c r="AA4" s="1" t="s">
        <v>13</v>
      </c>
      <c r="AB4" s="1" t="s">
        <v>14</v>
      </c>
      <c r="AC4" s="1" t="s">
        <v>15</v>
      </c>
      <c r="AD4" s="1" t="s">
        <v>16</v>
      </c>
      <c r="AE4" s="1" t="s">
        <v>17</v>
      </c>
      <c r="AF4" s="1" t="s">
        <v>18</v>
      </c>
      <c r="AG4" s="1" t="s">
        <v>19</v>
      </c>
      <c r="AH4" s="1" t="s">
        <v>20</v>
      </c>
      <c r="AI4" s="4" t="s">
        <v>99</v>
      </c>
      <c r="AJ4" s="1" t="s">
        <v>21</v>
      </c>
      <c r="AK4" s="1" t="s">
        <v>22</v>
      </c>
      <c r="AL4" s="1" t="s">
        <v>23</v>
      </c>
      <c r="AM4" s="4" t="s">
        <v>100</v>
      </c>
    </row>
    <row r="5" spans="1:39" ht="12.75" customHeight="1" x14ac:dyDescent="0.25">
      <c r="A5" s="31">
        <v>68107</v>
      </c>
      <c r="B5" s="32" t="str">
        <f>IF(A5="","",VLOOKUP(A5,'Employee Database'!A:B,2,FALSE))</f>
        <v>M Harris</v>
      </c>
      <c r="C5" s="31">
        <v>16</v>
      </c>
      <c r="D5" s="31">
        <v>11</v>
      </c>
      <c r="E5" s="31">
        <v>8</v>
      </c>
      <c r="F5" s="39">
        <f>IF(COUNT(C5:E5)=0,0,SUMPRODUCT({5000,1000,500},C5:E5))</f>
        <v>95000</v>
      </c>
      <c r="G5" s="31">
        <v>16</v>
      </c>
      <c r="H5" s="31">
        <v>53</v>
      </c>
      <c r="I5" s="31">
        <v>1</v>
      </c>
      <c r="J5" s="39">
        <f>IF(COUNT(G5:I5)=0,0,SUMPRODUCT({5000,1000,500},G5:I5))</f>
        <v>133500</v>
      </c>
      <c r="K5" s="31"/>
      <c r="L5" s="31"/>
      <c r="M5" s="31"/>
      <c r="N5" s="39">
        <f>IF(COUNT(K5:M5)=0,0,SUMPRODUCT({5000,1000,500},K5:M5))</f>
        <v>0</v>
      </c>
      <c r="O5" s="31"/>
      <c r="P5" s="31"/>
      <c r="Q5" s="31"/>
      <c r="R5" s="39">
        <f>IF(COUNT(O5:Q5)=0,0,SUMPRODUCT({5000,1000,500},O5:Q5))</f>
        <v>0</v>
      </c>
      <c r="S5" s="31"/>
      <c r="T5" s="31"/>
      <c r="U5" s="31"/>
      <c r="V5" s="31">
        <v>1</v>
      </c>
      <c r="W5" s="31"/>
      <c r="X5" s="31">
        <v>6</v>
      </c>
      <c r="Y5" s="31"/>
      <c r="Z5" s="31">
        <v>45</v>
      </c>
      <c r="AA5" s="31"/>
      <c r="AB5" s="31"/>
      <c r="AC5" s="31"/>
      <c r="AD5" s="34">
        <f>IF(COUNT(S5:AC5)=0,0,SUMPRODUCT({5000,1000,500,100,75,50,20,10,5,2,1}, S5:AC5))</f>
        <v>850</v>
      </c>
      <c r="AE5" s="33">
        <v>229368</v>
      </c>
      <c r="AF5" s="24">
        <f>IF(AND(COUNT(C5:E5)=0,COUNT(G5:I5)=0,COUNT(K5:M5)=0,COUNT(O5:Q5)=0,COUNT(S5:AC5)=0,AE5=""),"",(IF(COUNT(C5:E5)=0,0,SUMPRODUCT({5000,1000,500},C5:E5))+IF(COUNT(G5:I5)=0,0,SUMPRODUCT({5000,1000,500},G5:I5))+IF(COUNT(K5:M5)=0,0,SUMPRODUCT({5000,1000,500},K5:M5))+IF(COUNT(O5:Q5)=0,0,SUMPRODUCT({5000,1000,500},O5:Q5))+AD5)-N(AE5))</f>
        <v>-18</v>
      </c>
      <c r="AG5" s="35" t="str">
        <f t="shared" ref="AG5:AG34" si="0">IF(AF5="","",IF(AF5&gt;0,"Excess",IF(AF5&lt;0,"Short","Balanced")))</f>
        <v>Short</v>
      </c>
      <c r="AH5" s="38"/>
      <c r="AI5" s="36">
        <v>490659.54</v>
      </c>
      <c r="AJ5" s="37">
        <v>490659.54</v>
      </c>
      <c r="AK5" s="26">
        <f t="shared" ref="AK5:AK34" si="1">IF(AND(AI5="",AJ5=""),"",N(AI5)-N(AJ5))</f>
        <v>0</v>
      </c>
      <c r="AL5" s="25" t="str">
        <f t="shared" ref="AL5:AL34" si="2">IF(AK5="","",IF(AK5&gt;0,"POS Excess",IF(AK5&lt;0,"Bank Short","Matched")))</f>
        <v>Matched</v>
      </c>
      <c r="AM5" s="38"/>
    </row>
    <row r="6" spans="1:39" ht="12.75" customHeight="1" x14ac:dyDescent="0.25">
      <c r="A6" s="31">
        <v>72873</v>
      </c>
      <c r="B6" s="32" t="str">
        <f>IF(A6="","",VLOOKUP(A6,'Employee Database'!A:B,2,FALSE))</f>
        <v>M Shajee</v>
      </c>
      <c r="C6" s="31">
        <v>33</v>
      </c>
      <c r="D6" s="31">
        <v>85</v>
      </c>
      <c r="E6" s="31"/>
      <c r="F6" s="39">
        <f>IF(COUNT(C6:E6)=0,0,SUMPRODUCT({5000,1000,500},C6:E6))</f>
        <v>250000</v>
      </c>
      <c r="G6" s="31">
        <v>13</v>
      </c>
      <c r="H6" s="31">
        <v>47</v>
      </c>
      <c r="I6" s="31">
        <v>26</v>
      </c>
      <c r="J6" s="39">
        <f>IF(COUNT(G6:I6)=0,0,SUMPRODUCT({5000,1000,500},G6:I6))</f>
        <v>125000</v>
      </c>
      <c r="K6" s="31"/>
      <c r="L6" s="31"/>
      <c r="M6" s="31"/>
      <c r="N6" s="39">
        <f>IF(COUNT(K6:M6)=0,0,SUMPRODUCT({5000,1000,500},K6:M6))</f>
        <v>0</v>
      </c>
      <c r="O6" s="31"/>
      <c r="P6" s="31"/>
      <c r="Q6" s="31"/>
      <c r="R6" s="39">
        <f>IF(COUNT(O6:Q6)=0,0,SUMPRODUCT({5000,1000,500},O6:Q6))</f>
        <v>0</v>
      </c>
      <c r="S6" s="31"/>
      <c r="T6" s="31"/>
      <c r="U6" s="31"/>
      <c r="V6" s="31"/>
      <c r="W6" s="31"/>
      <c r="X6" s="31">
        <v>29</v>
      </c>
      <c r="Y6" s="31"/>
      <c r="Z6" s="31">
        <v>15</v>
      </c>
      <c r="AA6" s="31"/>
      <c r="AB6" s="31"/>
      <c r="AC6" s="31"/>
      <c r="AD6" s="34">
        <f>IF(COUNT(S6:AC6)=0,0,SUMPRODUCT({5000,1000,500,100,75,50,20,10,5,2,1}, S6:AC6))</f>
        <v>1600</v>
      </c>
      <c r="AE6" s="33">
        <v>376602</v>
      </c>
      <c r="AF6" s="24">
        <f>IF(AND(COUNT(C6:E6)=0,COUNT(G6:I6)=0,COUNT(K6:M6)=0,COUNT(O6:Q6)=0,COUNT(S6:AC6)=0,AE6=""),"",(IF(COUNT(C6:E6)=0,0,SUMPRODUCT({5000,1000,500},C6:E6))+IF(COUNT(G6:I6)=0,0,SUMPRODUCT({5000,1000,500},G6:I6))+IF(COUNT(K6:M6)=0,0,SUMPRODUCT({5000,1000,500},K6:M6))+IF(COUNT(O6:Q6)=0,0,SUMPRODUCT({5000,1000,500},O6:Q6))+AD6)-N(AE6))</f>
        <v>-2</v>
      </c>
      <c r="AG6" s="35" t="str">
        <f t="shared" si="0"/>
        <v>Short</v>
      </c>
      <c r="AH6" s="38"/>
      <c r="AI6" s="36">
        <v>587990.76</v>
      </c>
      <c r="AJ6" s="37">
        <v>587990.76</v>
      </c>
      <c r="AK6" s="26">
        <f t="shared" si="1"/>
        <v>0</v>
      </c>
      <c r="AL6" s="25" t="str">
        <f t="shared" si="2"/>
        <v>Matched</v>
      </c>
      <c r="AM6" s="38"/>
    </row>
    <row r="7" spans="1:39" ht="12.75" customHeight="1" x14ac:dyDescent="0.25">
      <c r="A7" s="31">
        <v>63854</v>
      </c>
      <c r="B7" s="32" t="str">
        <f>IF(A7="","",VLOOKUP(A7,'Employee Database'!A:B,2,FALSE))</f>
        <v>Maham</v>
      </c>
      <c r="C7" s="31">
        <v>18</v>
      </c>
      <c r="D7" s="31">
        <v>70</v>
      </c>
      <c r="E7" s="31"/>
      <c r="F7" s="39">
        <f>IF(COUNT(C7:E7)=0,0,SUMPRODUCT({5000,1000,500},C7:E7))</f>
        <v>160000</v>
      </c>
      <c r="G7" s="31">
        <v>30</v>
      </c>
      <c r="H7" s="31">
        <v>58</v>
      </c>
      <c r="I7" s="31">
        <v>1</v>
      </c>
      <c r="J7" s="39">
        <f>IF(COUNT(G7:I7)=0,0,SUMPRODUCT({5000,1000,500},G7:I7))</f>
        <v>208500</v>
      </c>
      <c r="K7" s="31"/>
      <c r="L7" s="31"/>
      <c r="M7" s="31"/>
      <c r="N7" s="39">
        <f>IF(COUNT(K7:M7)=0,0,SUMPRODUCT({5000,1000,500},K7:M7))</f>
        <v>0</v>
      </c>
      <c r="O7" s="31"/>
      <c r="P7" s="31"/>
      <c r="Q7" s="31"/>
      <c r="R7" s="39">
        <f>IF(COUNT(O7:Q7)=0,0,SUMPRODUCT({5000,1000,500},O7:Q7))</f>
        <v>0</v>
      </c>
      <c r="S7" s="31"/>
      <c r="T7" s="31"/>
      <c r="U7" s="31"/>
      <c r="V7" s="31"/>
      <c r="W7" s="31"/>
      <c r="X7" s="31">
        <v>3</v>
      </c>
      <c r="Y7" s="31"/>
      <c r="Z7" s="31">
        <v>27</v>
      </c>
      <c r="AA7" s="31"/>
      <c r="AB7" s="31"/>
      <c r="AC7" s="31"/>
      <c r="AD7" s="34">
        <f>IF(COUNT(S7:AC7)=0,0,SUMPRODUCT({5000,1000,500,100,75,50,20,10,5,2,1}, S7:AC7))</f>
        <v>420</v>
      </c>
      <c r="AE7" s="33">
        <v>368895</v>
      </c>
      <c r="AF7" s="24">
        <f>IF(AND(COUNT(C7:E7)=0,COUNT(G7:I7)=0,COUNT(K7:M7)=0,COUNT(O7:Q7)=0,COUNT(S7:AC7)=0,AE7=""),"",(IF(COUNT(C7:E7)=0,0,SUMPRODUCT({5000,1000,500},C7:E7))+IF(COUNT(G7:I7)=0,0,SUMPRODUCT({5000,1000,500},G7:I7))+IF(COUNT(K7:M7)=0,0,SUMPRODUCT({5000,1000,500},K7:M7))+IF(COUNT(O7:Q7)=0,0,SUMPRODUCT({5000,1000,500},O7:Q7))+AD7)-N(AE7))</f>
        <v>25</v>
      </c>
      <c r="AG7" s="35" t="str">
        <f t="shared" si="0"/>
        <v>Excess</v>
      </c>
      <c r="AH7" s="38"/>
      <c r="AI7" s="36">
        <v>930049.05</v>
      </c>
      <c r="AJ7" s="37">
        <v>930049.05</v>
      </c>
      <c r="AK7" s="26">
        <f t="shared" si="1"/>
        <v>0</v>
      </c>
      <c r="AL7" s="25" t="str">
        <f t="shared" si="2"/>
        <v>Matched</v>
      </c>
      <c r="AM7" s="38"/>
    </row>
    <row r="8" spans="1:39" ht="12.75" customHeight="1" x14ac:dyDescent="0.25">
      <c r="A8" s="31">
        <v>59257</v>
      </c>
      <c r="B8" s="32" t="str">
        <f>IF(A8="","",VLOOKUP(A8,'Employee Database'!A:B,2,FALSE))</f>
        <v>Saddiqa Maryam</v>
      </c>
      <c r="C8" s="31">
        <v>21</v>
      </c>
      <c r="D8" s="31">
        <v>95</v>
      </c>
      <c r="E8" s="31"/>
      <c r="F8" s="39">
        <f>IF(COUNT(C8:E8)=0,0,SUMPRODUCT({5000,1000,500},C8:E8))</f>
        <v>200000</v>
      </c>
      <c r="G8" s="31">
        <v>11</v>
      </c>
      <c r="H8" s="31">
        <v>12</v>
      </c>
      <c r="I8" s="31">
        <v>3</v>
      </c>
      <c r="J8" s="39">
        <f>IF(COUNT(G8:I8)=0,0,SUMPRODUCT({5000,1000,500},G8:I8))</f>
        <v>68500</v>
      </c>
      <c r="K8" s="31"/>
      <c r="L8" s="31"/>
      <c r="M8" s="31"/>
      <c r="N8" s="39">
        <f>IF(COUNT(K8:M8)=0,0,SUMPRODUCT({5000,1000,500},K8:M8))</f>
        <v>0</v>
      </c>
      <c r="O8" s="31"/>
      <c r="P8" s="31"/>
      <c r="Q8" s="31"/>
      <c r="R8" s="39">
        <f>IF(COUNT(O8:Q8)=0,0,SUMPRODUCT({5000,1000,500},O8:Q8))</f>
        <v>0</v>
      </c>
      <c r="S8" s="31"/>
      <c r="T8" s="31"/>
      <c r="U8" s="31"/>
      <c r="V8" s="31">
        <v>16</v>
      </c>
      <c r="W8" s="31"/>
      <c r="X8" s="31">
        <v>28</v>
      </c>
      <c r="Y8" s="31"/>
      <c r="Z8" s="31">
        <v>42</v>
      </c>
      <c r="AA8" s="31"/>
      <c r="AB8" s="31"/>
      <c r="AC8" s="31"/>
      <c r="AD8" s="34">
        <f>IF(COUNT(S8:AC8)=0,0,SUMPRODUCT({5000,1000,500,100,75,50,20,10,5,2,1}, S8:AC8))</f>
        <v>3420</v>
      </c>
      <c r="AE8" s="33">
        <v>272162</v>
      </c>
      <c r="AF8" s="24">
        <f>IF(AND(COUNT(C8:E8)=0,COUNT(G8:I8)=0,COUNT(K8:M8)=0,COUNT(O8:Q8)=0,COUNT(S8:AC8)=0,AE8=""),"",(IF(COUNT(C8:E8)=0,0,SUMPRODUCT({5000,1000,500},C8:E8))+IF(COUNT(G8:I8)=0,0,SUMPRODUCT({5000,1000,500},G8:I8))+IF(COUNT(K8:M8)=0,0,SUMPRODUCT({5000,1000,500},K8:M8))+IF(COUNT(O8:Q8)=0,0,SUMPRODUCT({5000,1000,500},O8:Q8))+AD8)-N(AE8))</f>
        <v>-242</v>
      </c>
      <c r="AG8" s="35" t="str">
        <f t="shared" si="0"/>
        <v>Short</v>
      </c>
      <c r="AH8" s="38"/>
      <c r="AI8" s="36">
        <f>20901.44+499472.19+47128.67</f>
        <v>567502.30000000005</v>
      </c>
      <c r="AJ8" s="37">
        <f>20900.44+499472.19+47128.67</f>
        <v>567501.30000000005</v>
      </c>
      <c r="AK8" s="26">
        <f t="shared" si="1"/>
        <v>1</v>
      </c>
      <c r="AL8" s="25" t="str">
        <f t="shared" si="2"/>
        <v>POS Excess</v>
      </c>
      <c r="AM8" s="38"/>
    </row>
    <row r="9" spans="1:39" ht="12.75" customHeight="1" x14ac:dyDescent="0.25">
      <c r="A9" s="31">
        <v>77423</v>
      </c>
      <c r="B9" s="32" t="str">
        <f>IF(A9="","",VLOOKUP(A9,'Employee Database'!A:B,2,FALSE))</f>
        <v>Shoaib Akhtar</v>
      </c>
      <c r="C9" s="31">
        <v>12</v>
      </c>
      <c r="D9" s="31">
        <v>195</v>
      </c>
      <c r="E9" s="31"/>
      <c r="F9" s="39">
        <f>IF(COUNT(C9:E9)=0,0,SUMPRODUCT({5000,1000,500},C9:E9))</f>
        <v>255000</v>
      </c>
      <c r="G9" s="31">
        <v>13</v>
      </c>
      <c r="H9" s="31">
        <v>10</v>
      </c>
      <c r="I9" s="31">
        <v>12</v>
      </c>
      <c r="J9" s="39">
        <f>IF(COUNT(G9:I9)=0,0,SUMPRODUCT({5000,1000,500},G9:I9))</f>
        <v>81000</v>
      </c>
      <c r="K9" s="31"/>
      <c r="L9" s="31"/>
      <c r="M9" s="31"/>
      <c r="N9" s="39">
        <f>IF(COUNT(K9:M9)=0,0,SUMPRODUCT({5000,1000,500},K9:M9))</f>
        <v>0</v>
      </c>
      <c r="O9" s="31"/>
      <c r="P9" s="31"/>
      <c r="Q9" s="31"/>
      <c r="R9" s="39">
        <f>IF(COUNT(O9:Q9)=0,0,SUMPRODUCT({5000,1000,500},O9:Q9))</f>
        <v>0</v>
      </c>
      <c r="S9" s="31"/>
      <c r="T9" s="31"/>
      <c r="U9" s="31"/>
      <c r="V9" s="31"/>
      <c r="W9" s="31"/>
      <c r="X9" s="31">
        <v>12</v>
      </c>
      <c r="Y9" s="31"/>
      <c r="Z9" s="31">
        <v>37</v>
      </c>
      <c r="AA9" s="31"/>
      <c r="AB9" s="31"/>
      <c r="AC9" s="31"/>
      <c r="AD9" s="34">
        <f>IF(COUNT(S9:AC9)=0,0,SUMPRODUCT({5000,1000,500,100,75,50,20,10,5,2,1}, S9:AC9))</f>
        <v>970</v>
      </c>
      <c r="AE9" s="33">
        <v>336949</v>
      </c>
      <c r="AF9" s="24">
        <f>IF(AND(COUNT(C9:E9)=0,COUNT(G9:I9)=0,COUNT(K9:M9)=0,COUNT(O9:Q9)=0,COUNT(S9:AC9)=0,AE9=""),"",(IF(COUNT(C9:E9)=0,0,SUMPRODUCT({5000,1000,500},C9:E9))+IF(COUNT(G9:I9)=0,0,SUMPRODUCT({5000,1000,500},G9:I9))+IF(COUNT(K9:M9)=0,0,SUMPRODUCT({5000,1000,500},K9:M9))+IF(COUNT(O9:Q9)=0,0,SUMPRODUCT({5000,1000,500},O9:Q9))+AD9)-N(AE9))</f>
        <v>21</v>
      </c>
      <c r="AG9" s="35" t="str">
        <f t="shared" si="0"/>
        <v>Excess</v>
      </c>
      <c r="AH9" s="38"/>
      <c r="AI9" s="36">
        <v>602001.1</v>
      </c>
      <c r="AJ9" s="37">
        <v>602001.1</v>
      </c>
      <c r="AK9" s="26">
        <f t="shared" si="1"/>
        <v>0</v>
      </c>
      <c r="AL9" s="25" t="str">
        <f t="shared" si="2"/>
        <v>Matched</v>
      </c>
      <c r="AM9" s="38"/>
    </row>
    <row r="10" spans="1:39" ht="12.75" customHeight="1" x14ac:dyDescent="0.25">
      <c r="A10" s="31">
        <v>67249</v>
      </c>
      <c r="B10" s="32" t="str">
        <f>IF(A10="","",VLOOKUP(A10,'Employee Database'!A:B,2,FALSE))</f>
        <v>Hanan Javaid</v>
      </c>
      <c r="C10" s="31">
        <v>20</v>
      </c>
      <c r="D10" s="31">
        <v>59</v>
      </c>
      <c r="E10" s="31">
        <v>2</v>
      </c>
      <c r="F10" s="39">
        <f>IF(COUNT(C10:E10)=0,0,SUMPRODUCT({5000,1000,500},C10:E10))</f>
        <v>160000</v>
      </c>
      <c r="G10" s="31">
        <v>16</v>
      </c>
      <c r="H10" s="31">
        <v>38</v>
      </c>
      <c r="I10" s="31">
        <v>5</v>
      </c>
      <c r="J10" s="39">
        <f>IF(COUNT(G10:I10)=0,0,SUMPRODUCT({5000,1000,500},G10:I10))</f>
        <v>120500</v>
      </c>
      <c r="K10" s="31"/>
      <c r="L10" s="31"/>
      <c r="M10" s="31"/>
      <c r="N10" s="39">
        <f>IF(COUNT(K10:M10)=0,0,SUMPRODUCT({5000,1000,500},K10:M10))</f>
        <v>0</v>
      </c>
      <c r="O10" s="31"/>
      <c r="P10" s="31"/>
      <c r="Q10" s="31"/>
      <c r="R10" s="39">
        <f>IF(COUNT(O10:Q10)=0,0,SUMPRODUCT({5000,1000,500},O10:Q10))</f>
        <v>0</v>
      </c>
      <c r="S10" s="31"/>
      <c r="T10" s="31"/>
      <c r="U10" s="31"/>
      <c r="V10" s="31"/>
      <c r="W10" s="31"/>
      <c r="X10" s="31"/>
      <c r="Y10" s="31"/>
      <c r="Z10" s="31">
        <v>5</v>
      </c>
      <c r="AA10" s="31"/>
      <c r="AB10" s="31"/>
      <c r="AC10" s="31">
        <f>5716+835</f>
        <v>6551</v>
      </c>
      <c r="AD10" s="34">
        <f>IF(COUNT(S10:AC10)=0,0,SUMPRODUCT({5000,1000,500,100,75,50,20,10,5,2,1}, S10:AC10))</f>
        <v>6601</v>
      </c>
      <c r="AE10" s="33">
        <v>287010</v>
      </c>
      <c r="AF10" s="24">
        <f>IF(AND(COUNT(C10:E10)=0,COUNT(G10:I10)=0,COUNT(K10:M10)=0,COUNT(O10:Q10)=0,COUNT(S10:AC10)=0,AE10=""),"",(IF(COUNT(C10:E10)=0,0,SUMPRODUCT({5000,1000,500},C10:E10))+IF(COUNT(G10:I10)=0,0,SUMPRODUCT({5000,1000,500},G10:I10))+IF(COUNT(K10:M10)=0,0,SUMPRODUCT({5000,1000,500},K10:M10))+IF(COUNT(O10:Q10)=0,0,SUMPRODUCT({5000,1000,500},O10:Q10))+AD10)-N(AE10))</f>
        <v>91</v>
      </c>
      <c r="AG10" s="35" t="str">
        <f t="shared" si="0"/>
        <v>Excess</v>
      </c>
      <c r="AH10" s="38"/>
      <c r="AI10" s="36">
        <v>483977.61</v>
      </c>
      <c r="AJ10" s="37">
        <v>483977.61</v>
      </c>
      <c r="AK10" s="26">
        <f t="shared" si="1"/>
        <v>0</v>
      </c>
      <c r="AL10" s="25" t="str">
        <f t="shared" si="2"/>
        <v>Matched</v>
      </c>
      <c r="AM10" s="38"/>
    </row>
    <row r="11" spans="1:39" ht="12.75" customHeight="1" x14ac:dyDescent="0.25">
      <c r="A11" s="31">
        <v>73196</v>
      </c>
      <c r="B11" s="32" t="str">
        <f>IF(A11="","",VLOOKUP(A11,'Employee Database'!A:B,2,FALSE))</f>
        <v>Asma</v>
      </c>
      <c r="C11" s="31"/>
      <c r="D11" s="31"/>
      <c r="E11" s="31"/>
      <c r="F11" s="39">
        <f>IF(COUNT(C11:E11)=0,0,SUMPRODUCT({5000,1000,500},C11:E11))</f>
        <v>0</v>
      </c>
      <c r="G11" s="31">
        <v>17</v>
      </c>
      <c r="H11" s="31">
        <v>223</v>
      </c>
      <c r="I11" s="31">
        <v>4</v>
      </c>
      <c r="J11" s="39">
        <f>IF(COUNT(G11:I11)=0,0,SUMPRODUCT({5000,1000,500},G11:I11))</f>
        <v>310000</v>
      </c>
      <c r="K11" s="31"/>
      <c r="L11" s="31"/>
      <c r="M11" s="31"/>
      <c r="N11" s="39">
        <f>IF(COUNT(K11:M11)=0,0,SUMPRODUCT({5000,1000,500},K11:M11))</f>
        <v>0</v>
      </c>
      <c r="O11" s="31"/>
      <c r="P11" s="31"/>
      <c r="Q11" s="31"/>
      <c r="R11" s="39">
        <f>IF(COUNT(O11:Q11)=0,0,SUMPRODUCT({5000,1000,500},O11:Q11))</f>
        <v>0</v>
      </c>
      <c r="S11" s="31"/>
      <c r="T11" s="31"/>
      <c r="U11" s="31"/>
      <c r="V11" s="31">
        <v>7</v>
      </c>
      <c r="W11" s="31"/>
      <c r="X11" s="31">
        <v>46</v>
      </c>
      <c r="Y11" s="31"/>
      <c r="Z11" s="31">
        <v>27</v>
      </c>
      <c r="AA11" s="31"/>
      <c r="AB11" s="31"/>
      <c r="AC11" s="31"/>
      <c r="AD11" s="34">
        <f>IF(COUNT(S11:AC11)=0,0,SUMPRODUCT({5000,1000,500,100,75,50,20,10,5,2,1}, S11:AC11))</f>
        <v>3270</v>
      </c>
      <c r="AE11" s="33">
        <v>313242</v>
      </c>
      <c r="AF11" s="24">
        <f>IF(AND(COUNT(C11:E11)=0,COUNT(G11:I11)=0,COUNT(K11:M11)=0,COUNT(O11:Q11)=0,COUNT(S11:AC11)=0,AE11=""),"",(IF(COUNT(C11:E11)=0,0,SUMPRODUCT({5000,1000,500},C11:E11))+IF(COUNT(G11:I11)=0,0,SUMPRODUCT({5000,1000,500},G11:I11))+IF(COUNT(K11:M11)=0,0,SUMPRODUCT({5000,1000,500},K11:M11))+IF(COUNT(O11:Q11)=0,0,SUMPRODUCT({5000,1000,500},O11:Q11))+AD11)-N(AE11))</f>
        <v>28</v>
      </c>
      <c r="AG11" s="35" t="str">
        <f t="shared" si="0"/>
        <v>Excess</v>
      </c>
      <c r="AH11" s="38"/>
      <c r="AI11" s="36">
        <v>421154.57</v>
      </c>
      <c r="AJ11" s="37">
        <v>421154.57</v>
      </c>
      <c r="AK11" s="26">
        <f t="shared" si="1"/>
        <v>0</v>
      </c>
      <c r="AL11" s="25" t="str">
        <f t="shared" si="2"/>
        <v>Matched</v>
      </c>
      <c r="AM11" s="38"/>
    </row>
    <row r="12" spans="1:39" ht="12.75" customHeight="1" x14ac:dyDescent="0.25">
      <c r="A12" s="31">
        <v>65299</v>
      </c>
      <c r="B12" s="32" t="str">
        <f>IF(A12="","",VLOOKUP(A12,'Employee Database'!A:B,2,FALSE))</f>
        <v>M Faisal</v>
      </c>
      <c r="C12" s="31"/>
      <c r="D12" s="31"/>
      <c r="E12" s="31"/>
      <c r="F12" s="39">
        <f>IF(COUNT(C12:E12)=0,0,SUMPRODUCT({5000,1000,500},C12:E12))</f>
        <v>0</v>
      </c>
      <c r="G12" s="31">
        <v>24</v>
      </c>
      <c r="H12" s="31">
        <v>99</v>
      </c>
      <c r="I12" s="31">
        <v>8</v>
      </c>
      <c r="J12" s="39">
        <f>IF(COUNT(G12:I12)=0,0,SUMPRODUCT({5000,1000,500},G12:I12))</f>
        <v>223000</v>
      </c>
      <c r="K12" s="31"/>
      <c r="L12" s="31"/>
      <c r="M12" s="31"/>
      <c r="N12" s="39">
        <f>IF(COUNT(K12:M12)=0,0,SUMPRODUCT({5000,1000,500},K12:M12))</f>
        <v>0</v>
      </c>
      <c r="O12" s="31"/>
      <c r="P12" s="31"/>
      <c r="Q12" s="31"/>
      <c r="R12" s="39">
        <f>IF(COUNT(O12:Q12)=0,0,SUMPRODUCT({5000,1000,500},O12:Q12))</f>
        <v>0</v>
      </c>
      <c r="S12" s="31"/>
      <c r="T12" s="31"/>
      <c r="U12" s="31"/>
      <c r="V12" s="31"/>
      <c r="W12" s="31"/>
      <c r="X12" s="31">
        <v>37</v>
      </c>
      <c r="Y12" s="31"/>
      <c r="Z12" s="31">
        <v>64</v>
      </c>
      <c r="AA12" s="31"/>
      <c r="AB12" s="31"/>
      <c r="AC12" s="31"/>
      <c r="AD12" s="34">
        <f>IF(COUNT(S12:AC12)=0,0,SUMPRODUCT({5000,1000,500,100,75,50,20,10,5,2,1}, S12:AC12))</f>
        <v>2490</v>
      </c>
      <c r="AE12" s="33">
        <v>225484</v>
      </c>
      <c r="AF12" s="24">
        <f>IF(AND(COUNT(C12:E12)=0,COUNT(G12:I12)=0,COUNT(K12:M12)=0,COUNT(O12:Q12)=0,COUNT(S12:AC12)=0,AE12=""),"",(IF(COUNT(C12:E12)=0,0,SUMPRODUCT({5000,1000,500},C12:E12))+IF(COUNT(G12:I12)=0,0,SUMPRODUCT({5000,1000,500},G12:I12))+IF(COUNT(K12:M12)=0,0,SUMPRODUCT({5000,1000,500},K12:M12))+IF(COUNT(O12:Q12)=0,0,SUMPRODUCT({5000,1000,500},O12:Q12))+AD12)-N(AE12))</f>
        <v>6</v>
      </c>
      <c r="AG12" s="35" t="str">
        <f t="shared" si="0"/>
        <v>Excess</v>
      </c>
      <c r="AH12" s="38"/>
      <c r="AI12" s="36">
        <f>47962.06+352790.61</f>
        <v>400752.67</v>
      </c>
      <c r="AJ12" s="37">
        <f>352790.61+47962.06</f>
        <v>400752.67</v>
      </c>
      <c r="AK12" s="26">
        <f t="shared" si="1"/>
        <v>0</v>
      </c>
      <c r="AL12" s="25" t="str">
        <f t="shared" si="2"/>
        <v>Matched</v>
      </c>
      <c r="AM12" s="38"/>
    </row>
    <row r="13" spans="1:39" ht="12.75" customHeight="1" x14ac:dyDescent="0.25">
      <c r="A13" s="31">
        <v>58112</v>
      </c>
      <c r="B13" s="32" t="str">
        <f>IF(A13="","",VLOOKUP(A13,'Employee Database'!A:B,2,FALSE))</f>
        <v>Shama</v>
      </c>
      <c r="C13" s="31"/>
      <c r="D13" s="31"/>
      <c r="E13" s="31"/>
      <c r="F13" s="39">
        <f>IF(COUNT(C13:E13)=0,0,SUMPRODUCT({5000,1000,500},C13:E13))</f>
        <v>0</v>
      </c>
      <c r="G13" s="31">
        <v>0</v>
      </c>
      <c r="H13" s="31">
        <v>9</v>
      </c>
      <c r="I13" s="31">
        <v>1</v>
      </c>
      <c r="J13" s="39">
        <f>IF(COUNT(G13:I13)=0,0,SUMPRODUCT({5000,1000,500},G13:I13))</f>
        <v>9500</v>
      </c>
      <c r="K13" s="31"/>
      <c r="L13" s="31"/>
      <c r="M13" s="31"/>
      <c r="N13" s="39">
        <f>IF(COUNT(K13:M13)=0,0,SUMPRODUCT({5000,1000,500},K13:M13))</f>
        <v>0</v>
      </c>
      <c r="O13" s="31"/>
      <c r="P13" s="31"/>
      <c r="Q13" s="31"/>
      <c r="R13" s="39">
        <f>IF(COUNT(O13:Q13)=0,0,SUMPRODUCT({5000,1000,500},O13:Q13))</f>
        <v>0</v>
      </c>
      <c r="S13" s="31"/>
      <c r="T13" s="31"/>
      <c r="U13" s="31"/>
      <c r="V13" s="31">
        <v>4</v>
      </c>
      <c r="W13" s="31"/>
      <c r="X13" s="31">
        <v>9</v>
      </c>
      <c r="Y13" s="31"/>
      <c r="Z13" s="31">
        <v>41</v>
      </c>
      <c r="AA13" s="31"/>
      <c r="AB13" s="31"/>
      <c r="AC13" s="31"/>
      <c r="AD13" s="34">
        <f>IF(COUNT(S13:AC13)=0,0,SUMPRODUCT({5000,1000,500,100,75,50,20,10,5,2,1}, S13:AC13))</f>
        <v>1260</v>
      </c>
      <c r="AE13" s="33">
        <v>10791</v>
      </c>
      <c r="AF13" s="24">
        <f>IF(AND(COUNT(C13:E13)=0,COUNT(G13:I13)=0,COUNT(K13:M13)=0,COUNT(O13:Q13)=0,COUNT(S13:AC13)=0,AE13=""),"",(IF(COUNT(C13:E13)=0,0,SUMPRODUCT({5000,1000,500},C13:E13))+IF(COUNT(G13:I13)=0,0,SUMPRODUCT({5000,1000,500},G13:I13))+IF(COUNT(K13:M13)=0,0,SUMPRODUCT({5000,1000,500},K13:M13))+IF(COUNT(O13:Q13)=0,0,SUMPRODUCT({5000,1000,500},O13:Q13))+AD13)-N(AE13))</f>
        <v>-31</v>
      </c>
      <c r="AG13" s="35" t="str">
        <f t="shared" si="0"/>
        <v>Short</v>
      </c>
      <c r="AH13" s="38"/>
      <c r="AI13" s="36">
        <v>42987</v>
      </c>
      <c r="AJ13" s="37">
        <v>42987</v>
      </c>
      <c r="AK13" s="26">
        <f t="shared" si="1"/>
        <v>0</v>
      </c>
      <c r="AL13" s="25" t="str">
        <f t="shared" si="2"/>
        <v>Matched</v>
      </c>
      <c r="AM13" s="38"/>
    </row>
    <row r="14" spans="1:39" ht="12.75" customHeight="1" x14ac:dyDescent="0.25">
      <c r="A14" s="31">
        <v>56189</v>
      </c>
      <c r="B14" s="32" t="str">
        <f>IF(A14="","",VLOOKUP(A14,'Employee Database'!A:B,2,FALSE))</f>
        <v>Iffat Sultan</v>
      </c>
      <c r="C14" s="31"/>
      <c r="D14" s="31"/>
      <c r="E14" s="31"/>
      <c r="F14" s="39">
        <f>IF(COUNT(C14:E14)=0,0,SUMPRODUCT({5000,1000,500},C14:E14))</f>
        <v>0</v>
      </c>
      <c r="G14" s="31">
        <v>20</v>
      </c>
      <c r="H14" s="31">
        <v>42</v>
      </c>
      <c r="I14" s="31">
        <v>2</v>
      </c>
      <c r="J14" s="39">
        <f>IF(COUNT(G14:I14)=0,0,SUMPRODUCT({5000,1000,500},G14:I14))</f>
        <v>143000</v>
      </c>
      <c r="K14" s="31"/>
      <c r="L14" s="31"/>
      <c r="M14" s="31"/>
      <c r="N14" s="39">
        <f>IF(COUNT(K14:M14)=0,0,SUMPRODUCT({5000,1000,500},K14:M14))</f>
        <v>0</v>
      </c>
      <c r="O14" s="31"/>
      <c r="P14" s="31"/>
      <c r="Q14" s="31"/>
      <c r="R14" s="39">
        <f>IF(COUNT(O14:Q14)=0,0,SUMPRODUCT({5000,1000,500},O14:Q14))</f>
        <v>0</v>
      </c>
      <c r="S14" s="31"/>
      <c r="T14" s="31"/>
      <c r="U14" s="31"/>
      <c r="V14" s="31"/>
      <c r="W14" s="31"/>
      <c r="X14" s="31">
        <v>18</v>
      </c>
      <c r="Y14" s="31"/>
      <c r="Z14" s="31">
        <v>7</v>
      </c>
      <c r="AA14" s="31"/>
      <c r="AB14" s="31"/>
      <c r="AC14" s="31"/>
      <c r="AD14" s="34">
        <f>IF(COUNT(S14:AC14)=0,0,SUMPRODUCT({5000,1000,500,100,75,50,20,10,5,2,1}, S14:AC14))</f>
        <v>970</v>
      </c>
      <c r="AE14" s="33">
        <v>144446</v>
      </c>
      <c r="AF14" s="24">
        <f>IF(AND(COUNT(C14:E14)=0,COUNT(G14:I14)=0,COUNT(K14:M14)=0,COUNT(O14:Q14)=0,COUNT(S14:AC14)=0,AE14=""),"",(IF(COUNT(C14:E14)=0,0,SUMPRODUCT({5000,1000,500},C14:E14))+IF(COUNT(G14:I14)=0,0,SUMPRODUCT({5000,1000,500},G14:I14))+IF(COUNT(K14:M14)=0,0,SUMPRODUCT({5000,1000,500},K14:M14))+IF(COUNT(O14:Q14)=0,0,SUMPRODUCT({5000,1000,500},O14:Q14))+AD14)-N(AE14))</f>
        <v>-476</v>
      </c>
      <c r="AG14" s="35" t="str">
        <f t="shared" si="0"/>
        <v>Short</v>
      </c>
      <c r="AH14" s="38"/>
      <c r="AI14" s="36">
        <v>422548.62</v>
      </c>
      <c r="AJ14" s="37">
        <v>422548.62</v>
      </c>
      <c r="AK14" s="26">
        <f t="shared" si="1"/>
        <v>0</v>
      </c>
      <c r="AL14" s="25" t="str">
        <f t="shared" si="2"/>
        <v>Matched</v>
      </c>
      <c r="AM14" s="38"/>
    </row>
    <row r="15" spans="1:39" ht="12.75" customHeight="1" x14ac:dyDescent="0.25">
      <c r="A15" s="31">
        <v>57653</v>
      </c>
      <c r="B15" s="32" t="str">
        <f>IF(A15="","",VLOOKUP(A15,'Employee Database'!A:B,2,FALSE))</f>
        <v>Amanat ali</v>
      </c>
      <c r="C15" s="31"/>
      <c r="D15" s="31"/>
      <c r="E15" s="31"/>
      <c r="F15" s="39">
        <f>IF(COUNT(C15:E15)=0,0,SUMPRODUCT({5000,1000,500},C15:E15))</f>
        <v>0</v>
      </c>
      <c r="G15" s="31">
        <v>8</v>
      </c>
      <c r="H15" s="31">
        <v>43</v>
      </c>
      <c r="I15" s="31">
        <v>7</v>
      </c>
      <c r="J15" s="39">
        <f>IF(COUNT(G15:I15)=0,0,SUMPRODUCT({5000,1000,500},G15:I15))</f>
        <v>86500</v>
      </c>
      <c r="K15" s="31"/>
      <c r="L15" s="31"/>
      <c r="M15" s="31"/>
      <c r="N15" s="39">
        <f>IF(COUNT(K15:M15)=0,0,SUMPRODUCT({5000,1000,500},K15:M15))</f>
        <v>0</v>
      </c>
      <c r="O15" s="31"/>
      <c r="P15" s="31"/>
      <c r="Q15" s="31"/>
      <c r="R15" s="39">
        <f>IF(COUNT(O15:Q15)=0,0,SUMPRODUCT({5000,1000,500},O15:Q15))</f>
        <v>0</v>
      </c>
      <c r="S15" s="31"/>
      <c r="T15" s="31"/>
      <c r="U15" s="31"/>
      <c r="V15" s="31"/>
      <c r="W15" s="31"/>
      <c r="X15" s="31">
        <v>21</v>
      </c>
      <c r="Y15" s="31"/>
      <c r="Z15" s="31">
        <v>73</v>
      </c>
      <c r="AA15" s="31"/>
      <c r="AB15" s="31"/>
      <c r="AC15" s="31"/>
      <c r="AD15" s="34">
        <f>IF(COUNT(S15:AC15)=0,0,SUMPRODUCT({5000,1000,500,100,75,50,20,10,5,2,1}, S15:AC15))</f>
        <v>1780</v>
      </c>
      <c r="AE15" s="33">
        <v>88256</v>
      </c>
      <c r="AF15" s="24">
        <f>IF(AND(COUNT(C15:E15)=0,COUNT(G15:I15)=0,COUNT(K15:M15)=0,COUNT(O15:Q15)=0,COUNT(S15:AC15)=0,AE15=""),"",(IF(COUNT(C15:E15)=0,0,SUMPRODUCT({5000,1000,500},C15:E15))+IF(COUNT(G15:I15)=0,0,SUMPRODUCT({5000,1000,500},G15:I15))+IF(COUNT(K15:M15)=0,0,SUMPRODUCT({5000,1000,500},K15:M15))+IF(COUNT(O15:Q15)=0,0,SUMPRODUCT({5000,1000,500},O15:Q15))+AD15)-N(AE15))</f>
        <v>24</v>
      </c>
      <c r="AG15" s="35" t="str">
        <f t="shared" si="0"/>
        <v>Excess</v>
      </c>
      <c r="AH15" s="38"/>
      <c r="AI15" s="36">
        <v>62364.3</v>
      </c>
      <c r="AJ15" s="37">
        <v>62364.3</v>
      </c>
      <c r="AK15" s="26">
        <f t="shared" si="1"/>
        <v>0</v>
      </c>
      <c r="AL15" s="25" t="str">
        <f t="shared" si="2"/>
        <v>Matched</v>
      </c>
      <c r="AM15" s="38"/>
    </row>
    <row r="16" spans="1:39" ht="12.75" customHeight="1" x14ac:dyDescent="0.25">
      <c r="A16" s="31"/>
      <c r="B16" s="32" t="str">
        <f>IF(A16="","",VLOOKUP(A16,'Employee Database'!A:B,2,FALSE))</f>
        <v/>
      </c>
      <c r="C16" s="31"/>
      <c r="D16" s="31"/>
      <c r="E16" s="31"/>
      <c r="F16" s="39">
        <f>IF(COUNT(C16:E16)=0,0,SUMPRODUCT({5000,1000,500},C16:E16))</f>
        <v>0</v>
      </c>
      <c r="G16" s="31"/>
      <c r="H16" s="31"/>
      <c r="I16" s="31"/>
      <c r="J16" s="39">
        <f>IF(COUNT(G16:I16)=0,0,SUMPRODUCT({5000,1000,500},G16:I16))</f>
        <v>0</v>
      </c>
      <c r="K16" s="31"/>
      <c r="L16" s="31"/>
      <c r="M16" s="31"/>
      <c r="N16" s="39">
        <f>IF(COUNT(K16:M16)=0,0,SUMPRODUCT({5000,1000,500},K16:M16))</f>
        <v>0</v>
      </c>
      <c r="O16" s="31"/>
      <c r="P16" s="31"/>
      <c r="Q16" s="31"/>
      <c r="R16" s="39">
        <f>IF(COUNT(O16:Q16)=0,0,SUMPRODUCT({5000,1000,500},O16:Q16))</f>
        <v>0</v>
      </c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4">
        <f>IF(COUNT(S16:AC16)=0,0,SUMPRODUCT({5000,1000,500,100,75,50,20,10,5,2,1}, S16:AC16))</f>
        <v>0</v>
      </c>
      <c r="AE16" s="33"/>
      <c r="AF16" s="24" t="str">
        <f>IF(AND(COUNT(C16:E16)=0,COUNT(G16:I16)=0,COUNT(K16:M16)=0,COUNT(O16:Q16)=0,COUNT(S16:AC16)=0,AE16=""),"",(IF(COUNT(C16:E16)=0,0,SUMPRODUCT({5000,1000,500},C16:E16))+IF(COUNT(G16:I16)=0,0,SUMPRODUCT({5000,1000,500},G16:I16))+IF(COUNT(K16:M16)=0,0,SUMPRODUCT({5000,1000,500},K16:M16))+IF(COUNT(O16:Q16)=0,0,SUMPRODUCT({5000,1000,500},O16:Q16))+AD16)-N(AE16))</f>
        <v/>
      </c>
      <c r="AG16" s="35" t="str">
        <f t="shared" si="0"/>
        <v/>
      </c>
      <c r="AH16" s="38"/>
      <c r="AI16" s="36"/>
      <c r="AJ16" s="37"/>
      <c r="AK16" s="26" t="str">
        <f t="shared" si="1"/>
        <v/>
      </c>
      <c r="AL16" s="25" t="str">
        <f t="shared" si="2"/>
        <v/>
      </c>
      <c r="AM16" s="38"/>
    </row>
    <row r="17" spans="1:39" ht="12.75" customHeight="1" x14ac:dyDescent="0.25">
      <c r="A17" s="31"/>
      <c r="B17" s="32" t="str">
        <f>IF(A17="","",VLOOKUP(A17,'Employee Database'!A:B,2,FALSE))</f>
        <v/>
      </c>
      <c r="C17" s="31"/>
      <c r="D17" s="31"/>
      <c r="E17" s="31"/>
      <c r="F17" s="39">
        <f>IF(COUNT(C17:E17)=0,0,SUMPRODUCT({5000,1000,500},C17:E17))</f>
        <v>0</v>
      </c>
      <c r="G17" s="31"/>
      <c r="H17" s="31"/>
      <c r="I17" s="31"/>
      <c r="J17" s="39">
        <f>IF(COUNT(G17:I17)=0,0,SUMPRODUCT({5000,1000,500},G17:I17))</f>
        <v>0</v>
      </c>
      <c r="K17" s="31"/>
      <c r="L17" s="31"/>
      <c r="M17" s="31"/>
      <c r="N17" s="39">
        <f>IF(COUNT(K17:M17)=0,0,SUMPRODUCT({5000,1000,500},K17:M17))</f>
        <v>0</v>
      </c>
      <c r="O17" s="31"/>
      <c r="P17" s="31"/>
      <c r="Q17" s="31"/>
      <c r="R17" s="39">
        <f>IF(COUNT(O17:Q17)=0,0,SUMPRODUCT({5000,1000,500},O17:Q17))</f>
        <v>0</v>
      </c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4">
        <f>IF(COUNT(S17:AC17)=0,0,SUMPRODUCT({5000,1000,500,100,75,50,20,10,5,2,1}, S17:AC17))</f>
        <v>0</v>
      </c>
      <c r="AE17" s="33"/>
      <c r="AF17" s="24" t="str">
        <f>IF(AND(COUNT(C17:E17)=0,COUNT(G17:I17)=0,COUNT(K17:M17)=0,COUNT(O17:Q17)=0,COUNT(S17:AC17)=0,AE17=""),"",(IF(COUNT(C17:E17)=0,0,SUMPRODUCT({5000,1000,500},C17:E17))+IF(COUNT(G17:I17)=0,0,SUMPRODUCT({5000,1000,500},G17:I17))+IF(COUNT(K17:M17)=0,0,SUMPRODUCT({5000,1000,500},K17:M17))+IF(COUNT(O17:Q17)=0,0,SUMPRODUCT({5000,1000,500},O17:Q17))+AD17)-N(AE17))</f>
        <v/>
      </c>
      <c r="AG17" s="35" t="str">
        <f t="shared" si="0"/>
        <v/>
      </c>
      <c r="AH17" s="38"/>
      <c r="AI17" s="36"/>
      <c r="AJ17" s="37"/>
      <c r="AK17" s="26" t="str">
        <f t="shared" si="1"/>
        <v/>
      </c>
      <c r="AL17" s="25" t="str">
        <f t="shared" si="2"/>
        <v/>
      </c>
      <c r="AM17" s="38"/>
    </row>
    <row r="18" spans="1:39" ht="12.75" customHeight="1" x14ac:dyDescent="0.25">
      <c r="A18" s="31"/>
      <c r="B18" s="32" t="str">
        <f>IF(A18="","",VLOOKUP(A18,'Employee Database'!A:B,2,FALSE))</f>
        <v/>
      </c>
      <c r="C18" s="31"/>
      <c r="D18" s="31"/>
      <c r="E18" s="31"/>
      <c r="F18" s="39">
        <f>IF(COUNT(C18:E18)=0,0,SUMPRODUCT({5000,1000,500},C18:E18))</f>
        <v>0</v>
      </c>
      <c r="G18" s="31"/>
      <c r="H18" s="31"/>
      <c r="I18" s="31"/>
      <c r="J18" s="39">
        <f>IF(COUNT(G18:I18)=0,0,SUMPRODUCT({5000,1000,500},G18:I18))</f>
        <v>0</v>
      </c>
      <c r="K18" s="31"/>
      <c r="L18" s="31"/>
      <c r="M18" s="31"/>
      <c r="N18" s="39">
        <f>IF(COUNT(K18:M18)=0,0,SUMPRODUCT({5000,1000,500},K18:M18))</f>
        <v>0</v>
      </c>
      <c r="O18" s="31"/>
      <c r="P18" s="31"/>
      <c r="Q18" s="31"/>
      <c r="R18" s="39">
        <f>IF(COUNT(O18:Q18)=0,0,SUMPRODUCT({5000,1000,500},O18:Q18))</f>
        <v>0</v>
      </c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4">
        <f>IF(COUNT(S18:AC18)=0,0,SUMPRODUCT({5000,1000,500,100,75,50,20,10,5,2,1}, S18:AC18))</f>
        <v>0</v>
      </c>
      <c r="AE18" s="33"/>
      <c r="AF18" s="24" t="str">
        <f>IF(AND(COUNT(C18:E18)=0,COUNT(G18:I18)=0,COUNT(K18:M18)=0,COUNT(O18:Q18)=0,COUNT(S18:AC18)=0,AE18=""),"",(IF(COUNT(C18:E18)=0,0,SUMPRODUCT({5000,1000,500},C18:E18))+IF(COUNT(G18:I18)=0,0,SUMPRODUCT({5000,1000,500},G18:I18))+IF(COUNT(K18:M18)=0,0,SUMPRODUCT({5000,1000,500},K18:M18))+IF(COUNT(O18:Q18)=0,0,SUMPRODUCT({5000,1000,500},O18:Q18))+AD18)-N(AE18))</f>
        <v/>
      </c>
      <c r="AG18" s="35" t="str">
        <f t="shared" si="0"/>
        <v/>
      </c>
      <c r="AH18" s="38"/>
      <c r="AI18" s="36"/>
      <c r="AJ18" s="37"/>
      <c r="AK18" s="26" t="str">
        <f t="shared" si="1"/>
        <v/>
      </c>
      <c r="AL18" s="25" t="str">
        <f t="shared" si="2"/>
        <v/>
      </c>
      <c r="AM18" s="38"/>
    </row>
    <row r="19" spans="1:39" ht="12.75" customHeight="1" x14ac:dyDescent="0.25">
      <c r="A19" s="31"/>
      <c r="B19" s="32" t="str">
        <f>IF(A19="","",VLOOKUP(A19,'Employee Database'!A:B,2,FALSE))</f>
        <v/>
      </c>
      <c r="C19" s="31"/>
      <c r="D19" s="31"/>
      <c r="E19" s="31"/>
      <c r="F19" s="39">
        <f>IF(COUNT(C19:E19)=0,0,SUMPRODUCT({5000,1000,500},C19:E19))</f>
        <v>0</v>
      </c>
      <c r="G19" s="31"/>
      <c r="H19" s="31"/>
      <c r="I19" s="31"/>
      <c r="J19" s="39">
        <f>IF(COUNT(G19:I19)=0,0,SUMPRODUCT({5000,1000,500},G19:I19))</f>
        <v>0</v>
      </c>
      <c r="K19" s="31"/>
      <c r="L19" s="31"/>
      <c r="M19" s="31"/>
      <c r="N19" s="39">
        <f>IF(COUNT(K19:M19)=0,0,SUMPRODUCT({5000,1000,500},K19:M19))</f>
        <v>0</v>
      </c>
      <c r="O19" s="31"/>
      <c r="P19" s="31"/>
      <c r="Q19" s="31"/>
      <c r="R19" s="39">
        <f>IF(COUNT(O19:Q19)=0,0,SUMPRODUCT({5000,1000,500},O19:Q19))</f>
        <v>0</v>
      </c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4">
        <f>IF(COUNT(S19:AC19)=0,0,SUMPRODUCT({5000,1000,500,100,75,50,20,10,5,2,1}, S19:AC19))</f>
        <v>0</v>
      </c>
      <c r="AE19" s="33"/>
      <c r="AF19" s="24" t="str">
        <f>IF(AND(COUNT(C19:E19)=0,COUNT(G19:I19)=0,COUNT(K19:M19)=0,COUNT(O19:Q19)=0,COUNT(S19:AC19)=0,AE19=""),"",(IF(COUNT(C19:E19)=0,0,SUMPRODUCT({5000,1000,500},C19:E19))+IF(COUNT(G19:I19)=0,0,SUMPRODUCT({5000,1000,500},G19:I19))+IF(COUNT(K19:M19)=0,0,SUMPRODUCT({5000,1000,500},K19:M19))+IF(COUNT(O19:Q19)=0,0,SUMPRODUCT({5000,1000,500},O19:Q19))+AD19)-N(AE19))</f>
        <v/>
      </c>
      <c r="AG19" s="35" t="str">
        <f t="shared" si="0"/>
        <v/>
      </c>
      <c r="AH19" s="38"/>
      <c r="AI19" s="36"/>
      <c r="AJ19" s="37"/>
      <c r="AK19" s="26" t="str">
        <f t="shared" si="1"/>
        <v/>
      </c>
      <c r="AL19" s="25" t="str">
        <f t="shared" si="2"/>
        <v/>
      </c>
      <c r="AM19" s="38"/>
    </row>
    <row r="20" spans="1:39" ht="12.75" customHeight="1" x14ac:dyDescent="0.25">
      <c r="A20" s="31"/>
      <c r="B20" s="32" t="str">
        <f>IF(A20="","",VLOOKUP(A20,'Employee Database'!A:B,2,FALSE))</f>
        <v/>
      </c>
      <c r="C20" s="31"/>
      <c r="D20" s="31"/>
      <c r="E20" s="31"/>
      <c r="F20" s="39">
        <f>IF(COUNT(C20:E20)=0,0,SUMPRODUCT({5000,1000,500},C20:E20))</f>
        <v>0</v>
      </c>
      <c r="G20" s="31"/>
      <c r="H20" s="31"/>
      <c r="I20" s="31"/>
      <c r="J20" s="39">
        <f>IF(COUNT(G20:I20)=0,0,SUMPRODUCT({5000,1000,500},G20:I20))</f>
        <v>0</v>
      </c>
      <c r="K20" s="31"/>
      <c r="L20" s="31"/>
      <c r="M20" s="31"/>
      <c r="N20" s="39">
        <f>IF(COUNT(K20:M20)=0,0,SUMPRODUCT({5000,1000,500},K20:M20))</f>
        <v>0</v>
      </c>
      <c r="O20" s="31"/>
      <c r="P20" s="31"/>
      <c r="Q20" s="31"/>
      <c r="R20" s="39">
        <f>IF(COUNT(O20:Q20)=0,0,SUMPRODUCT({5000,1000,500},O20:Q20))</f>
        <v>0</v>
      </c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4">
        <f>IF(COUNT(S20:AC20)=0,0,SUMPRODUCT({5000,1000,500,100,75,50,20,10,5,2,1}, S20:AC20))</f>
        <v>0</v>
      </c>
      <c r="AE20" s="33"/>
      <c r="AF20" s="24" t="str">
        <f>IF(AND(COUNT(C20:E20)=0,COUNT(G20:I20)=0,COUNT(K20:M20)=0,COUNT(O20:Q20)=0,COUNT(S20:AC20)=0,AE20=""),"",(IF(COUNT(C20:E20)=0,0,SUMPRODUCT({5000,1000,500},C20:E20))+IF(COUNT(G20:I20)=0,0,SUMPRODUCT({5000,1000,500},G20:I20))+IF(COUNT(K20:M20)=0,0,SUMPRODUCT({5000,1000,500},K20:M20))+IF(COUNT(O20:Q20)=0,0,SUMPRODUCT({5000,1000,500},O20:Q20))+AD20)-N(AE20))</f>
        <v/>
      </c>
      <c r="AG20" s="35" t="str">
        <f t="shared" si="0"/>
        <v/>
      </c>
      <c r="AH20" s="38"/>
      <c r="AI20" s="36"/>
      <c r="AJ20" s="37"/>
      <c r="AK20" s="26" t="str">
        <f t="shared" si="1"/>
        <v/>
      </c>
      <c r="AL20" s="25" t="str">
        <f t="shared" si="2"/>
        <v/>
      </c>
      <c r="AM20" s="38"/>
    </row>
    <row r="21" spans="1:39" ht="12.75" customHeight="1" x14ac:dyDescent="0.25">
      <c r="A21" s="31"/>
      <c r="B21" s="32" t="str">
        <f>IF(A21="","",VLOOKUP(A21,'Employee Database'!A:B,2,FALSE))</f>
        <v/>
      </c>
      <c r="C21" s="31"/>
      <c r="D21" s="31"/>
      <c r="E21" s="31"/>
      <c r="F21" s="39">
        <f>IF(COUNT(C21:E21)=0,0,SUMPRODUCT({5000,1000,500},C21:E21))</f>
        <v>0</v>
      </c>
      <c r="G21" s="31"/>
      <c r="H21" s="31"/>
      <c r="I21" s="31"/>
      <c r="J21" s="39">
        <f>IF(COUNT(G21:I21)=0,0,SUMPRODUCT({5000,1000,500},G21:I21))</f>
        <v>0</v>
      </c>
      <c r="K21" s="31"/>
      <c r="L21" s="31"/>
      <c r="M21" s="31"/>
      <c r="N21" s="39">
        <f>IF(COUNT(K21:M21)=0,0,SUMPRODUCT({5000,1000,500},K21:M21))</f>
        <v>0</v>
      </c>
      <c r="O21" s="31"/>
      <c r="P21" s="31"/>
      <c r="Q21" s="31"/>
      <c r="R21" s="39">
        <f>IF(COUNT(O21:Q21)=0,0,SUMPRODUCT({5000,1000,500},O21:Q21))</f>
        <v>0</v>
      </c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4">
        <f>IF(COUNT(S21:AC21)=0,0,SUMPRODUCT({5000,1000,500,100,75,50,20,10,5,2,1}, S21:AC21))</f>
        <v>0</v>
      </c>
      <c r="AE21" s="33"/>
      <c r="AF21" s="24" t="str">
        <f>IF(AND(COUNT(C21:E21)=0,COUNT(G21:I21)=0,COUNT(K21:M21)=0,COUNT(O21:Q21)=0,COUNT(S21:AC21)=0,AE21=""),"",(IF(COUNT(C21:E21)=0,0,SUMPRODUCT({5000,1000,500},C21:E21))+IF(COUNT(G21:I21)=0,0,SUMPRODUCT({5000,1000,500},G21:I21))+IF(COUNT(K21:M21)=0,0,SUMPRODUCT({5000,1000,500},K21:M21))+IF(COUNT(O21:Q21)=0,0,SUMPRODUCT({5000,1000,500},O21:Q21))+AD21)-N(AE21))</f>
        <v/>
      </c>
      <c r="AG21" s="35" t="str">
        <f t="shared" si="0"/>
        <v/>
      </c>
      <c r="AH21" s="38"/>
      <c r="AI21" s="36"/>
      <c r="AJ21" s="37"/>
      <c r="AK21" s="26" t="str">
        <f t="shared" si="1"/>
        <v/>
      </c>
      <c r="AL21" s="25" t="str">
        <f t="shared" si="2"/>
        <v/>
      </c>
      <c r="AM21" s="38"/>
    </row>
    <row r="22" spans="1:39" ht="12.75" customHeight="1" x14ac:dyDescent="0.25">
      <c r="A22" s="31"/>
      <c r="B22" s="32" t="str">
        <f>IF(A22="","",VLOOKUP(A22,'Employee Database'!A:B,2,FALSE))</f>
        <v/>
      </c>
      <c r="C22" s="31"/>
      <c r="D22" s="31"/>
      <c r="E22" s="31"/>
      <c r="F22" s="39">
        <f>IF(COUNT(C22:E22)=0,0,SUMPRODUCT({5000,1000,500},C22:E22))</f>
        <v>0</v>
      </c>
      <c r="G22" s="31"/>
      <c r="H22" s="31"/>
      <c r="I22" s="31"/>
      <c r="J22" s="39">
        <f>IF(COUNT(G22:I22)=0,0,SUMPRODUCT({5000,1000,500},G22:I22))</f>
        <v>0</v>
      </c>
      <c r="K22" s="31"/>
      <c r="L22" s="31"/>
      <c r="M22" s="31"/>
      <c r="N22" s="39">
        <f>IF(COUNT(K22:M22)=0,0,SUMPRODUCT({5000,1000,500},K22:M22))</f>
        <v>0</v>
      </c>
      <c r="O22" s="31"/>
      <c r="P22" s="31"/>
      <c r="Q22" s="31"/>
      <c r="R22" s="39">
        <f>IF(COUNT(O22:Q22)=0,0,SUMPRODUCT({5000,1000,500},O22:Q22))</f>
        <v>0</v>
      </c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4">
        <f>IF(COUNT(S22:AC22)=0,0,SUMPRODUCT({5000,1000,500,100,75,50,20,10,5,2,1}, S22:AC22))</f>
        <v>0</v>
      </c>
      <c r="AE22" s="33"/>
      <c r="AF22" s="24" t="str">
        <f>IF(AND(COUNT(C22:E22)=0,COUNT(G22:I22)=0,COUNT(K22:M22)=0,COUNT(O22:Q22)=0,COUNT(S22:AC22)=0,AE22=""),"",(IF(COUNT(C22:E22)=0,0,SUMPRODUCT({5000,1000,500},C22:E22))+IF(COUNT(G22:I22)=0,0,SUMPRODUCT({5000,1000,500},G22:I22))+IF(COUNT(K22:M22)=0,0,SUMPRODUCT({5000,1000,500},K22:M22))+IF(COUNT(O22:Q22)=0,0,SUMPRODUCT({5000,1000,500},O22:Q22))+AD22)-N(AE22))</f>
        <v/>
      </c>
      <c r="AG22" s="35" t="str">
        <f t="shared" si="0"/>
        <v/>
      </c>
      <c r="AH22" s="38"/>
      <c r="AI22" s="36"/>
      <c r="AJ22" s="37"/>
      <c r="AK22" s="26" t="str">
        <f t="shared" si="1"/>
        <v/>
      </c>
      <c r="AL22" s="25" t="str">
        <f t="shared" si="2"/>
        <v/>
      </c>
      <c r="AM22" s="38"/>
    </row>
    <row r="23" spans="1:39" ht="12.75" customHeight="1" x14ac:dyDescent="0.25">
      <c r="A23" s="31"/>
      <c r="B23" s="32" t="str">
        <f>IF(A23="","",VLOOKUP(A23,'Employee Database'!A:B,2,FALSE))</f>
        <v/>
      </c>
      <c r="C23" s="31"/>
      <c r="D23" s="31"/>
      <c r="E23" s="31"/>
      <c r="F23" s="39">
        <f>IF(COUNT(C23:E23)=0,0,SUMPRODUCT({5000,1000,500},C23:E23))</f>
        <v>0</v>
      </c>
      <c r="G23" s="31"/>
      <c r="H23" s="31"/>
      <c r="I23" s="31"/>
      <c r="J23" s="39">
        <f>IF(COUNT(G23:I23)=0,0,SUMPRODUCT({5000,1000,500},G23:I23))</f>
        <v>0</v>
      </c>
      <c r="K23" s="31"/>
      <c r="L23" s="31"/>
      <c r="M23" s="31"/>
      <c r="N23" s="39">
        <f>IF(COUNT(K23:M23)=0,0,SUMPRODUCT({5000,1000,500},K23:M23))</f>
        <v>0</v>
      </c>
      <c r="O23" s="31"/>
      <c r="P23" s="31"/>
      <c r="Q23" s="31"/>
      <c r="R23" s="39">
        <f>IF(COUNT(O23:Q23)=0,0,SUMPRODUCT({5000,1000,500},O23:Q23))</f>
        <v>0</v>
      </c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4">
        <f>IF(COUNT(S23:AC23)=0,0,SUMPRODUCT({5000,1000,500,100,75,50,20,10,5,2,1}, S23:AC23))</f>
        <v>0</v>
      </c>
      <c r="AE23" s="33"/>
      <c r="AF23" s="24" t="str">
        <f>IF(AND(COUNT(C23:E23)=0,COUNT(G23:I23)=0,COUNT(K23:M23)=0,COUNT(O23:Q23)=0,COUNT(S23:AC23)=0,AE23=""),"",(IF(COUNT(C23:E23)=0,0,SUMPRODUCT({5000,1000,500},C23:E23))+IF(COUNT(G23:I23)=0,0,SUMPRODUCT({5000,1000,500},G23:I23))+IF(COUNT(K23:M23)=0,0,SUMPRODUCT({5000,1000,500},K23:M23))+IF(COUNT(O23:Q23)=0,0,SUMPRODUCT({5000,1000,500},O23:Q23))+AD23)-N(AE23))</f>
        <v/>
      </c>
      <c r="AG23" s="35" t="str">
        <f t="shared" si="0"/>
        <v/>
      </c>
      <c r="AH23" s="38"/>
      <c r="AI23" s="36"/>
      <c r="AJ23" s="37"/>
      <c r="AK23" s="26" t="str">
        <f t="shared" si="1"/>
        <v/>
      </c>
      <c r="AL23" s="25" t="str">
        <f t="shared" si="2"/>
        <v/>
      </c>
      <c r="AM23" s="38"/>
    </row>
    <row r="24" spans="1:39" ht="12.75" customHeight="1" x14ac:dyDescent="0.25">
      <c r="A24" s="31"/>
      <c r="B24" s="32" t="str">
        <f>IF(A24="","",VLOOKUP(A24,'Employee Database'!A:B,2,FALSE))</f>
        <v/>
      </c>
      <c r="C24" s="31"/>
      <c r="D24" s="31"/>
      <c r="E24" s="31"/>
      <c r="F24" s="39">
        <f>IF(COUNT(C24:E24)=0,0,SUMPRODUCT({5000,1000,500},C24:E24))</f>
        <v>0</v>
      </c>
      <c r="G24" s="31"/>
      <c r="H24" s="31"/>
      <c r="I24" s="31"/>
      <c r="J24" s="39">
        <f>IF(COUNT(G24:I24)=0,0,SUMPRODUCT({5000,1000,500},G24:I24))</f>
        <v>0</v>
      </c>
      <c r="K24" s="31"/>
      <c r="L24" s="31"/>
      <c r="M24" s="31"/>
      <c r="N24" s="39">
        <f>IF(COUNT(K24:M24)=0,0,SUMPRODUCT({5000,1000,500},K24:M24))</f>
        <v>0</v>
      </c>
      <c r="O24" s="31"/>
      <c r="P24" s="31"/>
      <c r="Q24" s="31"/>
      <c r="R24" s="39">
        <f>IF(COUNT(O24:Q24)=0,0,SUMPRODUCT({5000,1000,500},O24:Q24))</f>
        <v>0</v>
      </c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4">
        <f>IF(COUNT(S24:AC24)=0,0,SUMPRODUCT({5000,1000,500,100,75,50,20,10,5,2,1}, S24:AC24))</f>
        <v>0</v>
      </c>
      <c r="AE24" s="33"/>
      <c r="AF24" s="24" t="str">
        <f>IF(AND(COUNT(C24:E24)=0,COUNT(G24:I24)=0,COUNT(K24:M24)=0,COUNT(O24:Q24)=0,COUNT(S24:AC24)=0,AE24=""),"",(IF(COUNT(C24:E24)=0,0,SUMPRODUCT({5000,1000,500},C24:E24))+IF(COUNT(G24:I24)=0,0,SUMPRODUCT({5000,1000,500},G24:I24))+IF(COUNT(K24:M24)=0,0,SUMPRODUCT({5000,1000,500},K24:M24))+IF(COUNT(O24:Q24)=0,0,SUMPRODUCT({5000,1000,500},O24:Q24))+AD24)-N(AE24))</f>
        <v/>
      </c>
      <c r="AG24" s="35" t="str">
        <f t="shared" si="0"/>
        <v/>
      </c>
      <c r="AH24" s="38"/>
      <c r="AI24" s="36"/>
      <c r="AJ24" s="37"/>
      <c r="AK24" s="26" t="str">
        <f t="shared" si="1"/>
        <v/>
      </c>
      <c r="AL24" s="25" t="str">
        <f t="shared" si="2"/>
        <v/>
      </c>
      <c r="AM24" s="38"/>
    </row>
    <row r="25" spans="1:39" ht="12.75" customHeight="1" x14ac:dyDescent="0.25">
      <c r="A25" s="31"/>
      <c r="B25" s="32" t="str">
        <f>IF(A25="","",VLOOKUP(A25,'Employee Database'!A:B,2,FALSE))</f>
        <v/>
      </c>
      <c r="C25" s="31"/>
      <c r="D25" s="31"/>
      <c r="E25" s="31"/>
      <c r="F25" s="39">
        <f>IF(COUNT(C25:E25)=0,0,SUMPRODUCT({5000,1000,500},C25:E25))</f>
        <v>0</v>
      </c>
      <c r="G25" s="31"/>
      <c r="H25" s="31"/>
      <c r="I25" s="31"/>
      <c r="J25" s="39">
        <f>IF(COUNT(G25:I25)=0,0,SUMPRODUCT({5000,1000,500},G25:I25))</f>
        <v>0</v>
      </c>
      <c r="K25" s="31"/>
      <c r="L25" s="31"/>
      <c r="M25" s="31"/>
      <c r="N25" s="39">
        <f>IF(COUNT(K25:M25)=0,0,SUMPRODUCT({5000,1000,500},K25:M25))</f>
        <v>0</v>
      </c>
      <c r="O25" s="31"/>
      <c r="P25" s="31"/>
      <c r="Q25" s="31"/>
      <c r="R25" s="39">
        <f>IF(COUNT(O25:Q25)=0,0,SUMPRODUCT({5000,1000,500},O25:Q25))</f>
        <v>0</v>
      </c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4">
        <f>IF(COUNT(S25:AC25)=0,0,SUMPRODUCT({5000,1000,500,100,75,50,20,10,5,2,1}, S25:AC25))</f>
        <v>0</v>
      </c>
      <c r="AE25" s="33"/>
      <c r="AF25" s="24" t="str">
        <f>IF(AND(COUNT(C25:E25)=0,COUNT(G25:I25)=0,COUNT(K25:M25)=0,COUNT(O25:Q25)=0,COUNT(S25:AC25)=0,AE25=""),"",(IF(COUNT(C25:E25)=0,0,SUMPRODUCT({5000,1000,500},C25:E25))+IF(COUNT(G25:I25)=0,0,SUMPRODUCT({5000,1000,500},G25:I25))+IF(COUNT(K25:M25)=0,0,SUMPRODUCT({5000,1000,500},K25:M25))+IF(COUNT(O25:Q25)=0,0,SUMPRODUCT({5000,1000,500},O25:Q25))+AD25)-N(AE25))</f>
        <v/>
      </c>
      <c r="AG25" s="35" t="str">
        <f t="shared" si="0"/>
        <v/>
      </c>
      <c r="AH25" s="38"/>
      <c r="AI25" s="36"/>
      <c r="AJ25" s="37"/>
      <c r="AK25" s="26" t="str">
        <f t="shared" si="1"/>
        <v/>
      </c>
      <c r="AL25" s="25" t="str">
        <f t="shared" si="2"/>
        <v/>
      </c>
      <c r="AM25" s="38"/>
    </row>
    <row r="26" spans="1:39" ht="12.75" customHeight="1" x14ac:dyDescent="0.25">
      <c r="A26" s="31"/>
      <c r="B26" s="32" t="str">
        <f>IF(A26="","",VLOOKUP(A26,'Employee Database'!A:B,2,FALSE))</f>
        <v/>
      </c>
      <c r="C26" s="31"/>
      <c r="D26" s="31"/>
      <c r="E26" s="31"/>
      <c r="F26" s="39">
        <f>IF(COUNT(C26:E26)=0,0,SUMPRODUCT({5000,1000,500},C26:E26))</f>
        <v>0</v>
      </c>
      <c r="G26" s="31"/>
      <c r="H26" s="31"/>
      <c r="I26" s="31"/>
      <c r="J26" s="39">
        <f>IF(COUNT(G26:I26)=0,0,SUMPRODUCT({5000,1000,500},G26:I26))</f>
        <v>0</v>
      </c>
      <c r="K26" s="31"/>
      <c r="L26" s="31"/>
      <c r="M26" s="31"/>
      <c r="N26" s="39">
        <f>IF(COUNT(K26:M26)=0,0,SUMPRODUCT({5000,1000,500},K26:M26))</f>
        <v>0</v>
      </c>
      <c r="O26" s="31"/>
      <c r="P26" s="31"/>
      <c r="Q26" s="31"/>
      <c r="R26" s="39">
        <f>IF(COUNT(O26:Q26)=0,0,SUMPRODUCT({5000,1000,500},O26:Q26))</f>
        <v>0</v>
      </c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4">
        <f>IF(COUNT(S26:AC26)=0,0,SUMPRODUCT({5000,1000,500,100,75,50,20,10,5,2,1}, S26:AC26))</f>
        <v>0</v>
      </c>
      <c r="AE26" s="33"/>
      <c r="AF26" s="24" t="str">
        <f>IF(AND(COUNT(C26:E26)=0,COUNT(G26:I26)=0,COUNT(K26:M26)=0,COUNT(O26:Q26)=0,COUNT(S26:AC26)=0,AE26=""),"",(IF(COUNT(C26:E26)=0,0,SUMPRODUCT({5000,1000,500},C26:E26))+IF(COUNT(G26:I26)=0,0,SUMPRODUCT({5000,1000,500},G26:I26))+IF(COUNT(K26:M26)=0,0,SUMPRODUCT({5000,1000,500},K26:M26))+IF(COUNT(O26:Q26)=0,0,SUMPRODUCT({5000,1000,500},O26:Q26))+AD26)-N(AE26))</f>
        <v/>
      </c>
      <c r="AG26" s="35" t="str">
        <f t="shared" si="0"/>
        <v/>
      </c>
      <c r="AH26" s="38"/>
      <c r="AI26" s="36"/>
      <c r="AJ26" s="37"/>
      <c r="AK26" s="26" t="str">
        <f t="shared" si="1"/>
        <v/>
      </c>
      <c r="AL26" s="25" t="str">
        <f t="shared" si="2"/>
        <v/>
      </c>
      <c r="AM26" s="38"/>
    </row>
    <row r="27" spans="1:39" ht="12.75" customHeight="1" x14ac:dyDescent="0.25">
      <c r="A27" s="31"/>
      <c r="B27" s="32" t="str">
        <f>IF(A27="","",VLOOKUP(A27,'Employee Database'!A:B,2,FALSE))</f>
        <v/>
      </c>
      <c r="C27" s="31"/>
      <c r="D27" s="31"/>
      <c r="E27" s="31"/>
      <c r="F27" s="39">
        <f>IF(COUNT(C27:E27)=0,0,SUMPRODUCT({5000,1000,500},C27:E27))</f>
        <v>0</v>
      </c>
      <c r="G27" s="31"/>
      <c r="H27" s="31"/>
      <c r="I27" s="31"/>
      <c r="J27" s="39">
        <f>IF(COUNT(G27:I27)=0,0,SUMPRODUCT({5000,1000,500},G27:I27))</f>
        <v>0</v>
      </c>
      <c r="K27" s="31"/>
      <c r="L27" s="31"/>
      <c r="M27" s="31"/>
      <c r="N27" s="39">
        <f>IF(COUNT(K27:M27)=0,0,SUMPRODUCT({5000,1000,500},K27:M27))</f>
        <v>0</v>
      </c>
      <c r="O27" s="31"/>
      <c r="P27" s="31"/>
      <c r="Q27" s="31"/>
      <c r="R27" s="39">
        <f>IF(COUNT(O27:Q27)=0,0,SUMPRODUCT({5000,1000,500},O27:Q27))</f>
        <v>0</v>
      </c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4">
        <f>IF(COUNT(S27:AC27)=0,0,SUMPRODUCT({5000,1000,500,100,75,50,20,10,5,2,1}, S27:AC27))</f>
        <v>0</v>
      </c>
      <c r="AE27" s="33"/>
      <c r="AF27" s="24" t="str">
        <f>IF(AND(COUNT(C27:E27)=0,COUNT(G27:I27)=0,COUNT(K27:M27)=0,COUNT(O27:Q27)=0,COUNT(S27:AC27)=0,AE27=""),"",(IF(COUNT(C27:E27)=0,0,SUMPRODUCT({5000,1000,500},C27:E27))+IF(COUNT(G27:I27)=0,0,SUMPRODUCT({5000,1000,500},G27:I27))+IF(COUNT(K27:M27)=0,0,SUMPRODUCT({5000,1000,500},K27:M27))+IF(COUNT(O27:Q27)=0,0,SUMPRODUCT({5000,1000,500},O27:Q27))+AD27)-N(AE27))</f>
        <v/>
      </c>
      <c r="AG27" s="35" t="str">
        <f t="shared" si="0"/>
        <v/>
      </c>
      <c r="AH27" s="38"/>
      <c r="AI27" s="36"/>
      <c r="AJ27" s="37"/>
      <c r="AK27" s="26" t="str">
        <f t="shared" si="1"/>
        <v/>
      </c>
      <c r="AL27" s="25" t="str">
        <f t="shared" si="2"/>
        <v/>
      </c>
      <c r="AM27" s="38"/>
    </row>
    <row r="28" spans="1:39" ht="12.75" customHeight="1" x14ac:dyDescent="0.25">
      <c r="A28" s="31"/>
      <c r="B28" s="32" t="str">
        <f>IF(A28="","",VLOOKUP(A28,'Employee Database'!A:B,2,FALSE))</f>
        <v/>
      </c>
      <c r="C28" s="31"/>
      <c r="D28" s="31"/>
      <c r="E28" s="31"/>
      <c r="F28" s="39">
        <f>IF(COUNT(C28:E28)=0,0,SUMPRODUCT({5000,1000,500},C28:E28))</f>
        <v>0</v>
      </c>
      <c r="G28" s="31"/>
      <c r="H28" s="31"/>
      <c r="I28" s="31"/>
      <c r="J28" s="39">
        <f>IF(COUNT(G28:I28)=0,0,SUMPRODUCT({5000,1000,500},G28:I28))</f>
        <v>0</v>
      </c>
      <c r="K28" s="31"/>
      <c r="L28" s="31"/>
      <c r="M28" s="31"/>
      <c r="N28" s="39">
        <f>IF(COUNT(K28:M28)=0,0,SUMPRODUCT({5000,1000,500},K28:M28))</f>
        <v>0</v>
      </c>
      <c r="O28" s="31"/>
      <c r="P28" s="31"/>
      <c r="Q28" s="31"/>
      <c r="R28" s="39">
        <f>IF(COUNT(O28:Q28)=0,0,SUMPRODUCT({5000,1000,500},O28:Q28))</f>
        <v>0</v>
      </c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4">
        <f>IF(COUNT(S28:AC28)=0,0,SUMPRODUCT({5000,1000,500,100,75,50,20,10,5,2,1}, S28:AC28))</f>
        <v>0</v>
      </c>
      <c r="AE28" s="33"/>
      <c r="AF28" s="24" t="str">
        <f>IF(AND(COUNT(C28:E28)=0,COUNT(G28:I28)=0,COUNT(K28:M28)=0,COUNT(O28:Q28)=0,COUNT(S28:AC28)=0,AE28=""),"",(IF(COUNT(C28:E28)=0,0,SUMPRODUCT({5000,1000,500},C28:E28))+IF(COUNT(G28:I28)=0,0,SUMPRODUCT({5000,1000,500},G28:I28))+IF(COUNT(K28:M28)=0,0,SUMPRODUCT({5000,1000,500},K28:M28))+IF(COUNT(O28:Q28)=0,0,SUMPRODUCT({5000,1000,500},O28:Q28))+AD28)-N(AE28))</f>
        <v/>
      </c>
      <c r="AG28" s="35" t="str">
        <f t="shared" si="0"/>
        <v/>
      </c>
      <c r="AH28" s="38"/>
      <c r="AI28" s="36"/>
      <c r="AJ28" s="37"/>
      <c r="AK28" s="26" t="str">
        <f t="shared" si="1"/>
        <v/>
      </c>
      <c r="AL28" s="25" t="str">
        <f t="shared" si="2"/>
        <v/>
      </c>
      <c r="AM28" s="38"/>
    </row>
    <row r="29" spans="1:39" ht="12.75" customHeight="1" x14ac:dyDescent="0.25">
      <c r="A29" s="31"/>
      <c r="B29" s="32" t="str">
        <f>IF(A29="","",VLOOKUP(A29,'Employee Database'!A:B,2,FALSE))</f>
        <v/>
      </c>
      <c r="C29" s="31"/>
      <c r="D29" s="31"/>
      <c r="E29" s="31"/>
      <c r="F29" s="39">
        <f>IF(COUNT(C29:E29)=0,0,SUMPRODUCT({5000,1000,500},C29:E29))</f>
        <v>0</v>
      </c>
      <c r="G29" s="31"/>
      <c r="H29" s="31"/>
      <c r="I29" s="31"/>
      <c r="J29" s="39">
        <f>IF(COUNT(G29:I29)=0,0,SUMPRODUCT({5000,1000,500},G29:I29))</f>
        <v>0</v>
      </c>
      <c r="K29" s="31"/>
      <c r="L29" s="31"/>
      <c r="M29" s="31"/>
      <c r="N29" s="39">
        <f>IF(COUNT(K29:M29)=0,0,SUMPRODUCT({5000,1000,500},K29:M29))</f>
        <v>0</v>
      </c>
      <c r="O29" s="31"/>
      <c r="P29" s="31"/>
      <c r="Q29" s="31"/>
      <c r="R29" s="39">
        <f>IF(COUNT(O29:Q29)=0,0,SUMPRODUCT({5000,1000,500},O29:Q29))</f>
        <v>0</v>
      </c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4">
        <f>IF(COUNT(S29:AC29)=0,0,SUMPRODUCT({5000,1000,500,100,75,50,20,10,5,2,1}, S29:AC29))</f>
        <v>0</v>
      </c>
      <c r="AE29" s="33"/>
      <c r="AF29" s="24" t="str">
        <f>IF(AND(COUNT(C29:E29)=0,COUNT(G29:I29)=0,COUNT(K29:M29)=0,COUNT(O29:Q29)=0,COUNT(S29:AC29)=0,AE29=""),"",(IF(COUNT(C29:E29)=0,0,SUMPRODUCT({5000,1000,500},C29:E29))+IF(COUNT(G29:I29)=0,0,SUMPRODUCT({5000,1000,500},G29:I29))+IF(COUNT(K29:M29)=0,0,SUMPRODUCT({5000,1000,500},K29:M29))+IF(COUNT(O29:Q29)=0,0,SUMPRODUCT({5000,1000,500},O29:Q29))+AD29)-N(AE29))</f>
        <v/>
      </c>
      <c r="AG29" s="35" t="str">
        <f t="shared" si="0"/>
        <v/>
      </c>
      <c r="AH29" s="38"/>
      <c r="AI29" s="36"/>
      <c r="AJ29" s="37"/>
      <c r="AK29" s="26" t="str">
        <f t="shared" si="1"/>
        <v/>
      </c>
      <c r="AL29" s="25" t="str">
        <f t="shared" si="2"/>
        <v/>
      </c>
      <c r="AM29" s="38"/>
    </row>
    <row r="30" spans="1:39" ht="12.75" customHeight="1" x14ac:dyDescent="0.25">
      <c r="A30" s="31"/>
      <c r="B30" s="32" t="str">
        <f>IF(A30="","",VLOOKUP(A30,'Employee Database'!A:B,2,FALSE))</f>
        <v/>
      </c>
      <c r="C30" s="31"/>
      <c r="D30" s="31"/>
      <c r="E30" s="31"/>
      <c r="F30" s="39">
        <f>IF(COUNT(C30:E30)=0,0,SUMPRODUCT({5000,1000,500},C30:E30))</f>
        <v>0</v>
      </c>
      <c r="G30" s="31"/>
      <c r="H30" s="31"/>
      <c r="I30" s="31"/>
      <c r="J30" s="39">
        <f>IF(COUNT(G30:I30)=0,0,SUMPRODUCT({5000,1000,500},G30:I30))</f>
        <v>0</v>
      </c>
      <c r="K30" s="31"/>
      <c r="L30" s="31"/>
      <c r="M30" s="31"/>
      <c r="N30" s="39">
        <f>IF(COUNT(K30:M30)=0,0,SUMPRODUCT({5000,1000,500},K30:M30))</f>
        <v>0</v>
      </c>
      <c r="O30" s="31"/>
      <c r="P30" s="31"/>
      <c r="Q30" s="31"/>
      <c r="R30" s="39">
        <f>IF(COUNT(O30:Q30)=0,0,SUMPRODUCT({5000,1000,500},O30:Q30))</f>
        <v>0</v>
      </c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4">
        <f>IF(COUNT(S30:AC30)=0,0,SUMPRODUCT({5000,1000,500,100,75,50,20,10,5,2,1}, S30:AC30))</f>
        <v>0</v>
      </c>
      <c r="AE30" s="33"/>
      <c r="AF30" s="24" t="str">
        <f>IF(AND(COUNT(C30:E30)=0,COUNT(G30:I30)=0,COUNT(K30:M30)=0,COUNT(O30:Q30)=0,COUNT(S30:AC30)=0,AE30=""),"",(IF(COUNT(C30:E30)=0,0,SUMPRODUCT({5000,1000,500},C30:E30))+IF(COUNT(G30:I30)=0,0,SUMPRODUCT({5000,1000,500},G30:I30))+IF(COUNT(K30:M30)=0,0,SUMPRODUCT({5000,1000,500},K30:M30))+IF(COUNT(O30:Q30)=0,0,SUMPRODUCT({5000,1000,500},O30:Q30))+AD30)-N(AE30))</f>
        <v/>
      </c>
      <c r="AG30" s="35" t="str">
        <f t="shared" si="0"/>
        <v/>
      </c>
      <c r="AH30" s="38"/>
      <c r="AI30" s="36"/>
      <c r="AJ30" s="37"/>
      <c r="AK30" s="26" t="str">
        <f t="shared" si="1"/>
        <v/>
      </c>
      <c r="AL30" s="25" t="str">
        <f t="shared" si="2"/>
        <v/>
      </c>
      <c r="AM30" s="38"/>
    </row>
    <row r="31" spans="1:39" ht="12.75" customHeight="1" x14ac:dyDescent="0.25">
      <c r="A31" s="31"/>
      <c r="B31" s="32" t="str">
        <f>IF(A31="","",VLOOKUP(A31,'Employee Database'!A:B,2,FALSE))</f>
        <v/>
      </c>
      <c r="C31" s="31"/>
      <c r="D31" s="31"/>
      <c r="E31" s="31"/>
      <c r="F31" s="39">
        <f>IF(COUNT(C31:E31)=0,0,SUMPRODUCT({5000,1000,500},C31:E31))</f>
        <v>0</v>
      </c>
      <c r="G31" s="31"/>
      <c r="H31" s="31"/>
      <c r="I31" s="31"/>
      <c r="J31" s="39">
        <f>IF(COUNT(G31:I31)=0,0,SUMPRODUCT({5000,1000,500},G31:I31))</f>
        <v>0</v>
      </c>
      <c r="K31" s="31"/>
      <c r="L31" s="31"/>
      <c r="M31" s="31"/>
      <c r="N31" s="39">
        <f>IF(COUNT(K31:M31)=0,0,SUMPRODUCT({5000,1000,500},K31:M31))</f>
        <v>0</v>
      </c>
      <c r="O31" s="31"/>
      <c r="P31" s="31"/>
      <c r="Q31" s="31"/>
      <c r="R31" s="39">
        <f>IF(COUNT(O31:Q31)=0,0,SUMPRODUCT({5000,1000,500},O31:Q31))</f>
        <v>0</v>
      </c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4">
        <f>IF(COUNT(S31:AC31)=0,0,SUMPRODUCT({5000,1000,500,100,75,50,20,10,5,2,1}, S31:AC31))</f>
        <v>0</v>
      </c>
      <c r="AE31" s="33"/>
      <c r="AF31" s="24" t="str">
        <f>IF(AND(COUNT(C31:E31)=0,COUNT(G31:I31)=0,COUNT(K31:M31)=0,COUNT(O31:Q31)=0,COUNT(S31:AC31)=0,AE31=""),"",(IF(COUNT(C31:E31)=0,0,SUMPRODUCT({5000,1000,500},C31:E31))+IF(COUNT(G31:I31)=0,0,SUMPRODUCT({5000,1000,500},G31:I31))+IF(COUNT(K31:M31)=0,0,SUMPRODUCT({5000,1000,500},K31:M31))+IF(COUNT(O31:Q31)=0,0,SUMPRODUCT({5000,1000,500},O31:Q31))+AD31)-N(AE31))</f>
        <v/>
      </c>
      <c r="AG31" s="35" t="str">
        <f t="shared" si="0"/>
        <v/>
      </c>
      <c r="AH31" s="38"/>
      <c r="AI31" s="36"/>
      <c r="AJ31" s="37"/>
      <c r="AK31" s="26" t="str">
        <f t="shared" si="1"/>
        <v/>
      </c>
      <c r="AL31" s="25" t="str">
        <f t="shared" si="2"/>
        <v/>
      </c>
      <c r="AM31" s="38"/>
    </row>
    <row r="32" spans="1:39" ht="12.75" customHeight="1" x14ac:dyDescent="0.25">
      <c r="A32" s="31"/>
      <c r="B32" s="32" t="str">
        <f>IF(A32="","",VLOOKUP(A32,'Employee Database'!A:B,2,FALSE))</f>
        <v/>
      </c>
      <c r="C32" s="31"/>
      <c r="D32" s="31"/>
      <c r="E32" s="31"/>
      <c r="F32" s="39">
        <f>IF(COUNT(C32:E32)=0,0,SUMPRODUCT({5000,1000,500},C32:E32))</f>
        <v>0</v>
      </c>
      <c r="G32" s="31"/>
      <c r="H32" s="31"/>
      <c r="I32" s="31"/>
      <c r="J32" s="39">
        <f>IF(COUNT(G32:I32)=0,0,SUMPRODUCT({5000,1000,500},G32:I32))</f>
        <v>0</v>
      </c>
      <c r="K32" s="31"/>
      <c r="L32" s="31"/>
      <c r="M32" s="31"/>
      <c r="N32" s="39">
        <f>IF(COUNT(K32:M32)=0,0,SUMPRODUCT({5000,1000,500},K32:M32))</f>
        <v>0</v>
      </c>
      <c r="O32" s="31"/>
      <c r="P32" s="31"/>
      <c r="Q32" s="31"/>
      <c r="R32" s="39">
        <f>IF(COUNT(O32:Q32)=0,0,SUMPRODUCT({5000,1000,500},O32:Q32))</f>
        <v>0</v>
      </c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4">
        <f>IF(COUNT(S32:AC32)=0,0,SUMPRODUCT({5000,1000,500,100,75,50,20,10,5,2,1}, S32:AC32))</f>
        <v>0</v>
      </c>
      <c r="AE32" s="33"/>
      <c r="AF32" s="24" t="str">
        <f>IF(AND(COUNT(C32:E32)=0,COUNT(G32:I32)=0,COUNT(K32:M32)=0,COUNT(O32:Q32)=0,COUNT(S32:AC32)=0,AE32=""),"",(IF(COUNT(C32:E32)=0,0,SUMPRODUCT({5000,1000,500},C32:E32))+IF(COUNT(G32:I32)=0,0,SUMPRODUCT({5000,1000,500},G32:I32))+IF(COUNT(K32:M32)=0,0,SUMPRODUCT({5000,1000,500},K32:M32))+IF(COUNT(O32:Q32)=0,0,SUMPRODUCT({5000,1000,500},O32:Q32))+AD32)-N(AE32))</f>
        <v/>
      </c>
      <c r="AG32" s="35" t="str">
        <f t="shared" si="0"/>
        <v/>
      </c>
      <c r="AH32" s="38"/>
      <c r="AI32" s="36"/>
      <c r="AJ32" s="37"/>
      <c r="AK32" s="26" t="str">
        <f t="shared" si="1"/>
        <v/>
      </c>
      <c r="AL32" s="25" t="str">
        <f t="shared" si="2"/>
        <v/>
      </c>
      <c r="AM32" s="38"/>
    </row>
    <row r="33" spans="1:39" ht="12.75" customHeight="1" x14ac:dyDescent="0.25">
      <c r="A33" s="31"/>
      <c r="B33" s="32" t="str">
        <f>IF(A33="","",VLOOKUP(A33,'Employee Database'!A:B,2,FALSE))</f>
        <v/>
      </c>
      <c r="C33" s="31"/>
      <c r="D33" s="31"/>
      <c r="E33" s="31"/>
      <c r="F33" s="39">
        <f>IF(COUNT(C33:E33)=0,0,SUMPRODUCT({5000,1000,500},C33:E33))</f>
        <v>0</v>
      </c>
      <c r="G33" s="31"/>
      <c r="H33" s="31"/>
      <c r="I33" s="31"/>
      <c r="J33" s="39">
        <f>IF(COUNT(G33:I33)=0,0,SUMPRODUCT({5000,1000,500},G33:I33))</f>
        <v>0</v>
      </c>
      <c r="K33" s="31"/>
      <c r="L33" s="31"/>
      <c r="M33" s="31"/>
      <c r="N33" s="39">
        <f>IF(COUNT(K33:M33)=0,0,SUMPRODUCT({5000,1000,500},K33:M33))</f>
        <v>0</v>
      </c>
      <c r="O33" s="31"/>
      <c r="P33" s="31"/>
      <c r="Q33" s="31"/>
      <c r="R33" s="39">
        <f>IF(COUNT(O33:Q33)=0,0,SUMPRODUCT({5000,1000,500},O33:Q33))</f>
        <v>0</v>
      </c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4">
        <f>IF(COUNT(S33:AC33)=0,0,SUMPRODUCT({5000,1000,500,100,75,50,20,10,5,2,1}, S33:AC33))</f>
        <v>0</v>
      </c>
      <c r="AE33" s="33"/>
      <c r="AF33" s="24" t="str">
        <f>IF(AND(COUNT(C33:E33)=0,COUNT(G33:I33)=0,COUNT(K33:M33)=0,COUNT(O33:Q33)=0,COUNT(S33:AC33)=0,AE33=""),"",(IF(COUNT(C33:E33)=0,0,SUMPRODUCT({5000,1000,500},C33:E33))+IF(COUNT(G33:I33)=0,0,SUMPRODUCT({5000,1000,500},G33:I33))+IF(COUNT(K33:M33)=0,0,SUMPRODUCT({5000,1000,500},K33:M33))+IF(COUNT(O33:Q33)=0,0,SUMPRODUCT({5000,1000,500},O33:Q33))+AD33)-N(AE33))</f>
        <v/>
      </c>
      <c r="AG33" s="35" t="str">
        <f t="shared" si="0"/>
        <v/>
      </c>
      <c r="AH33" s="38"/>
      <c r="AI33" s="36"/>
      <c r="AJ33" s="37"/>
      <c r="AK33" s="26" t="str">
        <f t="shared" si="1"/>
        <v/>
      </c>
      <c r="AL33" s="25" t="str">
        <f t="shared" si="2"/>
        <v/>
      </c>
      <c r="AM33" s="38"/>
    </row>
    <row r="34" spans="1:39" ht="12.75" customHeight="1" x14ac:dyDescent="0.25">
      <c r="A34" s="31"/>
      <c r="B34" s="32" t="str">
        <f>IF(A34="","",VLOOKUP(A34,'Employee Database'!A:B,2,FALSE))</f>
        <v/>
      </c>
      <c r="C34" s="31"/>
      <c r="D34" s="31"/>
      <c r="E34" s="31"/>
      <c r="F34" s="39">
        <f>IF(COUNT(C34:E34)=0,0,SUMPRODUCT({5000,1000,500},C34:E34))</f>
        <v>0</v>
      </c>
      <c r="G34" s="31"/>
      <c r="H34" s="31"/>
      <c r="I34" s="31"/>
      <c r="J34" s="39">
        <f>IF(COUNT(G34:I34)=0,0,SUMPRODUCT({5000,1000,500},G34:I34))</f>
        <v>0</v>
      </c>
      <c r="K34" s="31"/>
      <c r="L34" s="31"/>
      <c r="M34" s="31"/>
      <c r="N34" s="39">
        <f>IF(COUNT(K34:M34)=0,0,SUMPRODUCT({5000,1000,500},K34:M34))</f>
        <v>0</v>
      </c>
      <c r="O34" s="31"/>
      <c r="P34" s="31"/>
      <c r="Q34" s="31"/>
      <c r="R34" s="39">
        <f>IF(COUNT(O34:Q34)=0,0,SUMPRODUCT({5000,1000,500},O34:Q34))</f>
        <v>0</v>
      </c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4">
        <f>IF(COUNT(S34:AC34)=0,0,SUMPRODUCT({5000,1000,500,100,75,50,20,10,5,2,1}, S34:AC34))</f>
        <v>0</v>
      </c>
      <c r="AE34" s="33"/>
      <c r="AF34" s="24" t="str">
        <f>IF(AND(COUNT(C34:E34)=0,COUNT(G34:I34)=0,COUNT(K34:M34)=0,COUNT(O34:Q34)=0,COUNT(S34:AC34)=0,AE34=""),"",(IF(COUNT(C34:E34)=0,0,SUMPRODUCT({5000,1000,500},C34:E34))+IF(COUNT(G34:I34)=0,0,SUMPRODUCT({5000,1000,500},G34:I34))+IF(COUNT(K34:M34)=0,0,SUMPRODUCT({5000,1000,500},K34:M34))+IF(COUNT(O34:Q34)=0,0,SUMPRODUCT({5000,1000,500},O34:Q34))+AD34)-N(AE34))</f>
        <v/>
      </c>
      <c r="AG34" s="35" t="str">
        <f t="shared" si="0"/>
        <v/>
      </c>
      <c r="AH34" s="38"/>
      <c r="AI34" s="36"/>
      <c r="AJ34" s="37"/>
      <c r="AK34" s="26" t="str">
        <f t="shared" si="1"/>
        <v/>
      </c>
      <c r="AL34" s="25" t="str">
        <f t="shared" si="2"/>
        <v/>
      </c>
      <c r="AM34" s="38"/>
    </row>
    <row r="35" spans="1:39" ht="22.5" customHeight="1" x14ac:dyDescent="0.25">
      <c r="A35" s="27" t="s">
        <v>24</v>
      </c>
      <c r="B35" s="27" t="s">
        <v>24</v>
      </c>
      <c r="C35" s="28">
        <f t="shared" ref="C35:AF35" si="3">SUM(C5:C34)</f>
        <v>120</v>
      </c>
      <c r="D35" s="28">
        <f t="shared" si="3"/>
        <v>515</v>
      </c>
      <c r="E35" s="28">
        <f t="shared" si="3"/>
        <v>10</v>
      </c>
      <c r="F35" s="40">
        <f t="shared" si="3"/>
        <v>1120000</v>
      </c>
      <c r="G35" s="28">
        <f t="shared" si="3"/>
        <v>168</v>
      </c>
      <c r="H35" s="28">
        <f t="shared" si="3"/>
        <v>634</v>
      </c>
      <c r="I35" s="28">
        <f t="shared" si="3"/>
        <v>70</v>
      </c>
      <c r="J35" s="40">
        <f t="shared" si="3"/>
        <v>1509000</v>
      </c>
      <c r="K35" s="28">
        <f t="shared" si="3"/>
        <v>0</v>
      </c>
      <c r="L35" s="28">
        <f t="shared" si="3"/>
        <v>0</v>
      </c>
      <c r="M35" s="28">
        <f t="shared" si="3"/>
        <v>0</v>
      </c>
      <c r="N35" s="40">
        <f t="shared" si="3"/>
        <v>0</v>
      </c>
      <c r="O35" s="28">
        <f t="shared" si="3"/>
        <v>0</v>
      </c>
      <c r="P35" s="28">
        <f t="shared" si="3"/>
        <v>0</v>
      </c>
      <c r="Q35" s="28">
        <f t="shared" si="3"/>
        <v>0</v>
      </c>
      <c r="R35" s="40">
        <f t="shared" si="3"/>
        <v>0</v>
      </c>
      <c r="S35" s="28">
        <f t="shared" si="3"/>
        <v>0</v>
      </c>
      <c r="T35" s="28">
        <f t="shared" si="3"/>
        <v>0</v>
      </c>
      <c r="U35" s="28">
        <f t="shared" si="3"/>
        <v>0</v>
      </c>
      <c r="V35" s="28">
        <f t="shared" si="3"/>
        <v>28</v>
      </c>
      <c r="W35" s="28">
        <f t="shared" si="3"/>
        <v>0</v>
      </c>
      <c r="X35" s="28">
        <f t="shared" si="3"/>
        <v>209</v>
      </c>
      <c r="Y35" s="28">
        <f t="shared" si="3"/>
        <v>0</v>
      </c>
      <c r="Z35" s="28">
        <f t="shared" si="3"/>
        <v>383</v>
      </c>
      <c r="AA35" s="28">
        <f t="shared" si="3"/>
        <v>0</v>
      </c>
      <c r="AB35" s="28">
        <f t="shared" si="3"/>
        <v>0</v>
      </c>
      <c r="AC35" s="28">
        <f t="shared" si="3"/>
        <v>6551</v>
      </c>
      <c r="AD35" s="40">
        <f t="shared" si="3"/>
        <v>23631</v>
      </c>
      <c r="AE35" s="41">
        <f t="shared" si="3"/>
        <v>2653205</v>
      </c>
      <c r="AF35" s="29">
        <f t="shared" si="3"/>
        <v>-574</v>
      </c>
      <c r="AG35" s="27" t="s">
        <v>24</v>
      </c>
      <c r="AH35" s="27" t="s">
        <v>24</v>
      </c>
      <c r="AI35" s="28">
        <f>SUM(AI5:AI34)</f>
        <v>5011987.5200000005</v>
      </c>
      <c r="AJ35" s="28">
        <f>SUM(AJ5:AJ34)</f>
        <v>5011986.5200000005</v>
      </c>
      <c r="AK35" s="28">
        <f>SUM(AK5:AK34)</f>
        <v>1</v>
      </c>
      <c r="AL35" s="28">
        <f>AJ35+AE35</f>
        <v>7665191.5200000005</v>
      </c>
      <c r="AM35" s="28">
        <f>SUM(AM5:AM34)</f>
        <v>0</v>
      </c>
    </row>
  </sheetData>
  <sheetProtection algorithmName="SHA-512" hashValue="9oLk+HHYzwt/pHIH1xxq/YsV8yOjAErrM9zGNg1LUPoH8kAtzQ/kVjerm8dP5G2aow47iucmmNt8BEgbgEm9MA==" saltValue="fJmVSDDZC8XmEtoTV0xwkg==" spinCount="100000" sheet="1" objects="1" scenarios="1"/>
  <mergeCells count="9">
    <mergeCell ref="S3:AC3"/>
    <mergeCell ref="AD3:AG3"/>
    <mergeCell ref="AH3:AM3"/>
    <mergeCell ref="A1:B1"/>
    <mergeCell ref="A3:B3"/>
    <mergeCell ref="C3:F3"/>
    <mergeCell ref="G3:J3"/>
    <mergeCell ref="K3:N3"/>
    <mergeCell ref="O3:R3"/>
  </mergeCells>
  <conditionalFormatting sqref="A5">
    <cfRule type="duplicateValues" dxfId="8" priority="5"/>
    <cfRule type="duplicateValues" dxfId="7" priority="6"/>
  </conditionalFormatting>
  <conditionalFormatting sqref="A5:A13">
    <cfRule type="duplicateValues" dxfId="6" priority="2"/>
  </conditionalFormatting>
  <conditionalFormatting sqref="A5:A34">
    <cfRule type="duplicateValues" dxfId="5" priority="1"/>
  </conditionalFormatting>
  <conditionalFormatting sqref="A6">
    <cfRule type="duplicateValues" dxfId="4" priority="7"/>
    <cfRule type="duplicateValues" dxfId="3" priority="8"/>
  </conditionalFormatting>
  <conditionalFormatting sqref="A7:A34">
    <cfRule type="duplicateValues" dxfId="2" priority="3"/>
    <cfRule type="duplicateValues" dxfId="1" priority="4"/>
  </conditionalFormatting>
  <conditionalFormatting sqref="A35">
    <cfRule type="duplicateValues" dxfId="0" priority="9"/>
  </conditionalFormatting>
  <dataValidations disablePrompts="1" count="1">
    <dataValidation type="list" allowBlank="1" showInputMessage="1" showErrorMessage="1" sqref="A1:B1" xr:uid="{00000000-0002-0000-2000-000000000000}">
      <formula1>Locations</formula1>
    </dataValidation>
  </dataValidation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Employee Database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Rahat Tanha</cp:lastModifiedBy>
  <dcterms:created xsi:type="dcterms:W3CDTF">2026-06-29T11:38:13Z</dcterms:created>
  <dcterms:modified xsi:type="dcterms:W3CDTF">2026-08-05T08:35:00Z</dcterms:modified>
</cp:coreProperties>
</file>