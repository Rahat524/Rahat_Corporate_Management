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D27C3011-9381-4877-A394-2D666C978F77}" xr6:coauthVersionLast="47" xr6:coauthVersionMax="47" xr10:uidLastSave="{00000000-0000-0000-0000-000000000000}"/>
  <bookViews>
    <workbookView xWindow="-120" yWindow="-120" windowWidth="20730" windowHeight="11040" tabRatio="962" firstSheet="1" activeTab="4" xr2:uid="{00000000-000D-0000-FFFF-FFFF00000000}"/>
  </bookViews>
  <sheets>
    <sheet name="Search" sheetId="35" r:id="rId1"/>
    <sheet name="Dashboard" sheetId="34" r:id="rId2"/>
    <sheet name="Print Form" sheetId="36" state="hidden" r:id="rId3"/>
    <sheet name="Management" sheetId="32" state="hidden" r:id="rId4"/>
    <sheet name="1" sheetId="1" r:id="rId5"/>
    <sheet name="2" sheetId="2" r:id="rId6"/>
    <sheet name="3" sheetId="3" r:id="rId7"/>
    <sheet name="4" sheetId="4" r:id="rId8"/>
    <sheet name="5" sheetId="5" r:id="rId9"/>
    <sheet name="6" sheetId="6" r:id="rId10"/>
    <sheet name="7" sheetId="7" r:id="rId11"/>
    <sheet name="8" sheetId="8" r:id="rId12"/>
    <sheet name="9" sheetId="9" r:id="rId13"/>
    <sheet name="10" sheetId="10" r:id="rId14"/>
    <sheet name="11" sheetId="11" r:id="rId15"/>
    <sheet name="12" sheetId="12" r:id="rId16"/>
    <sheet name="13" sheetId="13" r:id="rId17"/>
    <sheet name="14" sheetId="14" r:id="rId18"/>
    <sheet name="15" sheetId="15" r:id="rId19"/>
    <sheet name="16" sheetId="16" r:id="rId20"/>
    <sheet name="17" sheetId="17" r:id="rId21"/>
    <sheet name="18" sheetId="18" r:id="rId22"/>
    <sheet name="19" sheetId="19" r:id="rId23"/>
    <sheet name="20" sheetId="20" r:id="rId24"/>
    <sheet name="21" sheetId="21" r:id="rId25"/>
    <sheet name="22" sheetId="22" r:id="rId26"/>
    <sheet name="23" sheetId="23" r:id="rId27"/>
    <sheet name="24" sheetId="24" r:id="rId28"/>
    <sheet name="25" sheetId="25" r:id="rId29"/>
    <sheet name="26" sheetId="26" r:id="rId30"/>
    <sheet name="27" sheetId="27" r:id="rId31"/>
    <sheet name="28" sheetId="28" r:id="rId32"/>
    <sheet name="29" sheetId="29" r:id="rId33"/>
    <sheet name="30" sheetId="30" r:id="rId34"/>
    <sheet name="31" sheetId="31" r:id="rId35"/>
    <sheet name="Helper" sheetId="33" state="hidden" r:id="rId36"/>
  </sheets>
  <definedNames>
    <definedName name="_xlnm._FilterDatabase" localSheetId="3" hidden="1">Management!$A$2:$C$27</definedName>
  </definedNames>
  <calcPr calcId="191029"/>
</workbook>
</file>

<file path=xl/calcChain.xml><?xml version="1.0" encoding="utf-8"?>
<calcChain xmlns="http://schemas.openxmlformats.org/spreadsheetml/2006/main">
  <c r="M200" i="2" l="1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M2" i="5"/>
  <c r="L2" i="5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4" i="7"/>
  <c r="L4" i="7"/>
  <c r="M3" i="7"/>
  <c r="L3" i="7"/>
  <c r="M2" i="7"/>
  <c r="L2" i="7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4" i="8"/>
  <c r="L4" i="8"/>
  <c r="M3" i="8"/>
  <c r="L3" i="8"/>
  <c r="M2" i="8"/>
  <c r="L2" i="8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4" i="9"/>
  <c r="L4" i="9"/>
  <c r="M3" i="9"/>
  <c r="L3" i="9"/>
  <c r="M2" i="9"/>
  <c r="L2" i="9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4" i="10"/>
  <c r="L4" i="10"/>
  <c r="M3" i="10"/>
  <c r="L3" i="10"/>
  <c r="M2" i="10"/>
  <c r="L2" i="10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4" i="11"/>
  <c r="L4" i="11"/>
  <c r="M3" i="11"/>
  <c r="L3" i="11"/>
  <c r="M2" i="11"/>
  <c r="L2" i="11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4" i="12"/>
  <c r="L4" i="12"/>
  <c r="M3" i="12"/>
  <c r="L3" i="12"/>
  <c r="M2" i="12"/>
  <c r="L2" i="12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4" i="13"/>
  <c r="L4" i="13"/>
  <c r="M3" i="13"/>
  <c r="L3" i="13"/>
  <c r="M2" i="13"/>
  <c r="L2" i="13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4" i="14"/>
  <c r="L4" i="14"/>
  <c r="M3" i="14"/>
  <c r="L3" i="14"/>
  <c r="M2" i="14"/>
  <c r="L2" i="14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4" i="15"/>
  <c r="L4" i="15"/>
  <c r="M3" i="15"/>
  <c r="L3" i="15"/>
  <c r="M2" i="15"/>
  <c r="L2" i="15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4" i="16"/>
  <c r="L4" i="16"/>
  <c r="M3" i="16"/>
  <c r="L3" i="16"/>
  <c r="M2" i="16"/>
  <c r="L2" i="16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4" i="17"/>
  <c r="L4" i="17"/>
  <c r="M3" i="17"/>
  <c r="L3" i="17"/>
  <c r="M2" i="17"/>
  <c r="L2" i="17"/>
  <c r="M200" i="18"/>
  <c r="L200" i="18"/>
  <c r="M199" i="18"/>
  <c r="L199" i="18"/>
  <c r="M198" i="18"/>
  <c r="L198" i="18"/>
  <c r="M197" i="18"/>
  <c r="L197" i="18"/>
  <c r="M196" i="18"/>
  <c r="L196" i="18"/>
  <c r="M195" i="18"/>
  <c r="L195" i="18"/>
  <c r="M194" i="18"/>
  <c r="L194" i="18"/>
  <c r="M193" i="18"/>
  <c r="L193" i="18"/>
  <c r="M192" i="18"/>
  <c r="L192" i="18"/>
  <c r="M191" i="18"/>
  <c r="L191" i="18"/>
  <c r="M190" i="18"/>
  <c r="L190" i="18"/>
  <c r="M189" i="18"/>
  <c r="L189" i="18"/>
  <c r="M188" i="18"/>
  <c r="L188" i="18"/>
  <c r="M187" i="18"/>
  <c r="L187" i="18"/>
  <c r="M186" i="18"/>
  <c r="L186" i="18"/>
  <c r="M185" i="18"/>
  <c r="L185" i="18"/>
  <c r="M184" i="18"/>
  <c r="L184" i="18"/>
  <c r="M183" i="18"/>
  <c r="L183" i="18"/>
  <c r="M182" i="18"/>
  <c r="L182" i="18"/>
  <c r="M181" i="18"/>
  <c r="L181" i="18"/>
  <c r="M180" i="18"/>
  <c r="L180" i="18"/>
  <c r="M179" i="18"/>
  <c r="L179" i="18"/>
  <c r="M178" i="18"/>
  <c r="L178" i="18"/>
  <c r="M177" i="18"/>
  <c r="L177" i="18"/>
  <c r="M176" i="18"/>
  <c r="L176" i="18"/>
  <c r="M175" i="18"/>
  <c r="L175" i="18"/>
  <c r="M174" i="18"/>
  <c r="L174" i="18"/>
  <c r="M173" i="18"/>
  <c r="L173" i="18"/>
  <c r="M172" i="18"/>
  <c r="L172" i="18"/>
  <c r="M171" i="18"/>
  <c r="L171" i="18"/>
  <c r="M170" i="18"/>
  <c r="L170" i="18"/>
  <c r="M169" i="18"/>
  <c r="L169" i="18"/>
  <c r="M168" i="18"/>
  <c r="L168" i="18"/>
  <c r="M167" i="18"/>
  <c r="L167" i="18"/>
  <c r="M166" i="18"/>
  <c r="L166" i="18"/>
  <c r="M165" i="18"/>
  <c r="L165" i="18"/>
  <c r="M164" i="18"/>
  <c r="L164" i="18"/>
  <c r="M163" i="18"/>
  <c r="L163" i="18"/>
  <c r="M162" i="18"/>
  <c r="L162" i="18"/>
  <c r="M161" i="18"/>
  <c r="L161" i="18"/>
  <c r="M160" i="18"/>
  <c r="L160" i="18"/>
  <c r="M159" i="18"/>
  <c r="L159" i="18"/>
  <c r="M158" i="18"/>
  <c r="L158" i="18"/>
  <c r="M157" i="18"/>
  <c r="L157" i="18"/>
  <c r="M156" i="18"/>
  <c r="L156" i="18"/>
  <c r="M155" i="18"/>
  <c r="L155" i="18"/>
  <c r="M154" i="18"/>
  <c r="L154" i="18"/>
  <c r="M153" i="18"/>
  <c r="L153" i="18"/>
  <c r="M152" i="18"/>
  <c r="L152" i="18"/>
  <c r="M151" i="18"/>
  <c r="L151" i="18"/>
  <c r="M150" i="18"/>
  <c r="L150" i="18"/>
  <c r="M149" i="18"/>
  <c r="L149" i="18"/>
  <c r="M148" i="18"/>
  <c r="L148" i="18"/>
  <c r="M147" i="18"/>
  <c r="L147" i="18"/>
  <c r="M146" i="18"/>
  <c r="L146" i="18"/>
  <c r="M145" i="18"/>
  <c r="L145" i="18"/>
  <c r="M144" i="18"/>
  <c r="L144" i="18"/>
  <c r="M143" i="18"/>
  <c r="L143" i="18"/>
  <c r="M142" i="18"/>
  <c r="L142" i="18"/>
  <c r="M141" i="18"/>
  <c r="L141" i="18"/>
  <c r="M140" i="18"/>
  <c r="L140" i="18"/>
  <c r="M139" i="18"/>
  <c r="L139" i="18"/>
  <c r="M138" i="18"/>
  <c r="L138" i="18"/>
  <c r="M137" i="18"/>
  <c r="L137" i="18"/>
  <c r="M136" i="18"/>
  <c r="L136" i="18"/>
  <c r="M135" i="18"/>
  <c r="L135" i="18"/>
  <c r="M134" i="18"/>
  <c r="L134" i="18"/>
  <c r="M133" i="18"/>
  <c r="L133" i="18"/>
  <c r="M132" i="18"/>
  <c r="L132" i="18"/>
  <c r="M131" i="18"/>
  <c r="L131" i="18"/>
  <c r="M130" i="18"/>
  <c r="L130" i="18"/>
  <c r="M129" i="18"/>
  <c r="L129" i="18"/>
  <c r="M128" i="18"/>
  <c r="L128" i="18"/>
  <c r="M127" i="18"/>
  <c r="L127" i="18"/>
  <c r="M126" i="18"/>
  <c r="L126" i="18"/>
  <c r="M125" i="18"/>
  <c r="L125" i="18"/>
  <c r="M124" i="18"/>
  <c r="L124" i="18"/>
  <c r="M123" i="18"/>
  <c r="L123" i="18"/>
  <c r="M122" i="18"/>
  <c r="L122" i="18"/>
  <c r="M121" i="18"/>
  <c r="L121" i="18"/>
  <c r="M120" i="18"/>
  <c r="L120" i="18"/>
  <c r="M119" i="18"/>
  <c r="L119" i="18"/>
  <c r="M118" i="18"/>
  <c r="L118" i="18"/>
  <c r="M117" i="18"/>
  <c r="L117" i="18"/>
  <c r="M116" i="18"/>
  <c r="L116" i="18"/>
  <c r="M115" i="18"/>
  <c r="L115" i="18"/>
  <c r="M114" i="18"/>
  <c r="L114" i="18"/>
  <c r="M113" i="18"/>
  <c r="L113" i="18"/>
  <c r="M112" i="18"/>
  <c r="L112" i="18"/>
  <c r="M111" i="18"/>
  <c r="L111" i="18"/>
  <c r="M110" i="18"/>
  <c r="L110" i="18"/>
  <c r="M109" i="18"/>
  <c r="L109" i="18"/>
  <c r="M108" i="18"/>
  <c r="L108" i="18"/>
  <c r="M107" i="18"/>
  <c r="L107" i="18"/>
  <c r="M106" i="18"/>
  <c r="L106" i="18"/>
  <c r="M105" i="18"/>
  <c r="L105" i="18"/>
  <c r="M104" i="18"/>
  <c r="L104" i="18"/>
  <c r="M103" i="18"/>
  <c r="L103" i="18"/>
  <c r="M102" i="18"/>
  <c r="L102" i="18"/>
  <c r="M101" i="18"/>
  <c r="L101" i="18"/>
  <c r="M100" i="18"/>
  <c r="L100" i="18"/>
  <c r="M99" i="18"/>
  <c r="L99" i="18"/>
  <c r="M98" i="18"/>
  <c r="L98" i="18"/>
  <c r="M97" i="18"/>
  <c r="L97" i="18"/>
  <c r="M96" i="18"/>
  <c r="L96" i="18"/>
  <c r="M95" i="18"/>
  <c r="L95" i="18"/>
  <c r="M94" i="18"/>
  <c r="L94" i="18"/>
  <c r="M93" i="18"/>
  <c r="L93" i="18"/>
  <c r="M92" i="18"/>
  <c r="L92" i="18"/>
  <c r="M91" i="18"/>
  <c r="L91" i="18"/>
  <c r="M90" i="18"/>
  <c r="L90" i="18"/>
  <c r="M89" i="18"/>
  <c r="L89" i="18"/>
  <c r="M88" i="18"/>
  <c r="L88" i="18"/>
  <c r="M87" i="18"/>
  <c r="L87" i="18"/>
  <c r="M86" i="18"/>
  <c r="L86" i="18"/>
  <c r="M85" i="18"/>
  <c r="L85" i="18"/>
  <c r="M84" i="18"/>
  <c r="L84" i="18"/>
  <c r="M83" i="18"/>
  <c r="L83" i="18"/>
  <c r="M82" i="18"/>
  <c r="L82" i="18"/>
  <c r="M81" i="18"/>
  <c r="L81" i="18"/>
  <c r="M80" i="18"/>
  <c r="L80" i="18"/>
  <c r="M79" i="18"/>
  <c r="L79" i="18"/>
  <c r="M78" i="18"/>
  <c r="L78" i="18"/>
  <c r="M77" i="18"/>
  <c r="L77" i="18"/>
  <c r="M76" i="18"/>
  <c r="L76" i="18"/>
  <c r="M75" i="18"/>
  <c r="L75" i="18"/>
  <c r="M74" i="18"/>
  <c r="L74" i="18"/>
  <c r="M73" i="18"/>
  <c r="L73" i="18"/>
  <c r="M72" i="18"/>
  <c r="L72" i="18"/>
  <c r="M71" i="18"/>
  <c r="L71" i="18"/>
  <c r="M70" i="18"/>
  <c r="L70" i="18"/>
  <c r="M69" i="18"/>
  <c r="L69" i="18"/>
  <c r="M68" i="18"/>
  <c r="L68" i="18"/>
  <c r="M67" i="18"/>
  <c r="L67" i="18"/>
  <c r="M66" i="18"/>
  <c r="L66" i="18"/>
  <c r="M65" i="18"/>
  <c r="L65" i="18"/>
  <c r="M64" i="18"/>
  <c r="L64" i="18"/>
  <c r="M63" i="18"/>
  <c r="L63" i="18"/>
  <c r="M62" i="18"/>
  <c r="L62" i="18"/>
  <c r="M61" i="18"/>
  <c r="L61" i="18"/>
  <c r="M60" i="18"/>
  <c r="L60" i="18"/>
  <c r="M59" i="18"/>
  <c r="L59" i="18"/>
  <c r="M58" i="18"/>
  <c r="L58" i="18"/>
  <c r="M57" i="18"/>
  <c r="L57" i="18"/>
  <c r="M56" i="18"/>
  <c r="L56" i="18"/>
  <c r="M55" i="18"/>
  <c r="L55" i="18"/>
  <c r="M54" i="18"/>
  <c r="L54" i="18"/>
  <c r="M53" i="18"/>
  <c r="L53" i="18"/>
  <c r="M52" i="18"/>
  <c r="L52" i="18"/>
  <c r="M51" i="18"/>
  <c r="L51" i="18"/>
  <c r="M50" i="18"/>
  <c r="L50" i="18"/>
  <c r="M49" i="18"/>
  <c r="L49" i="18"/>
  <c r="M48" i="18"/>
  <c r="L48" i="18"/>
  <c r="M47" i="18"/>
  <c r="L47" i="18"/>
  <c r="M46" i="18"/>
  <c r="L46" i="18"/>
  <c r="M45" i="18"/>
  <c r="L45" i="18"/>
  <c r="M44" i="18"/>
  <c r="L44" i="18"/>
  <c r="M43" i="18"/>
  <c r="L43" i="18"/>
  <c r="M42" i="18"/>
  <c r="L42" i="18"/>
  <c r="M41" i="18"/>
  <c r="L41" i="18"/>
  <c r="M40" i="18"/>
  <c r="L40" i="18"/>
  <c r="M39" i="18"/>
  <c r="L39" i="18"/>
  <c r="M38" i="18"/>
  <c r="L38" i="18"/>
  <c r="M37" i="18"/>
  <c r="L37" i="18"/>
  <c r="M36" i="18"/>
  <c r="L36" i="18"/>
  <c r="M35" i="18"/>
  <c r="L35" i="18"/>
  <c r="M34" i="18"/>
  <c r="L34" i="18"/>
  <c r="M33" i="18"/>
  <c r="L33" i="18"/>
  <c r="M32" i="18"/>
  <c r="L32" i="18"/>
  <c r="M31" i="18"/>
  <c r="L31" i="18"/>
  <c r="M30" i="18"/>
  <c r="L30" i="18"/>
  <c r="M29" i="18"/>
  <c r="L29" i="18"/>
  <c r="M28" i="18"/>
  <c r="L28" i="18"/>
  <c r="M27" i="18"/>
  <c r="L27" i="18"/>
  <c r="M26" i="18"/>
  <c r="L26" i="18"/>
  <c r="M25" i="18"/>
  <c r="L25" i="18"/>
  <c r="M24" i="18"/>
  <c r="L24" i="18"/>
  <c r="M23" i="18"/>
  <c r="L23" i="18"/>
  <c r="M22" i="18"/>
  <c r="L22" i="18"/>
  <c r="M21" i="18"/>
  <c r="L21" i="18"/>
  <c r="M20" i="18"/>
  <c r="L20" i="18"/>
  <c r="M19" i="18"/>
  <c r="L19" i="18"/>
  <c r="M18" i="18"/>
  <c r="L18" i="18"/>
  <c r="M17" i="18"/>
  <c r="L17" i="18"/>
  <c r="M16" i="18"/>
  <c r="L16" i="18"/>
  <c r="M15" i="18"/>
  <c r="L15" i="18"/>
  <c r="M14" i="18"/>
  <c r="L14" i="18"/>
  <c r="M13" i="18"/>
  <c r="L13" i="18"/>
  <c r="M12" i="18"/>
  <c r="L12" i="18"/>
  <c r="M11" i="18"/>
  <c r="L11" i="18"/>
  <c r="M10" i="18"/>
  <c r="L10" i="18"/>
  <c r="M9" i="18"/>
  <c r="L9" i="18"/>
  <c r="M8" i="18"/>
  <c r="L8" i="18"/>
  <c r="M7" i="18"/>
  <c r="L7" i="18"/>
  <c r="M6" i="18"/>
  <c r="L6" i="18"/>
  <c r="M5" i="18"/>
  <c r="L5" i="18"/>
  <c r="M4" i="18"/>
  <c r="L4" i="18"/>
  <c r="M3" i="18"/>
  <c r="L3" i="18"/>
  <c r="M2" i="18"/>
  <c r="L2" i="18"/>
  <c r="M200" i="19"/>
  <c r="L200" i="19"/>
  <c r="M199" i="19"/>
  <c r="L199" i="19"/>
  <c r="M198" i="19"/>
  <c r="L198" i="19"/>
  <c r="M197" i="19"/>
  <c r="L197" i="19"/>
  <c r="M196" i="19"/>
  <c r="L196" i="19"/>
  <c r="M195" i="19"/>
  <c r="L195" i="19"/>
  <c r="M194" i="19"/>
  <c r="L194" i="19"/>
  <c r="M193" i="19"/>
  <c r="L193" i="19"/>
  <c r="M192" i="19"/>
  <c r="L192" i="19"/>
  <c r="M191" i="19"/>
  <c r="L191" i="19"/>
  <c r="M190" i="19"/>
  <c r="L190" i="19"/>
  <c r="M189" i="19"/>
  <c r="L189" i="19"/>
  <c r="M188" i="19"/>
  <c r="L188" i="19"/>
  <c r="M187" i="19"/>
  <c r="L187" i="19"/>
  <c r="M186" i="19"/>
  <c r="L186" i="19"/>
  <c r="M185" i="19"/>
  <c r="L185" i="19"/>
  <c r="M184" i="19"/>
  <c r="L184" i="19"/>
  <c r="M183" i="19"/>
  <c r="L183" i="19"/>
  <c r="M182" i="19"/>
  <c r="L182" i="19"/>
  <c r="M181" i="19"/>
  <c r="L181" i="19"/>
  <c r="M180" i="19"/>
  <c r="L180" i="19"/>
  <c r="M179" i="19"/>
  <c r="L179" i="19"/>
  <c r="M178" i="19"/>
  <c r="L178" i="19"/>
  <c r="M177" i="19"/>
  <c r="L177" i="19"/>
  <c r="M176" i="19"/>
  <c r="L176" i="19"/>
  <c r="M175" i="19"/>
  <c r="L175" i="19"/>
  <c r="M174" i="19"/>
  <c r="L174" i="19"/>
  <c r="M173" i="19"/>
  <c r="L173" i="19"/>
  <c r="M172" i="19"/>
  <c r="L172" i="19"/>
  <c r="M171" i="19"/>
  <c r="L171" i="19"/>
  <c r="M170" i="19"/>
  <c r="L170" i="19"/>
  <c r="M169" i="19"/>
  <c r="L169" i="19"/>
  <c r="M168" i="19"/>
  <c r="L168" i="19"/>
  <c r="M167" i="19"/>
  <c r="L167" i="19"/>
  <c r="M166" i="19"/>
  <c r="L166" i="19"/>
  <c r="M165" i="19"/>
  <c r="L165" i="19"/>
  <c r="M164" i="19"/>
  <c r="L164" i="19"/>
  <c r="M163" i="19"/>
  <c r="L163" i="19"/>
  <c r="M162" i="19"/>
  <c r="L162" i="19"/>
  <c r="M161" i="19"/>
  <c r="L161" i="19"/>
  <c r="M160" i="19"/>
  <c r="L160" i="19"/>
  <c r="M159" i="19"/>
  <c r="L159" i="19"/>
  <c r="M158" i="19"/>
  <c r="L158" i="19"/>
  <c r="M157" i="19"/>
  <c r="L157" i="19"/>
  <c r="M156" i="19"/>
  <c r="L156" i="19"/>
  <c r="M155" i="19"/>
  <c r="L155" i="19"/>
  <c r="M154" i="19"/>
  <c r="L154" i="19"/>
  <c r="M153" i="19"/>
  <c r="L153" i="19"/>
  <c r="M152" i="19"/>
  <c r="L152" i="19"/>
  <c r="M151" i="19"/>
  <c r="L151" i="19"/>
  <c r="M150" i="19"/>
  <c r="L150" i="19"/>
  <c r="M149" i="19"/>
  <c r="L149" i="19"/>
  <c r="M148" i="19"/>
  <c r="L148" i="19"/>
  <c r="M147" i="19"/>
  <c r="L147" i="19"/>
  <c r="M146" i="19"/>
  <c r="L146" i="19"/>
  <c r="M145" i="19"/>
  <c r="L145" i="19"/>
  <c r="M144" i="19"/>
  <c r="L144" i="19"/>
  <c r="M143" i="19"/>
  <c r="L143" i="19"/>
  <c r="M142" i="19"/>
  <c r="L142" i="19"/>
  <c r="M141" i="19"/>
  <c r="L141" i="19"/>
  <c r="M140" i="19"/>
  <c r="L140" i="19"/>
  <c r="M139" i="19"/>
  <c r="L139" i="19"/>
  <c r="M138" i="19"/>
  <c r="L138" i="19"/>
  <c r="M137" i="19"/>
  <c r="L137" i="19"/>
  <c r="M136" i="19"/>
  <c r="L136" i="19"/>
  <c r="M135" i="19"/>
  <c r="L135" i="19"/>
  <c r="M134" i="19"/>
  <c r="L134" i="19"/>
  <c r="M133" i="19"/>
  <c r="L133" i="19"/>
  <c r="M132" i="19"/>
  <c r="L132" i="19"/>
  <c r="M131" i="19"/>
  <c r="L131" i="19"/>
  <c r="M130" i="19"/>
  <c r="L130" i="19"/>
  <c r="M129" i="19"/>
  <c r="L129" i="19"/>
  <c r="M128" i="19"/>
  <c r="L128" i="19"/>
  <c r="M127" i="19"/>
  <c r="L127" i="19"/>
  <c r="M126" i="19"/>
  <c r="L126" i="19"/>
  <c r="M125" i="19"/>
  <c r="L125" i="19"/>
  <c r="M124" i="19"/>
  <c r="L124" i="19"/>
  <c r="M123" i="19"/>
  <c r="L123" i="19"/>
  <c r="M122" i="19"/>
  <c r="L122" i="19"/>
  <c r="M121" i="19"/>
  <c r="L121" i="19"/>
  <c r="M120" i="19"/>
  <c r="L120" i="19"/>
  <c r="M119" i="19"/>
  <c r="L119" i="19"/>
  <c r="M118" i="19"/>
  <c r="L118" i="19"/>
  <c r="M117" i="19"/>
  <c r="L117" i="19"/>
  <c r="M116" i="19"/>
  <c r="L116" i="19"/>
  <c r="M115" i="19"/>
  <c r="L115" i="19"/>
  <c r="M114" i="19"/>
  <c r="L114" i="19"/>
  <c r="M113" i="19"/>
  <c r="L113" i="19"/>
  <c r="M112" i="19"/>
  <c r="L112" i="19"/>
  <c r="M111" i="19"/>
  <c r="L111" i="19"/>
  <c r="M110" i="19"/>
  <c r="L110" i="19"/>
  <c r="M109" i="19"/>
  <c r="L109" i="19"/>
  <c r="M108" i="19"/>
  <c r="L108" i="19"/>
  <c r="M107" i="19"/>
  <c r="L107" i="19"/>
  <c r="M106" i="19"/>
  <c r="L106" i="19"/>
  <c r="M105" i="19"/>
  <c r="L105" i="19"/>
  <c r="M104" i="19"/>
  <c r="L104" i="19"/>
  <c r="M103" i="19"/>
  <c r="L103" i="19"/>
  <c r="M102" i="19"/>
  <c r="L102" i="19"/>
  <c r="M101" i="19"/>
  <c r="L101" i="19"/>
  <c r="M100" i="19"/>
  <c r="L100" i="19"/>
  <c r="M99" i="19"/>
  <c r="L99" i="19"/>
  <c r="M98" i="19"/>
  <c r="L98" i="19"/>
  <c r="M97" i="19"/>
  <c r="L97" i="19"/>
  <c r="M96" i="19"/>
  <c r="L96" i="19"/>
  <c r="M95" i="19"/>
  <c r="L95" i="19"/>
  <c r="M94" i="19"/>
  <c r="L94" i="19"/>
  <c r="M93" i="19"/>
  <c r="L93" i="19"/>
  <c r="M92" i="19"/>
  <c r="L92" i="19"/>
  <c r="M91" i="19"/>
  <c r="L91" i="19"/>
  <c r="M90" i="19"/>
  <c r="L90" i="19"/>
  <c r="M89" i="19"/>
  <c r="L89" i="19"/>
  <c r="M88" i="19"/>
  <c r="L88" i="19"/>
  <c r="M87" i="19"/>
  <c r="L87" i="19"/>
  <c r="M86" i="19"/>
  <c r="L86" i="19"/>
  <c r="M85" i="19"/>
  <c r="L85" i="19"/>
  <c r="M84" i="19"/>
  <c r="L84" i="19"/>
  <c r="M83" i="19"/>
  <c r="L83" i="19"/>
  <c r="M82" i="19"/>
  <c r="L82" i="19"/>
  <c r="M81" i="19"/>
  <c r="L81" i="19"/>
  <c r="M80" i="19"/>
  <c r="L80" i="19"/>
  <c r="M79" i="19"/>
  <c r="L79" i="19"/>
  <c r="M78" i="19"/>
  <c r="L78" i="19"/>
  <c r="M77" i="19"/>
  <c r="L77" i="19"/>
  <c r="M76" i="19"/>
  <c r="L76" i="19"/>
  <c r="M75" i="19"/>
  <c r="L75" i="19"/>
  <c r="M74" i="19"/>
  <c r="L74" i="19"/>
  <c r="M73" i="19"/>
  <c r="L73" i="19"/>
  <c r="M72" i="19"/>
  <c r="L72" i="19"/>
  <c r="M71" i="19"/>
  <c r="L71" i="19"/>
  <c r="M70" i="19"/>
  <c r="L70" i="19"/>
  <c r="M69" i="19"/>
  <c r="L69" i="19"/>
  <c r="M68" i="19"/>
  <c r="L68" i="19"/>
  <c r="M67" i="19"/>
  <c r="L67" i="19"/>
  <c r="M66" i="19"/>
  <c r="L66" i="19"/>
  <c r="M65" i="19"/>
  <c r="L65" i="19"/>
  <c r="M64" i="19"/>
  <c r="L64" i="19"/>
  <c r="M63" i="19"/>
  <c r="L63" i="19"/>
  <c r="M62" i="19"/>
  <c r="L62" i="19"/>
  <c r="M61" i="19"/>
  <c r="L61" i="19"/>
  <c r="M60" i="19"/>
  <c r="L60" i="19"/>
  <c r="M59" i="19"/>
  <c r="L59" i="19"/>
  <c r="M58" i="19"/>
  <c r="L58" i="19"/>
  <c r="M57" i="19"/>
  <c r="L57" i="19"/>
  <c r="M56" i="19"/>
  <c r="L56" i="19"/>
  <c r="M55" i="19"/>
  <c r="L55" i="19"/>
  <c r="M54" i="19"/>
  <c r="L54" i="19"/>
  <c r="M53" i="19"/>
  <c r="L53" i="19"/>
  <c r="M52" i="19"/>
  <c r="L52" i="19"/>
  <c r="M51" i="19"/>
  <c r="L51" i="19"/>
  <c r="M50" i="19"/>
  <c r="L50" i="19"/>
  <c r="M49" i="19"/>
  <c r="L49" i="19"/>
  <c r="M48" i="19"/>
  <c r="L48" i="19"/>
  <c r="M47" i="19"/>
  <c r="L47" i="19"/>
  <c r="M46" i="19"/>
  <c r="L46" i="19"/>
  <c r="M45" i="19"/>
  <c r="L45" i="19"/>
  <c r="M44" i="19"/>
  <c r="L44" i="19"/>
  <c r="M43" i="19"/>
  <c r="L43" i="19"/>
  <c r="M42" i="19"/>
  <c r="L42" i="19"/>
  <c r="M41" i="19"/>
  <c r="L41" i="19"/>
  <c r="M40" i="19"/>
  <c r="L40" i="19"/>
  <c r="M39" i="19"/>
  <c r="L39" i="19"/>
  <c r="M38" i="19"/>
  <c r="L38" i="19"/>
  <c r="M37" i="19"/>
  <c r="L37" i="19"/>
  <c r="M36" i="19"/>
  <c r="L36" i="19"/>
  <c r="M35" i="19"/>
  <c r="L35" i="19"/>
  <c r="M34" i="19"/>
  <c r="L34" i="19"/>
  <c r="M33" i="19"/>
  <c r="L33" i="19"/>
  <c r="M32" i="19"/>
  <c r="L32" i="19"/>
  <c r="M31" i="19"/>
  <c r="L31" i="19"/>
  <c r="M30" i="19"/>
  <c r="L30" i="19"/>
  <c r="M29" i="19"/>
  <c r="L29" i="19"/>
  <c r="M28" i="19"/>
  <c r="L28" i="19"/>
  <c r="M27" i="19"/>
  <c r="L27" i="19"/>
  <c r="M26" i="19"/>
  <c r="L26" i="19"/>
  <c r="M25" i="19"/>
  <c r="L25" i="19"/>
  <c r="M24" i="19"/>
  <c r="L24" i="19"/>
  <c r="M23" i="19"/>
  <c r="L23" i="19"/>
  <c r="M22" i="19"/>
  <c r="L22" i="19"/>
  <c r="M21" i="19"/>
  <c r="L21" i="19"/>
  <c r="M20" i="19"/>
  <c r="L20" i="19"/>
  <c r="M19" i="19"/>
  <c r="L19" i="19"/>
  <c r="M18" i="19"/>
  <c r="L18" i="19"/>
  <c r="M17" i="19"/>
  <c r="L17" i="19"/>
  <c r="M16" i="19"/>
  <c r="L16" i="19"/>
  <c r="M15" i="19"/>
  <c r="L15" i="19"/>
  <c r="M14" i="19"/>
  <c r="L14" i="19"/>
  <c r="M13" i="19"/>
  <c r="L13" i="19"/>
  <c r="M12" i="19"/>
  <c r="L12" i="19"/>
  <c r="M11" i="19"/>
  <c r="L11" i="19"/>
  <c r="M10" i="19"/>
  <c r="L10" i="19"/>
  <c r="M9" i="19"/>
  <c r="L9" i="19"/>
  <c r="M8" i="19"/>
  <c r="L8" i="19"/>
  <c r="M7" i="19"/>
  <c r="L7" i="19"/>
  <c r="M6" i="19"/>
  <c r="L6" i="19"/>
  <c r="M5" i="19"/>
  <c r="L5" i="19"/>
  <c r="M4" i="19"/>
  <c r="L4" i="19"/>
  <c r="M3" i="19"/>
  <c r="L3" i="19"/>
  <c r="M2" i="19"/>
  <c r="L2" i="19"/>
  <c r="M200" i="20"/>
  <c r="L200" i="20"/>
  <c r="M199" i="20"/>
  <c r="L199" i="20"/>
  <c r="M198" i="20"/>
  <c r="L198" i="20"/>
  <c r="M197" i="20"/>
  <c r="L197" i="20"/>
  <c r="M196" i="20"/>
  <c r="L196" i="20"/>
  <c r="M195" i="20"/>
  <c r="L195" i="20"/>
  <c r="M194" i="20"/>
  <c r="L194" i="20"/>
  <c r="M193" i="20"/>
  <c r="L193" i="20"/>
  <c r="M192" i="20"/>
  <c r="L192" i="20"/>
  <c r="M191" i="20"/>
  <c r="L191" i="20"/>
  <c r="M190" i="20"/>
  <c r="L190" i="20"/>
  <c r="M189" i="20"/>
  <c r="L189" i="20"/>
  <c r="M188" i="20"/>
  <c r="L188" i="20"/>
  <c r="M187" i="20"/>
  <c r="L187" i="20"/>
  <c r="M186" i="20"/>
  <c r="L186" i="20"/>
  <c r="M185" i="20"/>
  <c r="L185" i="20"/>
  <c r="M184" i="20"/>
  <c r="L184" i="20"/>
  <c r="M183" i="20"/>
  <c r="L183" i="20"/>
  <c r="M182" i="20"/>
  <c r="L182" i="20"/>
  <c r="M181" i="20"/>
  <c r="L181" i="20"/>
  <c r="M180" i="20"/>
  <c r="L180" i="20"/>
  <c r="M179" i="20"/>
  <c r="L179" i="20"/>
  <c r="M178" i="20"/>
  <c r="L178" i="20"/>
  <c r="M177" i="20"/>
  <c r="L177" i="20"/>
  <c r="M176" i="20"/>
  <c r="L176" i="20"/>
  <c r="M175" i="20"/>
  <c r="L175" i="20"/>
  <c r="M174" i="20"/>
  <c r="L174" i="20"/>
  <c r="M173" i="20"/>
  <c r="L173" i="20"/>
  <c r="M172" i="20"/>
  <c r="L172" i="20"/>
  <c r="M171" i="20"/>
  <c r="L171" i="20"/>
  <c r="M170" i="20"/>
  <c r="L170" i="20"/>
  <c r="M169" i="20"/>
  <c r="L169" i="20"/>
  <c r="M168" i="20"/>
  <c r="L168" i="20"/>
  <c r="M167" i="20"/>
  <c r="L167" i="20"/>
  <c r="M166" i="20"/>
  <c r="L166" i="20"/>
  <c r="M165" i="20"/>
  <c r="L165" i="20"/>
  <c r="M164" i="20"/>
  <c r="L164" i="20"/>
  <c r="M163" i="20"/>
  <c r="L163" i="20"/>
  <c r="M162" i="20"/>
  <c r="L162" i="20"/>
  <c r="M161" i="20"/>
  <c r="L161" i="20"/>
  <c r="M160" i="20"/>
  <c r="L160" i="20"/>
  <c r="M159" i="20"/>
  <c r="L159" i="20"/>
  <c r="M158" i="20"/>
  <c r="L158" i="20"/>
  <c r="M157" i="20"/>
  <c r="L157" i="20"/>
  <c r="M156" i="20"/>
  <c r="L156" i="20"/>
  <c r="M155" i="20"/>
  <c r="L155" i="20"/>
  <c r="M154" i="20"/>
  <c r="L154" i="20"/>
  <c r="M153" i="20"/>
  <c r="L153" i="20"/>
  <c r="M152" i="20"/>
  <c r="L152" i="20"/>
  <c r="M151" i="20"/>
  <c r="L151" i="20"/>
  <c r="M150" i="20"/>
  <c r="L150" i="20"/>
  <c r="M149" i="20"/>
  <c r="L149" i="20"/>
  <c r="M148" i="20"/>
  <c r="L148" i="20"/>
  <c r="M147" i="20"/>
  <c r="L147" i="20"/>
  <c r="M146" i="20"/>
  <c r="L146" i="20"/>
  <c r="M145" i="20"/>
  <c r="L145" i="20"/>
  <c r="M144" i="20"/>
  <c r="L144" i="20"/>
  <c r="M143" i="20"/>
  <c r="L143" i="20"/>
  <c r="M142" i="20"/>
  <c r="L142" i="20"/>
  <c r="M141" i="20"/>
  <c r="L141" i="20"/>
  <c r="M140" i="20"/>
  <c r="L140" i="20"/>
  <c r="M139" i="20"/>
  <c r="L139" i="20"/>
  <c r="M138" i="20"/>
  <c r="L138" i="20"/>
  <c r="M137" i="20"/>
  <c r="L137" i="20"/>
  <c r="M136" i="20"/>
  <c r="L136" i="20"/>
  <c r="M135" i="20"/>
  <c r="L135" i="20"/>
  <c r="M134" i="20"/>
  <c r="L134" i="20"/>
  <c r="M133" i="20"/>
  <c r="L133" i="20"/>
  <c r="M132" i="20"/>
  <c r="L132" i="20"/>
  <c r="M131" i="20"/>
  <c r="L131" i="20"/>
  <c r="M130" i="20"/>
  <c r="L130" i="20"/>
  <c r="M129" i="20"/>
  <c r="L129" i="20"/>
  <c r="M128" i="20"/>
  <c r="L128" i="20"/>
  <c r="M127" i="20"/>
  <c r="L127" i="20"/>
  <c r="M126" i="20"/>
  <c r="L126" i="20"/>
  <c r="M125" i="20"/>
  <c r="L125" i="20"/>
  <c r="M124" i="20"/>
  <c r="L124" i="20"/>
  <c r="M123" i="20"/>
  <c r="L123" i="20"/>
  <c r="M122" i="20"/>
  <c r="L122" i="20"/>
  <c r="M121" i="20"/>
  <c r="L121" i="20"/>
  <c r="M120" i="20"/>
  <c r="L120" i="20"/>
  <c r="M119" i="20"/>
  <c r="L119" i="20"/>
  <c r="M118" i="20"/>
  <c r="L118" i="20"/>
  <c r="M117" i="20"/>
  <c r="L117" i="20"/>
  <c r="M116" i="20"/>
  <c r="L116" i="20"/>
  <c r="M115" i="20"/>
  <c r="L115" i="20"/>
  <c r="M114" i="20"/>
  <c r="L114" i="20"/>
  <c r="M113" i="20"/>
  <c r="L113" i="20"/>
  <c r="M112" i="20"/>
  <c r="L112" i="20"/>
  <c r="M111" i="20"/>
  <c r="L111" i="20"/>
  <c r="M110" i="20"/>
  <c r="L110" i="20"/>
  <c r="M109" i="20"/>
  <c r="L109" i="20"/>
  <c r="M108" i="20"/>
  <c r="L108" i="20"/>
  <c r="M107" i="20"/>
  <c r="L107" i="20"/>
  <c r="M106" i="20"/>
  <c r="L106" i="20"/>
  <c r="M105" i="20"/>
  <c r="L105" i="20"/>
  <c r="M104" i="20"/>
  <c r="L104" i="20"/>
  <c r="M103" i="20"/>
  <c r="L103" i="20"/>
  <c r="M102" i="20"/>
  <c r="L102" i="20"/>
  <c r="M101" i="20"/>
  <c r="L101" i="20"/>
  <c r="M100" i="20"/>
  <c r="L100" i="20"/>
  <c r="M99" i="20"/>
  <c r="L99" i="20"/>
  <c r="M98" i="20"/>
  <c r="L98" i="20"/>
  <c r="M97" i="20"/>
  <c r="L97" i="20"/>
  <c r="M96" i="20"/>
  <c r="L96" i="20"/>
  <c r="M95" i="20"/>
  <c r="L95" i="20"/>
  <c r="M94" i="20"/>
  <c r="L94" i="20"/>
  <c r="M93" i="20"/>
  <c r="L93" i="20"/>
  <c r="M92" i="20"/>
  <c r="L92" i="20"/>
  <c r="M91" i="20"/>
  <c r="L91" i="20"/>
  <c r="M90" i="20"/>
  <c r="L90" i="20"/>
  <c r="M89" i="20"/>
  <c r="L89" i="20"/>
  <c r="M88" i="20"/>
  <c r="L88" i="20"/>
  <c r="M87" i="20"/>
  <c r="L87" i="20"/>
  <c r="M86" i="20"/>
  <c r="L86" i="20"/>
  <c r="M85" i="20"/>
  <c r="L85" i="20"/>
  <c r="M84" i="20"/>
  <c r="L84" i="20"/>
  <c r="M83" i="20"/>
  <c r="L83" i="20"/>
  <c r="M82" i="20"/>
  <c r="L82" i="20"/>
  <c r="M81" i="20"/>
  <c r="L81" i="20"/>
  <c r="M80" i="20"/>
  <c r="L80" i="20"/>
  <c r="M79" i="20"/>
  <c r="L79" i="20"/>
  <c r="M78" i="20"/>
  <c r="L78" i="20"/>
  <c r="M77" i="20"/>
  <c r="L77" i="20"/>
  <c r="M76" i="20"/>
  <c r="L76" i="20"/>
  <c r="M75" i="20"/>
  <c r="L75" i="20"/>
  <c r="M74" i="20"/>
  <c r="L74" i="20"/>
  <c r="M73" i="20"/>
  <c r="L73" i="20"/>
  <c r="M72" i="20"/>
  <c r="L72" i="20"/>
  <c r="M71" i="20"/>
  <c r="L71" i="20"/>
  <c r="M70" i="20"/>
  <c r="L70" i="20"/>
  <c r="M69" i="20"/>
  <c r="L69" i="20"/>
  <c r="M68" i="20"/>
  <c r="L68" i="20"/>
  <c r="M67" i="20"/>
  <c r="L67" i="20"/>
  <c r="M66" i="20"/>
  <c r="L66" i="20"/>
  <c r="M65" i="20"/>
  <c r="L65" i="20"/>
  <c r="M64" i="20"/>
  <c r="L64" i="20"/>
  <c r="M63" i="20"/>
  <c r="L63" i="20"/>
  <c r="M62" i="20"/>
  <c r="L62" i="20"/>
  <c r="M61" i="20"/>
  <c r="L61" i="20"/>
  <c r="M60" i="20"/>
  <c r="L60" i="20"/>
  <c r="M59" i="20"/>
  <c r="L59" i="20"/>
  <c r="M58" i="20"/>
  <c r="L58" i="20"/>
  <c r="M57" i="20"/>
  <c r="L57" i="20"/>
  <c r="M56" i="20"/>
  <c r="L56" i="20"/>
  <c r="M55" i="20"/>
  <c r="L55" i="20"/>
  <c r="M54" i="20"/>
  <c r="L54" i="20"/>
  <c r="M53" i="20"/>
  <c r="L53" i="20"/>
  <c r="M52" i="20"/>
  <c r="L52" i="20"/>
  <c r="M51" i="20"/>
  <c r="L51" i="20"/>
  <c r="M50" i="20"/>
  <c r="L50" i="20"/>
  <c r="M49" i="20"/>
  <c r="L49" i="20"/>
  <c r="M48" i="20"/>
  <c r="L48" i="20"/>
  <c r="M47" i="20"/>
  <c r="L47" i="20"/>
  <c r="M46" i="20"/>
  <c r="L46" i="20"/>
  <c r="M45" i="20"/>
  <c r="L45" i="20"/>
  <c r="M44" i="20"/>
  <c r="L44" i="20"/>
  <c r="M43" i="20"/>
  <c r="L43" i="20"/>
  <c r="M42" i="20"/>
  <c r="L42" i="20"/>
  <c r="M41" i="20"/>
  <c r="L41" i="20"/>
  <c r="M40" i="20"/>
  <c r="L40" i="20"/>
  <c r="M39" i="20"/>
  <c r="L39" i="20"/>
  <c r="M38" i="20"/>
  <c r="L38" i="20"/>
  <c r="M37" i="20"/>
  <c r="L37" i="20"/>
  <c r="M36" i="20"/>
  <c r="L36" i="20"/>
  <c r="M35" i="20"/>
  <c r="L35" i="20"/>
  <c r="M34" i="20"/>
  <c r="L34" i="20"/>
  <c r="M33" i="20"/>
  <c r="L33" i="20"/>
  <c r="M32" i="20"/>
  <c r="L32" i="20"/>
  <c r="M31" i="20"/>
  <c r="L31" i="20"/>
  <c r="M30" i="20"/>
  <c r="L30" i="20"/>
  <c r="M29" i="20"/>
  <c r="L29" i="20"/>
  <c r="M28" i="20"/>
  <c r="L28" i="20"/>
  <c r="M27" i="20"/>
  <c r="L27" i="20"/>
  <c r="M26" i="20"/>
  <c r="L26" i="20"/>
  <c r="M25" i="20"/>
  <c r="L25" i="20"/>
  <c r="M24" i="20"/>
  <c r="L24" i="20"/>
  <c r="M23" i="20"/>
  <c r="L23" i="20"/>
  <c r="M22" i="20"/>
  <c r="L22" i="20"/>
  <c r="M21" i="20"/>
  <c r="L21" i="20"/>
  <c r="M20" i="20"/>
  <c r="L20" i="20"/>
  <c r="M19" i="20"/>
  <c r="L19" i="20"/>
  <c r="M18" i="20"/>
  <c r="L18" i="20"/>
  <c r="M17" i="20"/>
  <c r="L17" i="20"/>
  <c r="M16" i="20"/>
  <c r="L16" i="20"/>
  <c r="M15" i="20"/>
  <c r="L15" i="20"/>
  <c r="M14" i="20"/>
  <c r="L14" i="20"/>
  <c r="M13" i="20"/>
  <c r="L13" i="20"/>
  <c r="M12" i="20"/>
  <c r="L12" i="20"/>
  <c r="M11" i="20"/>
  <c r="L11" i="20"/>
  <c r="M10" i="20"/>
  <c r="L10" i="20"/>
  <c r="M9" i="20"/>
  <c r="L9" i="20"/>
  <c r="M8" i="20"/>
  <c r="L8" i="20"/>
  <c r="M7" i="20"/>
  <c r="L7" i="20"/>
  <c r="M6" i="20"/>
  <c r="L6" i="20"/>
  <c r="M5" i="20"/>
  <c r="L5" i="20"/>
  <c r="M4" i="20"/>
  <c r="L4" i="20"/>
  <c r="M3" i="20"/>
  <c r="L3" i="20"/>
  <c r="M2" i="20"/>
  <c r="L2" i="20"/>
  <c r="M200" i="21"/>
  <c r="L200" i="21"/>
  <c r="M199" i="21"/>
  <c r="L199" i="21"/>
  <c r="M198" i="21"/>
  <c r="L198" i="21"/>
  <c r="M197" i="21"/>
  <c r="L197" i="21"/>
  <c r="M196" i="21"/>
  <c r="L196" i="21"/>
  <c r="M195" i="21"/>
  <c r="L195" i="21"/>
  <c r="M194" i="21"/>
  <c r="L194" i="21"/>
  <c r="M193" i="21"/>
  <c r="L193" i="21"/>
  <c r="M192" i="21"/>
  <c r="L192" i="21"/>
  <c r="M191" i="21"/>
  <c r="L191" i="21"/>
  <c r="M190" i="21"/>
  <c r="L190" i="21"/>
  <c r="M189" i="21"/>
  <c r="L189" i="21"/>
  <c r="M188" i="21"/>
  <c r="L188" i="21"/>
  <c r="M187" i="21"/>
  <c r="L187" i="21"/>
  <c r="M186" i="21"/>
  <c r="L186" i="21"/>
  <c r="M185" i="21"/>
  <c r="L185" i="21"/>
  <c r="M184" i="21"/>
  <c r="L184" i="21"/>
  <c r="M183" i="21"/>
  <c r="L183" i="21"/>
  <c r="M182" i="21"/>
  <c r="L182" i="21"/>
  <c r="M181" i="21"/>
  <c r="L181" i="21"/>
  <c r="M180" i="21"/>
  <c r="L180" i="21"/>
  <c r="M179" i="21"/>
  <c r="L179" i="21"/>
  <c r="M178" i="21"/>
  <c r="L178" i="21"/>
  <c r="M177" i="21"/>
  <c r="L177" i="21"/>
  <c r="M176" i="21"/>
  <c r="L176" i="21"/>
  <c r="M175" i="21"/>
  <c r="L175" i="21"/>
  <c r="M174" i="21"/>
  <c r="L174" i="21"/>
  <c r="M173" i="21"/>
  <c r="L173" i="21"/>
  <c r="M172" i="21"/>
  <c r="L172" i="21"/>
  <c r="M171" i="21"/>
  <c r="L171" i="21"/>
  <c r="M170" i="21"/>
  <c r="L170" i="21"/>
  <c r="M169" i="21"/>
  <c r="L169" i="21"/>
  <c r="M168" i="21"/>
  <c r="L168" i="21"/>
  <c r="M167" i="21"/>
  <c r="L167" i="21"/>
  <c r="M166" i="21"/>
  <c r="L166" i="21"/>
  <c r="M165" i="21"/>
  <c r="L165" i="21"/>
  <c r="M164" i="21"/>
  <c r="L164" i="21"/>
  <c r="M163" i="21"/>
  <c r="L163" i="21"/>
  <c r="M162" i="21"/>
  <c r="L162" i="21"/>
  <c r="M161" i="21"/>
  <c r="L161" i="21"/>
  <c r="M160" i="21"/>
  <c r="L160" i="21"/>
  <c r="M159" i="21"/>
  <c r="L159" i="21"/>
  <c r="M158" i="21"/>
  <c r="L158" i="21"/>
  <c r="M157" i="21"/>
  <c r="L157" i="21"/>
  <c r="M156" i="21"/>
  <c r="L156" i="21"/>
  <c r="M155" i="21"/>
  <c r="L155" i="21"/>
  <c r="M154" i="21"/>
  <c r="L154" i="21"/>
  <c r="M153" i="21"/>
  <c r="L153" i="21"/>
  <c r="M152" i="21"/>
  <c r="L152" i="21"/>
  <c r="M151" i="21"/>
  <c r="L151" i="21"/>
  <c r="M150" i="21"/>
  <c r="L150" i="21"/>
  <c r="M149" i="21"/>
  <c r="L149" i="21"/>
  <c r="M148" i="21"/>
  <c r="L148" i="21"/>
  <c r="M147" i="21"/>
  <c r="L147" i="21"/>
  <c r="M146" i="21"/>
  <c r="L146" i="21"/>
  <c r="M145" i="21"/>
  <c r="L145" i="21"/>
  <c r="M144" i="21"/>
  <c r="L144" i="21"/>
  <c r="M143" i="21"/>
  <c r="L143" i="21"/>
  <c r="M142" i="21"/>
  <c r="L142" i="21"/>
  <c r="M141" i="21"/>
  <c r="L141" i="21"/>
  <c r="M140" i="21"/>
  <c r="L140" i="21"/>
  <c r="M139" i="21"/>
  <c r="L139" i="21"/>
  <c r="M138" i="21"/>
  <c r="L138" i="21"/>
  <c r="M137" i="21"/>
  <c r="L137" i="21"/>
  <c r="M136" i="21"/>
  <c r="L136" i="21"/>
  <c r="M135" i="21"/>
  <c r="L135" i="21"/>
  <c r="M134" i="21"/>
  <c r="L134" i="21"/>
  <c r="M133" i="21"/>
  <c r="L133" i="21"/>
  <c r="M132" i="21"/>
  <c r="L132" i="21"/>
  <c r="M131" i="21"/>
  <c r="L131" i="21"/>
  <c r="M130" i="21"/>
  <c r="L130" i="21"/>
  <c r="M129" i="21"/>
  <c r="L129" i="21"/>
  <c r="M128" i="21"/>
  <c r="L128" i="21"/>
  <c r="M127" i="21"/>
  <c r="L127" i="21"/>
  <c r="M126" i="21"/>
  <c r="L126" i="21"/>
  <c r="M125" i="21"/>
  <c r="L125" i="21"/>
  <c r="M124" i="21"/>
  <c r="L124" i="21"/>
  <c r="M123" i="21"/>
  <c r="L123" i="21"/>
  <c r="M122" i="21"/>
  <c r="L122" i="21"/>
  <c r="M121" i="21"/>
  <c r="L121" i="21"/>
  <c r="M120" i="21"/>
  <c r="L120" i="21"/>
  <c r="M119" i="21"/>
  <c r="L119" i="21"/>
  <c r="M118" i="21"/>
  <c r="L118" i="21"/>
  <c r="M117" i="21"/>
  <c r="L117" i="21"/>
  <c r="M116" i="21"/>
  <c r="L116" i="21"/>
  <c r="M115" i="21"/>
  <c r="L115" i="21"/>
  <c r="M114" i="21"/>
  <c r="L114" i="21"/>
  <c r="M113" i="21"/>
  <c r="L113" i="21"/>
  <c r="M112" i="21"/>
  <c r="L112" i="21"/>
  <c r="M111" i="21"/>
  <c r="L111" i="21"/>
  <c r="M110" i="21"/>
  <c r="L110" i="21"/>
  <c r="M109" i="21"/>
  <c r="L109" i="21"/>
  <c r="M108" i="21"/>
  <c r="L108" i="21"/>
  <c r="M107" i="21"/>
  <c r="L107" i="21"/>
  <c r="M106" i="21"/>
  <c r="L106" i="21"/>
  <c r="M105" i="21"/>
  <c r="L105" i="21"/>
  <c r="M104" i="21"/>
  <c r="L104" i="21"/>
  <c r="M103" i="21"/>
  <c r="L103" i="21"/>
  <c r="M102" i="21"/>
  <c r="L102" i="21"/>
  <c r="M101" i="21"/>
  <c r="L101" i="21"/>
  <c r="M100" i="21"/>
  <c r="L100" i="21"/>
  <c r="M99" i="21"/>
  <c r="L99" i="21"/>
  <c r="M98" i="21"/>
  <c r="L98" i="21"/>
  <c r="M97" i="21"/>
  <c r="L97" i="21"/>
  <c r="M96" i="21"/>
  <c r="L96" i="21"/>
  <c r="M95" i="21"/>
  <c r="L95" i="21"/>
  <c r="M94" i="21"/>
  <c r="L94" i="21"/>
  <c r="M93" i="21"/>
  <c r="L93" i="21"/>
  <c r="M92" i="21"/>
  <c r="L92" i="21"/>
  <c r="M91" i="21"/>
  <c r="L91" i="21"/>
  <c r="M90" i="21"/>
  <c r="L90" i="21"/>
  <c r="M89" i="21"/>
  <c r="L89" i="21"/>
  <c r="M88" i="21"/>
  <c r="L88" i="21"/>
  <c r="M87" i="21"/>
  <c r="L87" i="21"/>
  <c r="M86" i="21"/>
  <c r="L86" i="21"/>
  <c r="M85" i="21"/>
  <c r="L85" i="21"/>
  <c r="M84" i="21"/>
  <c r="L84" i="21"/>
  <c r="M83" i="21"/>
  <c r="L83" i="21"/>
  <c r="M82" i="21"/>
  <c r="L82" i="21"/>
  <c r="M81" i="21"/>
  <c r="L81" i="21"/>
  <c r="M80" i="21"/>
  <c r="L80" i="21"/>
  <c r="M79" i="21"/>
  <c r="L79" i="21"/>
  <c r="M78" i="21"/>
  <c r="L78" i="21"/>
  <c r="M77" i="21"/>
  <c r="L77" i="21"/>
  <c r="M76" i="21"/>
  <c r="L76" i="21"/>
  <c r="M75" i="21"/>
  <c r="L75" i="21"/>
  <c r="M74" i="21"/>
  <c r="L74" i="21"/>
  <c r="M73" i="21"/>
  <c r="L73" i="21"/>
  <c r="M72" i="21"/>
  <c r="L72" i="21"/>
  <c r="M71" i="21"/>
  <c r="L71" i="21"/>
  <c r="M70" i="21"/>
  <c r="L70" i="21"/>
  <c r="M69" i="21"/>
  <c r="L69" i="21"/>
  <c r="M68" i="21"/>
  <c r="L68" i="21"/>
  <c r="M67" i="21"/>
  <c r="L67" i="21"/>
  <c r="M66" i="21"/>
  <c r="L66" i="21"/>
  <c r="M65" i="21"/>
  <c r="L65" i="21"/>
  <c r="M64" i="21"/>
  <c r="L64" i="21"/>
  <c r="M63" i="21"/>
  <c r="L63" i="21"/>
  <c r="M62" i="21"/>
  <c r="L62" i="21"/>
  <c r="M61" i="21"/>
  <c r="L61" i="21"/>
  <c r="M60" i="21"/>
  <c r="L60" i="21"/>
  <c r="M59" i="21"/>
  <c r="L59" i="21"/>
  <c r="M58" i="21"/>
  <c r="L58" i="21"/>
  <c r="M57" i="21"/>
  <c r="L57" i="21"/>
  <c r="M56" i="21"/>
  <c r="L56" i="21"/>
  <c r="M55" i="21"/>
  <c r="L55" i="21"/>
  <c r="M54" i="21"/>
  <c r="L54" i="21"/>
  <c r="M53" i="21"/>
  <c r="L53" i="21"/>
  <c r="M52" i="21"/>
  <c r="L52" i="21"/>
  <c r="M51" i="21"/>
  <c r="L51" i="21"/>
  <c r="M50" i="21"/>
  <c r="L50" i="21"/>
  <c r="M49" i="21"/>
  <c r="L49" i="21"/>
  <c r="M48" i="21"/>
  <c r="L48" i="21"/>
  <c r="M47" i="21"/>
  <c r="L47" i="21"/>
  <c r="M46" i="21"/>
  <c r="L46" i="21"/>
  <c r="M45" i="21"/>
  <c r="L45" i="21"/>
  <c r="M44" i="21"/>
  <c r="L44" i="21"/>
  <c r="M43" i="21"/>
  <c r="L43" i="21"/>
  <c r="M42" i="21"/>
  <c r="L42" i="21"/>
  <c r="M41" i="21"/>
  <c r="L41" i="21"/>
  <c r="M40" i="21"/>
  <c r="L40" i="21"/>
  <c r="M39" i="21"/>
  <c r="L39" i="21"/>
  <c r="M38" i="21"/>
  <c r="L38" i="21"/>
  <c r="M37" i="21"/>
  <c r="L37" i="21"/>
  <c r="M36" i="21"/>
  <c r="L36" i="21"/>
  <c r="M35" i="21"/>
  <c r="L35" i="21"/>
  <c r="M34" i="21"/>
  <c r="L34" i="21"/>
  <c r="M33" i="21"/>
  <c r="L33" i="21"/>
  <c r="M32" i="21"/>
  <c r="L32" i="21"/>
  <c r="M31" i="21"/>
  <c r="L31" i="21"/>
  <c r="M30" i="21"/>
  <c r="L30" i="21"/>
  <c r="M29" i="21"/>
  <c r="L29" i="21"/>
  <c r="M28" i="21"/>
  <c r="L28" i="21"/>
  <c r="M27" i="21"/>
  <c r="L27" i="21"/>
  <c r="M26" i="21"/>
  <c r="L26" i="21"/>
  <c r="M25" i="21"/>
  <c r="L25" i="21"/>
  <c r="M24" i="21"/>
  <c r="L24" i="21"/>
  <c r="M23" i="21"/>
  <c r="L23" i="21"/>
  <c r="M22" i="21"/>
  <c r="L22" i="21"/>
  <c r="M21" i="21"/>
  <c r="L21" i="21"/>
  <c r="M20" i="21"/>
  <c r="L20" i="21"/>
  <c r="M19" i="21"/>
  <c r="L19" i="21"/>
  <c r="M18" i="21"/>
  <c r="L18" i="21"/>
  <c r="M17" i="21"/>
  <c r="L17" i="21"/>
  <c r="M16" i="21"/>
  <c r="L16" i="21"/>
  <c r="M15" i="21"/>
  <c r="L15" i="21"/>
  <c r="M14" i="21"/>
  <c r="L14" i="21"/>
  <c r="M13" i="21"/>
  <c r="L13" i="21"/>
  <c r="M12" i="21"/>
  <c r="L12" i="21"/>
  <c r="M11" i="21"/>
  <c r="L11" i="21"/>
  <c r="M10" i="21"/>
  <c r="L10" i="21"/>
  <c r="M9" i="21"/>
  <c r="L9" i="21"/>
  <c r="M8" i="21"/>
  <c r="L8" i="21"/>
  <c r="M7" i="21"/>
  <c r="L7" i="21"/>
  <c r="M6" i="21"/>
  <c r="L6" i="21"/>
  <c r="M5" i="21"/>
  <c r="L5" i="21"/>
  <c r="M4" i="21"/>
  <c r="L4" i="21"/>
  <c r="M3" i="21"/>
  <c r="L3" i="21"/>
  <c r="M2" i="21"/>
  <c r="L2" i="21"/>
  <c r="M200" i="22"/>
  <c r="L200" i="22"/>
  <c r="M199" i="22"/>
  <c r="L199" i="22"/>
  <c r="M198" i="22"/>
  <c r="L198" i="22"/>
  <c r="M197" i="22"/>
  <c r="L197" i="22"/>
  <c r="M196" i="22"/>
  <c r="L196" i="22"/>
  <c r="M195" i="22"/>
  <c r="L195" i="22"/>
  <c r="M194" i="22"/>
  <c r="L194" i="22"/>
  <c r="M193" i="22"/>
  <c r="L193" i="22"/>
  <c r="M192" i="22"/>
  <c r="L192" i="22"/>
  <c r="M191" i="22"/>
  <c r="L191" i="22"/>
  <c r="M190" i="22"/>
  <c r="L190" i="22"/>
  <c r="M189" i="22"/>
  <c r="L189" i="22"/>
  <c r="M188" i="22"/>
  <c r="L188" i="22"/>
  <c r="M187" i="22"/>
  <c r="L187" i="22"/>
  <c r="M186" i="22"/>
  <c r="L186" i="22"/>
  <c r="M185" i="22"/>
  <c r="L185" i="22"/>
  <c r="M184" i="22"/>
  <c r="L184" i="22"/>
  <c r="M183" i="22"/>
  <c r="L183" i="22"/>
  <c r="M182" i="22"/>
  <c r="L182" i="22"/>
  <c r="M181" i="22"/>
  <c r="L181" i="22"/>
  <c r="M180" i="22"/>
  <c r="L180" i="22"/>
  <c r="M179" i="22"/>
  <c r="L179" i="22"/>
  <c r="M178" i="22"/>
  <c r="L178" i="22"/>
  <c r="M177" i="22"/>
  <c r="L177" i="22"/>
  <c r="M176" i="22"/>
  <c r="L176" i="22"/>
  <c r="M175" i="22"/>
  <c r="L175" i="22"/>
  <c r="M174" i="22"/>
  <c r="L174" i="22"/>
  <c r="M173" i="22"/>
  <c r="L173" i="22"/>
  <c r="M172" i="22"/>
  <c r="L172" i="22"/>
  <c r="M171" i="22"/>
  <c r="L171" i="22"/>
  <c r="M170" i="22"/>
  <c r="L170" i="22"/>
  <c r="M169" i="22"/>
  <c r="L169" i="22"/>
  <c r="M168" i="22"/>
  <c r="L168" i="22"/>
  <c r="M167" i="22"/>
  <c r="L167" i="22"/>
  <c r="M166" i="22"/>
  <c r="L166" i="22"/>
  <c r="M165" i="22"/>
  <c r="L165" i="22"/>
  <c r="M164" i="22"/>
  <c r="L164" i="22"/>
  <c r="M163" i="22"/>
  <c r="L163" i="22"/>
  <c r="M162" i="22"/>
  <c r="L162" i="22"/>
  <c r="M161" i="22"/>
  <c r="L161" i="22"/>
  <c r="M160" i="22"/>
  <c r="L160" i="22"/>
  <c r="M159" i="22"/>
  <c r="L159" i="22"/>
  <c r="M158" i="22"/>
  <c r="L158" i="22"/>
  <c r="M157" i="22"/>
  <c r="L157" i="22"/>
  <c r="M156" i="22"/>
  <c r="L156" i="22"/>
  <c r="M155" i="22"/>
  <c r="L155" i="22"/>
  <c r="M154" i="22"/>
  <c r="L154" i="22"/>
  <c r="M153" i="22"/>
  <c r="L153" i="22"/>
  <c r="M152" i="22"/>
  <c r="L152" i="22"/>
  <c r="M151" i="22"/>
  <c r="L151" i="22"/>
  <c r="M150" i="22"/>
  <c r="L150" i="22"/>
  <c r="M149" i="22"/>
  <c r="L149" i="22"/>
  <c r="M148" i="22"/>
  <c r="L148" i="22"/>
  <c r="M147" i="22"/>
  <c r="L147" i="22"/>
  <c r="M146" i="22"/>
  <c r="L146" i="22"/>
  <c r="M145" i="22"/>
  <c r="L145" i="22"/>
  <c r="M144" i="22"/>
  <c r="L144" i="22"/>
  <c r="M143" i="22"/>
  <c r="L143" i="22"/>
  <c r="M142" i="22"/>
  <c r="L142" i="22"/>
  <c r="M141" i="22"/>
  <c r="L141" i="22"/>
  <c r="M140" i="22"/>
  <c r="L140" i="22"/>
  <c r="M139" i="22"/>
  <c r="L139" i="22"/>
  <c r="M138" i="22"/>
  <c r="L138" i="22"/>
  <c r="M137" i="22"/>
  <c r="L137" i="22"/>
  <c r="M136" i="22"/>
  <c r="L136" i="22"/>
  <c r="M135" i="22"/>
  <c r="L135" i="22"/>
  <c r="M134" i="22"/>
  <c r="L134" i="22"/>
  <c r="M133" i="22"/>
  <c r="L133" i="22"/>
  <c r="M132" i="22"/>
  <c r="L132" i="22"/>
  <c r="M131" i="22"/>
  <c r="L131" i="22"/>
  <c r="M130" i="22"/>
  <c r="L130" i="22"/>
  <c r="M129" i="22"/>
  <c r="L129" i="22"/>
  <c r="M128" i="22"/>
  <c r="L128" i="22"/>
  <c r="M127" i="22"/>
  <c r="L127" i="22"/>
  <c r="M126" i="22"/>
  <c r="L126" i="22"/>
  <c r="M125" i="22"/>
  <c r="L125" i="22"/>
  <c r="M124" i="22"/>
  <c r="L124" i="22"/>
  <c r="M123" i="22"/>
  <c r="L123" i="22"/>
  <c r="M122" i="22"/>
  <c r="L122" i="22"/>
  <c r="M121" i="22"/>
  <c r="L121" i="22"/>
  <c r="M120" i="22"/>
  <c r="L120" i="22"/>
  <c r="M119" i="22"/>
  <c r="L119" i="22"/>
  <c r="M118" i="22"/>
  <c r="L118" i="22"/>
  <c r="M117" i="22"/>
  <c r="L117" i="22"/>
  <c r="M116" i="22"/>
  <c r="L116" i="22"/>
  <c r="M115" i="22"/>
  <c r="L115" i="22"/>
  <c r="M114" i="22"/>
  <c r="L114" i="22"/>
  <c r="M113" i="22"/>
  <c r="L113" i="22"/>
  <c r="M112" i="22"/>
  <c r="L112" i="22"/>
  <c r="M111" i="22"/>
  <c r="L111" i="22"/>
  <c r="M110" i="22"/>
  <c r="L110" i="22"/>
  <c r="M109" i="22"/>
  <c r="L109" i="22"/>
  <c r="M108" i="22"/>
  <c r="L108" i="22"/>
  <c r="M107" i="22"/>
  <c r="L107" i="22"/>
  <c r="M106" i="22"/>
  <c r="L106" i="22"/>
  <c r="M105" i="22"/>
  <c r="L105" i="22"/>
  <c r="M104" i="22"/>
  <c r="L104" i="22"/>
  <c r="M103" i="22"/>
  <c r="L103" i="22"/>
  <c r="M102" i="22"/>
  <c r="L102" i="22"/>
  <c r="M101" i="22"/>
  <c r="L101" i="22"/>
  <c r="M100" i="22"/>
  <c r="L100" i="22"/>
  <c r="M99" i="22"/>
  <c r="L99" i="22"/>
  <c r="M98" i="22"/>
  <c r="L98" i="22"/>
  <c r="M97" i="22"/>
  <c r="L97" i="22"/>
  <c r="M96" i="22"/>
  <c r="L96" i="22"/>
  <c r="M95" i="22"/>
  <c r="L95" i="22"/>
  <c r="M94" i="22"/>
  <c r="L94" i="22"/>
  <c r="M93" i="22"/>
  <c r="L93" i="22"/>
  <c r="M92" i="22"/>
  <c r="L92" i="22"/>
  <c r="M91" i="22"/>
  <c r="L91" i="22"/>
  <c r="M90" i="22"/>
  <c r="L90" i="22"/>
  <c r="M89" i="22"/>
  <c r="L89" i="22"/>
  <c r="M88" i="22"/>
  <c r="L88" i="22"/>
  <c r="M87" i="22"/>
  <c r="L87" i="22"/>
  <c r="M86" i="22"/>
  <c r="L86" i="22"/>
  <c r="M85" i="22"/>
  <c r="L85" i="22"/>
  <c r="M84" i="22"/>
  <c r="L84" i="22"/>
  <c r="M83" i="22"/>
  <c r="L83" i="22"/>
  <c r="M82" i="22"/>
  <c r="L82" i="22"/>
  <c r="M81" i="22"/>
  <c r="L81" i="22"/>
  <c r="M80" i="22"/>
  <c r="L80" i="22"/>
  <c r="M79" i="22"/>
  <c r="L79" i="22"/>
  <c r="M78" i="22"/>
  <c r="L78" i="22"/>
  <c r="M77" i="22"/>
  <c r="L77" i="22"/>
  <c r="M76" i="22"/>
  <c r="L76" i="22"/>
  <c r="M75" i="22"/>
  <c r="L75" i="22"/>
  <c r="M74" i="22"/>
  <c r="L74" i="22"/>
  <c r="M73" i="22"/>
  <c r="L73" i="22"/>
  <c r="M72" i="22"/>
  <c r="L72" i="22"/>
  <c r="M71" i="22"/>
  <c r="L71" i="22"/>
  <c r="M70" i="22"/>
  <c r="L70" i="22"/>
  <c r="M69" i="22"/>
  <c r="L69" i="22"/>
  <c r="M68" i="22"/>
  <c r="L68" i="22"/>
  <c r="M67" i="22"/>
  <c r="L67" i="22"/>
  <c r="M66" i="22"/>
  <c r="L66" i="22"/>
  <c r="M65" i="22"/>
  <c r="L65" i="22"/>
  <c r="M64" i="22"/>
  <c r="L64" i="22"/>
  <c r="M63" i="22"/>
  <c r="L63" i="22"/>
  <c r="M62" i="22"/>
  <c r="L62" i="22"/>
  <c r="M61" i="22"/>
  <c r="L61" i="22"/>
  <c r="M60" i="22"/>
  <c r="L60" i="22"/>
  <c r="M59" i="22"/>
  <c r="L59" i="22"/>
  <c r="M58" i="22"/>
  <c r="L58" i="22"/>
  <c r="M57" i="22"/>
  <c r="L57" i="22"/>
  <c r="M56" i="22"/>
  <c r="L56" i="22"/>
  <c r="M55" i="22"/>
  <c r="L55" i="22"/>
  <c r="M54" i="22"/>
  <c r="L54" i="22"/>
  <c r="M53" i="22"/>
  <c r="L53" i="22"/>
  <c r="M52" i="22"/>
  <c r="L52" i="22"/>
  <c r="M51" i="22"/>
  <c r="L51" i="22"/>
  <c r="M50" i="22"/>
  <c r="L50" i="22"/>
  <c r="M49" i="22"/>
  <c r="L49" i="22"/>
  <c r="M48" i="22"/>
  <c r="L48" i="22"/>
  <c r="M47" i="22"/>
  <c r="L47" i="22"/>
  <c r="M46" i="22"/>
  <c r="L46" i="22"/>
  <c r="M45" i="22"/>
  <c r="L45" i="22"/>
  <c r="M44" i="22"/>
  <c r="L44" i="22"/>
  <c r="M43" i="22"/>
  <c r="L43" i="22"/>
  <c r="M42" i="22"/>
  <c r="L42" i="22"/>
  <c r="M41" i="22"/>
  <c r="L41" i="22"/>
  <c r="M40" i="22"/>
  <c r="L40" i="22"/>
  <c r="M39" i="22"/>
  <c r="L39" i="22"/>
  <c r="M38" i="22"/>
  <c r="L38" i="22"/>
  <c r="M37" i="22"/>
  <c r="L37" i="22"/>
  <c r="M36" i="22"/>
  <c r="L36" i="22"/>
  <c r="M35" i="22"/>
  <c r="L35" i="22"/>
  <c r="M34" i="22"/>
  <c r="L34" i="22"/>
  <c r="M33" i="22"/>
  <c r="L33" i="22"/>
  <c r="M32" i="22"/>
  <c r="L32" i="22"/>
  <c r="M31" i="22"/>
  <c r="L31" i="22"/>
  <c r="M30" i="22"/>
  <c r="L30" i="22"/>
  <c r="M29" i="22"/>
  <c r="L29" i="22"/>
  <c r="M28" i="22"/>
  <c r="L28" i="22"/>
  <c r="M27" i="22"/>
  <c r="L27" i="22"/>
  <c r="M26" i="22"/>
  <c r="L26" i="22"/>
  <c r="M25" i="22"/>
  <c r="L25" i="22"/>
  <c r="M24" i="22"/>
  <c r="L24" i="22"/>
  <c r="M23" i="22"/>
  <c r="L23" i="22"/>
  <c r="M22" i="22"/>
  <c r="L22" i="22"/>
  <c r="M21" i="22"/>
  <c r="L21" i="22"/>
  <c r="M20" i="22"/>
  <c r="L20" i="22"/>
  <c r="M19" i="22"/>
  <c r="L19" i="22"/>
  <c r="M18" i="22"/>
  <c r="L18" i="22"/>
  <c r="M17" i="22"/>
  <c r="L17" i="22"/>
  <c r="M16" i="22"/>
  <c r="L16" i="22"/>
  <c r="M15" i="22"/>
  <c r="L15" i="22"/>
  <c r="M14" i="22"/>
  <c r="L14" i="22"/>
  <c r="M13" i="22"/>
  <c r="L13" i="22"/>
  <c r="M12" i="22"/>
  <c r="L12" i="22"/>
  <c r="M11" i="22"/>
  <c r="L11" i="22"/>
  <c r="M10" i="22"/>
  <c r="L10" i="22"/>
  <c r="M9" i="22"/>
  <c r="L9" i="22"/>
  <c r="M8" i="22"/>
  <c r="L8" i="22"/>
  <c r="M7" i="22"/>
  <c r="L7" i="22"/>
  <c r="M6" i="22"/>
  <c r="L6" i="22"/>
  <c r="M5" i="22"/>
  <c r="L5" i="22"/>
  <c r="M4" i="22"/>
  <c r="L4" i="22"/>
  <c r="M3" i="22"/>
  <c r="L3" i="22"/>
  <c r="M2" i="22"/>
  <c r="L2" i="22"/>
  <c r="M200" i="23"/>
  <c r="L200" i="23"/>
  <c r="M199" i="23"/>
  <c r="L199" i="23"/>
  <c r="M198" i="23"/>
  <c r="L198" i="23"/>
  <c r="M197" i="23"/>
  <c r="L197" i="23"/>
  <c r="M196" i="23"/>
  <c r="L196" i="23"/>
  <c r="M195" i="23"/>
  <c r="L195" i="23"/>
  <c r="M194" i="23"/>
  <c r="L194" i="23"/>
  <c r="M193" i="23"/>
  <c r="L193" i="23"/>
  <c r="M192" i="23"/>
  <c r="L192" i="23"/>
  <c r="M191" i="23"/>
  <c r="L191" i="23"/>
  <c r="M190" i="23"/>
  <c r="L190" i="23"/>
  <c r="M189" i="23"/>
  <c r="L189" i="23"/>
  <c r="M188" i="23"/>
  <c r="L188" i="23"/>
  <c r="M187" i="23"/>
  <c r="L187" i="23"/>
  <c r="M186" i="23"/>
  <c r="L186" i="23"/>
  <c r="M185" i="23"/>
  <c r="L185" i="23"/>
  <c r="M184" i="23"/>
  <c r="L184" i="23"/>
  <c r="M183" i="23"/>
  <c r="L183" i="23"/>
  <c r="M182" i="23"/>
  <c r="L182" i="23"/>
  <c r="M181" i="23"/>
  <c r="L181" i="23"/>
  <c r="M180" i="23"/>
  <c r="L180" i="23"/>
  <c r="M179" i="23"/>
  <c r="L179" i="23"/>
  <c r="M178" i="23"/>
  <c r="L178" i="23"/>
  <c r="M177" i="23"/>
  <c r="L177" i="23"/>
  <c r="M176" i="23"/>
  <c r="L176" i="23"/>
  <c r="M175" i="23"/>
  <c r="L175" i="23"/>
  <c r="M174" i="23"/>
  <c r="L174" i="23"/>
  <c r="M173" i="23"/>
  <c r="L173" i="23"/>
  <c r="M172" i="23"/>
  <c r="L172" i="23"/>
  <c r="M171" i="23"/>
  <c r="L171" i="23"/>
  <c r="M170" i="23"/>
  <c r="L170" i="23"/>
  <c r="M169" i="23"/>
  <c r="L169" i="23"/>
  <c r="M168" i="23"/>
  <c r="L168" i="23"/>
  <c r="M167" i="23"/>
  <c r="L167" i="23"/>
  <c r="M166" i="23"/>
  <c r="L166" i="23"/>
  <c r="M165" i="23"/>
  <c r="L165" i="23"/>
  <c r="M164" i="23"/>
  <c r="L164" i="23"/>
  <c r="M163" i="23"/>
  <c r="L163" i="23"/>
  <c r="M162" i="23"/>
  <c r="L162" i="23"/>
  <c r="M161" i="23"/>
  <c r="L161" i="23"/>
  <c r="M160" i="23"/>
  <c r="L160" i="23"/>
  <c r="M159" i="23"/>
  <c r="L159" i="23"/>
  <c r="M158" i="23"/>
  <c r="L158" i="23"/>
  <c r="M157" i="23"/>
  <c r="L157" i="23"/>
  <c r="M156" i="23"/>
  <c r="L156" i="23"/>
  <c r="M155" i="23"/>
  <c r="L155" i="23"/>
  <c r="M154" i="23"/>
  <c r="L154" i="23"/>
  <c r="M153" i="23"/>
  <c r="L153" i="23"/>
  <c r="M152" i="23"/>
  <c r="L152" i="23"/>
  <c r="M151" i="23"/>
  <c r="L151" i="23"/>
  <c r="M150" i="23"/>
  <c r="L150" i="23"/>
  <c r="M149" i="23"/>
  <c r="L149" i="23"/>
  <c r="M148" i="23"/>
  <c r="L148" i="23"/>
  <c r="M147" i="23"/>
  <c r="L147" i="23"/>
  <c r="M146" i="23"/>
  <c r="L146" i="23"/>
  <c r="M145" i="23"/>
  <c r="L145" i="23"/>
  <c r="M144" i="23"/>
  <c r="L144" i="23"/>
  <c r="M143" i="23"/>
  <c r="L143" i="23"/>
  <c r="M142" i="23"/>
  <c r="L142" i="23"/>
  <c r="M141" i="23"/>
  <c r="L141" i="23"/>
  <c r="M140" i="23"/>
  <c r="L140" i="23"/>
  <c r="M139" i="23"/>
  <c r="L139" i="23"/>
  <c r="M138" i="23"/>
  <c r="L138" i="23"/>
  <c r="M137" i="23"/>
  <c r="L137" i="23"/>
  <c r="M136" i="23"/>
  <c r="L136" i="23"/>
  <c r="M135" i="23"/>
  <c r="L135" i="23"/>
  <c r="M134" i="23"/>
  <c r="L134" i="23"/>
  <c r="M133" i="23"/>
  <c r="L133" i="23"/>
  <c r="M132" i="23"/>
  <c r="L132" i="23"/>
  <c r="M131" i="23"/>
  <c r="L131" i="23"/>
  <c r="M130" i="23"/>
  <c r="L130" i="23"/>
  <c r="M129" i="23"/>
  <c r="L129" i="23"/>
  <c r="M128" i="23"/>
  <c r="L128" i="23"/>
  <c r="M127" i="23"/>
  <c r="L127" i="23"/>
  <c r="M126" i="23"/>
  <c r="L126" i="23"/>
  <c r="M125" i="23"/>
  <c r="L125" i="23"/>
  <c r="M124" i="23"/>
  <c r="L124" i="23"/>
  <c r="M123" i="23"/>
  <c r="L123" i="23"/>
  <c r="M122" i="23"/>
  <c r="L122" i="23"/>
  <c r="M121" i="23"/>
  <c r="L121" i="23"/>
  <c r="M120" i="23"/>
  <c r="L120" i="23"/>
  <c r="M119" i="23"/>
  <c r="L119" i="23"/>
  <c r="M118" i="23"/>
  <c r="L118" i="23"/>
  <c r="M117" i="23"/>
  <c r="L117" i="23"/>
  <c r="M116" i="23"/>
  <c r="L116" i="23"/>
  <c r="M115" i="23"/>
  <c r="L115" i="23"/>
  <c r="M114" i="23"/>
  <c r="L114" i="23"/>
  <c r="M113" i="23"/>
  <c r="L113" i="23"/>
  <c r="M112" i="23"/>
  <c r="L112" i="23"/>
  <c r="M111" i="23"/>
  <c r="L111" i="23"/>
  <c r="M110" i="23"/>
  <c r="L110" i="23"/>
  <c r="M109" i="23"/>
  <c r="L109" i="23"/>
  <c r="M108" i="23"/>
  <c r="L108" i="23"/>
  <c r="M107" i="23"/>
  <c r="L107" i="23"/>
  <c r="M106" i="23"/>
  <c r="L106" i="23"/>
  <c r="M105" i="23"/>
  <c r="L105" i="23"/>
  <c r="M104" i="23"/>
  <c r="L104" i="23"/>
  <c r="M103" i="23"/>
  <c r="L103" i="23"/>
  <c r="M102" i="23"/>
  <c r="L102" i="23"/>
  <c r="M101" i="23"/>
  <c r="L101" i="23"/>
  <c r="M100" i="23"/>
  <c r="L100" i="23"/>
  <c r="M99" i="23"/>
  <c r="L99" i="23"/>
  <c r="M98" i="23"/>
  <c r="L98" i="23"/>
  <c r="M97" i="23"/>
  <c r="L97" i="23"/>
  <c r="M96" i="23"/>
  <c r="L96" i="23"/>
  <c r="M95" i="23"/>
  <c r="L95" i="23"/>
  <c r="M94" i="23"/>
  <c r="L94" i="23"/>
  <c r="M93" i="23"/>
  <c r="L93" i="23"/>
  <c r="M92" i="23"/>
  <c r="L92" i="23"/>
  <c r="M91" i="23"/>
  <c r="L91" i="23"/>
  <c r="M90" i="23"/>
  <c r="L90" i="23"/>
  <c r="M89" i="23"/>
  <c r="L89" i="23"/>
  <c r="M88" i="23"/>
  <c r="L88" i="23"/>
  <c r="M87" i="23"/>
  <c r="L87" i="23"/>
  <c r="M86" i="23"/>
  <c r="L86" i="23"/>
  <c r="M85" i="23"/>
  <c r="L85" i="23"/>
  <c r="M84" i="23"/>
  <c r="L84" i="23"/>
  <c r="M83" i="23"/>
  <c r="L83" i="23"/>
  <c r="M82" i="23"/>
  <c r="L82" i="23"/>
  <c r="M81" i="23"/>
  <c r="L81" i="23"/>
  <c r="M80" i="23"/>
  <c r="L80" i="23"/>
  <c r="M79" i="23"/>
  <c r="L79" i="23"/>
  <c r="M78" i="23"/>
  <c r="L78" i="23"/>
  <c r="M77" i="23"/>
  <c r="L77" i="23"/>
  <c r="M76" i="23"/>
  <c r="L76" i="23"/>
  <c r="M75" i="23"/>
  <c r="L75" i="23"/>
  <c r="M74" i="23"/>
  <c r="L74" i="23"/>
  <c r="M73" i="23"/>
  <c r="L73" i="23"/>
  <c r="M72" i="23"/>
  <c r="L72" i="23"/>
  <c r="M71" i="23"/>
  <c r="L71" i="23"/>
  <c r="M70" i="23"/>
  <c r="L70" i="23"/>
  <c r="M69" i="23"/>
  <c r="L69" i="23"/>
  <c r="M68" i="23"/>
  <c r="L68" i="23"/>
  <c r="M67" i="23"/>
  <c r="L67" i="23"/>
  <c r="M66" i="23"/>
  <c r="L66" i="23"/>
  <c r="M65" i="23"/>
  <c r="L65" i="23"/>
  <c r="M64" i="23"/>
  <c r="L64" i="23"/>
  <c r="M63" i="23"/>
  <c r="L63" i="23"/>
  <c r="M62" i="23"/>
  <c r="L62" i="23"/>
  <c r="M61" i="23"/>
  <c r="L61" i="23"/>
  <c r="M60" i="23"/>
  <c r="L60" i="23"/>
  <c r="M59" i="23"/>
  <c r="L59" i="23"/>
  <c r="M58" i="23"/>
  <c r="L58" i="23"/>
  <c r="M57" i="23"/>
  <c r="L57" i="23"/>
  <c r="M56" i="23"/>
  <c r="L56" i="23"/>
  <c r="M55" i="23"/>
  <c r="L55" i="23"/>
  <c r="M54" i="23"/>
  <c r="L54" i="23"/>
  <c r="M53" i="23"/>
  <c r="L53" i="23"/>
  <c r="M52" i="23"/>
  <c r="L52" i="23"/>
  <c r="M51" i="23"/>
  <c r="L51" i="23"/>
  <c r="M50" i="23"/>
  <c r="L50" i="23"/>
  <c r="M49" i="23"/>
  <c r="L49" i="23"/>
  <c r="M48" i="23"/>
  <c r="L48" i="23"/>
  <c r="M47" i="23"/>
  <c r="L47" i="23"/>
  <c r="M46" i="23"/>
  <c r="L46" i="23"/>
  <c r="M45" i="23"/>
  <c r="L45" i="23"/>
  <c r="M44" i="23"/>
  <c r="L44" i="23"/>
  <c r="M43" i="23"/>
  <c r="L43" i="23"/>
  <c r="M42" i="23"/>
  <c r="L42" i="23"/>
  <c r="M41" i="23"/>
  <c r="L41" i="23"/>
  <c r="M40" i="23"/>
  <c r="L40" i="23"/>
  <c r="M39" i="23"/>
  <c r="L39" i="23"/>
  <c r="M38" i="23"/>
  <c r="L38" i="23"/>
  <c r="M37" i="23"/>
  <c r="L37" i="23"/>
  <c r="M36" i="23"/>
  <c r="L36" i="23"/>
  <c r="M35" i="23"/>
  <c r="L35" i="23"/>
  <c r="M34" i="23"/>
  <c r="L34" i="23"/>
  <c r="M33" i="23"/>
  <c r="L33" i="23"/>
  <c r="M32" i="23"/>
  <c r="L32" i="23"/>
  <c r="M31" i="23"/>
  <c r="L31" i="23"/>
  <c r="M30" i="23"/>
  <c r="L30" i="23"/>
  <c r="M29" i="23"/>
  <c r="L29" i="23"/>
  <c r="M28" i="23"/>
  <c r="L28" i="23"/>
  <c r="M27" i="23"/>
  <c r="L27" i="23"/>
  <c r="M26" i="23"/>
  <c r="L26" i="23"/>
  <c r="M25" i="23"/>
  <c r="L25" i="23"/>
  <c r="M24" i="23"/>
  <c r="L24" i="23"/>
  <c r="M23" i="23"/>
  <c r="L23" i="23"/>
  <c r="M22" i="23"/>
  <c r="L22" i="23"/>
  <c r="M21" i="23"/>
  <c r="L21" i="23"/>
  <c r="M20" i="23"/>
  <c r="L20" i="23"/>
  <c r="M19" i="23"/>
  <c r="L19" i="23"/>
  <c r="M18" i="23"/>
  <c r="L18" i="23"/>
  <c r="M17" i="23"/>
  <c r="L17" i="23"/>
  <c r="M16" i="23"/>
  <c r="L16" i="23"/>
  <c r="M15" i="23"/>
  <c r="L15" i="23"/>
  <c r="M14" i="23"/>
  <c r="L14" i="23"/>
  <c r="M13" i="23"/>
  <c r="L13" i="23"/>
  <c r="M12" i="23"/>
  <c r="L12" i="23"/>
  <c r="M11" i="23"/>
  <c r="L11" i="23"/>
  <c r="M10" i="23"/>
  <c r="L10" i="23"/>
  <c r="M9" i="23"/>
  <c r="L9" i="23"/>
  <c r="M8" i="23"/>
  <c r="L8" i="23"/>
  <c r="M7" i="23"/>
  <c r="L7" i="23"/>
  <c r="M6" i="23"/>
  <c r="L6" i="23"/>
  <c r="M5" i="23"/>
  <c r="L5" i="23"/>
  <c r="M4" i="23"/>
  <c r="L4" i="23"/>
  <c r="M3" i="23"/>
  <c r="L3" i="23"/>
  <c r="M2" i="23"/>
  <c r="L2" i="23"/>
  <c r="M200" i="24"/>
  <c r="L200" i="24"/>
  <c r="M199" i="24"/>
  <c r="L199" i="24"/>
  <c r="M198" i="24"/>
  <c r="L198" i="24"/>
  <c r="M197" i="24"/>
  <c r="L197" i="24"/>
  <c r="M196" i="24"/>
  <c r="L196" i="24"/>
  <c r="M195" i="24"/>
  <c r="L195" i="24"/>
  <c r="M194" i="24"/>
  <c r="L194" i="24"/>
  <c r="M193" i="24"/>
  <c r="L193" i="24"/>
  <c r="M192" i="24"/>
  <c r="L192" i="24"/>
  <c r="M191" i="24"/>
  <c r="L191" i="24"/>
  <c r="M190" i="24"/>
  <c r="L190" i="24"/>
  <c r="M189" i="24"/>
  <c r="L189" i="24"/>
  <c r="M188" i="24"/>
  <c r="L188" i="24"/>
  <c r="M187" i="24"/>
  <c r="L187" i="24"/>
  <c r="M186" i="24"/>
  <c r="L186" i="24"/>
  <c r="M185" i="24"/>
  <c r="L185" i="24"/>
  <c r="M184" i="24"/>
  <c r="L184" i="24"/>
  <c r="M183" i="24"/>
  <c r="L183" i="24"/>
  <c r="M182" i="24"/>
  <c r="L182" i="24"/>
  <c r="M181" i="24"/>
  <c r="L181" i="24"/>
  <c r="M180" i="24"/>
  <c r="L180" i="24"/>
  <c r="M179" i="24"/>
  <c r="L179" i="24"/>
  <c r="M178" i="24"/>
  <c r="L178" i="24"/>
  <c r="M177" i="24"/>
  <c r="L177" i="24"/>
  <c r="M176" i="24"/>
  <c r="L176" i="24"/>
  <c r="M175" i="24"/>
  <c r="L175" i="24"/>
  <c r="M174" i="24"/>
  <c r="L174" i="24"/>
  <c r="M173" i="24"/>
  <c r="L173" i="24"/>
  <c r="M172" i="24"/>
  <c r="L172" i="24"/>
  <c r="M171" i="24"/>
  <c r="L171" i="24"/>
  <c r="M170" i="24"/>
  <c r="L170" i="24"/>
  <c r="M169" i="24"/>
  <c r="L169" i="24"/>
  <c r="M168" i="24"/>
  <c r="L168" i="24"/>
  <c r="M167" i="24"/>
  <c r="L167" i="24"/>
  <c r="M166" i="24"/>
  <c r="L166" i="24"/>
  <c r="M165" i="24"/>
  <c r="L165" i="24"/>
  <c r="M164" i="24"/>
  <c r="L164" i="24"/>
  <c r="M163" i="24"/>
  <c r="L163" i="24"/>
  <c r="M162" i="24"/>
  <c r="L162" i="24"/>
  <c r="M161" i="24"/>
  <c r="L161" i="24"/>
  <c r="M160" i="24"/>
  <c r="L160" i="24"/>
  <c r="M159" i="24"/>
  <c r="L159" i="24"/>
  <c r="M158" i="24"/>
  <c r="L158" i="24"/>
  <c r="M157" i="24"/>
  <c r="L157" i="24"/>
  <c r="M156" i="24"/>
  <c r="L156" i="24"/>
  <c r="M155" i="24"/>
  <c r="L155" i="24"/>
  <c r="M154" i="24"/>
  <c r="L154" i="24"/>
  <c r="M153" i="24"/>
  <c r="L153" i="24"/>
  <c r="M152" i="24"/>
  <c r="L152" i="24"/>
  <c r="M151" i="24"/>
  <c r="L151" i="24"/>
  <c r="M150" i="24"/>
  <c r="L150" i="24"/>
  <c r="M149" i="24"/>
  <c r="L149" i="24"/>
  <c r="M148" i="24"/>
  <c r="L148" i="24"/>
  <c r="M147" i="24"/>
  <c r="L147" i="24"/>
  <c r="M146" i="24"/>
  <c r="L146" i="24"/>
  <c r="M145" i="24"/>
  <c r="L145" i="24"/>
  <c r="M144" i="24"/>
  <c r="L144" i="24"/>
  <c r="M143" i="24"/>
  <c r="L143" i="24"/>
  <c r="M142" i="24"/>
  <c r="L142" i="24"/>
  <c r="M141" i="24"/>
  <c r="L141" i="24"/>
  <c r="M140" i="24"/>
  <c r="L140" i="24"/>
  <c r="M139" i="24"/>
  <c r="L139" i="24"/>
  <c r="M138" i="24"/>
  <c r="L138" i="24"/>
  <c r="M137" i="24"/>
  <c r="L137" i="24"/>
  <c r="M136" i="24"/>
  <c r="L136" i="24"/>
  <c r="M135" i="24"/>
  <c r="L135" i="24"/>
  <c r="M134" i="24"/>
  <c r="L134" i="24"/>
  <c r="M133" i="24"/>
  <c r="L133" i="24"/>
  <c r="M132" i="24"/>
  <c r="L132" i="24"/>
  <c r="M131" i="24"/>
  <c r="L131" i="24"/>
  <c r="M130" i="24"/>
  <c r="L130" i="24"/>
  <c r="M129" i="24"/>
  <c r="L129" i="24"/>
  <c r="M128" i="24"/>
  <c r="L128" i="24"/>
  <c r="M127" i="24"/>
  <c r="L127" i="24"/>
  <c r="M126" i="24"/>
  <c r="L126" i="24"/>
  <c r="M125" i="24"/>
  <c r="L125" i="24"/>
  <c r="M124" i="24"/>
  <c r="L124" i="24"/>
  <c r="M123" i="24"/>
  <c r="L123" i="24"/>
  <c r="M122" i="24"/>
  <c r="L122" i="24"/>
  <c r="M121" i="24"/>
  <c r="L121" i="24"/>
  <c r="M120" i="24"/>
  <c r="L120" i="24"/>
  <c r="M119" i="24"/>
  <c r="L119" i="24"/>
  <c r="M118" i="24"/>
  <c r="L118" i="24"/>
  <c r="M117" i="24"/>
  <c r="L117" i="24"/>
  <c r="M116" i="24"/>
  <c r="L116" i="24"/>
  <c r="M115" i="24"/>
  <c r="L115" i="24"/>
  <c r="M114" i="24"/>
  <c r="L114" i="24"/>
  <c r="M113" i="24"/>
  <c r="L113" i="24"/>
  <c r="M112" i="24"/>
  <c r="L112" i="24"/>
  <c r="M111" i="24"/>
  <c r="L111" i="24"/>
  <c r="M110" i="24"/>
  <c r="L110" i="24"/>
  <c r="M109" i="24"/>
  <c r="L109" i="24"/>
  <c r="M108" i="24"/>
  <c r="L108" i="24"/>
  <c r="M107" i="24"/>
  <c r="L107" i="24"/>
  <c r="M106" i="24"/>
  <c r="L106" i="24"/>
  <c r="M105" i="24"/>
  <c r="L105" i="24"/>
  <c r="M104" i="24"/>
  <c r="L104" i="24"/>
  <c r="M103" i="24"/>
  <c r="L103" i="24"/>
  <c r="M102" i="24"/>
  <c r="L102" i="24"/>
  <c r="M101" i="24"/>
  <c r="L101" i="24"/>
  <c r="M100" i="24"/>
  <c r="L100" i="24"/>
  <c r="M99" i="24"/>
  <c r="L99" i="24"/>
  <c r="M98" i="24"/>
  <c r="L98" i="24"/>
  <c r="M97" i="24"/>
  <c r="L97" i="24"/>
  <c r="M96" i="24"/>
  <c r="L96" i="24"/>
  <c r="M95" i="24"/>
  <c r="L95" i="24"/>
  <c r="M94" i="24"/>
  <c r="L94" i="24"/>
  <c r="M93" i="24"/>
  <c r="L93" i="24"/>
  <c r="M92" i="24"/>
  <c r="L92" i="24"/>
  <c r="M91" i="24"/>
  <c r="L91" i="24"/>
  <c r="M90" i="24"/>
  <c r="L90" i="24"/>
  <c r="M89" i="24"/>
  <c r="L89" i="24"/>
  <c r="M88" i="24"/>
  <c r="L88" i="24"/>
  <c r="M87" i="24"/>
  <c r="L87" i="24"/>
  <c r="M86" i="24"/>
  <c r="L86" i="24"/>
  <c r="M85" i="24"/>
  <c r="L85" i="24"/>
  <c r="M84" i="24"/>
  <c r="L84" i="24"/>
  <c r="M83" i="24"/>
  <c r="L83" i="24"/>
  <c r="M82" i="24"/>
  <c r="L82" i="24"/>
  <c r="M81" i="24"/>
  <c r="L81" i="24"/>
  <c r="M80" i="24"/>
  <c r="L80" i="24"/>
  <c r="M79" i="24"/>
  <c r="L79" i="24"/>
  <c r="M78" i="24"/>
  <c r="L78" i="24"/>
  <c r="M77" i="24"/>
  <c r="L77" i="24"/>
  <c r="M76" i="24"/>
  <c r="L76" i="24"/>
  <c r="M75" i="24"/>
  <c r="L75" i="24"/>
  <c r="M74" i="24"/>
  <c r="L74" i="24"/>
  <c r="M73" i="24"/>
  <c r="L73" i="24"/>
  <c r="M72" i="24"/>
  <c r="L72" i="24"/>
  <c r="M71" i="24"/>
  <c r="L71" i="24"/>
  <c r="M70" i="24"/>
  <c r="L70" i="24"/>
  <c r="M69" i="24"/>
  <c r="L69" i="24"/>
  <c r="M68" i="24"/>
  <c r="L68" i="24"/>
  <c r="M67" i="24"/>
  <c r="L67" i="24"/>
  <c r="M66" i="24"/>
  <c r="L66" i="24"/>
  <c r="M65" i="24"/>
  <c r="L65" i="24"/>
  <c r="M64" i="24"/>
  <c r="L64" i="24"/>
  <c r="M63" i="24"/>
  <c r="L63" i="24"/>
  <c r="M62" i="24"/>
  <c r="L62" i="24"/>
  <c r="M61" i="24"/>
  <c r="L61" i="24"/>
  <c r="M60" i="24"/>
  <c r="L60" i="24"/>
  <c r="M59" i="24"/>
  <c r="L59" i="24"/>
  <c r="M58" i="24"/>
  <c r="L58" i="24"/>
  <c r="M57" i="24"/>
  <c r="L57" i="24"/>
  <c r="M56" i="24"/>
  <c r="L56" i="24"/>
  <c r="M55" i="24"/>
  <c r="L55" i="24"/>
  <c r="M54" i="24"/>
  <c r="L54" i="24"/>
  <c r="M53" i="24"/>
  <c r="L53" i="24"/>
  <c r="M52" i="24"/>
  <c r="L52" i="24"/>
  <c r="M51" i="24"/>
  <c r="L51" i="24"/>
  <c r="M50" i="24"/>
  <c r="L50" i="24"/>
  <c r="M49" i="24"/>
  <c r="L49" i="24"/>
  <c r="M48" i="24"/>
  <c r="L48" i="24"/>
  <c r="M47" i="24"/>
  <c r="L47" i="24"/>
  <c r="M46" i="24"/>
  <c r="L46" i="24"/>
  <c r="M45" i="24"/>
  <c r="L45" i="24"/>
  <c r="M44" i="24"/>
  <c r="L44" i="24"/>
  <c r="M43" i="24"/>
  <c r="L43" i="24"/>
  <c r="M42" i="24"/>
  <c r="L42" i="24"/>
  <c r="M41" i="24"/>
  <c r="L41" i="24"/>
  <c r="M40" i="24"/>
  <c r="L40" i="24"/>
  <c r="M39" i="24"/>
  <c r="L39" i="24"/>
  <c r="M38" i="24"/>
  <c r="L38" i="24"/>
  <c r="M37" i="24"/>
  <c r="L37" i="24"/>
  <c r="M36" i="24"/>
  <c r="L36" i="24"/>
  <c r="M35" i="24"/>
  <c r="L35" i="24"/>
  <c r="M34" i="24"/>
  <c r="L34" i="24"/>
  <c r="M33" i="24"/>
  <c r="L33" i="24"/>
  <c r="M32" i="24"/>
  <c r="L32" i="24"/>
  <c r="M31" i="24"/>
  <c r="L31" i="24"/>
  <c r="M30" i="24"/>
  <c r="L30" i="24"/>
  <c r="M29" i="24"/>
  <c r="L29" i="24"/>
  <c r="M28" i="24"/>
  <c r="L28" i="24"/>
  <c r="M27" i="24"/>
  <c r="L27" i="24"/>
  <c r="M26" i="24"/>
  <c r="L26" i="24"/>
  <c r="M25" i="24"/>
  <c r="L25" i="24"/>
  <c r="M24" i="24"/>
  <c r="L24" i="24"/>
  <c r="M23" i="24"/>
  <c r="L23" i="24"/>
  <c r="M22" i="24"/>
  <c r="L22" i="24"/>
  <c r="M21" i="24"/>
  <c r="L21" i="24"/>
  <c r="M20" i="24"/>
  <c r="L20" i="24"/>
  <c r="M19" i="24"/>
  <c r="L19" i="24"/>
  <c r="M18" i="24"/>
  <c r="L18" i="24"/>
  <c r="M17" i="24"/>
  <c r="L17" i="24"/>
  <c r="M16" i="24"/>
  <c r="L16" i="24"/>
  <c r="M15" i="24"/>
  <c r="L15" i="24"/>
  <c r="M14" i="24"/>
  <c r="L14" i="24"/>
  <c r="M13" i="24"/>
  <c r="L13" i="24"/>
  <c r="M12" i="24"/>
  <c r="L12" i="24"/>
  <c r="M11" i="24"/>
  <c r="L11" i="24"/>
  <c r="M10" i="24"/>
  <c r="L10" i="24"/>
  <c r="M9" i="24"/>
  <c r="L9" i="24"/>
  <c r="M8" i="24"/>
  <c r="L8" i="24"/>
  <c r="M7" i="24"/>
  <c r="L7" i="24"/>
  <c r="M6" i="24"/>
  <c r="L6" i="24"/>
  <c r="M5" i="24"/>
  <c r="L5" i="24"/>
  <c r="M4" i="24"/>
  <c r="L4" i="24"/>
  <c r="M3" i="24"/>
  <c r="L3" i="24"/>
  <c r="M2" i="24"/>
  <c r="L2" i="24"/>
  <c r="M200" i="25"/>
  <c r="L200" i="25"/>
  <c r="M199" i="25"/>
  <c r="L199" i="25"/>
  <c r="M198" i="25"/>
  <c r="L198" i="25"/>
  <c r="M197" i="25"/>
  <c r="L197" i="25"/>
  <c r="M196" i="25"/>
  <c r="L196" i="25"/>
  <c r="M195" i="25"/>
  <c r="L195" i="25"/>
  <c r="M194" i="25"/>
  <c r="L194" i="25"/>
  <c r="M193" i="25"/>
  <c r="L193" i="25"/>
  <c r="M192" i="25"/>
  <c r="L192" i="25"/>
  <c r="M191" i="25"/>
  <c r="L191" i="25"/>
  <c r="M190" i="25"/>
  <c r="L190" i="25"/>
  <c r="M189" i="25"/>
  <c r="L189" i="25"/>
  <c r="M188" i="25"/>
  <c r="L188" i="25"/>
  <c r="M187" i="25"/>
  <c r="L187" i="25"/>
  <c r="M186" i="25"/>
  <c r="L186" i="25"/>
  <c r="M185" i="25"/>
  <c r="L185" i="25"/>
  <c r="M184" i="25"/>
  <c r="L184" i="25"/>
  <c r="M183" i="25"/>
  <c r="L183" i="25"/>
  <c r="M182" i="25"/>
  <c r="L182" i="25"/>
  <c r="M181" i="25"/>
  <c r="L181" i="25"/>
  <c r="M180" i="25"/>
  <c r="L180" i="25"/>
  <c r="M179" i="25"/>
  <c r="L179" i="25"/>
  <c r="M178" i="25"/>
  <c r="L178" i="25"/>
  <c r="M177" i="25"/>
  <c r="L177" i="25"/>
  <c r="M176" i="25"/>
  <c r="L176" i="25"/>
  <c r="M175" i="25"/>
  <c r="L175" i="25"/>
  <c r="M174" i="25"/>
  <c r="L174" i="25"/>
  <c r="M173" i="25"/>
  <c r="L173" i="25"/>
  <c r="M172" i="25"/>
  <c r="L172" i="25"/>
  <c r="M171" i="25"/>
  <c r="L171" i="25"/>
  <c r="M170" i="25"/>
  <c r="L170" i="25"/>
  <c r="M169" i="25"/>
  <c r="L169" i="25"/>
  <c r="M168" i="25"/>
  <c r="L168" i="25"/>
  <c r="M167" i="25"/>
  <c r="L167" i="25"/>
  <c r="M166" i="25"/>
  <c r="L166" i="25"/>
  <c r="M165" i="25"/>
  <c r="L165" i="25"/>
  <c r="M164" i="25"/>
  <c r="L164" i="25"/>
  <c r="M163" i="25"/>
  <c r="L163" i="25"/>
  <c r="M162" i="25"/>
  <c r="L162" i="25"/>
  <c r="M161" i="25"/>
  <c r="L161" i="25"/>
  <c r="M160" i="25"/>
  <c r="L160" i="25"/>
  <c r="M159" i="25"/>
  <c r="L159" i="25"/>
  <c r="M158" i="25"/>
  <c r="L158" i="25"/>
  <c r="M157" i="25"/>
  <c r="L157" i="25"/>
  <c r="M156" i="25"/>
  <c r="L156" i="25"/>
  <c r="M155" i="25"/>
  <c r="L155" i="25"/>
  <c r="M154" i="25"/>
  <c r="L154" i="25"/>
  <c r="M153" i="25"/>
  <c r="L153" i="25"/>
  <c r="M152" i="25"/>
  <c r="L152" i="25"/>
  <c r="M151" i="25"/>
  <c r="L151" i="25"/>
  <c r="M150" i="25"/>
  <c r="L150" i="25"/>
  <c r="M149" i="25"/>
  <c r="L149" i="25"/>
  <c r="M148" i="25"/>
  <c r="L148" i="25"/>
  <c r="M147" i="25"/>
  <c r="L147" i="25"/>
  <c r="M146" i="25"/>
  <c r="L146" i="25"/>
  <c r="M145" i="25"/>
  <c r="L145" i="25"/>
  <c r="M144" i="25"/>
  <c r="L144" i="25"/>
  <c r="M143" i="25"/>
  <c r="L143" i="25"/>
  <c r="M142" i="25"/>
  <c r="L142" i="25"/>
  <c r="M141" i="25"/>
  <c r="L141" i="25"/>
  <c r="M140" i="25"/>
  <c r="L140" i="25"/>
  <c r="M139" i="25"/>
  <c r="L139" i="25"/>
  <c r="M138" i="25"/>
  <c r="L138" i="25"/>
  <c r="M137" i="25"/>
  <c r="L137" i="25"/>
  <c r="M136" i="25"/>
  <c r="L136" i="25"/>
  <c r="M135" i="25"/>
  <c r="L135" i="25"/>
  <c r="M134" i="25"/>
  <c r="L134" i="25"/>
  <c r="M133" i="25"/>
  <c r="L133" i="25"/>
  <c r="M132" i="25"/>
  <c r="L132" i="25"/>
  <c r="M131" i="25"/>
  <c r="L131" i="25"/>
  <c r="M130" i="25"/>
  <c r="L130" i="25"/>
  <c r="M129" i="25"/>
  <c r="L129" i="25"/>
  <c r="M128" i="25"/>
  <c r="L128" i="25"/>
  <c r="M127" i="25"/>
  <c r="L127" i="25"/>
  <c r="M126" i="25"/>
  <c r="L126" i="25"/>
  <c r="M125" i="25"/>
  <c r="L125" i="25"/>
  <c r="M124" i="25"/>
  <c r="L124" i="25"/>
  <c r="M123" i="25"/>
  <c r="L123" i="25"/>
  <c r="M122" i="25"/>
  <c r="L122" i="25"/>
  <c r="M121" i="25"/>
  <c r="L121" i="25"/>
  <c r="M120" i="25"/>
  <c r="L120" i="25"/>
  <c r="M119" i="25"/>
  <c r="L119" i="25"/>
  <c r="M118" i="25"/>
  <c r="L118" i="25"/>
  <c r="M117" i="25"/>
  <c r="L117" i="25"/>
  <c r="M116" i="25"/>
  <c r="L116" i="25"/>
  <c r="M115" i="25"/>
  <c r="L115" i="25"/>
  <c r="M114" i="25"/>
  <c r="L114" i="25"/>
  <c r="M113" i="25"/>
  <c r="L113" i="25"/>
  <c r="M112" i="25"/>
  <c r="L112" i="25"/>
  <c r="M111" i="25"/>
  <c r="L111" i="25"/>
  <c r="M110" i="25"/>
  <c r="L110" i="25"/>
  <c r="M109" i="25"/>
  <c r="L109" i="25"/>
  <c r="M108" i="25"/>
  <c r="L108" i="25"/>
  <c r="M107" i="25"/>
  <c r="L107" i="25"/>
  <c r="M106" i="25"/>
  <c r="L106" i="25"/>
  <c r="M105" i="25"/>
  <c r="L105" i="25"/>
  <c r="M104" i="25"/>
  <c r="L104" i="25"/>
  <c r="M103" i="25"/>
  <c r="L103" i="25"/>
  <c r="M102" i="25"/>
  <c r="L102" i="25"/>
  <c r="M101" i="25"/>
  <c r="L101" i="25"/>
  <c r="M100" i="25"/>
  <c r="L100" i="25"/>
  <c r="M99" i="25"/>
  <c r="L99" i="25"/>
  <c r="M98" i="25"/>
  <c r="L98" i="25"/>
  <c r="M97" i="25"/>
  <c r="L97" i="25"/>
  <c r="M96" i="25"/>
  <c r="L96" i="25"/>
  <c r="M95" i="25"/>
  <c r="L95" i="25"/>
  <c r="M94" i="25"/>
  <c r="L94" i="25"/>
  <c r="M93" i="25"/>
  <c r="L93" i="25"/>
  <c r="M92" i="25"/>
  <c r="L92" i="25"/>
  <c r="M91" i="25"/>
  <c r="L91" i="25"/>
  <c r="M90" i="25"/>
  <c r="L90" i="25"/>
  <c r="M89" i="25"/>
  <c r="L89" i="25"/>
  <c r="M88" i="25"/>
  <c r="L88" i="25"/>
  <c r="M87" i="25"/>
  <c r="L87" i="25"/>
  <c r="M86" i="25"/>
  <c r="L86" i="25"/>
  <c r="M85" i="25"/>
  <c r="L85" i="25"/>
  <c r="M84" i="25"/>
  <c r="L84" i="25"/>
  <c r="M83" i="25"/>
  <c r="L83" i="25"/>
  <c r="M82" i="25"/>
  <c r="L82" i="25"/>
  <c r="M81" i="25"/>
  <c r="L81" i="25"/>
  <c r="M80" i="25"/>
  <c r="L80" i="25"/>
  <c r="M79" i="25"/>
  <c r="L79" i="25"/>
  <c r="M78" i="25"/>
  <c r="L78" i="25"/>
  <c r="M77" i="25"/>
  <c r="L77" i="25"/>
  <c r="M76" i="25"/>
  <c r="L76" i="25"/>
  <c r="M75" i="25"/>
  <c r="L75" i="25"/>
  <c r="M74" i="25"/>
  <c r="L74" i="25"/>
  <c r="M73" i="25"/>
  <c r="L73" i="25"/>
  <c r="M72" i="25"/>
  <c r="L72" i="25"/>
  <c r="M71" i="25"/>
  <c r="L71" i="25"/>
  <c r="M70" i="25"/>
  <c r="L70" i="25"/>
  <c r="M69" i="25"/>
  <c r="L69" i="25"/>
  <c r="M68" i="25"/>
  <c r="L68" i="25"/>
  <c r="M67" i="25"/>
  <c r="L67" i="25"/>
  <c r="M66" i="25"/>
  <c r="L66" i="25"/>
  <c r="M65" i="25"/>
  <c r="L65" i="25"/>
  <c r="M64" i="25"/>
  <c r="L64" i="25"/>
  <c r="M63" i="25"/>
  <c r="L63" i="25"/>
  <c r="M62" i="25"/>
  <c r="L62" i="25"/>
  <c r="M61" i="25"/>
  <c r="L61" i="25"/>
  <c r="M60" i="25"/>
  <c r="L60" i="25"/>
  <c r="M59" i="25"/>
  <c r="L59" i="25"/>
  <c r="M58" i="25"/>
  <c r="L58" i="25"/>
  <c r="M57" i="25"/>
  <c r="L57" i="25"/>
  <c r="M56" i="25"/>
  <c r="L56" i="25"/>
  <c r="M55" i="25"/>
  <c r="L55" i="25"/>
  <c r="M54" i="25"/>
  <c r="L54" i="25"/>
  <c r="M53" i="25"/>
  <c r="L53" i="25"/>
  <c r="M52" i="25"/>
  <c r="L52" i="25"/>
  <c r="M51" i="25"/>
  <c r="L51" i="25"/>
  <c r="M50" i="25"/>
  <c r="L50" i="25"/>
  <c r="M49" i="25"/>
  <c r="L49" i="25"/>
  <c r="M48" i="25"/>
  <c r="L48" i="25"/>
  <c r="M47" i="25"/>
  <c r="L47" i="25"/>
  <c r="M46" i="25"/>
  <c r="L46" i="25"/>
  <c r="M45" i="25"/>
  <c r="L45" i="25"/>
  <c r="M44" i="25"/>
  <c r="L44" i="25"/>
  <c r="M43" i="25"/>
  <c r="L43" i="25"/>
  <c r="M42" i="25"/>
  <c r="L42" i="25"/>
  <c r="M41" i="25"/>
  <c r="L41" i="25"/>
  <c r="M40" i="25"/>
  <c r="L40" i="25"/>
  <c r="M39" i="25"/>
  <c r="L39" i="25"/>
  <c r="M38" i="25"/>
  <c r="L38" i="25"/>
  <c r="M37" i="25"/>
  <c r="L37" i="25"/>
  <c r="M36" i="25"/>
  <c r="L36" i="25"/>
  <c r="M35" i="25"/>
  <c r="L35" i="25"/>
  <c r="M34" i="25"/>
  <c r="L34" i="25"/>
  <c r="M33" i="25"/>
  <c r="L33" i="25"/>
  <c r="M32" i="25"/>
  <c r="L32" i="25"/>
  <c r="M31" i="25"/>
  <c r="L31" i="25"/>
  <c r="M30" i="25"/>
  <c r="L30" i="25"/>
  <c r="M29" i="25"/>
  <c r="L29" i="25"/>
  <c r="M28" i="25"/>
  <c r="L28" i="25"/>
  <c r="M27" i="25"/>
  <c r="L27" i="25"/>
  <c r="M26" i="25"/>
  <c r="L26" i="25"/>
  <c r="M25" i="25"/>
  <c r="L25" i="25"/>
  <c r="M24" i="25"/>
  <c r="L24" i="25"/>
  <c r="M23" i="25"/>
  <c r="L23" i="25"/>
  <c r="M22" i="25"/>
  <c r="L22" i="25"/>
  <c r="M21" i="25"/>
  <c r="L21" i="25"/>
  <c r="M20" i="25"/>
  <c r="L20" i="25"/>
  <c r="M19" i="25"/>
  <c r="L19" i="25"/>
  <c r="M18" i="25"/>
  <c r="L18" i="25"/>
  <c r="M17" i="25"/>
  <c r="L17" i="25"/>
  <c r="M16" i="25"/>
  <c r="L16" i="25"/>
  <c r="M15" i="25"/>
  <c r="L15" i="25"/>
  <c r="M14" i="25"/>
  <c r="L14" i="25"/>
  <c r="M13" i="25"/>
  <c r="L13" i="25"/>
  <c r="M12" i="25"/>
  <c r="L12" i="25"/>
  <c r="M11" i="25"/>
  <c r="L11" i="25"/>
  <c r="M10" i="25"/>
  <c r="L10" i="25"/>
  <c r="M9" i="25"/>
  <c r="L9" i="25"/>
  <c r="M8" i="25"/>
  <c r="L8" i="25"/>
  <c r="M7" i="25"/>
  <c r="L7" i="25"/>
  <c r="M6" i="25"/>
  <c r="L6" i="25"/>
  <c r="M5" i="25"/>
  <c r="L5" i="25"/>
  <c r="M4" i="25"/>
  <c r="L4" i="25"/>
  <c r="M3" i="25"/>
  <c r="L3" i="25"/>
  <c r="M2" i="25"/>
  <c r="L2" i="25"/>
  <c r="M200" i="26"/>
  <c r="L200" i="26"/>
  <c r="M199" i="26"/>
  <c r="L199" i="26"/>
  <c r="M198" i="26"/>
  <c r="L198" i="26"/>
  <c r="M197" i="26"/>
  <c r="L197" i="26"/>
  <c r="M196" i="26"/>
  <c r="L196" i="26"/>
  <c r="M195" i="26"/>
  <c r="L195" i="26"/>
  <c r="M194" i="26"/>
  <c r="L194" i="26"/>
  <c r="M193" i="26"/>
  <c r="L193" i="26"/>
  <c r="M192" i="26"/>
  <c r="L192" i="26"/>
  <c r="M191" i="26"/>
  <c r="L191" i="26"/>
  <c r="M190" i="26"/>
  <c r="L190" i="26"/>
  <c r="M189" i="26"/>
  <c r="L189" i="26"/>
  <c r="M188" i="26"/>
  <c r="L188" i="26"/>
  <c r="M187" i="26"/>
  <c r="L187" i="26"/>
  <c r="M186" i="26"/>
  <c r="L186" i="26"/>
  <c r="M185" i="26"/>
  <c r="L185" i="26"/>
  <c r="M184" i="26"/>
  <c r="L184" i="26"/>
  <c r="M183" i="26"/>
  <c r="L183" i="26"/>
  <c r="M182" i="26"/>
  <c r="L182" i="26"/>
  <c r="M181" i="26"/>
  <c r="L181" i="26"/>
  <c r="M180" i="26"/>
  <c r="L180" i="26"/>
  <c r="M179" i="26"/>
  <c r="L179" i="26"/>
  <c r="M178" i="26"/>
  <c r="L178" i="26"/>
  <c r="M177" i="26"/>
  <c r="L177" i="26"/>
  <c r="M176" i="26"/>
  <c r="L176" i="26"/>
  <c r="M175" i="26"/>
  <c r="L175" i="26"/>
  <c r="M174" i="26"/>
  <c r="L174" i="26"/>
  <c r="M173" i="26"/>
  <c r="L173" i="26"/>
  <c r="M172" i="26"/>
  <c r="L172" i="26"/>
  <c r="M171" i="26"/>
  <c r="L171" i="26"/>
  <c r="M170" i="26"/>
  <c r="L170" i="26"/>
  <c r="M169" i="26"/>
  <c r="L169" i="26"/>
  <c r="M168" i="26"/>
  <c r="L168" i="26"/>
  <c r="M167" i="26"/>
  <c r="L167" i="26"/>
  <c r="M166" i="26"/>
  <c r="L166" i="26"/>
  <c r="M165" i="26"/>
  <c r="L165" i="26"/>
  <c r="M164" i="26"/>
  <c r="L164" i="26"/>
  <c r="M163" i="26"/>
  <c r="L163" i="26"/>
  <c r="M162" i="26"/>
  <c r="L162" i="26"/>
  <c r="M161" i="26"/>
  <c r="L161" i="26"/>
  <c r="M160" i="26"/>
  <c r="L160" i="26"/>
  <c r="M159" i="26"/>
  <c r="L159" i="26"/>
  <c r="M158" i="26"/>
  <c r="L158" i="26"/>
  <c r="M157" i="26"/>
  <c r="L157" i="26"/>
  <c r="M156" i="26"/>
  <c r="L156" i="26"/>
  <c r="M155" i="26"/>
  <c r="L155" i="26"/>
  <c r="M154" i="26"/>
  <c r="L154" i="26"/>
  <c r="M153" i="26"/>
  <c r="L153" i="26"/>
  <c r="M152" i="26"/>
  <c r="L152" i="26"/>
  <c r="M151" i="26"/>
  <c r="L151" i="26"/>
  <c r="M150" i="26"/>
  <c r="L150" i="26"/>
  <c r="M149" i="26"/>
  <c r="L149" i="26"/>
  <c r="M148" i="26"/>
  <c r="L148" i="26"/>
  <c r="M147" i="26"/>
  <c r="L147" i="26"/>
  <c r="M146" i="26"/>
  <c r="L146" i="26"/>
  <c r="M145" i="26"/>
  <c r="L145" i="26"/>
  <c r="M144" i="26"/>
  <c r="L144" i="26"/>
  <c r="M143" i="26"/>
  <c r="L143" i="26"/>
  <c r="M142" i="26"/>
  <c r="L142" i="26"/>
  <c r="M141" i="26"/>
  <c r="L141" i="26"/>
  <c r="M140" i="26"/>
  <c r="L140" i="26"/>
  <c r="M139" i="26"/>
  <c r="L139" i="26"/>
  <c r="M138" i="26"/>
  <c r="L138" i="26"/>
  <c r="M137" i="26"/>
  <c r="L137" i="26"/>
  <c r="M136" i="26"/>
  <c r="L136" i="26"/>
  <c r="M135" i="26"/>
  <c r="L135" i="26"/>
  <c r="M134" i="26"/>
  <c r="L134" i="26"/>
  <c r="M133" i="26"/>
  <c r="L133" i="26"/>
  <c r="M132" i="26"/>
  <c r="L132" i="26"/>
  <c r="M131" i="26"/>
  <c r="L131" i="26"/>
  <c r="M130" i="26"/>
  <c r="L130" i="26"/>
  <c r="M129" i="26"/>
  <c r="L129" i="26"/>
  <c r="M128" i="26"/>
  <c r="L128" i="26"/>
  <c r="M127" i="26"/>
  <c r="L127" i="26"/>
  <c r="M126" i="26"/>
  <c r="L126" i="26"/>
  <c r="M125" i="26"/>
  <c r="L125" i="26"/>
  <c r="M124" i="26"/>
  <c r="L124" i="26"/>
  <c r="M123" i="26"/>
  <c r="L123" i="26"/>
  <c r="M122" i="26"/>
  <c r="L122" i="26"/>
  <c r="M121" i="26"/>
  <c r="L121" i="26"/>
  <c r="M120" i="26"/>
  <c r="L120" i="26"/>
  <c r="M119" i="26"/>
  <c r="L119" i="26"/>
  <c r="M118" i="26"/>
  <c r="L118" i="26"/>
  <c r="M117" i="26"/>
  <c r="L117" i="26"/>
  <c r="M116" i="26"/>
  <c r="L116" i="26"/>
  <c r="M115" i="26"/>
  <c r="L115" i="26"/>
  <c r="M114" i="26"/>
  <c r="L114" i="26"/>
  <c r="M113" i="26"/>
  <c r="L113" i="26"/>
  <c r="M112" i="26"/>
  <c r="L112" i="26"/>
  <c r="M111" i="26"/>
  <c r="L111" i="26"/>
  <c r="M110" i="26"/>
  <c r="L110" i="26"/>
  <c r="M109" i="26"/>
  <c r="L109" i="26"/>
  <c r="M108" i="26"/>
  <c r="L108" i="26"/>
  <c r="M107" i="26"/>
  <c r="L107" i="26"/>
  <c r="M106" i="26"/>
  <c r="L106" i="26"/>
  <c r="M105" i="26"/>
  <c r="L105" i="26"/>
  <c r="M104" i="26"/>
  <c r="L104" i="26"/>
  <c r="M103" i="26"/>
  <c r="L103" i="26"/>
  <c r="M102" i="26"/>
  <c r="L102" i="26"/>
  <c r="M101" i="26"/>
  <c r="L101" i="26"/>
  <c r="M100" i="26"/>
  <c r="L100" i="26"/>
  <c r="M99" i="26"/>
  <c r="L99" i="26"/>
  <c r="M98" i="26"/>
  <c r="L98" i="26"/>
  <c r="M97" i="26"/>
  <c r="L97" i="26"/>
  <c r="M96" i="26"/>
  <c r="L96" i="26"/>
  <c r="M95" i="26"/>
  <c r="L95" i="26"/>
  <c r="M94" i="26"/>
  <c r="L94" i="26"/>
  <c r="M93" i="26"/>
  <c r="L93" i="26"/>
  <c r="M92" i="26"/>
  <c r="L92" i="26"/>
  <c r="M91" i="26"/>
  <c r="L91" i="26"/>
  <c r="M90" i="26"/>
  <c r="L90" i="26"/>
  <c r="M89" i="26"/>
  <c r="L89" i="26"/>
  <c r="M88" i="26"/>
  <c r="L88" i="26"/>
  <c r="M87" i="26"/>
  <c r="L87" i="26"/>
  <c r="M86" i="26"/>
  <c r="L86" i="26"/>
  <c r="M85" i="26"/>
  <c r="L85" i="26"/>
  <c r="M84" i="26"/>
  <c r="L84" i="26"/>
  <c r="M83" i="26"/>
  <c r="L83" i="26"/>
  <c r="M82" i="26"/>
  <c r="L82" i="26"/>
  <c r="M81" i="26"/>
  <c r="L81" i="26"/>
  <c r="M80" i="26"/>
  <c r="L80" i="26"/>
  <c r="M79" i="26"/>
  <c r="L79" i="26"/>
  <c r="M78" i="26"/>
  <c r="L78" i="26"/>
  <c r="M77" i="26"/>
  <c r="L77" i="26"/>
  <c r="M76" i="26"/>
  <c r="L76" i="26"/>
  <c r="M75" i="26"/>
  <c r="L75" i="26"/>
  <c r="M74" i="26"/>
  <c r="L74" i="26"/>
  <c r="M73" i="26"/>
  <c r="L73" i="26"/>
  <c r="M72" i="26"/>
  <c r="L72" i="26"/>
  <c r="M71" i="26"/>
  <c r="L71" i="26"/>
  <c r="M70" i="26"/>
  <c r="L70" i="26"/>
  <c r="M69" i="26"/>
  <c r="L69" i="26"/>
  <c r="M68" i="26"/>
  <c r="L68" i="26"/>
  <c r="M67" i="26"/>
  <c r="L67" i="26"/>
  <c r="M66" i="26"/>
  <c r="L66" i="26"/>
  <c r="M65" i="26"/>
  <c r="L65" i="26"/>
  <c r="M64" i="26"/>
  <c r="L64" i="26"/>
  <c r="M63" i="26"/>
  <c r="L63" i="26"/>
  <c r="M62" i="26"/>
  <c r="L62" i="26"/>
  <c r="M61" i="26"/>
  <c r="L61" i="26"/>
  <c r="M60" i="26"/>
  <c r="L60" i="26"/>
  <c r="M59" i="26"/>
  <c r="L59" i="26"/>
  <c r="M58" i="26"/>
  <c r="L58" i="26"/>
  <c r="M57" i="26"/>
  <c r="L57" i="26"/>
  <c r="M56" i="26"/>
  <c r="L56" i="26"/>
  <c r="M55" i="26"/>
  <c r="L55" i="26"/>
  <c r="M54" i="26"/>
  <c r="L54" i="26"/>
  <c r="M53" i="26"/>
  <c r="L53" i="26"/>
  <c r="M52" i="26"/>
  <c r="L52" i="26"/>
  <c r="M51" i="26"/>
  <c r="L51" i="26"/>
  <c r="M50" i="26"/>
  <c r="L50" i="26"/>
  <c r="M49" i="26"/>
  <c r="L49" i="26"/>
  <c r="M48" i="26"/>
  <c r="L48" i="26"/>
  <c r="M47" i="26"/>
  <c r="L47" i="26"/>
  <c r="M46" i="26"/>
  <c r="L46" i="26"/>
  <c r="M45" i="26"/>
  <c r="L45" i="26"/>
  <c r="M44" i="26"/>
  <c r="L44" i="26"/>
  <c r="M43" i="26"/>
  <c r="L43" i="26"/>
  <c r="M42" i="26"/>
  <c r="L42" i="26"/>
  <c r="M41" i="26"/>
  <c r="L41" i="26"/>
  <c r="M40" i="26"/>
  <c r="L40" i="26"/>
  <c r="M39" i="26"/>
  <c r="L39" i="26"/>
  <c r="M38" i="26"/>
  <c r="L38" i="26"/>
  <c r="M37" i="26"/>
  <c r="L37" i="26"/>
  <c r="M36" i="26"/>
  <c r="L36" i="26"/>
  <c r="M35" i="26"/>
  <c r="L35" i="26"/>
  <c r="M34" i="26"/>
  <c r="L34" i="26"/>
  <c r="M33" i="26"/>
  <c r="L33" i="26"/>
  <c r="M32" i="26"/>
  <c r="L32" i="26"/>
  <c r="M31" i="26"/>
  <c r="L31" i="26"/>
  <c r="M30" i="26"/>
  <c r="L30" i="26"/>
  <c r="M29" i="26"/>
  <c r="L29" i="26"/>
  <c r="M28" i="26"/>
  <c r="L28" i="26"/>
  <c r="M27" i="26"/>
  <c r="L27" i="26"/>
  <c r="M26" i="26"/>
  <c r="L26" i="26"/>
  <c r="M25" i="26"/>
  <c r="L25" i="26"/>
  <c r="M24" i="26"/>
  <c r="L24" i="26"/>
  <c r="M23" i="26"/>
  <c r="L23" i="26"/>
  <c r="M22" i="26"/>
  <c r="L22" i="26"/>
  <c r="M21" i="26"/>
  <c r="L21" i="26"/>
  <c r="M20" i="26"/>
  <c r="L20" i="26"/>
  <c r="M19" i="26"/>
  <c r="L19" i="26"/>
  <c r="M18" i="26"/>
  <c r="L18" i="26"/>
  <c r="M17" i="26"/>
  <c r="L17" i="26"/>
  <c r="M16" i="26"/>
  <c r="L16" i="26"/>
  <c r="M15" i="26"/>
  <c r="L15" i="26"/>
  <c r="M14" i="26"/>
  <c r="L14" i="26"/>
  <c r="M13" i="26"/>
  <c r="L13" i="26"/>
  <c r="M12" i="26"/>
  <c r="L12" i="26"/>
  <c r="M11" i="26"/>
  <c r="L11" i="26"/>
  <c r="M10" i="26"/>
  <c r="L10" i="26"/>
  <c r="M9" i="26"/>
  <c r="L9" i="26"/>
  <c r="M8" i="26"/>
  <c r="L8" i="26"/>
  <c r="M7" i="26"/>
  <c r="L7" i="26"/>
  <c r="M6" i="26"/>
  <c r="L6" i="26"/>
  <c r="M5" i="26"/>
  <c r="L5" i="26"/>
  <c r="M4" i="26"/>
  <c r="L4" i="26"/>
  <c r="M3" i="26"/>
  <c r="L3" i="26"/>
  <c r="M2" i="26"/>
  <c r="L2" i="26"/>
  <c r="M200" i="27"/>
  <c r="L200" i="27"/>
  <c r="M199" i="27"/>
  <c r="L199" i="27"/>
  <c r="M198" i="27"/>
  <c r="L198" i="27"/>
  <c r="M197" i="27"/>
  <c r="L197" i="27"/>
  <c r="M196" i="27"/>
  <c r="L196" i="27"/>
  <c r="M195" i="27"/>
  <c r="L195" i="27"/>
  <c r="M194" i="27"/>
  <c r="L194" i="27"/>
  <c r="M193" i="27"/>
  <c r="L193" i="27"/>
  <c r="M192" i="27"/>
  <c r="L192" i="27"/>
  <c r="M191" i="27"/>
  <c r="L191" i="27"/>
  <c r="M190" i="27"/>
  <c r="L190" i="27"/>
  <c r="M189" i="27"/>
  <c r="L189" i="27"/>
  <c r="M188" i="27"/>
  <c r="L188" i="27"/>
  <c r="M187" i="27"/>
  <c r="L187" i="27"/>
  <c r="M186" i="27"/>
  <c r="L186" i="27"/>
  <c r="M185" i="27"/>
  <c r="L185" i="27"/>
  <c r="M184" i="27"/>
  <c r="L184" i="27"/>
  <c r="M183" i="27"/>
  <c r="L183" i="27"/>
  <c r="M182" i="27"/>
  <c r="L182" i="27"/>
  <c r="M181" i="27"/>
  <c r="L181" i="27"/>
  <c r="M180" i="27"/>
  <c r="L180" i="27"/>
  <c r="M179" i="27"/>
  <c r="L179" i="27"/>
  <c r="M178" i="27"/>
  <c r="L178" i="27"/>
  <c r="M177" i="27"/>
  <c r="L177" i="27"/>
  <c r="M176" i="27"/>
  <c r="L176" i="27"/>
  <c r="M175" i="27"/>
  <c r="L175" i="27"/>
  <c r="M174" i="27"/>
  <c r="L174" i="27"/>
  <c r="M173" i="27"/>
  <c r="L173" i="27"/>
  <c r="M172" i="27"/>
  <c r="L172" i="27"/>
  <c r="M171" i="27"/>
  <c r="L171" i="27"/>
  <c r="M170" i="27"/>
  <c r="L170" i="27"/>
  <c r="M169" i="27"/>
  <c r="L169" i="27"/>
  <c r="M168" i="27"/>
  <c r="L168" i="27"/>
  <c r="M167" i="27"/>
  <c r="L167" i="27"/>
  <c r="M166" i="27"/>
  <c r="L166" i="27"/>
  <c r="M165" i="27"/>
  <c r="L165" i="27"/>
  <c r="M164" i="27"/>
  <c r="L164" i="27"/>
  <c r="M163" i="27"/>
  <c r="L163" i="27"/>
  <c r="M162" i="27"/>
  <c r="L162" i="27"/>
  <c r="M161" i="27"/>
  <c r="L161" i="27"/>
  <c r="M160" i="27"/>
  <c r="L160" i="27"/>
  <c r="M159" i="27"/>
  <c r="L159" i="27"/>
  <c r="M158" i="27"/>
  <c r="L158" i="27"/>
  <c r="M157" i="27"/>
  <c r="L157" i="27"/>
  <c r="M156" i="27"/>
  <c r="L156" i="27"/>
  <c r="M155" i="27"/>
  <c r="L155" i="27"/>
  <c r="M154" i="27"/>
  <c r="L154" i="27"/>
  <c r="M153" i="27"/>
  <c r="L153" i="27"/>
  <c r="M152" i="27"/>
  <c r="L152" i="27"/>
  <c r="M151" i="27"/>
  <c r="L151" i="27"/>
  <c r="M150" i="27"/>
  <c r="L150" i="27"/>
  <c r="M149" i="27"/>
  <c r="L149" i="27"/>
  <c r="M148" i="27"/>
  <c r="L148" i="27"/>
  <c r="M147" i="27"/>
  <c r="L147" i="27"/>
  <c r="M146" i="27"/>
  <c r="L146" i="27"/>
  <c r="M145" i="27"/>
  <c r="L145" i="27"/>
  <c r="M144" i="27"/>
  <c r="L144" i="27"/>
  <c r="M143" i="27"/>
  <c r="L143" i="27"/>
  <c r="M142" i="27"/>
  <c r="L142" i="27"/>
  <c r="M141" i="27"/>
  <c r="L141" i="27"/>
  <c r="M140" i="27"/>
  <c r="L140" i="27"/>
  <c r="M139" i="27"/>
  <c r="L139" i="27"/>
  <c r="M138" i="27"/>
  <c r="L138" i="27"/>
  <c r="M137" i="27"/>
  <c r="L137" i="27"/>
  <c r="M136" i="27"/>
  <c r="L136" i="27"/>
  <c r="M135" i="27"/>
  <c r="L135" i="27"/>
  <c r="M134" i="27"/>
  <c r="L134" i="27"/>
  <c r="M133" i="27"/>
  <c r="L133" i="27"/>
  <c r="M132" i="27"/>
  <c r="L132" i="27"/>
  <c r="M131" i="27"/>
  <c r="L131" i="27"/>
  <c r="M130" i="27"/>
  <c r="L130" i="27"/>
  <c r="M129" i="27"/>
  <c r="L129" i="27"/>
  <c r="M128" i="27"/>
  <c r="L128" i="27"/>
  <c r="M127" i="27"/>
  <c r="L127" i="27"/>
  <c r="M126" i="27"/>
  <c r="L126" i="27"/>
  <c r="M125" i="27"/>
  <c r="L125" i="27"/>
  <c r="M124" i="27"/>
  <c r="L124" i="27"/>
  <c r="M123" i="27"/>
  <c r="L123" i="27"/>
  <c r="M122" i="27"/>
  <c r="L122" i="27"/>
  <c r="M121" i="27"/>
  <c r="L121" i="27"/>
  <c r="M120" i="27"/>
  <c r="L120" i="27"/>
  <c r="M119" i="27"/>
  <c r="L119" i="27"/>
  <c r="M118" i="27"/>
  <c r="L118" i="27"/>
  <c r="M117" i="27"/>
  <c r="L117" i="27"/>
  <c r="M116" i="27"/>
  <c r="L116" i="27"/>
  <c r="M115" i="27"/>
  <c r="L115" i="27"/>
  <c r="M114" i="27"/>
  <c r="L114" i="27"/>
  <c r="M113" i="27"/>
  <c r="L113" i="27"/>
  <c r="M112" i="27"/>
  <c r="L112" i="27"/>
  <c r="M111" i="27"/>
  <c r="L111" i="27"/>
  <c r="M110" i="27"/>
  <c r="L110" i="27"/>
  <c r="M109" i="27"/>
  <c r="L109" i="27"/>
  <c r="M108" i="27"/>
  <c r="L108" i="27"/>
  <c r="M107" i="27"/>
  <c r="L107" i="27"/>
  <c r="M106" i="27"/>
  <c r="L106" i="27"/>
  <c r="M105" i="27"/>
  <c r="L105" i="27"/>
  <c r="M104" i="27"/>
  <c r="L104" i="27"/>
  <c r="M103" i="27"/>
  <c r="L103" i="27"/>
  <c r="M102" i="27"/>
  <c r="L102" i="27"/>
  <c r="M101" i="27"/>
  <c r="L101" i="27"/>
  <c r="M100" i="27"/>
  <c r="L100" i="27"/>
  <c r="M99" i="27"/>
  <c r="L99" i="27"/>
  <c r="M98" i="27"/>
  <c r="L98" i="27"/>
  <c r="M97" i="27"/>
  <c r="L97" i="27"/>
  <c r="M96" i="27"/>
  <c r="L96" i="27"/>
  <c r="M95" i="27"/>
  <c r="L95" i="27"/>
  <c r="M94" i="27"/>
  <c r="L94" i="27"/>
  <c r="M93" i="27"/>
  <c r="L93" i="27"/>
  <c r="M92" i="27"/>
  <c r="L92" i="27"/>
  <c r="M91" i="27"/>
  <c r="L91" i="27"/>
  <c r="M90" i="27"/>
  <c r="L90" i="27"/>
  <c r="M89" i="27"/>
  <c r="L89" i="27"/>
  <c r="M88" i="27"/>
  <c r="L88" i="27"/>
  <c r="M87" i="27"/>
  <c r="L87" i="27"/>
  <c r="M86" i="27"/>
  <c r="L86" i="27"/>
  <c r="M85" i="27"/>
  <c r="L85" i="27"/>
  <c r="M84" i="27"/>
  <c r="L84" i="27"/>
  <c r="M83" i="27"/>
  <c r="L83" i="27"/>
  <c r="M82" i="27"/>
  <c r="L82" i="27"/>
  <c r="M81" i="27"/>
  <c r="L81" i="27"/>
  <c r="M80" i="27"/>
  <c r="L80" i="27"/>
  <c r="M79" i="27"/>
  <c r="L79" i="27"/>
  <c r="M78" i="27"/>
  <c r="L78" i="27"/>
  <c r="M77" i="27"/>
  <c r="L77" i="27"/>
  <c r="M76" i="27"/>
  <c r="L76" i="27"/>
  <c r="M75" i="27"/>
  <c r="L75" i="27"/>
  <c r="M74" i="27"/>
  <c r="L74" i="27"/>
  <c r="M73" i="27"/>
  <c r="L73" i="27"/>
  <c r="M72" i="27"/>
  <c r="L72" i="27"/>
  <c r="M71" i="27"/>
  <c r="L71" i="27"/>
  <c r="M70" i="27"/>
  <c r="L70" i="27"/>
  <c r="M69" i="27"/>
  <c r="L69" i="27"/>
  <c r="M68" i="27"/>
  <c r="L68" i="27"/>
  <c r="M67" i="27"/>
  <c r="L67" i="27"/>
  <c r="M66" i="27"/>
  <c r="L66" i="27"/>
  <c r="M65" i="27"/>
  <c r="L65" i="27"/>
  <c r="M64" i="27"/>
  <c r="L64" i="27"/>
  <c r="M63" i="27"/>
  <c r="L63" i="27"/>
  <c r="M62" i="27"/>
  <c r="L62" i="27"/>
  <c r="M61" i="27"/>
  <c r="L61" i="27"/>
  <c r="M60" i="27"/>
  <c r="L60" i="27"/>
  <c r="M59" i="27"/>
  <c r="L59" i="27"/>
  <c r="M58" i="27"/>
  <c r="L58" i="27"/>
  <c r="M57" i="27"/>
  <c r="L57" i="27"/>
  <c r="M56" i="27"/>
  <c r="L56" i="27"/>
  <c r="M55" i="27"/>
  <c r="L55" i="27"/>
  <c r="M54" i="27"/>
  <c r="L54" i="27"/>
  <c r="M53" i="27"/>
  <c r="L53" i="27"/>
  <c r="M52" i="27"/>
  <c r="L52" i="27"/>
  <c r="M51" i="27"/>
  <c r="L51" i="27"/>
  <c r="M50" i="27"/>
  <c r="L50" i="27"/>
  <c r="M49" i="27"/>
  <c r="L49" i="27"/>
  <c r="M48" i="27"/>
  <c r="L48" i="27"/>
  <c r="M47" i="27"/>
  <c r="L47" i="27"/>
  <c r="M46" i="27"/>
  <c r="L46" i="27"/>
  <c r="M45" i="27"/>
  <c r="L45" i="27"/>
  <c r="M44" i="27"/>
  <c r="L44" i="27"/>
  <c r="M43" i="27"/>
  <c r="L43" i="27"/>
  <c r="M42" i="27"/>
  <c r="L42" i="27"/>
  <c r="M41" i="27"/>
  <c r="L41" i="27"/>
  <c r="M40" i="27"/>
  <c r="L40" i="27"/>
  <c r="M39" i="27"/>
  <c r="L39" i="27"/>
  <c r="M38" i="27"/>
  <c r="L38" i="27"/>
  <c r="M37" i="27"/>
  <c r="L37" i="27"/>
  <c r="M36" i="27"/>
  <c r="L36" i="27"/>
  <c r="M35" i="27"/>
  <c r="L35" i="27"/>
  <c r="M34" i="27"/>
  <c r="L34" i="27"/>
  <c r="M33" i="27"/>
  <c r="L33" i="27"/>
  <c r="M32" i="27"/>
  <c r="L32" i="27"/>
  <c r="M31" i="27"/>
  <c r="L31" i="27"/>
  <c r="M30" i="27"/>
  <c r="L30" i="27"/>
  <c r="M29" i="27"/>
  <c r="L29" i="27"/>
  <c r="M28" i="27"/>
  <c r="L28" i="27"/>
  <c r="M27" i="27"/>
  <c r="L27" i="27"/>
  <c r="M26" i="27"/>
  <c r="L26" i="27"/>
  <c r="M25" i="27"/>
  <c r="L25" i="27"/>
  <c r="M24" i="27"/>
  <c r="L24" i="27"/>
  <c r="M23" i="27"/>
  <c r="L23" i="27"/>
  <c r="M22" i="27"/>
  <c r="L22" i="27"/>
  <c r="M21" i="27"/>
  <c r="L21" i="27"/>
  <c r="M20" i="27"/>
  <c r="L20" i="27"/>
  <c r="M19" i="27"/>
  <c r="L19" i="27"/>
  <c r="M18" i="27"/>
  <c r="L18" i="27"/>
  <c r="M17" i="27"/>
  <c r="L17" i="27"/>
  <c r="M16" i="27"/>
  <c r="L16" i="27"/>
  <c r="M15" i="27"/>
  <c r="L15" i="27"/>
  <c r="M14" i="27"/>
  <c r="L14" i="27"/>
  <c r="M13" i="27"/>
  <c r="L13" i="27"/>
  <c r="M12" i="27"/>
  <c r="L12" i="27"/>
  <c r="M11" i="27"/>
  <c r="L11" i="27"/>
  <c r="M10" i="27"/>
  <c r="L10" i="27"/>
  <c r="M9" i="27"/>
  <c r="L9" i="27"/>
  <c r="M8" i="27"/>
  <c r="L8" i="27"/>
  <c r="M7" i="27"/>
  <c r="L7" i="27"/>
  <c r="M6" i="27"/>
  <c r="L6" i="27"/>
  <c r="M5" i="27"/>
  <c r="L5" i="27"/>
  <c r="M4" i="27"/>
  <c r="L4" i="27"/>
  <c r="M3" i="27"/>
  <c r="L3" i="27"/>
  <c r="M2" i="27"/>
  <c r="L2" i="27"/>
  <c r="M200" i="28"/>
  <c r="L200" i="28"/>
  <c r="M199" i="28"/>
  <c r="L199" i="28"/>
  <c r="M198" i="28"/>
  <c r="L198" i="28"/>
  <c r="M197" i="28"/>
  <c r="L197" i="28"/>
  <c r="M196" i="28"/>
  <c r="L196" i="28"/>
  <c r="M195" i="28"/>
  <c r="L195" i="28"/>
  <c r="M194" i="28"/>
  <c r="L194" i="28"/>
  <c r="M193" i="28"/>
  <c r="L193" i="28"/>
  <c r="M192" i="28"/>
  <c r="L192" i="28"/>
  <c r="M191" i="28"/>
  <c r="L191" i="28"/>
  <c r="M190" i="28"/>
  <c r="L190" i="28"/>
  <c r="M189" i="28"/>
  <c r="L189" i="28"/>
  <c r="M188" i="28"/>
  <c r="L188" i="28"/>
  <c r="M187" i="28"/>
  <c r="L187" i="28"/>
  <c r="M186" i="28"/>
  <c r="L186" i="28"/>
  <c r="M185" i="28"/>
  <c r="L185" i="28"/>
  <c r="M184" i="28"/>
  <c r="L184" i="28"/>
  <c r="M183" i="28"/>
  <c r="L183" i="28"/>
  <c r="M182" i="28"/>
  <c r="L182" i="28"/>
  <c r="M181" i="28"/>
  <c r="L181" i="28"/>
  <c r="M180" i="28"/>
  <c r="L180" i="28"/>
  <c r="M179" i="28"/>
  <c r="L179" i="28"/>
  <c r="M178" i="28"/>
  <c r="L178" i="28"/>
  <c r="M177" i="28"/>
  <c r="L177" i="28"/>
  <c r="M176" i="28"/>
  <c r="L176" i="28"/>
  <c r="M175" i="28"/>
  <c r="L175" i="28"/>
  <c r="M174" i="28"/>
  <c r="L174" i="28"/>
  <c r="M173" i="28"/>
  <c r="L173" i="28"/>
  <c r="M172" i="28"/>
  <c r="L172" i="28"/>
  <c r="M171" i="28"/>
  <c r="L171" i="28"/>
  <c r="M170" i="28"/>
  <c r="L170" i="28"/>
  <c r="M169" i="28"/>
  <c r="L169" i="28"/>
  <c r="M168" i="28"/>
  <c r="L168" i="28"/>
  <c r="M167" i="28"/>
  <c r="L167" i="28"/>
  <c r="M166" i="28"/>
  <c r="L166" i="28"/>
  <c r="M165" i="28"/>
  <c r="L165" i="28"/>
  <c r="M164" i="28"/>
  <c r="L164" i="28"/>
  <c r="M163" i="28"/>
  <c r="L163" i="28"/>
  <c r="M162" i="28"/>
  <c r="L162" i="28"/>
  <c r="M161" i="28"/>
  <c r="L161" i="28"/>
  <c r="M160" i="28"/>
  <c r="L160" i="28"/>
  <c r="M159" i="28"/>
  <c r="L159" i="28"/>
  <c r="M158" i="28"/>
  <c r="L158" i="28"/>
  <c r="M157" i="28"/>
  <c r="L157" i="28"/>
  <c r="M156" i="28"/>
  <c r="L156" i="28"/>
  <c r="M155" i="28"/>
  <c r="L155" i="28"/>
  <c r="M154" i="28"/>
  <c r="L154" i="28"/>
  <c r="M153" i="28"/>
  <c r="L153" i="28"/>
  <c r="M152" i="28"/>
  <c r="L152" i="28"/>
  <c r="M151" i="28"/>
  <c r="L151" i="28"/>
  <c r="M150" i="28"/>
  <c r="L150" i="28"/>
  <c r="M149" i="28"/>
  <c r="L149" i="28"/>
  <c r="M148" i="28"/>
  <c r="L148" i="28"/>
  <c r="M147" i="28"/>
  <c r="L147" i="28"/>
  <c r="M146" i="28"/>
  <c r="L146" i="28"/>
  <c r="M145" i="28"/>
  <c r="L145" i="28"/>
  <c r="M144" i="28"/>
  <c r="L144" i="28"/>
  <c r="M143" i="28"/>
  <c r="L143" i="28"/>
  <c r="M142" i="28"/>
  <c r="L142" i="28"/>
  <c r="M141" i="28"/>
  <c r="L141" i="28"/>
  <c r="M140" i="28"/>
  <c r="L140" i="28"/>
  <c r="M139" i="28"/>
  <c r="L139" i="28"/>
  <c r="M138" i="28"/>
  <c r="L138" i="28"/>
  <c r="M137" i="28"/>
  <c r="L137" i="28"/>
  <c r="M136" i="28"/>
  <c r="L136" i="28"/>
  <c r="M135" i="28"/>
  <c r="L135" i="28"/>
  <c r="M134" i="28"/>
  <c r="L134" i="28"/>
  <c r="M133" i="28"/>
  <c r="L133" i="28"/>
  <c r="M132" i="28"/>
  <c r="L132" i="28"/>
  <c r="M131" i="28"/>
  <c r="L131" i="28"/>
  <c r="M130" i="28"/>
  <c r="L130" i="28"/>
  <c r="M129" i="28"/>
  <c r="L129" i="28"/>
  <c r="M128" i="28"/>
  <c r="L128" i="28"/>
  <c r="M127" i="28"/>
  <c r="L127" i="28"/>
  <c r="M126" i="28"/>
  <c r="L126" i="28"/>
  <c r="M125" i="28"/>
  <c r="L125" i="28"/>
  <c r="M124" i="28"/>
  <c r="L124" i="28"/>
  <c r="M123" i="28"/>
  <c r="L123" i="28"/>
  <c r="M122" i="28"/>
  <c r="L122" i="28"/>
  <c r="M121" i="28"/>
  <c r="L121" i="28"/>
  <c r="M120" i="28"/>
  <c r="L120" i="28"/>
  <c r="M119" i="28"/>
  <c r="L119" i="28"/>
  <c r="M118" i="28"/>
  <c r="L118" i="28"/>
  <c r="M117" i="28"/>
  <c r="L117" i="28"/>
  <c r="M116" i="28"/>
  <c r="L116" i="28"/>
  <c r="M115" i="28"/>
  <c r="L115" i="28"/>
  <c r="M114" i="28"/>
  <c r="L114" i="28"/>
  <c r="M113" i="28"/>
  <c r="L113" i="28"/>
  <c r="M112" i="28"/>
  <c r="L112" i="28"/>
  <c r="M111" i="28"/>
  <c r="L111" i="28"/>
  <c r="M110" i="28"/>
  <c r="L110" i="28"/>
  <c r="M109" i="28"/>
  <c r="L109" i="28"/>
  <c r="M108" i="28"/>
  <c r="L108" i="28"/>
  <c r="M107" i="28"/>
  <c r="L107" i="28"/>
  <c r="M106" i="28"/>
  <c r="L106" i="28"/>
  <c r="M105" i="28"/>
  <c r="L105" i="28"/>
  <c r="M104" i="28"/>
  <c r="L104" i="28"/>
  <c r="M103" i="28"/>
  <c r="L103" i="28"/>
  <c r="M102" i="28"/>
  <c r="L102" i="28"/>
  <c r="M101" i="28"/>
  <c r="L101" i="28"/>
  <c r="M100" i="28"/>
  <c r="L100" i="28"/>
  <c r="M99" i="28"/>
  <c r="L99" i="28"/>
  <c r="M98" i="28"/>
  <c r="L98" i="28"/>
  <c r="M97" i="28"/>
  <c r="L97" i="28"/>
  <c r="M96" i="28"/>
  <c r="L96" i="28"/>
  <c r="M95" i="28"/>
  <c r="L95" i="28"/>
  <c r="M94" i="28"/>
  <c r="L94" i="28"/>
  <c r="M93" i="28"/>
  <c r="L93" i="28"/>
  <c r="M92" i="28"/>
  <c r="L92" i="28"/>
  <c r="M91" i="28"/>
  <c r="L91" i="28"/>
  <c r="M90" i="28"/>
  <c r="L90" i="28"/>
  <c r="M89" i="28"/>
  <c r="L89" i="28"/>
  <c r="M88" i="28"/>
  <c r="L88" i="28"/>
  <c r="M87" i="28"/>
  <c r="L87" i="28"/>
  <c r="M86" i="28"/>
  <c r="L86" i="28"/>
  <c r="M85" i="28"/>
  <c r="L85" i="28"/>
  <c r="M84" i="28"/>
  <c r="L84" i="28"/>
  <c r="M83" i="28"/>
  <c r="L83" i="28"/>
  <c r="M82" i="28"/>
  <c r="L82" i="28"/>
  <c r="M81" i="28"/>
  <c r="L81" i="28"/>
  <c r="M80" i="28"/>
  <c r="L80" i="28"/>
  <c r="M79" i="28"/>
  <c r="L79" i="28"/>
  <c r="M78" i="28"/>
  <c r="L78" i="28"/>
  <c r="M77" i="28"/>
  <c r="L77" i="28"/>
  <c r="M76" i="28"/>
  <c r="L76" i="28"/>
  <c r="M75" i="28"/>
  <c r="L75" i="28"/>
  <c r="M74" i="28"/>
  <c r="L74" i="28"/>
  <c r="M73" i="28"/>
  <c r="L73" i="28"/>
  <c r="M72" i="28"/>
  <c r="L72" i="28"/>
  <c r="M71" i="28"/>
  <c r="L71" i="28"/>
  <c r="M70" i="28"/>
  <c r="L70" i="28"/>
  <c r="M69" i="28"/>
  <c r="L69" i="28"/>
  <c r="M68" i="28"/>
  <c r="L68" i="28"/>
  <c r="M67" i="28"/>
  <c r="L67" i="28"/>
  <c r="M66" i="28"/>
  <c r="L66" i="28"/>
  <c r="M65" i="28"/>
  <c r="L65" i="28"/>
  <c r="M64" i="28"/>
  <c r="L64" i="28"/>
  <c r="M63" i="28"/>
  <c r="L63" i="28"/>
  <c r="M62" i="28"/>
  <c r="L62" i="28"/>
  <c r="M61" i="28"/>
  <c r="L61" i="28"/>
  <c r="M60" i="28"/>
  <c r="L60" i="28"/>
  <c r="M59" i="28"/>
  <c r="L59" i="28"/>
  <c r="M58" i="28"/>
  <c r="L58" i="28"/>
  <c r="M57" i="28"/>
  <c r="L57" i="28"/>
  <c r="M56" i="28"/>
  <c r="L56" i="28"/>
  <c r="M55" i="28"/>
  <c r="L55" i="28"/>
  <c r="M54" i="28"/>
  <c r="L54" i="28"/>
  <c r="M53" i="28"/>
  <c r="L53" i="28"/>
  <c r="M52" i="28"/>
  <c r="L52" i="28"/>
  <c r="M51" i="28"/>
  <c r="L51" i="28"/>
  <c r="M50" i="28"/>
  <c r="L50" i="28"/>
  <c r="M49" i="28"/>
  <c r="L49" i="28"/>
  <c r="M48" i="28"/>
  <c r="L48" i="28"/>
  <c r="M47" i="28"/>
  <c r="L47" i="28"/>
  <c r="M46" i="28"/>
  <c r="L46" i="28"/>
  <c r="M45" i="28"/>
  <c r="L45" i="28"/>
  <c r="M44" i="28"/>
  <c r="L44" i="28"/>
  <c r="M43" i="28"/>
  <c r="L43" i="28"/>
  <c r="M42" i="28"/>
  <c r="L42" i="28"/>
  <c r="M41" i="28"/>
  <c r="L41" i="28"/>
  <c r="M40" i="28"/>
  <c r="L40" i="28"/>
  <c r="M39" i="28"/>
  <c r="L39" i="28"/>
  <c r="M38" i="28"/>
  <c r="L38" i="28"/>
  <c r="M37" i="28"/>
  <c r="L37" i="28"/>
  <c r="M36" i="28"/>
  <c r="L36" i="28"/>
  <c r="M35" i="28"/>
  <c r="L35" i="28"/>
  <c r="M34" i="28"/>
  <c r="L34" i="28"/>
  <c r="M33" i="28"/>
  <c r="L33" i="28"/>
  <c r="M32" i="28"/>
  <c r="L32" i="28"/>
  <c r="M31" i="28"/>
  <c r="L31" i="28"/>
  <c r="M30" i="28"/>
  <c r="L30" i="28"/>
  <c r="M29" i="28"/>
  <c r="L29" i="28"/>
  <c r="M28" i="28"/>
  <c r="L28" i="28"/>
  <c r="M27" i="28"/>
  <c r="L27" i="28"/>
  <c r="M26" i="28"/>
  <c r="L26" i="28"/>
  <c r="M25" i="28"/>
  <c r="L25" i="28"/>
  <c r="M24" i="28"/>
  <c r="L24" i="28"/>
  <c r="M23" i="28"/>
  <c r="L23" i="28"/>
  <c r="M22" i="28"/>
  <c r="L22" i="28"/>
  <c r="M21" i="28"/>
  <c r="L21" i="28"/>
  <c r="M20" i="28"/>
  <c r="L20" i="28"/>
  <c r="M19" i="28"/>
  <c r="L19" i="28"/>
  <c r="M18" i="28"/>
  <c r="L18" i="28"/>
  <c r="M17" i="28"/>
  <c r="L17" i="28"/>
  <c r="M16" i="28"/>
  <c r="L16" i="28"/>
  <c r="M15" i="28"/>
  <c r="L15" i="28"/>
  <c r="M14" i="28"/>
  <c r="L14" i="28"/>
  <c r="M13" i="28"/>
  <c r="L13" i="28"/>
  <c r="M12" i="28"/>
  <c r="L12" i="28"/>
  <c r="M11" i="28"/>
  <c r="L11" i="28"/>
  <c r="M10" i="28"/>
  <c r="L10" i="28"/>
  <c r="M9" i="28"/>
  <c r="L9" i="28"/>
  <c r="M8" i="28"/>
  <c r="L8" i="28"/>
  <c r="M7" i="28"/>
  <c r="L7" i="28"/>
  <c r="M6" i="28"/>
  <c r="L6" i="28"/>
  <c r="M5" i="28"/>
  <c r="L5" i="28"/>
  <c r="M4" i="28"/>
  <c r="L4" i="28"/>
  <c r="M3" i="28"/>
  <c r="L3" i="28"/>
  <c r="M2" i="28"/>
  <c r="L2" i="28"/>
  <c r="M200" i="29"/>
  <c r="L200" i="29"/>
  <c r="M199" i="29"/>
  <c r="L199" i="29"/>
  <c r="M198" i="29"/>
  <c r="L198" i="29"/>
  <c r="M197" i="29"/>
  <c r="L197" i="29"/>
  <c r="M196" i="29"/>
  <c r="L196" i="29"/>
  <c r="M195" i="29"/>
  <c r="L195" i="29"/>
  <c r="M194" i="29"/>
  <c r="L194" i="29"/>
  <c r="M193" i="29"/>
  <c r="L193" i="29"/>
  <c r="M192" i="29"/>
  <c r="L192" i="29"/>
  <c r="M191" i="29"/>
  <c r="L191" i="29"/>
  <c r="M190" i="29"/>
  <c r="L190" i="29"/>
  <c r="M189" i="29"/>
  <c r="L189" i="29"/>
  <c r="M188" i="29"/>
  <c r="L188" i="29"/>
  <c r="M187" i="29"/>
  <c r="L187" i="29"/>
  <c r="M186" i="29"/>
  <c r="L186" i="29"/>
  <c r="M185" i="29"/>
  <c r="L185" i="29"/>
  <c r="M184" i="29"/>
  <c r="L184" i="29"/>
  <c r="M183" i="29"/>
  <c r="L183" i="29"/>
  <c r="M182" i="29"/>
  <c r="L182" i="29"/>
  <c r="M181" i="29"/>
  <c r="L181" i="29"/>
  <c r="M180" i="29"/>
  <c r="L180" i="29"/>
  <c r="M179" i="29"/>
  <c r="L179" i="29"/>
  <c r="M178" i="29"/>
  <c r="L178" i="29"/>
  <c r="M177" i="29"/>
  <c r="L177" i="29"/>
  <c r="M176" i="29"/>
  <c r="L176" i="29"/>
  <c r="M175" i="29"/>
  <c r="L175" i="29"/>
  <c r="M174" i="29"/>
  <c r="L174" i="29"/>
  <c r="M173" i="29"/>
  <c r="L173" i="29"/>
  <c r="M172" i="29"/>
  <c r="L172" i="29"/>
  <c r="M171" i="29"/>
  <c r="L171" i="29"/>
  <c r="M170" i="29"/>
  <c r="L170" i="29"/>
  <c r="M169" i="29"/>
  <c r="L169" i="29"/>
  <c r="M168" i="29"/>
  <c r="L168" i="29"/>
  <c r="M167" i="29"/>
  <c r="L167" i="29"/>
  <c r="M166" i="29"/>
  <c r="L166" i="29"/>
  <c r="M165" i="29"/>
  <c r="L165" i="29"/>
  <c r="M164" i="29"/>
  <c r="L164" i="29"/>
  <c r="M163" i="29"/>
  <c r="L163" i="29"/>
  <c r="M162" i="29"/>
  <c r="L162" i="29"/>
  <c r="M161" i="29"/>
  <c r="L161" i="29"/>
  <c r="M160" i="29"/>
  <c r="L160" i="29"/>
  <c r="M159" i="29"/>
  <c r="L159" i="29"/>
  <c r="M158" i="29"/>
  <c r="L158" i="29"/>
  <c r="M157" i="29"/>
  <c r="L157" i="29"/>
  <c r="M156" i="29"/>
  <c r="L156" i="29"/>
  <c r="M155" i="29"/>
  <c r="L155" i="29"/>
  <c r="M154" i="29"/>
  <c r="L154" i="29"/>
  <c r="M153" i="29"/>
  <c r="L153" i="29"/>
  <c r="M152" i="29"/>
  <c r="L152" i="29"/>
  <c r="M151" i="29"/>
  <c r="L151" i="29"/>
  <c r="M150" i="29"/>
  <c r="L150" i="29"/>
  <c r="M149" i="29"/>
  <c r="L149" i="29"/>
  <c r="M148" i="29"/>
  <c r="L148" i="29"/>
  <c r="M147" i="29"/>
  <c r="L147" i="29"/>
  <c r="M146" i="29"/>
  <c r="L146" i="29"/>
  <c r="M145" i="29"/>
  <c r="L145" i="29"/>
  <c r="M144" i="29"/>
  <c r="L144" i="29"/>
  <c r="M143" i="29"/>
  <c r="L143" i="29"/>
  <c r="M142" i="29"/>
  <c r="L142" i="29"/>
  <c r="M141" i="29"/>
  <c r="L141" i="29"/>
  <c r="M140" i="29"/>
  <c r="L140" i="29"/>
  <c r="M139" i="29"/>
  <c r="L139" i="29"/>
  <c r="M138" i="29"/>
  <c r="L138" i="29"/>
  <c r="M137" i="29"/>
  <c r="L137" i="29"/>
  <c r="M136" i="29"/>
  <c r="L136" i="29"/>
  <c r="M135" i="29"/>
  <c r="L135" i="29"/>
  <c r="M134" i="29"/>
  <c r="L134" i="29"/>
  <c r="M133" i="29"/>
  <c r="L133" i="29"/>
  <c r="M132" i="29"/>
  <c r="L132" i="29"/>
  <c r="M131" i="29"/>
  <c r="L131" i="29"/>
  <c r="M130" i="29"/>
  <c r="L130" i="29"/>
  <c r="M129" i="29"/>
  <c r="L129" i="29"/>
  <c r="M128" i="29"/>
  <c r="L128" i="29"/>
  <c r="M127" i="29"/>
  <c r="L127" i="29"/>
  <c r="M126" i="29"/>
  <c r="L126" i="29"/>
  <c r="M125" i="29"/>
  <c r="L125" i="29"/>
  <c r="M124" i="29"/>
  <c r="L124" i="29"/>
  <c r="M123" i="29"/>
  <c r="L123" i="29"/>
  <c r="M122" i="29"/>
  <c r="L122" i="29"/>
  <c r="M121" i="29"/>
  <c r="L121" i="29"/>
  <c r="M120" i="29"/>
  <c r="L120" i="29"/>
  <c r="M119" i="29"/>
  <c r="L119" i="29"/>
  <c r="M118" i="29"/>
  <c r="L118" i="29"/>
  <c r="M117" i="29"/>
  <c r="L117" i="29"/>
  <c r="M116" i="29"/>
  <c r="L116" i="29"/>
  <c r="M115" i="29"/>
  <c r="L115" i="29"/>
  <c r="M114" i="29"/>
  <c r="L114" i="29"/>
  <c r="M113" i="29"/>
  <c r="L113" i="29"/>
  <c r="M112" i="29"/>
  <c r="L112" i="29"/>
  <c r="M111" i="29"/>
  <c r="L111" i="29"/>
  <c r="M110" i="29"/>
  <c r="L110" i="29"/>
  <c r="M109" i="29"/>
  <c r="L109" i="29"/>
  <c r="M108" i="29"/>
  <c r="L108" i="29"/>
  <c r="M107" i="29"/>
  <c r="L107" i="29"/>
  <c r="M106" i="29"/>
  <c r="L106" i="29"/>
  <c r="M105" i="29"/>
  <c r="L105" i="29"/>
  <c r="M104" i="29"/>
  <c r="L104" i="29"/>
  <c r="M103" i="29"/>
  <c r="L103" i="29"/>
  <c r="M102" i="29"/>
  <c r="L102" i="29"/>
  <c r="M101" i="29"/>
  <c r="L101" i="29"/>
  <c r="M100" i="29"/>
  <c r="L100" i="29"/>
  <c r="M99" i="29"/>
  <c r="L99" i="29"/>
  <c r="M98" i="29"/>
  <c r="L98" i="29"/>
  <c r="M97" i="29"/>
  <c r="L97" i="29"/>
  <c r="M96" i="29"/>
  <c r="L96" i="29"/>
  <c r="M95" i="29"/>
  <c r="L95" i="29"/>
  <c r="M94" i="29"/>
  <c r="L94" i="29"/>
  <c r="M93" i="29"/>
  <c r="L93" i="29"/>
  <c r="M92" i="29"/>
  <c r="L92" i="29"/>
  <c r="M91" i="29"/>
  <c r="L91" i="29"/>
  <c r="M90" i="29"/>
  <c r="L90" i="29"/>
  <c r="M89" i="29"/>
  <c r="L89" i="29"/>
  <c r="M88" i="29"/>
  <c r="L88" i="29"/>
  <c r="M87" i="29"/>
  <c r="L87" i="29"/>
  <c r="M86" i="29"/>
  <c r="L86" i="29"/>
  <c r="M85" i="29"/>
  <c r="L85" i="29"/>
  <c r="M84" i="29"/>
  <c r="L84" i="29"/>
  <c r="M83" i="29"/>
  <c r="L83" i="29"/>
  <c r="M82" i="29"/>
  <c r="L82" i="29"/>
  <c r="M81" i="29"/>
  <c r="L81" i="29"/>
  <c r="M80" i="29"/>
  <c r="L80" i="29"/>
  <c r="M79" i="29"/>
  <c r="L79" i="29"/>
  <c r="M78" i="29"/>
  <c r="L78" i="29"/>
  <c r="M77" i="29"/>
  <c r="L77" i="29"/>
  <c r="M76" i="29"/>
  <c r="L76" i="29"/>
  <c r="M75" i="29"/>
  <c r="L75" i="29"/>
  <c r="M74" i="29"/>
  <c r="L74" i="29"/>
  <c r="M73" i="29"/>
  <c r="L73" i="29"/>
  <c r="M72" i="29"/>
  <c r="L72" i="29"/>
  <c r="M71" i="29"/>
  <c r="L71" i="29"/>
  <c r="M70" i="29"/>
  <c r="L70" i="29"/>
  <c r="M69" i="29"/>
  <c r="L69" i="29"/>
  <c r="M68" i="29"/>
  <c r="L68" i="29"/>
  <c r="M67" i="29"/>
  <c r="L67" i="29"/>
  <c r="M66" i="29"/>
  <c r="L66" i="29"/>
  <c r="M65" i="29"/>
  <c r="L65" i="29"/>
  <c r="M64" i="29"/>
  <c r="L64" i="29"/>
  <c r="M63" i="29"/>
  <c r="L63" i="29"/>
  <c r="M62" i="29"/>
  <c r="L62" i="29"/>
  <c r="M61" i="29"/>
  <c r="L61" i="29"/>
  <c r="M60" i="29"/>
  <c r="L60" i="29"/>
  <c r="M59" i="29"/>
  <c r="L59" i="29"/>
  <c r="M58" i="29"/>
  <c r="L58" i="29"/>
  <c r="M57" i="29"/>
  <c r="L57" i="29"/>
  <c r="M56" i="29"/>
  <c r="L56" i="29"/>
  <c r="M55" i="29"/>
  <c r="L55" i="29"/>
  <c r="M54" i="29"/>
  <c r="L54" i="29"/>
  <c r="M53" i="29"/>
  <c r="L53" i="29"/>
  <c r="M52" i="29"/>
  <c r="L52" i="29"/>
  <c r="M51" i="29"/>
  <c r="L51" i="29"/>
  <c r="M50" i="29"/>
  <c r="L50" i="29"/>
  <c r="M49" i="29"/>
  <c r="L49" i="29"/>
  <c r="M48" i="29"/>
  <c r="L48" i="29"/>
  <c r="M47" i="29"/>
  <c r="L47" i="29"/>
  <c r="M46" i="29"/>
  <c r="L46" i="29"/>
  <c r="M45" i="29"/>
  <c r="L45" i="29"/>
  <c r="M44" i="29"/>
  <c r="L44" i="29"/>
  <c r="M43" i="29"/>
  <c r="L43" i="29"/>
  <c r="M42" i="29"/>
  <c r="L42" i="29"/>
  <c r="M41" i="29"/>
  <c r="L41" i="29"/>
  <c r="M40" i="29"/>
  <c r="L40" i="29"/>
  <c r="M39" i="29"/>
  <c r="L39" i="29"/>
  <c r="M38" i="29"/>
  <c r="L38" i="29"/>
  <c r="M37" i="29"/>
  <c r="L37" i="29"/>
  <c r="M36" i="29"/>
  <c r="L36" i="29"/>
  <c r="M35" i="29"/>
  <c r="L35" i="29"/>
  <c r="M34" i="29"/>
  <c r="L34" i="29"/>
  <c r="M33" i="29"/>
  <c r="L33" i="29"/>
  <c r="M32" i="29"/>
  <c r="L32" i="29"/>
  <c r="M31" i="29"/>
  <c r="L31" i="29"/>
  <c r="M30" i="29"/>
  <c r="L30" i="29"/>
  <c r="M29" i="29"/>
  <c r="L29" i="29"/>
  <c r="M28" i="29"/>
  <c r="L28" i="29"/>
  <c r="M27" i="29"/>
  <c r="L27" i="29"/>
  <c r="M26" i="29"/>
  <c r="L26" i="29"/>
  <c r="M25" i="29"/>
  <c r="L25" i="29"/>
  <c r="M24" i="29"/>
  <c r="L24" i="29"/>
  <c r="M23" i="29"/>
  <c r="L23" i="29"/>
  <c r="M22" i="29"/>
  <c r="L22" i="29"/>
  <c r="M21" i="29"/>
  <c r="L21" i="29"/>
  <c r="M20" i="29"/>
  <c r="L20" i="29"/>
  <c r="M19" i="29"/>
  <c r="L19" i="29"/>
  <c r="M18" i="29"/>
  <c r="L18" i="29"/>
  <c r="M17" i="29"/>
  <c r="L17" i="29"/>
  <c r="M16" i="29"/>
  <c r="L16" i="29"/>
  <c r="M15" i="29"/>
  <c r="L15" i="29"/>
  <c r="M14" i="29"/>
  <c r="L14" i="29"/>
  <c r="M13" i="29"/>
  <c r="L13" i="29"/>
  <c r="M12" i="29"/>
  <c r="L12" i="29"/>
  <c r="M11" i="29"/>
  <c r="L11" i="29"/>
  <c r="M10" i="29"/>
  <c r="L10" i="29"/>
  <c r="M9" i="29"/>
  <c r="L9" i="29"/>
  <c r="M8" i="29"/>
  <c r="L8" i="29"/>
  <c r="M7" i="29"/>
  <c r="L7" i="29"/>
  <c r="M6" i="29"/>
  <c r="L6" i="29"/>
  <c r="M5" i="29"/>
  <c r="L5" i="29"/>
  <c r="M4" i="29"/>
  <c r="L4" i="29"/>
  <c r="M3" i="29"/>
  <c r="L3" i="29"/>
  <c r="M2" i="29"/>
  <c r="L2" i="29"/>
  <c r="M200" i="30"/>
  <c r="L200" i="30"/>
  <c r="M199" i="30"/>
  <c r="L199" i="30"/>
  <c r="M198" i="30"/>
  <c r="L198" i="30"/>
  <c r="M197" i="30"/>
  <c r="L197" i="30"/>
  <c r="M196" i="30"/>
  <c r="L196" i="30"/>
  <c r="M195" i="30"/>
  <c r="L195" i="30"/>
  <c r="M194" i="30"/>
  <c r="L194" i="30"/>
  <c r="M193" i="30"/>
  <c r="L193" i="30"/>
  <c r="M192" i="30"/>
  <c r="L192" i="30"/>
  <c r="M191" i="30"/>
  <c r="L191" i="30"/>
  <c r="M190" i="30"/>
  <c r="L190" i="30"/>
  <c r="M189" i="30"/>
  <c r="L189" i="30"/>
  <c r="M188" i="30"/>
  <c r="L188" i="30"/>
  <c r="M187" i="30"/>
  <c r="L187" i="30"/>
  <c r="M186" i="30"/>
  <c r="L186" i="30"/>
  <c r="M185" i="30"/>
  <c r="L185" i="30"/>
  <c r="M184" i="30"/>
  <c r="L184" i="30"/>
  <c r="M183" i="30"/>
  <c r="L183" i="30"/>
  <c r="M182" i="30"/>
  <c r="L182" i="30"/>
  <c r="M181" i="30"/>
  <c r="L181" i="30"/>
  <c r="M180" i="30"/>
  <c r="L180" i="30"/>
  <c r="M179" i="30"/>
  <c r="L179" i="30"/>
  <c r="M178" i="30"/>
  <c r="L178" i="30"/>
  <c r="M177" i="30"/>
  <c r="L177" i="30"/>
  <c r="M176" i="30"/>
  <c r="L176" i="30"/>
  <c r="M175" i="30"/>
  <c r="L175" i="30"/>
  <c r="M174" i="30"/>
  <c r="L174" i="30"/>
  <c r="M173" i="30"/>
  <c r="L173" i="30"/>
  <c r="M172" i="30"/>
  <c r="L172" i="30"/>
  <c r="M171" i="30"/>
  <c r="L171" i="30"/>
  <c r="M170" i="30"/>
  <c r="L170" i="30"/>
  <c r="M169" i="30"/>
  <c r="L169" i="30"/>
  <c r="M168" i="30"/>
  <c r="L168" i="30"/>
  <c r="M167" i="30"/>
  <c r="L167" i="30"/>
  <c r="M166" i="30"/>
  <c r="L166" i="30"/>
  <c r="M165" i="30"/>
  <c r="L165" i="30"/>
  <c r="M164" i="30"/>
  <c r="L164" i="30"/>
  <c r="M163" i="30"/>
  <c r="L163" i="30"/>
  <c r="M162" i="30"/>
  <c r="L162" i="30"/>
  <c r="M161" i="30"/>
  <c r="L161" i="30"/>
  <c r="M160" i="30"/>
  <c r="L160" i="30"/>
  <c r="M159" i="30"/>
  <c r="L159" i="30"/>
  <c r="M158" i="30"/>
  <c r="L158" i="30"/>
  <c r="M157" i="30"/>
  <c r="L157" i="30"/>
  <c r="M156" i="30"/>
  <c r="L156" i="30"/>
  <c r="M155" i="30"/>
  <c r="L155" i="30"/>
  <c r="M154" i="30"/>
  <c r="L154" i="30"/>
  <c r="M153" i="30"/>
  <c r="L153" i="30"/>
  <c r="M152" i="30"/>
  <c r="L152" i="30"/>
  <c r="M151" i="30"/>
  <c r="L151" i="30"/>
  <c r="M150" i="30"/>
  <c r="L150" i="30"/>
  <c r="M149" i="30"/>
  <c r="L149" i="30"/>
  <c r="M148" i="30"/>
  <c r="L148" i="30"/>
  <c r="M147" i="30"/>
  <c r="L147" i="30"/>
  <c r="M146" i="30"/>
  <c r="L146" i="30"/>
  <c r="M145" i="30"/>
  <c r="L145" i="30"/>
  <c r="M144" i="30"/>
  <c r="L144" i="30"/>
  <c r="M143" i="30"/>
  <c r="L143" i="30"/>
  <c r="M142" i="30"/>
  <c r="L142" i="30"/>
  <c r="M141" i="30"/>
  <c r="L141" i="30"/>
  <c r="M140" i="30"/>
  <c r="L140" i="30"/>
  <c r="M139" i="30"/>
  <c r="L139" i="30"/>
  <c r="M138" i="30"/>
  <c r="L138" i="30"/>
  <c r="M137" i="30"/>
  <c r="L137" i="30"/>
  <c r="M136" i="30"/>
  <c r="L136" i="30"/>
  <c r="M135" i="30"/>
  <c r="L135" i="30"/>
  <c r="M134" i="30"/>
  <c r="L134" i="30"/>
  <c r="M133" i="30"/>
  <c r="L133" i="30"/>
  <c r="M132" i="30"/>
  <c r="L132" i="30"/>
  <c r="M131" i="30"/>
  <c r="L131" i="30"/>
  <c r="M130" i="30"/>
  <c r="L130" i="30"/>
  <c r="M129" i="30"/>
  <c r="L129" i="30"/>
  <c r="M128" i="30"/>
  <c r="L128" i="30"/>
  <c r="M127" i="30"/>
  <c r="L127" i="30"/>
  <c r="M126" i="30"/>
  <c r="L126" i="30"/>
  <c r="M125" i="30"/>
  <c r="L125" i="30"/>
  <c r="M124" i="30"/>
  <c r="L124" i="30"/>
  <c r="M123" i="30"/>
  <c r="L123" i="30"/>
  <c r="M122" i="30"/>
  <c r="L122" i="30"/>
  <c r="M121" i="30"/>
  <c r="L121" i="30"/>
  <c r="M120" i="30"/>
  <c r="L120" i="30"/>
  <c r="M119" i="30"/>
  <c r="L119" i="30"/>
  <c r="M118" i="30"/>
  <c r="L118" i="30"/>
  <c r="M117" i="30"/>
  <c r="L117" i="30"/>
  <c r="M116" i="30"/>
  <c r="L116" i="30"/>
  <c r="M115" i="30"/>
  <c r="L115" i="30"/>
  <c r="M114" i="30"/>
  <c r="L114" i="30"/>
  <c r="M113" i="30"/>
  <c r="L113" i="30"/>
  <c r="M112" i="30"/>
  <c r="L112" i="30"/>
  <c r="M111" i="30"/>
  <c r="L111" i="30"/>
  <c r="M110" i="30"/>
  <c r="L110" i="30"/>
  <c r="M109" i="30"/>
  <c r="L109" i="30"/>
  <c r="M108" i="30"/>
  <c r="L108" i="30"/>
  <c r="M107" i="30"/>
  <c r="L107" i="30"/>
  <c r="M106" i="30"/>
  <c r="L106" i="30"/>
  <c r="M105" i="30"/>
  <c r="L105" i="30"/>
  <c r="M104" i="30"/>
  <c r="L104" i="30"/>
  <c r="M103" i="30"/>
  <c r="L103" i="30"/>
  <c r="M102" i="30"/>
  <c r="L102" i="30"/>
  <c r="M101" i="30"/>
  <c r="L101" i="30"/>
  <c r="M100" i="30"/>
  <c r="L100" i="30"/>
  <c r="M99" i="30"/>
  <c r="L99" i="30"/>
  <c r="M98" i="30"/>
  <c r="L98" i="30"/>
  <c r="M97" i="30"/>
  <c r="L97" i="30"/>
  <c r="M96" i="30"/>
  <c r="L96" i="30"/>
  <c r="M95" i="30"/>
  <c r="L95" i="30"/>
  <c r="M94" i="30"/>
  <c r="L94" i="30"/>
  <c r="M93" i="30"/>
  <c r="L93" i="30"/>
  <c r="M92" i="30"/>
  <c r="L92" i="30"/>
  <c r="M91" i="30"/>
  <c r="L91" i="30"/>
  <c r="M90" i="30"/>
  <c r="L90" i="30"/>
  <c r="M89" i="30"/>
  <c r="L89" i="30"/>
  <c r="M88" i="30"/>
  <c r="L88" i="30"/>
  <c r="M87" i="30"/>
  <c r="L87" i="30"/>
  <c r="M86" i="30"/>
  <c r="L86" i="30"/>
  <c r="M85" i="30"/>
  <c r="L85" i="30"/>
  <c r="M84" i="30"/>
  <c r="L84" i="30"/>
  <c r="M83" i="30"/>
  <c r="L83" i="30"/>
  <c r="M82" i="30"/>
  <c r="L82" i="30"/>
  <c r="M81" i="30"/>
  <c r="L81" i="30"/>
  <c r="M80" i="30"/>
  <c r="L80" i="30"/>
  <c r="M79" i="30"/>
  <c r="L79" i="30"/>
  <c r="M78" i="30"/>
  <c r="L78" i="30"/>
  <c r="M77" i="30"/>
  <c r="L77" i="30"/>
  <c r="M76" i="30"/>
  <c r="L76" i="30"/>
  <c r="M75" i="30"/>
  <c r="L75" i="30"/>
  <c r="M74" i="30"/>
  <c r="L74" i="30"/>
  <c r="M73" i="30"/>
  <c r="L73" i="30"/>
  <c r="M72" i="30"/>
  <c r="L72" i="30"/>
  <c r="M71" i="30"/>
  <c r="L71" i="30"/>
  <c r="M70" i="30"/>
  <c r="L70" i="30"/>
  <c r="M69" i="30"/>
  <c r="L69" i="30"/>
  <c r="M68" i="30"/>
  <c r="L68" i="30"/>
  <c r="M67" i="30"/>
  <c r="L67" i="30"/>
  <c r="M66" i="30"/>
  <c r="L66" i="30"/>
  <c r="M65" i="30"/>
  <c r="L65" i="30"/>
  <c r="M64" i="30"/>
  <c r="L64" i="30"/>
  <c r="M63" i="30"/>
  <c r="L63" i="30"/>
  <c r="M62" i="30"/>
  <c r="L62" i="30"/>
  <c r="M61" i="30"/>
  <c r="L61" i="30"/>
  <c r="M60" i="30"/>
  <c r="L60" i="30"/>
  <c r="M59" i="30"/>
  <c r="L59" i="30"/>
  <c r="M58" i="30"/>
  <c r="L58" i="30"/>
  <c r="M57" i="30"/>
  <c r="L57" i="30"/>
  <c r="M56" i="30"/>
  <c r="L56" i="30"/>
  <c r="M55" i="30"/>
  <c r="L55" i="30"/>
  <c r="M54" i="30"/>
  <c r="L54" i="30"/>
  <c r="M53" i="30"/>
  <c r="L53" i="30"/>
  <c r="M52" i="30"/>
  <c r="L52" i="30"/>
  <c r="M51" i="30"/>
  <c r="L51" i="30"/>
  <c r="M50" i="30"/>
  <c r="L50" i="30"/>
  <c r="M49" i="30"/>
  <c r="L49" i="30"/>
  <c r="M48" i="30"/>
  <c r="L48" i="30"/>
  <c r="M47" i="30"/>
  <c r="L47" i="30"/>
  <c r="M46" i="30"/>
  <c r="L46" i="30"/>
  <c r="M45" i="30"/>
  <c r="L45" i="30"/>
  <c r="M44" i="30"/>
  <c r="L44" i="30"/>
  <c r="M43" i="30"/>
  <c r="L43" i="30"/>
  <c r="M42" i="30"/>
  <c r="L42" i="30"/>
  <c r="M41" i="30"/>
  <c r="L41" i="30"/>
  <c r="M40" i="30"/>
  <c r="L40" i="30"/>
  <c r="M39" i="30"/>
  <c r="L39" i="30"/>
  <c r="M38" i="30"/>
  <c r="L38" i="30"/>
  <c r="M37" i="30"/>
  <c r="L37" i="30"/>
  <c r="M36" i="30"/>
  <c r="L36" i="30"/>
  <c r="M35" i="30"/>
  <c r="L35" i="30"/>
  <c r="M34" i="30"/>
  <c r="L34" i="30"/>
  <c r="M33" i="30"/>
  <c r="L33" i="30"/>
  <c r="M32" i="30"/>
  <c r="L32" i="30"/>
  <c r="M31" i="30"/>
  <c r="L31" i="30"/>
  <c r="M30" i="30"/>
  <c r="L30" i="30"/>
  <c r="M29" i="30"/>
  <c r="L29" i="30"/>
  <c r="M28" i="30"/>
  <c r="L28" i="30"/>
  <c r="M27" i="30"/>
  <c r="L27" i="30"/>
  <c r="M26" i="30"/>
  <c r="L26" i="30"/>
  <c r="M25" i="30"/>
  <c r="L25" i="30"/>
  <c r="M24" i="30"/>
  <c r="L24" i="30"/>
  <c r="M23" i="30"/>
  <c r="L23" i="30"/>
  <c r="M22" i="30"/>
  <c r="L22" i="30"/>
  <c r="M21" i="30"/>
  <c r="L21" i="30"/>
  <c r="M20" i="30"/>
  <c r="L20" i="30"/>
  <c r="M19" i="30"/>
  <c r="L19" i="30"/>
  <c r="M18" i="30"/>
  <c r="L18" i="30"/>
  <c r="M17" i="30"/>
  <c r="L17" i="30"/>
  <c r="M16" i="30"/>
  <c r="L16" i="30"/>
  <c r="M15" i="30"/>
  <c r="L15" i="30"/>
  <c r="M14" i="30"/>
  <c r="L14" i="30"/>
  <c r="M13" i="30"/>
  <c r="L13" i="30"/>
  <c r="M12" i="30"/>
  <c r="L12" i="30"/>
  <c r="M11" i="30"/>
  <c r="L11" i="30"/>
  <c r="M10" i="30"/>
  <c r="L10" i="30"/>
  <c r="M9" i="30"/>
  <c r="L9" i="30"/>
  <c r="M8" i="30"/>
  <c r="L8" i="30"/>
  <c r="M7" i="30"/>
  <c r="L7" i="30"/>
  <c r="M6" i="30"/>
  <c r="L6" i="30"/>
  <c r="M5" i="30"/>
  <c r="L5" i="30"/>
  <c r="M4" i="30"/>
  <c r="L4" i="30"/>
  <c r="M3" i="30"/>
  <c r="L3" i="30"/>
  <c r="M2" i="30"/>
  <c r="L2" i="30"/>
  <c r="M200" i="31"/>
  <c r="L200" i="31"/>
  <c r="M199" i="31"/>
  <c r="L199" i="31"/>
  <c r="M198" i="31"/>
  <c r="L198" i="31"/>
  <c r="M197" i="31"/>
  <c r="L197" i="31"/>
  <c r="M196" i="31"/>
  <c r="L196" i="31"/>
  <c r="M195" i="31"/>
  <c r="L195" i="31"/>
  <c r="M194" i="31"/>
  <c r="L194" i="31"/>
  <c r="M193" i="31"/>
  <c r="L193" i="31"/>
  <c r="M192" i="31"/>
  <c r="L192" i="31"/>
  <c r="M191" i="31"/>
  <c r="L191" i="31"/>
  <c r="M190" i="31"/>
  <c r="L190" i="31"/>
  <c r="M189" i="31"/>
  <c r="L189" i="31"/>
  <c r="M188" i="31"/>
  <c r="L188" i="31"/>
  <c r="M187" i="31"/>
  <c r="L187" i="31"/>
  <c r="M186" i="31"/>
  <c r="L186" i="31"/>
  <c r="M185" i="31"/>
  <c r="L185" i="31"/>
  <c r="M184" i="31"/>
  <c r="L184" i="31"/>
  <c r="M183" i="31"/>
  <c r="L183" i="31"/>
  <c r="M182" i="31"/>
  <c r="L182" i="31"/>
  <c r="M181" i="31"/>
  <c r="L181" i="31"/>
  <c r="M180" i="31"/>
  <c r="L180" i="31"/>
  <c r="M179" i="31"/>
  <c r="L179" i="31"/>
  <c r="M178" i="31"/>
  <c r="L178" i="31"/>
  <c r="M177" i="31"/>
  <c r="L177" i="31"/>
  <c r="M176" i="31"/>
  <c r="L176" i="31"/>
  <c r="M175" i="31"/>
  <c r="L175" i="31"/>
  <c r="M174" i="31"/>
  <c r="L174" i="31"/>
  <c r="M173" i="31"/>
  <c r="L173" i="31"/>
  <c r="M172" i="31"/>
  <c r="L172" i="31"/>
  <c r="M171" i="31"/>
  <c r="L171" i="31"/>
  <c r="M170" i="31"/>
  <c r="L170" i="31"/>
  <c r="M169" i="31"/>
  <c r="L169" i="31"/>
  <c r="M168" i="31"/>
  <c r="L168" i="31"/>
  <c r="M167" i="31"/>
  <c r="L167" i="31"/>
  <c r="M166" i="31"/>
  <c r="L166" i="31"/>
  <c r="M165" i="31"/>
  <c r="L165" i="31"/>
  <c r="M164" i="31"/>
  <c r="L164" i="31"/>
  <c r="M163" i="31"/>
  <c r="L163" i="31"/>
  <c r="M162" i="31"/>
  <c r="L162" i="31"/>
  <c r="M161" i="31"/>
  <c r="L161" i="31"/>
  <c r="M160" i="31"/>
  <c r="L160" i="31"/>
  <c r="M159" i="31"/>
  <c r="L159" i="31"/>
  <c r="M158" i="31"/>
  <c r="L158" i="31"/>
  <c r="M157" i="31"/>
  <c r="L157" i="31"/>
  <c r="M156" i="31"/>
  <c r="L156" i="31"/>
  <c r="M155" i="31"/>
  <c r="L155" i="31"/>
  <c r="M154" i="31"/>
  <c r="L154" i="31"/>
  <c r="M153" i="31"/>
  <c r="L153" i="31"/>
  <c r="M152" i="31"/>
  <c r="L152" i="31"/>
  <c r="M151" i="31"/>
  <c r="L151" i="31"/>
  <c r="M150" i="31"/>
  <c r="L150" i="31"/>
  <c r="M149" i="31"/>
  <c r="L149" i="31"/>
  <c r="M148" i="31"/>
  <c r="L148" i="31"/>
  <c r="M147" i="31"/>
  <c r="L147" i="31"/>
  <c r="M146" i="31"/>
  <c r="L146" i="31"/>
  <c r="M145" i="31"/>
  <c r="L145" i="31"/>
  <c r="M144" i="31"/>
  <c r="L144" i="31"/>
  <c r="M143" i="31"/>
  <c r="L143" i="31"/>
  <c r="M142" i="31"/>
  <c r="L142" i="31"/>
  <c r="M141" i="31"/>
  <c r="L141" i="31"/>
  <c r="M140" i="31"/>
  <c r="L140" i="31"/>
  <c r="M139" i="31"/>
  <c r="L139" i="31"/>
  <c r="M138" i="31"/>
  <c r="L138" i="31"/>
  <c r="M137" i="31"/>
  <c r="L137" i="31"/>
  <c r="M136" i="31"/>
  <c r="L136" i="31"/>
  <c r="M135" i="31"/>
  <c r="L135" i="31"/>
  <c r="M134" i="31"/>
  <c r="L134" i="31"/>
  <c r="M133" i="31"/>
  <c r="L133" i="31"/>
  <c r="M132" i="31"/>
  <c r="L132" i="31"/>
  <c r="M131" i="31"/>
  <c r="L131" i="31"/>
  <c r="M130" i="31"/>
  <c r="L130" i="31"/>
  <c r="M129" i="31"/>
  <c r="L129" i="31"/>
  <c r="M128" i="31"/>
  <c r="L128" i="31"/>
  <c r="M127" i="31"/>
  <c r="L127" i="31"/>
  <c r="M126" i="31"/>
  <c r="L126" i="31"/>
  <c r="M125" i="31"/>
  <c r="L125" i="31"/>
  <c r="M124" i="31"/>
  <c r="L124" i="31"/>
  <c r="M123" i="31"/>
  <c r="L123" i="31"/>
  <c r="M122" i="31"/>
  <c r="L122" i="31"/>
  <c r="M121" i="31"/>
  <c r="L121" i="31"/>
  <c r="M120" i="31"/>
  <c r="L120" i="31"/>
  <c r="M119" i="31"/>
  <c r="L119" i="31"/>
  <c r="M118" i="31"/>
  <c r="L118" i="31"/>
  <c r="M117" i="31"/>
  <c r="L117" i="31"/>
  <c r="M116" i="31"/>
  <c r="L116" i="31"/>
  <c r="M115" i="31"/>
  <c r="L115" i="31"/>
  <c r="M114" i="31"/>
  <c r="L114" i="31"/>
  <c r="M113" i="31"/>
  <c r="L113" i="31"/>
  <c r="M112" i="31"/>
  <c r="L112" i="31"/>
  <c r="M111" i="31"/>
  <c r="L111" i="31"/>
  <c r="M110" i="31"/>
  <c r="L110" i="31"/>
  <c r="M109" i="31"/>
  <c r="L109" i="31"/>
  <c r="M108" i="31"/>
  <c r="L108" i="31"/>
  <c r="M107" i="31"/>
  <c r="L107" i="31"/>
  <c r="M106" i="31"/>
  <c r="L106" i="31"/>
  <c r="M105" i="31"/>
  <c r="L105" i="31"/>
  <c r="M104" i="31"/>
  <c r="L104" i="31"/>
  <c r="M103" i="31"/>
  <c r="L103" i="31"/>
  <c r="M102" i="31"/>
  <c r="L102" i="31"/>
  <c r="M101" i="31"/>
  <c r="L101" i="31"/>
  <c r="M100" i="31"/>
  <c r="L100" i="31"/>
  <c r="M99" i="31"/>
  <c r="L99" i="31"/>
  <c r="M98" i="31"/>
  <c r="L98" i="31"/>
  <c r="M97" i="31"/>
  <c r="L97" i="31"/>
  <c r="M96" i="31"/>
  <c r="L96" i="31"/>
  <c r="M95" i="31"/>
  <c r="L95" i="31"/>
  <c r="M94" i="31"/>
  <c r="L94" i="31"/>
  <c r="M93" i="31"/>
  <c r="L93" i="31"/>
  <c r="M92" i="31"/>
  <c r="L92" i="31"/>
  <c r="M91" i="31"/>
  <c r="L91" i="31"/>
  <c r="M90" i="31"/>
  <c r="L90" i="31"/>
  <c r="M89" i="31"/>
  <c r="L89" i="31"/>
  <c r="M88" i="31"/>
  <c r="L88" i="31"/>
  <c r="M87" i="31"/>
  <c r="L87" i="31"/>
  <c r="M86" i="31"/>
  <c r="L86" i="31"/>
  <c r="M85" i="31"/>
  <c r="L85" i="31"/>
  <c r="M84" i="31"/>
  <c r="L84" i="31"/>
  <c r="M83" i="31"/>
  <c r="L83" i="31"/>
  <c r="M82" i="31"/>
  <c r="L82" i="31"/>
  <c r="M81" i="31"/>
  <c r="L81" i="31"/>
  <c r="M80" i="31"/>
  <c r="L80" i="31"/>
  <c r="M79" i="31"/>
  <c r="L79" i="31"/>
  <c r="M78" i="31"/>
  <c r="L78" i="31"/>
  <c r="M77" i="31"/>
  <c r="L77" i="31"/>
  <c r="M76" i="31"/>
  <c r="L76" i="31"/>
  <c r="M75" i="31"/>
  <c r="L75" i="31"/>
  <c r="M74" i="31"/>
  <c r="L74" i="31"/>
  <c r="M73" i="31"/>
  <c r="L73" i="31"/>
  <c r="M72" i="31"/>
  <c r="L72" i="31"/>
  <c r="M71" i="31"/>
  <c r="L71" i="31"/>
  <c r="M70" i="31"/>
  <c r="L70" i="31"/>
  <c r="M69" i="31"/>
  <c r="L69" i="31"/>
  <c r="M68" i="31"/>
  <c r="L68" i="31"/>
  <c r="M67" i="31"/>
  <c r="L67" i="31"/>
  <c r="M66" i="31"/>
  <c r="L66" i="31"/>
  <c r="M65" i="31"/>
  <c r="L65" i="31"/>
  <c r="M64" i="31"/>
  <c r="L64" i="31"/>
  <c r="M63" i="31"/>
  <c r="L63" i="31"/>
  <c r="M62" i="31"/>
  <c r="L62" i="31"/>
  <c r="M61" i="31"/>
  <c r="L61" i="31"/>
  <c r="M60" i="31"/>
  <c r="L60" i="31"/>
  <c r="M59" i="31"/>
  <c r="L59" i="31"/>
  <c r="M58" i="31"/>
  <c r="L58" i="31"/>
  <c r="M57" i="31"/>
  <c r="L57" i="31"/>
  <c r="M56" i="31"/>
  <c r="L56" i="31"/>
  <c r="M55" i="31"/>
  <c r="L55" i="31"/>
  <c r="M54" i="31"/>
  <c r="L54" i="31"/>
  <c r="M53" i="31"/>
  <c r="L53" i="31"/>
  <c r="M52" i="31"/>
  <c r="L52" i="31"/>
  <c r="M51" i="31"/>
  <c r="L51" i="31"/>
  <c r="M50" i="31"/>
  <c r="L50" i="31"/>
  <c r="M49" i="31"/>
  <c r="L49" i="31"/>
  <c r="M48" i="31"/>
  <c r="L48" i="31"/>
  <c r="M47" i="31"/>
  <c r="L47" i="31"/>
  <c r="M46" i="31"/>
  <c r="L46" i="31"/>
  <c r="M45" i="31"/>
  <c r="L45" i="31"/>
  <c r="M44" i="31"/>
  <c r="L44" i="31"/>
  <c r="M43" i="31"/>
  <c r="L43" i="31"/>
  <c r="M42" i="31"/>
  <c r="L42" i="31"/>
  <c r="M41" i="31"/>
  <c r="L41" i="31"/>
  <c r="M40" i="31"/>
  <c r="L40" i="31"/>
  <c r="M39" i="31"/>
  <c r="L39" i="31"/>
  <c r="M38" i="31"/>
  <c r="L38" i="31"/>
  <c r="M37" i="31"/>
  <c r="L37" i="31"/>
  <c r="M36" i="31"/>
  <c r="L36" i="31"/>
  <c r="M35" i="31"/>
  <c r="L35" i="31"/>
  <c r="M34" i="31"/>
  <c r="L34" i="31"/>
  <c r="M33" i="31"/>
  <c r="L33" i="31"/>
  <c r="M32" i="31"/>
  <c r="L32" i="31"/>
  <c r="M31" i="31"/>
  <c r="L31" i="31"/>
  <c r="M30" i="31"/>
  <c r="L30" i="31"/>
  <c r="M29" i="31"/>
  <c r="L29" i="31"/>
  <c r="M28" i="31"/>
  <c r="L28" i="31"/>
  <c r="M27" i="31"/>
  <c r="L27" i="31"/>
  <c r="M26" i="31"/>
  <c r="L26" i="31"/>
  <c r="M25" i="31"/>
  <c r="L25" i="31"/>
  <c r="M24" i="31"/>
  <c r="L24" i="31"/>
  <c r="M23" i="31"/>
  <c r="L23" i="31"/>
  <c r="M22" i="31"/>
  <c r="L22" i="31"/>
  <c r="M21" i="31"/>
  <c r="L21" i="31"/>
  <c r="M20" i="31"/>
  <c r="L20" i="31"/>
  <c r="M19" i="31"/>
  <c r="L19" i="31"/>
  <c r="M18" i="31"/>
  <c r="L18" i="31"/>
  <c r="M17" i="31"/>
  <c r="L17" i="31"/>
  <c r="M16" i="31"/>
  <c r="L16" i="31"/>
  <c r="M15" i="31"/>
  <c r="L15" i="31"/>
  <c r="M14" i="31"/>
  <c r="L14" i="31"/>
  <c r="M13" i="31"/>
  <c r="L13" i="31"/>
  <c r="M12" i="31"/>
  <c r="L12" i="31"/>
  <c r="M11" i="31"/>
  <c r="L11" i="31"/>
  <c r="M10" i="31"/>
  <c r="L10" i="31"/>
  <c r="M9" i="31"/>
  <c r="L9" i="31"/>
  <c r="M8" i="31"/>
  <c r="L8" i="31"/>
  <c r="M7" i="31"/>
  <c r="L7" i="31"/>
  <c r="M6" i="31"/>
  <c r="L6" i="31"/>
  <c r="M5" i="31"/>
  <c r="L5" i="31"/>
  <c r="M4" i="31"/>
  <c r="L4" i="31"/>
  <c r="M3" i="31"/>
  <c r="L3" i="31"/>
  <c r="M2" i="31"/>
  <c r="L2" i="31"/>
  <c r="M201" i="1"/>
  <c r="L201" i="1"/>
  <c r="A201" i="1"/>
  <c r="M200" i="1"/>
  <c r="L200" i="1"/>
  <c r="A200" i="1"/>
  <c r="M199" i="1"/>
  <c r="L199" i="1"/>
  <c r="A199" i="1"/>
  <c r="M198" i="1"/>
  <c r="L198" i="1"/>
  <c r="A198" i="1"/>
  <c r="M197" i="1"/>
  <c r="L197" i="1"/>
  <c r="A197" i="1"/>
  <c r="M196" i="1"/>
  <c r="L196" i="1"/>
  <c r="A196" i="1"/>
  <c r="M195" i="1"/>
  <c r="L195" i="1"/>
  <c r="A195" i="1"/>
  <c r="M194" i="1"/>
  <c r="L194" i="1"/>
  <c r="A194" i="1"/>
  <c r="M193" i="1"/>
  <c r="L193" i="1"/>
  <c r="A193" i="1"/>
  <c r="M192" i="1"/>
  <c r="L192" i="1"/>
  <c r="A192" i="1"/>
  <c r="M191" i="1"/>
  <c r="L191" i="1"/>
  <c r="A191" i="1"/>
  <c r="M190" i="1"/>
  <c r="L190" i="1"/>
  <c r="A190" i="1"/>
  <c r="M189" i="1"/>
  <c r="L189" i="1"/>
  <c r="A189" i="1"/>
  <c r="M188" i="1"/>
  <c r="L188" i="1"/>
  <c r="A188" i="1"/>
  <c r="M187" i="1"/>
  <c r="L187" i="1"/>
  <c r="A187" i="1"/>
  <c r="M186" i="1"/>
  <c r="L186" i="1"/>
  <c r="A186" i="1"/>
  <c r="M185" i="1"/>
  <c r="L185" i="1"/>
  <c r="A185" i="1"/>
  <c r="M184" i="1"/>
  <c r="L184" i="1"/>
  <c r="A184" i="1"/>
  <c r="M183" i="1"/>
  <c r="L183" i="1"/>
  <c r="A183" i="1"/>
  <c r="M182" i="1"/>
  <c r="L182" i="1"/>
  <c r="A182" i="1"/>
  <c r="M181" i="1"/>
  <c r="L181" i="1"/>
  <c r="A181" i="1"/>
  <c r="M180" i="1"/>
  <c r="L180" i="1"/>
  <c r="A180" i="1"/>
  <c r="M179" i="1"/>
  <c r="L179" i="1"/>
  <c r="A179" i="1"/>
  <c r="M178" i="1"/>
  <c r="L178" i="1"/>
  <c r="A178" i="1"/>
  <c r="M177" i="1"/>
  <c r="L177" i="1"/>
  <c r="A177" i="1"/>
  <c r="M176" i="1"/>
  <c r="L176" i="1"/>
  <c r="A176" i="1"/>
  <c r="M175" i="1"/>
  <c r="L175" i="1"/>
  <c r="A175" i="1"/>
  <c r="M174" i="1"/>
  <c r="L174" i="1"/>
  <c r="A174" i="1"/>
  <c r="M173" i="1"/>
  <c r="L173" i="1"/>
  <c r="A173" i="1"/>
  <c r="M172" i="1"/>
  <c r="L172" i="1"/>
  <c r="A172" i="1"/>
  <c r="M171" i="1"/>
  <c r="L171" i="1"/>
  <c r="A171" i="1"/>
  <c r="M170" i="1"/>
  <c r="L170" i="1"/>
  <c r="A170" i="1"/>
  <c r="M169" i="1"/>
  <c r="L169" i="1"/>
  <c r="A169" i="1"/>
  <c r="M168" i="1"/>
  <c r="L168" i="1"/>
  <c r="A168" i="1"/>
  <c r="M167" i="1"/>
  <c r="L167" i="1"/>
  <c r="A167" i="1"/>
  <c r="M166" i="1"/>
  <c r="L166" i="1"/>
  <c r="A166" i="1"/>
  <c r="M165" i="1"/>
  <c r="L165" i="1"/>
  <c r="A165" i="1"/>
  <c r="M164" i="1"/>
  <c r="L164" i="1"/>
  <c r="A164" i="1"/>
  <c r="M163" i="1"/>
  <c r="L163" i="1"/>
  <c r="A163" i="1"/>
  <c r="M162" i="1"/>
  <c r="L162" i="1"/>
  <c r="A162" i="1"/>
  <c r="M161" i="1"/>
  <c r="L161" i="1"/>
  <c r="A161" i="1"/>
  <c r="M160" i="1"/>
  <c r="L160" i="1"/>
  <c r="A160" i="1"/>
  <c r="M159" i="1"/>
  <c r="L159" i="1"/>
  <c r="A159" i="1"/>
  <c r="M158" i="1"/>
  <c r="L158" i="1"/>
  <c r="A158" i="1"/>
  <c r="M157" i="1"/>
  <c r="L157" i="1"/>
  <c r="A157" i="1"/>
  <c r="M156" i="1"/>
  <c r="L156" i="1"/>
  <c r="A156" i="1"/>
  <c r="M155" i="1"/>
  <c r="L155" i="1"/>
  <c r="A155" i="1"/>
  <c r="M154" i="1"/>
  <c r="L154" i="1"/>
  <c r="A154" i="1"/>
  <c r="M153" i="1"/>
  <c r="L153" i="1"/>
  <c r="A153" i="1"/>
  <c r="M152" i="1"/>
  <c r="L152" i="1"/>
  <c r="A152" i="1"/>
  <c r="M151" i="1"/>
  <c r="L151" i="1"/>
  <c r="A151" i="1"/>
  <c r="M150" i="1"/>
  <c r="L150" i="1"/>
  <c r="A150" i="1"/>
  <c r="M149" i="1"/>
  <c r="L149" i="1"/>
  <c r="A149" i="1"/>
  <c r="M148" i="1"/>
  <c r="L148" i="1"/>
  <c r="A148" i="1"/>
  <c r="M147" i="1"/>
  <c r="L147" i="1"/>
  <c r="A147" i="1"/>
  <c r="M146" i="1"/>
  <c r="L146" i="1"/>
  <c r="A146" i="1"/>
  <c r="M145" i="1"/>
  <c r="L145" i="1"/>
  <c r="A145" i="1"/>
  <c r="M144" i="1"/>
  <c r="L144" i="1"/>
  <c r="A144" i="1"/>
  <c r="M143" i="1"/>
  <c r="L143" i="1"/>
  <c r="A143" i="1"/>
  <c r="M142" i="1"/>
  <c r="L142" i="1"/>
  <c r="A142" i="1"/>
  <c r="M141" i="1"/>
  <c r="L141" i="1"/>
  <c r="A141" i="1"/>
  <c r="M140" i="1"/>
  <c r="L140" i="1"/>
  <c r="A140" i="1"/>
  <c r="M139" i="1"/>
  <c r="L139" i="1"/>
  <c r="A139" i="1"/>
  <c r="M138" i="1"/>
  <c r="L138" i="1"/>
  <c r="A138" i="1"/>
  <c r="M137" i="1"/>
  <c r="L137" i="1"/>
  <c r="A137" i="1"/>
  <c r="M136" i="1"/>
  <c r="L136" i="1"/>
  <c r="A136" i="1"/>
  <c r="M135" i="1"/>
  <c r="L135" i="1"/>
  <c r="A135" i="1"/>
  <c r="M134" i="1"/>
  <c r="L134" i="1"/>
  <c r="A134" i="1"/>
  <c r="M133" i="1"/>
  <c r="L133" i="1"/>
  <c r="A133" i="1"/>
  <c r="M132" i="1"/>
  <c r="L132" i="1"/>
  <c r="A132" i="1"/>
  <c r="M131" i="1"/>
  <c r="L131" i="1"/>
  <c r="A131" i="1"/>
  <c r="M130" i="1"/>
  <c r="L130" i="1"/>
  <c r="A130" i="1"/>
  <c r="M129" i="1"/>
  <c r="L129" i="1"/>
  <c r="A129" i="1"/>
  <c r="M128" i="1"/>
  <c r="L128" i="1"/>
  <c r="A128" i="1"/>
  <c r="M127" i="1"/>
  <c r="L127" i="1"/>
  <c r="A127" i="1"/>
  <c r="M126" i="1"/>
  <c r="L126" i="1"/>
  <c r="A126" i="1"/>
  <c r="M125" i="1"/>
  <c r="L125" i="1"/>
  <c r="A125" i="1"/>
  <c r="M124" i="1"/>
  <c r="L124" i="1"/>
  <c r="A124" i="1"/>
  <c r="M123" i="1"/>
  <c r="L123" i="1"/>
  <c r="A123" i="1"/>
  <c r="M122" i="1"/>
  <c r="L122" i="1"/>
  <c r="A122" i="1"/>
  <c r="M121" i="1"/>
  <c r="L121" i="1"/>
  <c r="A121" i="1"/>
  <c r="M120" i="1"/>
  <c r="L120" i="1"/>
  <c r="A120" i="1"/>
  <c r="M119" i="1"/>
  <c r="L119" i="1"/>
  <c r="A119" i="1"/>
  <c r="M118" i="1"/>
  <c r="L118" i="1"/>
  <c r="A118" i="1"/>
  <c r="M117" i="1"/>
  <c r="L117" i="1"/>
  <c r="A117" i="1"/>
  <c r="M116" i="1"/>
  <c r="L116" i="1"/>
  <c r="A116" i="1"/>
  <c r="M115" i="1"/>
  <c r="L115" i="1"/>
  <c r="A115" i="1"/>
  <c r="M114" i="1"/>
  <c r="L114" i="1"/>
  <c r="A114" i="1"/>
  <c r="M113" i="1"/>
  <c r="L113" i="1"/>
  <c r="A113" i="1"/>
  <c r="M112" i="1"/>
  <c r="L112" i="1"/>
  <c r="A112" i="1"/>
  <c r="M111" i="1"/>
  <c r="L111" i="1"/>
  <c r="A111" i="1"/>
  <c r="M110" i="1"/>
  <c r="L110" i="1"/>
  <c r="A110" i="1"/>
  <c r="M109" i="1"/>
  <c r="L109" i="1"/>
  <c r="A109" i="1"/>
  <c r="M108" i="1"/>
  <c r="L108" i="1"/>
  <c r="A108" i="1"/>
  <c r="M107" i="1"/>
  <c r="L107" i="1"/>
  <c r="A107" i="1"/>
  <c r="M106" i="1"/>
  <c r="L106" i="1"/>
  <c r="A106" i="1"/>
  <c r="M105" i="1"/>
  <c r="L105" i="1"/>
  <c r="A105" i="1"/>
  <c r="M104" i="1"/>
  <c r="L104" i="1"/>
  <c r="A104" i="1"/>
  <c r="M103" i="1"/>
  <c r="L103" i="1"/>
  <c r="A103" i="1"/>
  <c r="M102" i="1"/>
  <c r="L102" i="1"/>
  <c r="A102" i="1"/>
  <c r="M101" i="1"/>
  <c r="L101" i="1"/>
  <c r="A101" i="1"/>
  <c r="M100" i="1"/>
  <c r="L100" i="1"/>
  <c r="A100" i="1"/>
  <c r="M99" i="1"/>
  <c r="L99" i="1"/>
  <c r="A99" i="1"/>
  <c r="M98" i="1"/>
  <c r="L98" i="1"/>
  <c r="A98" i="1"/>
  <c r="M97" i="1"/>
  <c r="L97" i="1"/>
  <c r="A97" i="1"/>
  <c r="M96" i="1"/>
  <c r="L96" i="1"/>
  <c r="A96" i="1"/>
  <c r="M95" i="1"/>
  <c r="L95" i="1"/>
  <c r="A95" i="1"/>
  <c r="M94" i="1"/>
  <c r="L94" i="1"/>
  <c r="A94" i="1"/>
  <c r="M93" i="1"/>
  <c r="L93" i="1"/>
  <c r="A93" i="1"/>
  <c r="M92" i="1"/>
  <c r="L92" i="1"/>
  <c r="A92" i="1"/>
  <c r="M91" i="1"/>
  <c r="L91" i="1"/>
  <c r="A91" i="1"/>
  <c r="M90" i="1"/>
  <c r="L90" i="1"/>
  <c r="A90" i="1"/>
  <c r="M89" i="1"/>
  <c r="L89" i="1"/>
  <c r="A89" i="1"/>
  <c r="M88" i="1"/>
  <c r="L88" i="1"/>
  <c r="A88" i="1"/>
  <c r="M87" i="1"/>
  <c r="L87" i="1"/>
  <c r="A87" i="1"/>
  <c r="M86" i="1"/>
  <c r="L86" i="1"/>
  <c r="A86" i="1"/>
  <c r="M85" i="1"/>
  <c r="L85" i="1"/>
  <c r="A85" i="1"/>
  <c r="M84" i="1"/>
  <c r="L84" i="1"/>
  <c r="A84" i="1"/>
  <c r="M83" i="1"/>
  <c r="L83" i="1"/>
  <c r="A83" i="1"/>
  <c r="M82" i="1"/>
  <c r="L82" i="1"/>
  <c r="A82" i="1"/>
  <c r="M81" i="1"/>
  <c r="L81" i="1"/>
  <c r="A81" i="1"/>
  <c r="M80" i="1"/>
  <c r="L80" i="1"/>
  <c r="A80" i="1"/>
  <c r="M79" i="1"/>
  <c r="L79" i="1"/>
  <c r="A79" i="1"/>
  <c r="M78" i="1"/>
  <c r="L78" i="1"/>
  <c r="A78" i="1"/>
  <c r="M77" i="1"/>
  <c r="L77" i="1"/>
  <c r="A77" i="1"/>
  <c r="M76" i="1"/>
  <c r="L76" i="1"/>
  <c r="A76" i="1"/>
  <c r="M75" i="1"/>
  <c r="L75" i="1"/>
  <c r="A75" i="1"/>
  <c r="M74" i="1"/>
  <c r="L74" i="1"/>
  <c r="A74" i="1"/>
  <c r="M73" i="1"/>
  <c r="L73" i="1"/>
  <c r="A73" i="1"/>
  <c r="M72" i="1"/>
  <c r="L72" i="1"/>
  <c r="A72" i="1"/>
  <c r="M71" i="1"/>
  <c r="L71" i="1"/>
  <c r="A71" i="1"/>
  <c r="M70" i="1"/>
  <c r="L70" i="1"/>
  <c r="A70" i="1"/>
  <c r="M69" i="1"/>
  <c r="L69" i="1"/>
  <c r="A69" i="1"/>
  <c r="M68" i="1"/>
  <c r="L68" i="1"/>
  <c r="A68" i="1"/>
  <c r="M67" i="1"/>
  <c r="L67" i="1"/>
  <c r="A67" i="1"/>
  <c r="M66" i="1"/>
  <c r="L66" i="1"/>
  <c r="A66" i="1"/>
  <c r="M65" i="1"/>
  <c r="L65" i="1"/>
  <c r="A65" i="1"/>
  <c r="M64" i="1"/>
  <c r="L64" i="1"/>
  <c r="A64" i="1"/>
  <c r="M63" i="1"/>
  <c r="L63" i="1"/>
  <c r="A63" i="1"/>
  <c r="M62" i="1"/>
  <c r="L62" i="1"/>
  <c r="A62" i="1"/>
  <c r="M61" i="1"/>
  <c r="L61" i="1"/>
  <c r="A61" i="1"/>
  <c r="M60" i="1"/>
  <c r="L60" i="1"/>
  <c r="A60" i="1"/>
  <c r="M59" i="1"/>
  <c r="L59" i="1"/>
  <c r="A59" i="1"/>
  <c r="M58" i="1"/>
  <c r="L58" i="1"/>
  <c r="A58" i="1"/>
  <c r="M57" i="1"/>
  <c r="L57" i="1"/>
  <c r="A57" i="1"/>
  <c r="M56" i="1"/>
  <c r="L56" i="1"/>
  <c r="A56" i="1"/>
  <c r="M55" i="1"/>
  <c r="L55" i="1"/>
  <c r="A55" i="1"/>
  <c r="M54" i="1"/>
  <c r="L54" i="1"/>
  <c r="A54" i="1"/>
  <c r="M53" i="1"/>
  <c r="L53" i="1"/>
  <c r="A53" i="1"/>
  <c r="M52" i="1"/>
  <c r="L52" i="1"/>
  <c r="A52" i="1"/>
  <c r="M51" i="1"/>
  <c r="L51" i="1"/>
  <c r="A51" i="1"/>
  <c r="M50" i="1"/>
  <c r="L50" i="1"/>
  <c r="A50" i="1"/>
  <c r="M49" i="1"/>
  <c r="L49" i="1"/>
  <c r="A49" i="1"/>
  <c r="M48" i="1"/>
  <c r="L48" i="1"/>
  <c r="A48" i="1"/>
  <c r="M47" i="1"/>
  <c r="L47" i="1"/>
  <c r="A47" i="1"/>
  <c r="M46" i="1"/>
  <c r="L46" i="1"/>
  <c r="A46" i="1"/>
  <c r="M45" i="1"/>
  <c r="L45" i="1"/>
  <c r="A45" i="1"/>
  <c r="M44" i="1"/>
  <c r="L44" i="1"/>
  <c r="A44" i="1"/>
  <c r="M43" i="1"/>
  <c r="L43" i="1"/>
  <c r="A43" i="1"/>
  <c r="M42" i="1"/>
  <c r="L42" i="1"/>
  <c r="A42" i="1"/>
  <c r="M41" i="1"/>
  <c r="L41" i="1"/>
  <c r="A41" i="1"/>
  <c r="M40" i="1"/>
  <c r="L40" i="1"/>
  <c r="A40" i="1"/>
  <c r="M39" i="1"/>
  <c r="L39" i="1"/>
  <c r="A39" i="1"/>
  <c r="M38" i="1"/>
  <c r="L38" i="1"/>
  <c r="A38" i="1"/>
  <c r="M37" i="1"/>
  <c r="L37" i="1"/>
  <c r="A37" i="1"/>
  <c r="M36" i="1"/>
  <c r="L36" i="1"/>
  <c r="A36" i="1"/>
  <c r="M35" i="1"/>
  <c r="L35" i="1"/>
  <c r="A35" i="1"/>
  <c r="M34" i="1"/>
  <c r="L34" i="1"/>
  <c r="A34" i="1"/>
  <c r="M33" i="1"/>
  <c r="L33" i="1"/>
  <c r="A33" i="1"/>
  <c r="M32" i="1"/>
  <c r="L32" i="1"/>
  <c r="A32" i="1"/>
  <c r="M31" i="1"/>
  <c r="L31" i="1"/>
  <c r="A31" i="1"/>
  <c r="M30" i="1"/>
  <c r="L30" i="1"/>
  <c r="A30" i="1"/>
  <c r="M29" i="1"/>
  <c r="L29" i="1"/>
  <c r="A29" i="1"/>
  <c r="M28" i="1"/>
  <c r="L28" i="1"/>
  <c r="A28" i="1"/>
  <c r="M27" i="1"/>
  <c r="L27" i="1"/>
  <c r="A27" i="1"/>
  <c r="M26" i="1"/>
  <c r="L26" i="1"/>
  <c r="A26" i="1"/>
  <c r="M25" i="1"/>
  <c r="L25" i="1"/>
  <c r="A25" i="1"/>
  <c r="M24" i="1"/>
  <c r="L24" i="1"/>
  <c r="A24" i="1"/>
  <c r="M23" i="1"/>
  <c r="L23" i="1"/>
  <c r="A23" i="1"/>
  <c r="M22" i="1"/>
  <c r="L22" i="1"/>
  <c r="A22" i="1"/>
  <c r="M21" i="1"/>
  <c r="L21" i="1"/>
  <c r="A21" i="1"/>
  <c r="M20" i="1"/>
  <c r="L20" i="1"/>
  <c r="A20" i="1"/>
  <c r="M19" i="1"/>
  <c r="L19" i="1"/>
  <c r="A19" i="1"/>
  <c r="M18" i="1"/>
  <c r="L18" i="1"/>
  <c r="A18" i="1"/>
  <c r="M17" i="1"/>
  <c r="L17" i="1"/>
  <c r="A17" i="1"/>
  <c r="M16" i="1"/>
  <c r="L16" i="1"/>
  <c r="A16" i="1"/>
  <c r="M15" i="1"/>
  <c r="L15" i="1"/>
  <c r="A15" i="1"/>
  <c r="M14" i="1"/>
  <c r="L14" i="1"/>
  <c r="A14" i="1"/>
  <c r="M13" i="1"/>
  <c r="L13" i="1"/>
  <c r="A13" i="1"/>
  <c r="M12" i="1"/>
  <c r="L12" i="1"/>
  <c r="A12" i="1"/>
  <c r="M11" i="1"/>
  <c r="L11" i="1"/>
  <c r="A11" i="1"/>
  <c r="M10" i="1"/>
  <c r="L10" i="1"/>
  <c r="A10" i="1"/>
  <c r="M9" i="1"/>
  <c r="L9" i="1"/>
  <c r="A9" i="1"/>
  <c r="M8" i="1"/>
  <c r="L8" i="1"/>
  <c r="A8" i="1"/>
  <c r="M7" i="1"/>
  <c r="L7" i="1"/>
  <c r="A7" i="1"/>
  <c r="M6" i="1"/>
  <c r="L6" i="1"/>
  <c r="A6" i="1"/>
  <c r="M5" i="1"/>
  <c r="L5" i="1"/>
  <c r="A5" i="1"/>
  <c r="M4" i="1"/>
  <c r="L4" i="1"/>
  <c r="A4" i="1"/>
  <c r="M3" i="1"/>
  <c r="L3" i="1"/>
  <c r="A3" i="1"/>
  <c r="A2" i="1"/>
  <c r="E9" i="35"/>
  <c r="B8" i="36" s="1"/>
  <c r="F12" i="36"/>
  <c r="B4" i="36"/>
  <c r="Q9" i="35"/>
  <c r="F11" i="36" s="1"/>
  <c r="P9" i="35"/>
  <c r="F10" i="36" s="1"/>
  <c r="O9" i="35"/>
  <c r="F9" i="36" s="1"/>
  <c r="N9" i="35"/>
  <c r="B12" i="36" s="1"/>
  <c r="M9" i="35"/>
  <c r="F6" i="36" s="1"/>
  <c r="L9" i="35"/>
  <c r="F5" i="36" s="1"/>
  <c r="K9" i="35"/>
  <c r="F4" i="36" s="1"/>
  <c r="J9" i="35"/>
  <c r="F7" i="36" s="1"/>
  <c r="I9" i="35"/>
  <c r="B11" i="36" s="1"/>
  <c r="H9" i="35"/>
  <c r="B10" i="36" s="1"/>
  <c r="G9" i="35"/>
  <c r="F8" i="36" s="1"/>
  <c r="F9" i="35"/>
  <c r="B9" i="36" s="1"/>
  <c r="D9" i="35"/>
  <c r="B7" i="36" s="1"/>
  <c r="C9" i="35"/>
  <c r="B6" i="36" s="1"/>
  <c r="B9" i="35"/>
  <c r="B5" i="36" s="1"/>
  <c r="A9" i="35"/>
  <c r="I34" i="34"/>
  <c r="D34" i="34"/>
  <c r="C34" i="34"/>
  <c r="B34" i="34"/>
  <c r="I33" i="34"/>
  <c r="D33" i="34"/>
  <c r="C33" i="34"/>
  <c r="B33" i="34"/>
  <c r="I32" i="34"/>
  <c r="D32" i="34"/>
  <c r="C32" i="34"/>
  <c r="B32" i="34"/>
  <c r="I31" i="34"/>
  <c r="D31" i="34"/>
  <c r="C31" i="34"/>
  <c r="B31" i="34"/>
  <c r="I30" i="34"/>
  <c r="D30" i="34"/>
  <c r="C30" i="34"/>
  <c r="B30" i="34"/>
  <c r="I29" i="34"/>
  <c r="D29" i="34"/>
  <c r="C29" i="34"/>
  <c r="B29" i="34"/>
  <c r="I28" i="34"/>
  <c r="D28" i="34"/>
  <c r="C28" i="34"/>
  <c r="B28" i="34"/>
  <c r="I27" i="34"/>
  <c r="D27" i="34"/>
  <c r="C27" i="34"/>
  <c r="B27" i="34"/>
  <c r="I26" i="34"/>
  <c r="D26" i="34"/>
  <c r="C26" i="34"/>
  <c r="B26" i="34"/>
  <c r="I25" i="34"/>
  <c r="D25" i="34"/>
  <c r="C25" i="34"/>
  <c r="B25" i="34"/>
  <c r="I24" i="34"/>
  <c r="D24" i="34"/>
  <c r="C24" i="34"/>
  <c r="B24" i="34"/>
  <c r="I23" i="34"/>
  <c r="D23" i="34"/>
  <c r="C23" i="34"/>
  <c r="B23" i="34"/>
  <c r="I22" i="34"/>
  <c r="D22" i="34"/>
  <c r="C22" i="34"/>
  <c r="B22" i="34"/>
  <c r="I21" i="34"/>
  <c r="D21" i="34"/>
  <c r="C21" i="34"/>
  <c r="B21" i="34"/>
  <c r="I20" i="34"/>
  <c r="D20" i="34"/>
  <c r="C20" i="34"/>
  <c r="B20" i="34"/>
  <c r="I19" i="34"/>
  <c r="D19" i="34"/>
  <c r="C19" i="34"/>
  <c r="B19" i="34"/>
  <c r="I18" i="34"/>
  <c r="D18" i="34"/>
  <c r="C18" i="34"/>
  <c r="B18" i="34"/>
  <c r="I17" i="34"/>
  <c r="D17" i="34"/>
  <c r="C17" i="34"/>
  <c r="B17" i="34"/>
  <c r="I16" i="34"/>
  <c r="D16" i="34"/>
  <c r="C16" i="34"/>
  <c r="B16" i="34"/>
  <c r="I15" i="34"/>
  <c r="D15" i="34"/>
  <c r="C15" i="34"/>
  <c r="B15" i="34"/>
  <c r="I14" i="34"/>
  <c r="D14" i="34"/>
  <c r="C14" i="34"/>
  <c r="B14" i="34"/>
  <c r="I13" i="34"/>
  <c r="D13" i="34"/>
  <c r="C13" i="34"/>
  <c r="B13" i="34"/>
  <c r="I12" i="34"/>
  <c r="D12" i="34"/>
  <c r="C12" i="34"/>
  <c r="B12" i="34"/>
  <c r="I11" i="34"/>
  <c r="D11" i="34"/>
  <c r="C11" i="34"/>
  <c r="B11" i="34"/>
  <c r="I10" i="34"/>
  <c r="D10" i="34"/>
  <c r="C10" i="34"/>
  <c r="B10" i="34"/>
  <c r="I9" i="34"/>
  <c r="D9" i="34"/>
  <c r="C9" i="34"/>
  <c r="B9" i="34"/>
  <c r="I8" i="34"/>
  <c r="D8" i="34"/>
  <c r="C8" i="34"/>
  <c r="B8" i="34"/>
  <c r="I7" i="34"/>
  <c r="D7" i="34"/>
  <c r="C7" i="34"/>
  <c r="B7" i="34"/>
  <c r="I6" i="34"/>
  <c r="D6" i="34"/>
  <c r="C6" i="34"/>
  <c r="B6" i="34"/>
  <c r="I5" i="34"/>
  <c r="D5" i="34"/>
  <c r="C5" i="34"/>
  <c r="B5" i="34"/>
  <c r="I4" i="34"/>
  <c r="I35" i="34" s="1"/>
  <c r="D4" i="34"/>
  <c r="D35" i="34" s="1"/>
  <c r="C4" i="34"/>
  <c r="C35" i="34" s="1"/>
  <c r="L6" i="34" s="1"/>
  <c r="B4" i="34"/>
  <c r="B35" i="34" s="1"/>
  <c r="L5" i="34" s="1"/>
  <c r="T201" i="33"/>
  <c r="S201" i="33"/>
  <c r="R201" i="33"/>
  <c r="Q201" i="33"/>
  <c r="P201" i="33"/>
  <c r="O201" i="33"/>
  <c r="N201" i="33"/>
  <c r="M201" i="33"/>
  <c r="L201" i="33"/>
  <c r="K201" i="33"/>
  <c r="J201" i="33"/>
  <c r="I201" i="33"/>
  <c r="H201" i="33"/>
  <c r="G201" i="33"/>
  <c r="F201" i="33"/>
  <c r="E201" i="33"/>
  <c r="D201" i="33"/>
  <c r="C201" i="33"/>
  <c r="B201" i="33"/>
  <c r="A201" i="33"/>
  <c r="T200" i="33"/>
  <c r="S200" i="33"/>
  <c r="R200" i="33"/>
  <c r="Q200" i="33"/>
  <c r="P200" i="33"/>
  <c r="O200" i="33"/>
  <c r="N200" i="33"/>
  <c r="M200" i="33"/>
  <c r="L200" i="33"/>
  <c r="K200" i="33"/>
  <c r="J200" i="33"/>
  <c r="I200" i="33"/>
  <c r="H200" i="33"/>
  <c r="G200" i="33"/>
  <c r="F200" i="33"/>
  <c r="E200" i="33"/>
  <c r="D200" i="33"/>
  <c r="C200" i="33"/>
  <c r="B200" i="33"/>
  <c r="A200" i="33"/>
  <c r="T199" i="33"/>
  <c r="S199" i="33"/>
  <c r="R199" i="33"/>
  <c r="Q199" i="33"/>
  <c r="P199" i="33"/>
  <c r="O199" i="33"/>
  <c r="N199" i="33"/>
  <c r="M199" i="33"/>
  <c r="L199" i="33"/>
  <c r="K199" i="33"/>
  <c r="J199" i="33"/>
  <c r="I199" i="33"/>
  <c r="H199" i="33"/>
  <c r="G199" i="33"/>
  <c r="F199" i="33"/>
  <c r="E199" i="33"/>
  <c r="D199" i="33"/>
  <c r="C199" i="33"/>
  <c r="B199" i="33"/>
  <c r="A199" i="33"/>
  <c r="T198" i="33"/>
  <c r="S198" i="33"/>
  <c r="R198" i="33"/>
  <c r="Q198" i="33"/>
  <c r="P198" i="33"/>
  <c r="O198" i="33"/>
  <c r="N198" i="33"/>
  <c r="M198" i="33"/>
  <c r="L198" i="33"/>
  <c r="K198" i="33"/>
  <c r="J198" i="33"/>
  <c r="I198" i="33"/>
  <c r="H198" i="33"/>
  <c r="G198" i="33"/>
  <c r="F198" i="33"/>
  <c r="E198" i="33"/>
  <c r="D198" i="33"/>
  <c r="C198" i="33"/>
  <c r="B198" i="33"/>
  <c r="A198" i="33"/>
  <c r="T197" i="33"/>
  <c r="S197" i="33"/>
  <c r="R197" i="33"/>
  <c r="Q197" i="33"/>
  <c r="P197" i="33"/>
  <c r="O197" i="33"/>
  <c r="N197" i="33"/>
  <c r="M197" i="33"/>
  <c r="L197" i="33"/>
  <c r="K197" i="33"/>
  <c r="J197" i="33"/>
  <c r="I197" i="33"/>
  <c r="H197" i="33"/>
  <c r="G197" i="33"/>
  <c r="F197" i="33"/>
  <c r="E197" i="33"/>
  <c r="D197" i="33"/>
  <c r="C197" i="33"/>
  <c r="B197" i="33"/>
  <c r="A197" i="33"/>
  <c r="T196" i="33"/>
  <c r="S196" i="33"/>
  <c r="R196" i="33"/>
  <c r="Q196" i="33"/>
  <c r="P196" i="33"/>
  <c r="O196" i="33"/>
  <c r="N196" i="33"/>
  <c r="M196" i="33"/>
  <c r="L196" i="33"/>
  <c r="K196" i="33"/>
  <c r="J196" i="33"/>
  <c r="I196" i="33"/>
  <c r="H196" i="33"/>
  <c r="G196" i="33"/>
  <c r="F196" i="33"/>
  <c r="E196" i="33"/>
  <c r="D196" i="33"/>
  <c r="C196" i="33"/>
  <c r="B196" i="33"/>
  <c r="A196" i="33"/>
  <c r="T195" i="33"/>
  <c r="S195" i="33"/>
  <c r="R195" i="33"/>
  <c r="Q195" i="33"/>
  <c r="P195" i="33"/>
  <c r="O195" i="33"/>
  <c r="N195" i="33"/>
  <c r="M195" i="33"/>
  <c r="L195" i="33"/>
  <c r="K195" i="33"/>
  <c r="J195" i="33"/>
  <c r="I195" i="33"/>
  <c r="H195" i="33"/>
  <c r="G195" i="33"/>
  <c r="F195" i="33"/>
  <c r="E195" i="33"/>
  <c r="D195" i="33"/>
  <c r="C195" i="33"/>
  <c r="B195" i="33"/>
  <c r="A195" i="33"/>
  <c r="T194" i="33"/>
  <c r="S194" i="33"/>
  <c r="R194" i="33"/>
  <c r="Q194" i="33"/>
  <c r="P194" i="33"/>
  <c r="O194" i="33"/>
  <c r="N194" i="33"/>
  <c r="M194" i="33"/>
  <c r="L194" i="33"/>
  <c r="K194" i="33"/>
  <c r="J194" i="33"/>
  <c r="I194" i="33"/>
  <c r="H194" i="33"/>
  <c r="G194" i="33"/>
  <c r="F194" i="33"/>
  <c r="E194" i="33"/>
  <c r="D194" i="33"/>
  <c r="C194" i="33"/>
  <c r="B194" i="33"/>
  <c r="A194" i="33"/>
  <c r="T193" i="33"/>
  <c r="S193" i="33"/>
  <c r="R193" i="33"/>
  <c r="Q193" i="33"/>
  <c r="P193" i="33"/>
  <c r="O193" i="33"/>
  <c r="N193" i="33"/>
  <c r="M193" i="33"/>
  <c r="L193" i="33"/>
  <c r="K193" i="33"/>
  <c r="J193" i="33"/>
  <c r="I193" i="33"/>
  <c r="H193" i="33"/>
  <c r="G193" i="33"/>
  <c r="F193" i="33"/>
  <c r="E193" i="33"/>
  <c r="D193" i="33"/>
  <c r="C193" i="33"/>
  <c r="B193" i="33"/>
  <c r="A193" i="33"/>
  <c r="T192" i="33"/>
  <c r="S192" i="33"/>
  <c r="R192" i="33"/>
  <c r="Q192" i="33"/>
  <c r="P192" i="33"/>
  <c r="O192" i="33"/>
  <c r="N192" i="33"/>
  <c r="M192" i="33"/>
  <c r="L192" i="33"/>
  <c r="K192" i="33"/>
  <c r="J192" i="33"/>
  <c r="I192" i="33"/>
  <c r="H192" i="33"/>
  <c r="G192" i="33"/>
  <c r="F192" i="33"/>
  <c r="E192" i="33"/>
  <c r="D192" i="33"/>
  <c r="C192" i="33"/>
  <c r="B192" i="33"/>
  <c r="A192" i="33"/>
  <c r="T191" i="33"/>
  <c r="S191" i="33"/>
  <c r="R191" i="33"/>
  <c r="Q191" i="33"/>
  <c r="P191" i="33"/>
  <c r="O191" i="33"/>
  <c r="N191" i="33"/>
  <c r="M191" i="33"/>
  <c r="L191" i="33"/>
  <c r="K191" i="33"/>
  <c r="J191" i="33"/>
  <c r="I191" i="33"/>
  <c r="H191" i="33"/>
  <c r="G191" i="33"/>
  <c r="F191" i="33"/>
  <c r="E191" i="33"/>
  <c r="D191" i="33"/>
  <c r="C191" i="33"/>
  <c r="B191" i="33"/>
  <c r="A191" i="33"/>
  <c r="T190" i="33"/>
  <c r="S190" i="33"/>
  <c r="R190" i="33"/>
  <c r="Q190" i="33"/>
  <c r="P190" i="33"/>
  <c r="O190" i="33"/>
  <c r="N190" i="33"/>
  <c r="M190" i="33"/>
  <c r="L190" i="33"/>
  <c r="K190" i="33"/>
  <c r="J190" i="33"/>
  <c r="I190" i="33"/>
  <c r="H190" i="33"/>
  <c r="G190" i="33"/>
  <c r="F190" i="33"/>
  <c r="E190" i="33"/>
  <c r="D190" i="33"/>
  <c r="C190" i="33"/>
  <c r="B190" i="33"/>
  <c r="A190" i="33"/>
  <c r="T189" i="33"/>
  <c r="S189" i="33"/>
  <c r="R189" i="33"/>
  <c r="Q189" i="33"/>
  <c r="P189" i="33"/>
  <c r="O189" i="33"/>
  <c r="N189" i="33"/>
  <c r="M189" i="33"/>
  <c r="L189" i="33"/>
  <c r="K189" i="33"/>
  <c r="J189" i="33"/>
  <c r="I189" i="33"/>
  <c r="H189" i="33"/>
  <c r="G189" i="33"/>
  <c r="F189" i="33"/>
  <c r="E189" i="33"/>
  <c r="D189" i="33"/>
  <c r="C189" i="33"/>
  <c r="B189" i="33"/>
  <c r="A189" i="33"/>
  <c r="T188" i="33"/>
  <c r="S188" i="33"/>
  <c r="R188" i="33"/>
  <c r="Q188" i="33"/>
  <c r="P188" i="33"/>
  <c r="O188" i="33"/>
  <c r="N188" i="33"/>
  <c r="M188" i="33"/>
  <c r="L188" i="33"/>
  <c r="K188" i="33"/>
  <c r="J188" i="33"/>
  <c r="I188" i="33"/>
  <c r="H188" i="33"/>
  <c r="G188" i="33"/>
  <c r="F188" i="33"/>
  <c r="E188" i="33"/>
  <c r="D188" i="33"/>
  <c r="C188" i="33"/>
  <c r="B188" i="33"/>
  <c r="A188" i="33"/>
  <c r="T187" i="33"/>
  <c r="S187" i="33"/>
  <c r="R187" i="33"/>
  <c r="Q187" i="33"/>
  <c r="P187" i="33"/>
  <c r="O187" i="33"/>
  <c r="N187" i="33"/>
  <c r="M187" i="33"/>
  <c r="L187" i="33"/>
  <c r="K187" i="33"/>
  <c r="J187" i="33"/>
  <c r="I187" i="33"/>
  <c r="H187" i="33"/>
  <c r="G187" i="33"/>
  <c r="F187" i="33"/>
  <c r="E187" i="33"/>
  <c r="D187" i="33"/>
  <c r="C187" i="33"/>
  <c r="B187" i="33"/>
  <c r="A187" i="33"/>
  <c r="T186" i="33"/>
  <c r="S186" i="33"/>
  <c r="R186" i="33"/>
  <c r="Q186" i="33"/>
  <c r="P186" i="33"/>
  <c r="O186" i="33"/>
  <c r="N186" i="33"/>
  <c r="M186" i="33"/>
  <c r="L186" i="33"/>
  <c r="K186" i="33"/>
  <c r="J186" i="33"/>
  <c r="I186" i="33"/>
  <c r="H186" i="33"/>
  <c r="G186" i="33"/>
  <c r="F186" i="33"/>
  <c r="E186" i="33"/>
  <c r="D186" i="33"/>
  <c r="C186" i="33"/>
  <c r="B186" i="33"/>
  <c r="A186" i="33"/>
  <c r="T185" i="33"/>
  <c r="S185" i="33"/>
  <c r="R185" i="33"/>
  <c r="Q185" i="33"/>
  <c r="P185" i="33"/>
  <c r="O185" i="33"/>
  <c r="N185" i="33"/>
  <c r="M185" i="33"/>
  <c r="L185" i="33"/>
  <c r="K185" i="33"/>
  <c r="J185" i="33"/>
  <c r="I185" i="33"/>
  <c r="H185" i="33"/>
  <c r="G185" i="33"/>
  <c r="F185" i="33"/>
  <c r="E185" i="33"/>
  <c r="D185" i="33"/>
  <c r="C185" i="33"/>
  <c r="B185" i="33"/>
  <c r="A185" i="33"/>
  <c r="T184" i="33"/>
  <c r="S184" i="33"/>
  <c r="R184" i="33"/>
  <c r="Q184" i="33"/>
  <c r="P184" i="33"/>
  <c r="O184" i="33"/>
  <c r="N184" i="33"/>
  <c r="M184" i="33"/>
  <c r="L184" i="33"/>
  <c r="K184" i="33"/>
  <c r="J184" i="33"/>
  <c r="I184" i="33"/>
  <c r="H184" i="33"/>
  <c r="G184" i="33"/>
  <c r="F184" i="33"/>
  <c r="E184" i="33"/>
  <c r="D184" i="33"/>
  <c r="C184" i="33"/>
  <c r="B184" i="33"/>
  <c r="A184" i="33"/>
  <c r="T183" i="33"/>
  <c r="S183" i="33"/>
  <c r="R183" i="33"/>
  <c r="Q183" i="33"/>
  <c r="P183" i="33"/>
  <c r="O183" i="33"/>
  <c r="N183" i="33"/>
  <c r="M183" i="33"/>
  <c r="L183" i="33"/>
  <c r="K183" i="33"/>
  <c r="J183" i="33"/>
  <c r="I183" i="33"/>
  <c r="H183" i="33"/>
  <c r="G183" i="33"/>
  <c r="F183" i="33"/>
  <c r="E183" i="33"/>
  <c r="D183" i="33"/>
  <c r="C183" i="33"/>
  <c r="B183" i="33"/>
  <c r="A183" i="33"/>
  <c r="T182" i="33"/>
  <c r="S182" i="33"/>
  <c r="R182" i="33"/>
  <c r="Q182" i="33"/>
  <c r="P182" i="33"/>
  <c r="O182" i="33"/>
  <c r="N182" i="33"/>
  <c r="M182" i="33"/>
  <c r="L182" i="33"/>
  <c r="K182" i="33"/>
  <c r="J182" i="33"/>
  <c r="I182" i="33"/>
  <c r="H182" i="33"/>
  <c r="G182" i="33"/>
  <c r="F182" i="33"/>
  <c r="E182" i="33"/>
  <c r="D182" i="33"/>
  <c r="C182" i="33"/>
  <c r="B182" i="33"/>
  <c r="A182" i="33"/>
  <c r="T181" i="33"/>
  <c r="S181" i="33"/>
  <c r="R181" i="33"/>
  <c r="Q181" i="33"/>
  <c r="P181" i="33"/>
  <c r="O181" i="33"/>
  <c r="N181" i="33"/>
  <c r="M181" i="33"/>
  <c r="L181" i="33"/>
  <c r="K181" i="33"/>
  <c r="J181" i="33"/>
  <c r="I181" i="33"/>
  <c r="H181" i="33"/>
  <c r="G181" i="33"/>
  <c r="F181" i="33"/>
  <c r="E181" i="33"/>
  <c r="D181" i="33"/>
  <c r="C181" i="33"/>
  <c r="B181" i="33"/>
  <c r="A181" i="33"/>
  <c r="T180" i="33"/>
  <c r="S180" i="33"/>
  <c r="R180" i="33"/>
  <c r="Q180" i="33"/>
  <c r="P180" i="33"/>
  <c r="O180" i="33"/>
  <c r="N180" i="33"/>
  <c r="M180" i="33"/>
  <c r="L180" i="33"/>
  <c r="K180" i="33"/>
  <c r="J180" i="33"/>
  <c r="I180" i="33"/>
  <c r="H180" i="33"/>
  <c r="G180" i="33"/>
  <c r="F180" i="33"/>
  <c r="E180" i="33"/>
  <c r="D180" i="33"/>
  <c r="C180" i="33"/>
  <c r="B180" i="33"/>
  <c r="A180" i="33"/>
  <c r="T179" i="33"/>
  <c r="S179" i="33"/>
  <c r="R179" i="33"/>
  <c r="Q179" i="33"/>
  <c r="P179" i="33"/>
  <c r="O179" i="33"/>
  <c r="N179" i="33"/>
  <c r="M179" i="33"/>
  <c r="L179" i="33"/>
  <c r="K179" i="33"/>
  <c r="J179" i="33"/>
  <c r="I179" i="33"/>
  <c r="H179" i="33"/>
  <c r="G179" i="33"/>
  <c r="F179" i="33"/>
  <c r="E179" i="33"/>
  <c r="D179" i="33"/>
  <c r="C179" i="33"/>
  <c r="B179" i="33"/>
  <c r="A179" i="33"/>
  <c r="T178" i="33"/>
  <c r="S178" i="33"/>
  <c r="R178" i="33"/>
  <c r="Q178" i="33"/>
  <c r="P178" i="33"/>
  <c r="O178" i="33"/>
  <c r="N178" i="33"/>
  <c r="M178" i="33"/>
  <c r="L178" i="33"/>
  <c r="K178" i="33"/>
  <c r="J178" i="33"/>
  <c r="I178" i="33"/>
  <c r="H178" i="33"/>
  <c r="G178" i="33"/>
  <c r="F178" i="33"/>
  <c r="E178" i="33"/>
  <c r="D178" i="33"/>
  <c r="C178" i="33"/>
  <c r="B178" i="33"/>
  <c r="A178" i="33"/>
  <c r="T177" i="33"/>
  <c r="S177" i="33"/>
  <c r="R177" i="33"/>
  <c r="Q177" i="33"/>
  <c r="P177" i="33"/>
  <c r="O177" i="33"/>
  <c r="N177" i="33"/>
  <c r="M177" i="33"/>
  <c r="L177" i="33"/>
  <c r="K177" i="33"/>
  <c r="J177" i="33"/>
  <c r="I177" i="33"/>
  <c r="H177" i="33"/>
  <c r="G177" i="33"/>
  <c r="F177" i="33"/>
  <c r="E177" i="33"/>
  <c r="D177" i="33"/>
  <c r="C177" i="33"/>
  <c r="B177" i="33"/>
  <c r="A177" i="33"/>
  <c r="T176" i="33"/>
  <c r="S176" i="33"/>
  <c r="R176" i="33"/>
  <c r="Q176" i="33"/>
  <c r="P176" i="33"/>
  <c r="O176" i="33"/>
  <c r="N176" i="33"/>
  <c r="M176" i="33"/>
  <c r="L176" i="33"/>
  <c r="K176" i="33"/>
  <c r="J176" i="33"/>
  <c r="I176" i="33"/>
  <c r="H176" i="33"/>
  <c r="G176" i="33"/>
  <c r="F176" i="33"/>
  <c r="E176" i="33"/>
  <c r="D176" i="33"/>
  <c r="C176" i="33"/>
  <c r="B176" i="33"/>
  <c r="A176" i="33"/>
  <c r="T175" i="33"/>
  <c r="S175" i="33"/>
  <c r="R175" i="33"/>
  <c r="Q175" i="33"/>
  <c r="P175" i="33"/>
  <c r="O175" i="33"/>
  <c r="N175" i="33"/>
  <c r="M175" i="33"/>
  <c r="L175" i="33"/>
  <c r="K175" i="33"/>
  <c r="J175" i="33"/>
  <c r="I175" i="33"/>
  <c r="H175" i="33"/>
  <c r="G175" i="33"/>
  <c r="F175" i="33"/>
  <c r="E175" i="33"/>
  <c r="D175" i="33"/>
  <c r="C175" i="33"/>
  <c r="B175" i="33"/>
  <c r="A175" i="33"/>
  <c r="T174" i="33"/>
  <c r="S174" i="33"/>
  <c r="R174" i="33"/>
  <c r="Q174" i="33"/>
  <c r="P174" i="33"/>
  <c r="O174" i="33"/>
  <c r="N174" i="33"/>
  <c r="M174" i="33"/>
  <c r="L174" i="33"/>
  <c r="K174" i="33"/>
  <c r="J174" i="33"/>
  <c r="I174" i="33"/>
  <c r="H174" i="33"/>
  <c r="G174" i="33"/>
  <c r="F174" i="33"/>
  <c r="E174" i="33"/>
  <c r="D174" i="33"/>
  <c r="C174" i="33"/>
  <c r="B174" i="33"/>
  <c r="A174" i="33"/>
  <c r="T173" i="33"/>
  <c r="S173" i="33"/>
  <c r="R173" i="33"/>
  <c r="Q173" i="33"/>
  <c r="P173" i="33"/>
  <c r="O173" i="33"/>
  <c r="N173" i="33"/>
  <c r="M173" i="33"/>
  <c r="L173" i="33"/>
  <c r="K173" i="33"/>
  <c r="J173" i="33"/>
  <c r="I173" i="33"/>
  <c r="H173" i="33"/>
  <c r="G173" i="33"/>
  <c r="F173" i="33"/>
  <c r="E173" i="33"/>
  <c r="D173" i="33"/>
  <c r="C173" i="33"/>
  <c r="B173" i="33"/>
  <c r="A173" i="33"/>
  <c r="T172" i="33"/>
  <c r="S172" i="33"/>
  <c r="R172" i="33"/>
  <c r="Q172" i="33"/>
  <c r="P172" i="33"/>
  <c r="O172" i="33"/>
  <c r="N172" i="33"/>
  <c r="M172" i="33"/>
  <c r="L172" i="33"/>
  <c r="K172" i="33"/>
  <c r="J172" i="33"/>
  <c r="I172" i="33"/>
  <c r="H172" i="33"/>
  <c r="G172" i="33"/>
  <c r="F172" i="33"/>
  <c r="E172" i="33"/>
  <c r="D172" i="33"/>
  <c r="C172" i="33"/>
  <c r="B172" i="33"/>
  <c r="A172" i="33"/>
  <c r="T171" i="33"/>
  <c r="S171" i="33"/>
  <c r="R171" i="33"/>
  <c r="Q171" i="33"/>
  <c r="P171" i="33"/>
  <c r="O171" i="33"/>
  <c r="N171" i="33"/>
  <c r="M171" i="33"/>
  <c r="L171" i="33"/>
  <c r="K171" i="33"/>
  <c r="J171" i="33"/>
  <c r="I171" i="33"/>
  <c r="H171" i="33"/>
  <c r="G171" i="33"/>
  <c r="F171" i="33"/>
  <c r="E171" i="33"/>
  <c r="D171" i="33"/>
  <c r="C171" i="33"/>
  <c r="B171" i="33"/>
  <c r="A171" i="33"/>
  <c r="T170" i="33"/>
  <c r="S170" i="33"/>
  <c r="R170" i="33"/>
  <c r="Q170" i="33"/>
  <c r="P170" i="33"/>
  <c r="O170" i="33"/>
  <c r="N170" i="33"/>
  <c r="M170" i="33"/>
  <c r="L170" i="33"/>
  <c r="K170" i="33"/>
  <c r="J170" i="33"/>
  <c r="I170" i="33"/>
  <c r="H170" i="33"/>
  <c r="G170" i="33"/>
  <c r="F170" i="33"/>
  <c r="E170" i="33"/>
  <c r="D170" i="33"/>
  <c r="C170" i="33"/>
  <c r="B170" i="33"/>
  <c r="A170" i="33"/>
  <c r="T169" i="33"/>
  <c r="S169" i="33"/>
  <c r="R169" i="33"/>
  <c r="Q169" i="33"/>
  <c r="P169" i="33"/>
  <c r="O169" i="33"/>
  <c r="N169" i="33"/>
  <c r="M169" i="33"/>
  <c r="L169" i="33"/>
  <c r="K169" i="33"/>
  <c r="J169" i="33"/>
  <c r="I169" i="33"/>
  <c r="H169" i="33"/>
  <c r="G169" i="33"/>
  <c r="F169" i="33"/>
  <c r="E169" i="33"/>
  <c r="D169" i="33"/>
  <c r="C169" i="33"/>
  <c r="B169" i="33"/>
  <c r="A169" i="33"/>
  <c r="T168" i="33"/>
  <c r="S168" i="33"/>
  <c r="R168" i="33"/>
  <c r="Q168" i="33"/>
  <c r="P168" i="33"/>
  <c r="O168" i="33"/>
  <c r="N168" i="33"/>
  <c r="M168" i="33"/>
  <c r="L168" i="33"/>
  <c r="K168" i="33"/>
  <c r="J168" i="33"/>
  <c r="I168" i="33"/>
  <c r="H168" i="33"/>
  <c r="G168" i="33"/>
  <c r="F168" i="33"/>
  <c r="E168" i="33"/>
  <c r="D168" i="33"/>
  <c r="C168" i="33"/>
  <c r="B168" i="33"/>
  <c r="A168" i="33"/>
  <c r="T167" i="33"/>
  <c r="S167" i="33"/>
  <c r="R167" i="33"/>
  <c r="Q167" i="33"/>
  <c r="P167" i="33"/>
  <c r="O167" i="33"/>
  <c r="N167" i="33"/>
  <c r="M167" i="33"/>
  <c r="L167" i="33"/>
  <c r="K167" i="33"/>
  <c r="J167" i="33"/>
  <c r="I167" i="33"/>
  <c r="H167" i="33"/>
  <c r="G167" i="33"/>
  <c r="F167" i="33"/>
  <c r="E167" i="33"/>
  <c r="D167" i="33"/>
  <c r="C167" i="33"/>
  <c r="B167" i="33"/>
  <c r="A167" i="33"/>
  <c r="T166" i="33"/>
  <c r="S166" i="33"/>
  <c r="R166" i="33"/>
  <c r="Q166" i="33"/>
  <c r="P166" i="33"/>
  <c r="O166" i="33"/>
  <c r="N166" i="33"/>
  <c r="M166" i="33"/>
  <c r="L166" i="33"/>
  <c r="K166" i="33"/>
  <c r="J166" i="33"/>
  <c r="I166" i="33"/>
  <c r="H166" i="33"/>
  <c r="G166" i="33"/>
  <c r="F166" i="33"/>
  <c r="E166" i="33"/>
  <c r="D166" i="33"/>
  <c r="C166" i="33"/>
  <c r="B166" i="33"/>
  <c r="A166" i="33"/>
  <c r="T165" i="33"/>
  <c r="S165" i="33"/>
  <c r="R165" i="33"/>
  <c r="Q165" i="33"/>
  <c r="P165" i="33"/>
  <c r="O165" i="33"/>
  <c r="N165" i="33"/>
  <c r="M165" i="33"/>
  <c r="L165" i="33"/>
  <c r="K165" i="33"/>
  <c r="J165" i="33"/>
  <c r="I165" i="33"/>
  <c r="H165" i="33"/>
  <c r="G165" i="33"/>
  <c r="F165" i="33"/>
  <c r="E165" i="33"/>
  <c r="D165" i="33"/>
  <c r="C165" i="33"/>
  <c r="B165" i="33"/>
  <c r="A165" i="33"/>
  <c r="T164" i="33"/>
  <c r="S164" i="33"/>
  <c r="R164" i="33"/>
  <c r="Q164" i="33"/>
  <c r="P164" i="33"/>
  <c r="O164" i="33"/>
  <c r="N164" i="33"/>
  <c r="M164" i="33"/>
  <c r="L164" i="33"/>
  <c r="K164" i="33"/>
  <c r="J164" i="33"/>
  <c r="I164" i="33"/>
  <c r="H164" i="33"/>
  <c r="G164" i="33"/>
  <c r="F164" i="33"/>
  <c r="E164" i="33"/>
  <c r="D164" i="33"/>
  <c r="C164" i="33"/>
  <c r="B164" i="33"/>
  <c r="A164" i="33"/>
  <c r="T163" i="33"/>
  <c r="S163" i="33"/>
  <c r="R163" i="33"/>
  <c r="Q163" i="33"/>
  <c r="P163" i="33"/>
  <c r="O163" i="33"/>
  <c r="N163" i="33"/>
  <c r="M163" i="33"/>
  <c r="L163" i="33"/>
  <c r="K163" i="33"/>
  <c r="J163" i="33"/>
  <c r="I163" i="33"/>
  <c r="H163" i="33"/>
  <c r="G163" i="33"/>
  <c r="F163" i="33"/>
  <c r="E163" i="33"/>
  <c r="D163" i="33"/>
  <c r="C163" i="33"/>
  <c r="B163" i="33"/>
  <c r="A163" i="33"/>
  <c r="T162" i="33"/>
  <c r="S162" i="33"/>
  <c r="R162" i="33"/>
  <c r="Q162" i="33"/>
  <c r="P162" i="33"/>
  <c r="O162" i="33"/>
  <c r="N162" i="33"/>
  <c r="M162" i="33"/>
  <c r="L162" i="33"/>
  <c r="K162" i="33"/>
  <c r="J162" i="33"/>
  <c r="I162" i="33"/>
  <c r="H162" i="33"/>
  <c r="G162" i="33"/>
  <c r="F162" i="33"/>
  <c r="E162" i="33"/>
  <c r="D162" i="33"/>
  <c r="C162" i="33"/>
  <c r="B162" i="33"/>
  <c r="A162" i="33"/>
  <c r="T161" i="33"/>
  <c r="S161" i="33"/>
  <c r="R161" i="33"/>
  <c r="Q161" i="33"/>
  <c r="P161" i="33"/>
  <c r="O161" i="33"/>
  <c r="N161" i="33"/>
  <c r="M161" i="33"/>
  <c r="L161" i="33"/>
  <c r="K161" i="33"/>
  <c r="J161" i="33"/>
  <c r="I161" i="33"/>
  <c r="H161" i="33"/>
  <c r="G161" i="33"/>
  <c r="F161" i="33"/>
  <c r="E161" i="33"/>
  <c r="D161" i="33"/>
  <c r="C161" i="33"/>
  <c r="B161" i="33"/>
  <c r="A161" i="33"/>
  <c r="T160" i="33"/>
  <c r="S160" i="33"/>
  <c r="R160" i="33"/>
  <c r="Q160" i="33"/>
  <c r="P160" i="33"/>
  <c r="O160" i="33"/>
  <c r="N160" i="33"/>
  <c r="M160" i="33"/>
  <c r="L160" i="33"/>
  <c r="K160" i="33"/>
  <c r="J160" i="33"/>
  <c r="I160" i="33"/>
  <c r="H160" i="33"/>
  <c r="G160" i="33"/>
  <c r="F160" i="33"/>
  <c r="E160" i="33"/>
  <c r="D160" i="33"/>
  <c r="C160" i="33"/>
  <c r="B160" i="33"/>
  <c r="A160" i="33"/>
  <c r="T159" i="33"/>
  <c r="S159" i="33"/>
  <c r="R159" i="33"/>
  <c r="Q159" i="33"/>
  <c r="P159" i="33"/>
  <c r="O159" i="33"/>
  <c r="N159" i="33"/>
  <c r="M159" i="33"/>
  <c r="L159" i="33"/>
  <c r="K159" i="33"/>
  <c r="J159" i="33"/>
  <c r="I159" i="33"/>
  <c r="H159" i="33"/>
  <c r="G159" i="33"/>
  <c r="F159" i="33"/>
  <c r="E159" i="33"/>
  <c r="D159" i="33"/>
  <c r="C159" i="33"/>
  <c r="B159" i="33"/>
  <c r="A159" i="33"/>
  <c r="T158" i="33"/>
  <c r="S158" i="33"/>
  <c r="R158" i="33"/>
  <c r="Q158" i="33"/>
  <c r="P158" i="33"/>
  <c r="O158" i="33"/>
  <c r="N158" i="33"/>
  <c r="M158" i="33"/>
  <c r="L158" i="33"/>
  <c r="K158" i="33"/>
  <c r="J158" i="33"/>
  <c r="I158" i="33"/>
  <c r="H158" i="33"/>
  <c r="G158" i="33"/>
  <c r="F158" i="33"/>
  <c r="E158" i="33"/>
  <c r="D158" i="33"/>
  <c r="C158" i="33"/>
  <c r="B158" i="33"/>
  <c r="A158" i="33"/>
  <c r="T157" i="33"/>
  <c r="S157" i="33"/>
  <c r="R157" i="33"/>
  <c r="Q157" i="33"/>
  <c r="P157" i="33"/>
  <c r="O157" i="33"/>
  <c r="N157" i="33"/>
  <c r="M157" i="33"/>
  <c r="L157" i="33"/>
  <c r="K157" i="33"/>
  <c r="J157" i="33"/>
  <c r="I157" i="33"/>
  <c r="H157" i="33"/>
  <c r="G157" i="33"/>
  <c r="F157" i="33"/>
  <c r="E157" i="33"/>
  <c r="D157" i="33"/>
  <c r="C157" i="33"/>
  <c r="B157" i="33"/>
  <c r="A157" i="33"/>
  <c r="T156" i="33"/>
  <c r="S156" i="33"/>
  <c r="R156" i="33"/>
  <c r="Q156" i="33"/>
  <c r="P156" i="33"/>
  <c r="O156" i="33"/>
  <c r="N156" i="33"/>
  <c r="M156" i="33"/>
  <c r="L156" i="33"/>
  <c r="K156" i="33"/>
  <c r="J156" i="33"/>
  <c r="I156" i="33"/>
  <c r="H156" i="33"/>
  <c r="G156" i="33"/>
  <c r="F156" i="33"/>
  <c r="E156" i="33"/>
  <c r="D156" i="33"/>
  <c r="C156" i="33"/>
  <c r="B156" i="33"/>
  <c r="A156" i="33"/>
  <c r="T155" i="33"/>
  <c r="S155" i="33"/>
  <c r="R155" i="33"/>
  <c r="Q155" i="33"/>
  <c r="P155" i="33"/>
  <c r="O155" i="33"/>
  <c r="N155" i="33"/>
  <c r="M155" i="33"/>
  <c r="L155" i="33"/>
  <c r="K155" i="33"/>
  <c r="J155" i="33"/>
  <c r="I155" i="33"/>
  <c r="H155" i="33"/>
  <c r="G155" i="33"/>
  <c r="F155" i="33"/>
  <c r="E155" i="33"/>
  <c r="D155" i="33"/>
  <c r="C155" i="33"/>
  <c r="B155" i="33"/>
  <c r="A155" i="33"/>
  <c r="T154" i="33"/>
  <c r="S154" i="33"/>
  <c r="R154" i="33"/>
  <c r="Q154" i="33"/>
  <c r="P154" i="33"/>
  <c r="O154" i="33"/>
  <c r="N154" i="33"/>
  <c r="M154" i="33"/>
  <c r="L154" i="33"/>
  <c r="K154" i="33"/>
  <c r="J154" i="33"/>
  <c r="I154" i="33"/>
  <c r="H154" i="33"/>
  <c r="G154" i="33"/>
  <c r="F154" i="33"/>
  <c r="E154" i="33"/>
  <c r="D154" i="33"/>
  <c r="C154" i="33"/>
  <c r="B154" i="33"/>
  <c r="A154" i="33"/>
  <c r="T153" i="33"/>
  <c r="S153" i="33"/>
  <c r="R153" i="33"/>
  <c r="Q153" i="33"/>
  <c r="P153" i="33"/>
  <c r="O153" i="33"/>
  <c r="N153" i="33"/>
  <c r="M153" i="33"/>
  <c r="L153" i="33"/>
  <c r="K153" i="33"/>
  <c r="J153" i="33"/>
  <c r="I153" i="33"/>
  <c r="H153" i="33"/>
  <c r="G153" i="33"/>
  <c r="F153" i="33"/>
  <c r="E153" i="33"/>
  <c r="D153" i="33"/>
  <c r="C153" i="33"/>
  <c r="B153" i="33"/>
  <c r="A153" i="33"/>
  <c r="T152" i="33"/>
  <c r="S152" i="33"/>
  <c r="R152" i="33"/>
  <c r="Q152" i="33"/>
  <c r="P152" i="33"/>
  <c r="O152" i="33"/>
  <c r="N152" i="33"/>
  <c r="M152" i="33"/>
  <c r="L152" i="33"/>
  <c r="K152" i="33"/>
  <c r="J152" i="33"/>
  <c r="I152" i="33"/>
  <c r="H152" i="33"/>
  <c r="G152" i="33"/>
  <c r="F152" i="33"/>
  <c r="E152" i="33"/>
  <c r="D152" i="33"/>
  <c r="C152" i="33"/>
  <c r="B152" i="33"/>
  <c r="A152" i="33"/>
  <c r="T151" i="33"/>
  <c r="S151" i="33"/>
  <c r="R151" i="33"/>
  <c r="Q151" i="33"/>
  <c r="P151" i="33"/>
  <c r="O151" i="33"/>
  <c r="N151" i="33"/>
  <c r="M151" i="33"/>
  <c r="L151" i="33"/>
  <c r="K151" i="33"/>
  <c r="J151" i="33"/>
  <c r="I151" i="33"/>
  <c r="H151" i="33"/>
  <c r="G151" i="33"/>
  <c r="F151" i="33"/>
  <c r="E151" i="33"/>
  <c r="D151" i="33"/>
  <c r="C151" i="33"/>
  <c r="B151" i="33"/>
  <c r="A151" i="33"/>
  <c r="T150" i="33"/>
  <c r="S150" i="33"/>
  <c r="R150" i="33"/>
  <c r="Q150" i="33"/>
  <c r="P150" i="33"/>
  <c r="O150" i="33"/>
  <c r="N150" i="33"/>
  <c r="M150" i="33"/>
  <c r="L150" i="33"/>
  <c r="K150" i="33"/>
  <c r="J150" i="33"/>
  <c r="I150" i="33"/>
  <c r="H150" i="33"/>
  <c r="G150" i="33"/>
  <c r="F150" i="33"/>
  <c r="E150" i="33"/>
  <c r="D150" i="33"/>
  <c r="C150" i="33"/>
  <c r="B150" i="33"/>
  <c r="A150" i="33"/>
  <c r="T149" i="33"/>
  <c r="S149" i="33"/>
  <c r="R149" i="33"/>
  <c r="Q149" i="33"/>
  <c r="P149" i="33"/>
  <c r="O149" i="33"/>
  <c r="N149" i="33"/>
  <c r="M149" i="33"/>
  <c r="L149" i="33"/>
  <c r="K149" i="33"/>
  <c r="J149" i="33"/>
  <c r="I149" i="33"/>
  <c r="H149" i="33"/>
  <c r="G149" i="33"/>
  <c r="F149" i="33"/>
  <c r="E149" i="33"/>
  <c r="D149" i="33"/>
  <c r="C149" i="33"/>
  <c r="B149" i="33"/>
  <c r="A149" i="33"/>
  <c r="T148" i="33"/>
  <c r="S148" i="33"/>
  <c r="R148" i="33"/>
  <c r="Q148" i="33"/>
  <c r="P148" i="33"/>
  <c r="O148" i="33"/>
  <c r="N148" i="33"/>
  <c r="M148" i="33"/>
  <c r="L148" i="33"/>
  <c r="K148" i="33"/>
  <c r="J148" i="33"/>
  <c r="I148" i="33"/>
  <c r="H148" i="33"/>
  <c r="G148" i="33"/>
  <c r="F148" i="33"/>
  <c r="E148" i="33"/>
  <c r="D148" i="33"/>
  <c r="C148" i="33"/>
  <c r="B148" i="33"/>
  <c r="A148" i="33"/>
  <c r="T147" i="33"/>
  <c r="S147" i="33"/>
  <c r="R147" i="33"/>
  <c r="Q147" i="33"/>
  <c r="P147" i="33"/>
  <c r="O147" i="33"/>
  <c r="N147" i="33"/>
  <c r="M147" i="33"/>
  <c r="L147" i="33"/>
  <c r="K147" i="33"/>
  <c r="J147" i="33"/>
  <c r="I147" i="33"/>
  <c r="H147" i="33"/>
  <c r="G147" i="33"/>
  <c r="F147" i="33"/>
  <c r="E147" i="33"/>
  <c r="D147" i="33"/>
  <c r="C147" i="33"/>
  <c r="B147" i="33"/>
  <c r="A147" i="33"/>
  <c r="T146" i="33"/>
  <c r="S146" i="33"/>
  <c r="R146" i="33"/>
  <c r="Q146" i="33"/>
  <c r="P146" i="33"/>
  <c r="O146" i="33"/>
  <c r="N146" i="33"/>
  <c r="M146" i="33"/>
  <c r="L146" i="33"/>
  <c r="K146" i="33"/>
  <c r="J146" i="33"/>
  <c r="I146" i="33"/>
  <c r="H146" i="33"/>
  <c r="G146" i="33"/>
  <c r="F146" i="33"/>
  <c r="E146" i="33"/>
  <c r="D146" i="33"/>
  <c r="C146" i="33"/>
  <c r="B146" i="33"/>
  <c r="A146" i="33"/>
  <c r="T145" i="33"/>
  <c r="S145" i="33"/>
  <c r="R145" i="33"/>
  <c r="Q145" i="33"/>
  <c r="P145" i="33"/>
  <c r="O145" i="33"/>
  <c r="N145" i="33"/>
  <c r="M145" i="33"/>
  <c r="L145" i="33"/>
  <c r="K145" i="33"/>
  <c r="J145" i="33"/>
  <c r="I145" i="33"/>
  <c r="H145" i="33"/>
  <c r="G145" i="33"/>
  <c r="F145" i="33"/>
  <c r="E145" i="33"/>
  <c r="D145" i="33"/>
  <c r="C145" i="33"/>
  <c r="B145" i="33"/>
  <c r="A145" i="33"/>
  <c r="T144" i="33"/>
  <c r="S144" i="33"/>
  <c r="R144" i="33"/>
  <c r="Q144" i="33"/>
  <c r="P144" i="33"/>
  <c r="O144" i="33"/>
  <c r="N144" i="33"/>
  <c r="M144" i="33"/>
  <c r="L144" i="33"/>
  <c r="K144" i="33"/>
  <c r="J144" i="33"/>
  <c r="I144" i="33"/>
  <c r="H144" i="33"/>
  <c r="G144" i="33"/>
  <c r="F144" i="33"/>
  <c r="E144" i="33"/>
  <c r="D144" i="33"/>
  <c r="C144" i="33"/>
  <c r="B144" i="33"/>
  <c r="A144" i="33"/>
  <c r="T143" i="33"/>
  <c r="S143" i="33"/>
  <c r="R143" i="33"/>
  <c r="Q143" i="33"/>
  <c r="P143" i="33"/>
  <c r="O143" i="33"/>
  <c r="N143" i="33"/>
  <c r="M143" i="33"/>
  <c r="L143" i="33"/>
  <c r="K143" i="33"/>
  <c r="J143" i="33"/>
  <c r="I143" i="33"/>
  <c r="H143" i="33"/>
  <c r="G143" i="33"/>
  <c r="F143" i="33"/>
  <c r="E143" i="33"/>
  <c r="D143" i="33"/>
  <c r="C143" i="33"/>
  <c r="B143" i="33"/>
  <c r="A143" i="33"/>
  <c r="T142" i="33"/>
  <c r="S142" i="33"/>
  <c r="R142" i="33"/>
  <c r="Q142" i="33"/>
  <c r="P142" i="33"/>
  <c r="O142" i="33"/>
  <c r="N142" i="33"/>
  <c r="M142" i="33"/>
  <c r="L142" i="33"/>
  <c r="K142" i="33"/>
  <c r="J142" i="33"/>
  <c r="I142" i="33"/>
  <c r="H142" i="33"/>
  <c r="G142" i="33"/>
  <c r="F142" i="33"/>
  <c r="E142" i="33"/>
  <c r="D142" i="33"/>
  <c r="C142" i="33"/>
  <c r="B142" i="33"/>
  <c r="A142" i="33"/>
  <c r="T141" i="33"/>
  <c r="S141" i="33"/>
  <c r="R141" i="33"/>
  <c r="Q141" i="33"/>
  <c r="P141" i="33"/>
  <c r="O141" i="33"/>
  <c r="N141" i="33"/>
  <c r="M141" i="33"/>
  <c r="L141" i="33"/>
  <c r="K141" i="33"/>
  <c r="J141" i="33"/>
  <c r="I141" i="33"/>
  <c r="H141" i="33"/>
  <c r="G141" i="33"/>
  <c r="F141" i="33"/>
  <c r="E141" i="33"/>
  <c r="D141" i="33"/>
  <c r="C141" i="33"/>
  <c r="B141" i="33"/>
  <c r="A141" i="33"/>
  <c r="T140" i="33"/>
  <c r="S140" i="33"/>
  <c r="R140" i="33"/>
  <c r="Q140" i="33"/>
  <c r="P140" i="33"/>
  <c r="O140" i="33"/>
  <c r="N140" i="33"/>
  <c r="M140" i="33"/>
  <c r="L140" i="33"/>
  <c r="K140" i="33"/>
  <c r="J140" i="33"/>
  <c r="I140" i="33"/>
  <c r="H140" i="33"/>
  <c r="G140" i="33"/>
  <c r="F140" i="33"/>
  <c r="E140" i="33"/>
  <c r="D140" i="33"/>
  <c r="C140" i="33"/>
  <c r="B140" i="33"/>
  <c r="A140" i="33"/>
  <c r="T139" i="33"/>
  <c r="S139" i="33"/>
  <c r="R139" i="33"/>
  <c r="Q139" i="33"/>
  <c r="P139" i="33"/>
  <c r="O139" i="33"/>
  <c r="N139" i="33"/>
  <c r="M139" i="33"/>
  <c r="L139" i="33"/>
  <c r="K139" i="33"/>
  <c r="J139" i="33"/>
  <c r="I139" i="33"/>
  <c r="H139" i="33"/>
  <c r="G139" i="33"/>
  <c r="F139" i="33"/>
  <c r="E139" i="33"/>
  <c r="D139" i="33"/>
  <c r="C139" i="33"/>
  <c r="B139" i="33"/>
  <c r="A139" i="33"/>
  <c r="T138" i="33"/>
  <c r="S138" i="33"/>
  <c r="R138" i="33"/>
  <c r="Q138" i="33"/>
  <c r="P138" i="33"/>
  <c r="O138" i="33"/>
  <c r="N138" i="33"/>
  <c r="M138" i="33"/>
  <c r="L138" i="33"/>
  <c r="K138" i="33"/>
  <c r="J138" i="33"/>
  <c r="I138" i="33"/>
  <c r="H138" i="33"/>
  <c r="G138" i="33"/>
  <c r="F138" i="33"/>
  <c r="E138" i="33"/>
  <c r="D138" i="33"/>
  <c r="C138" i="33"/>
  <c r="B138" i="33"/>
  <c r="A138" i="33"/>
  <c r="T137" i="33"/>
  <c r="S137" i="33"/>
  <c r="R137" i="33"/>
  <c r="Q137" i="33"/>
  <c r="P137" i="33"/>
  <c r="O137" i="33"/>
  <c r="N137" i="33"/>
  <c r="M137" i="33"/>
  <c r="L137" i="33"/>
  <c r="K137" i="33"/>
  <c r="J137" i="33"/>
  <c r="I137" i="33"/>
  <c r="H137" i="33"/>
  <c r="G137" i="33"/>
  <c r="F137" i="33"/>
  <c r="E137" i="33"/>
  <c r="D137" i="33"/>
  <c r="C137" i="33"/>
  <c r="B137" i="33"/>
  <c r="A137" i="33"/>
  <c r="T136" i="33"/>
  <c r="S136" i="33"/>
  <c r="R136" i="33"/>
  <c r="Q136" i="33"/>
  <c r="P136" i="33"/>
  <c r="O136" i="33"/>
  <c r="N136" i="33"/>
  <c r="M136" i="33"/>
  <c r="L136" i="33"/>
  <c r="K136" i="33"/>
  <c r="J136" i="33"/>
  <c r="I136" i="33"/>
  <c r="H136" i="33"/>
  <c r="G136" i="33"/>
  <c r="F136" i="33"/>
  <c r="E136" i="33"/>
  <c r="D136" i="33"/>
  <c r="C136" i="33"/>
  <c r="B136" i="33"/>
  <c r="A136" i="33"/>
  <c r="T135" i="33"/>
  <c r="S135" i="33"/>
  <c r="R135" i="33"/>
  <c r="Q135" i="33"/>
  <c r="P135" i="33"/>
  <c r="O135" i="33"/>
  <c r="N135" i="33"/>
  <c r="M135" i="33"/>
  <c r="L135" i="33"/>
  <c r="K135" i="33"/>
  <c r="J135" i="33"/>
  <c r="I135" i="33"/>
  <c r="H135" i="33"/>
  <c r="G135" i="33"/>
  <c r="F135" i="33"/>
  <c r="E135" i="33"/>
  <c r="D135" i="33"/>
  <c r="C135" i="33"/>
  <c r="B135" i="33"/>
  <c r="A135" i="33"/>
  <c r="T134" i="33"/>
  <c r="S134" i="33"/>
  <c r="R134" i="33"/>
  <c r="Q134" i="33"/>
  <c r="P134" i="33"/>
  <c r="O134" i="33"/>
  <c r="N134" i="33"/>
  <c r="M134" i="33"/>
  <c r="L134" i="33"/>
  <c r="K134" i="33"/>
  <c r="J134" i="33"/>
  <c r="I134" i="33"/>
  <c r="H134" i="33"/>
  <c r="G134" i="33"/>
  <c r="F134" i="33"/>
  <c r="E134" i="33"/>
  <c r="D134" i="33"/>
  <c r="C134" i="33"/>
  <c r="B134" i="33"/>
  <c r="A134" i="33"/>
  <c r="T133" i="33"/>
  <c r="S133" i="33"/>
  <c r="R133" i="33"/>
  <c r="Q133" i="33"/>
  <c r="P133" i="33"/>
  <c r="O133" i="33"/>
  <c r="N133" i="33"/>
  <c r="M133" i="33"/>
  <c r="L133" i="33"/>
  <c r="K133" i="33"/>
  <c r="J133" i="33"/>
  <c r="I133" i="33"/>
  <c r="H133" i="33"/>
  <c r="G133" i="33"/>
  <c r="F133" i="33"/>
  <c r="E133" i="33"/>
  <c r="D133" i="33"/>
  <c r="C133" i="33"/>
  <c r="B133" i="33"/>
  <c r="A133" i="33"/>
  <c r="T132" i="33"/>
  <c r="S132" i="33"/>
  <c r="R132" i="33"/>
  <c r="Q132" i="33"/>
  <c r="P132" i="33"/>
  <c r="O132" i="33"/>
  <c r="N132" i="33"/>
  <c r="M132" i="33"/>
  <c r="L132" i="33"/>
  <c r="K132" i="33"/>
  <c r="J132" i="33"/>
  <c r="I132" i="33"/>
  <c r="H132" i="33"/>
  <c r="G132" i="33"/>
  <c r="F132" i="33"/>
  <c r="E132" i="33"/>
  <c r="D132" i="33"/>
  <c r="C132" i="33"/>
  <c r="B132" i="33"/>
  <c r="A132" i="33"/>
  <c r="T131" i="33"/>
  <c r="S131" i="33"/>
  <c r="R131" i="33"/>
  <c r="Q131" i="33"/>
  <c r="P131" i="33"/>
  <c r="O131" i="33"/>
  <c r="N131" i="33"/>
  <c r="M131" i="33"/>
  <c r="L131" i="33"/>
  <c r="K131" i="33"/>
  <c r="J131" i="33"/>
  <c r="I131" i="33"/>
  <c r="H131" i="33"/>
  <c r="G131" i="33"/>
  <c r="F131" i="33"/>
  <c r="E131" i="33"/>
  <c r="D131" i="33"/>
  <c r="C131" i="33"/>
  <c r="B131" i="33"/>
  <c r="A131" i="33"/>
  <c r="T130" i="33"/>
  <c r="S130" i="33"/>
  <c r="R130" i="33"/>
  <c r="Q130" i="33"/>
  <c r="P130" i="33"/>
  <c r="O130" i="33"/>
  <c r="N130" i="33"/>
  <c r="M130" i="33"/>
  <c r="L130" i="33"/>
  <c r="K130" i="33"/>
  <c r="J130" i="33"/>
  <c r="I130" i="33"/>
  <c r="H130" i="33"/>
  <c r="G130" i="33"/>
  <c r="F130" i="33"/>
  <c r="E130" i="33"/>
  <c r="D130" i="33"/>
  <c r="C130" i="33"/>
  <c r="B130" i="33"/>
  <c r="A130" i="33"/>
  <c r="T129" i="33"/>
  <c r="S129" i="33"/>
  <c r="R129" i="33"/>
  <c r="Q129" i="33"/>
  <c r="P129" i="33"/>
  <c r="O129" i="33"/>
  <c r="N129" i="33"/>
  <c r="M129" i="33"/>
  <c r="L129" i="33"/>
  <c r="K129" i="33"/>
  <c r="J129" i="33"/>
  <c r="I129" i="33"/>
  <c r="H129" i="33"/>
  <c r="G129" i="33"/>
  <c r="F129" i="33"/>
  <c r="E129" i="33"/>
  <c r="D129" i="33"/>
  <c r="C129" i="33"/>
  <c r="B129" i="33"/>
  <c r="A129" i="33"/>
  <c r="T128" i="33"/>
  <c r="S128" i="33"/>
  <c r="R128" i="33"/>
  <c r="Q128" i="33"/>
  <c r="P128" i="33"/>
  <c r="O128" i="33"/>
  <c r="N128" i="33"/>
  <c r="M128" i="33"/>
  <c r="L128" i="33"/>
  <c r="K128" i="33"/>
  <c r="J128" i="33"/>
  <c r="I128" i="33"/>
  <c r="H128" i="33"/>
  <c r="G128" i="33"/>
  <c r="F128" i="33"/>
  <c r="E128" i="33"/>
  <c r="D128" i="33"/>
  <c r="C128" i="33"/>
  <c r="B128" i="33"/>
  <c r="A128" i="33"/>
  <c r="T127" i="33"/>
  <c r="S127" i="33"/>
  <c r="R127" i="33"/>
  <c r="Q127" i="33"/>
  <c r="P127" i="33"/>
  <c r="O127" i="33"/>
  <c r="N127" i="33"/>
  <c r="M127" i="33"/>
  <c r="L127" i="33"/>
  <c r="K127" i="33"/>
  <c r="J127" i="33"/>
  <c r="I127" i="33"/>
  <c r="H127" i="33"/>
  <c r="G127" i="33"/>
  <c r="F127" i="33"/>
  <c r="E127" i="33"/>
  <c r="D127" i="33"/>
  <c r="C127" i="33"/>
  <c r="B127" i="33"/>
  <c r="A127" i="33"/>
  <c r="T126" i="33"/>
  <c r="S126" i="33"/>
  <c r="R126" i="33"/>
  <c r="Q126" i="33"/>
  <c r="P126" i="33"/>
  <c r="O126" i="33"/>
  <c r="N126" i="33"/>
  <c r="M126" i="33"/>
  <c r="L126" i="33"/>
  <c r="K126" i="33"/>
  <c r="J126" i="33"/>
  <c r="I126" i="33"/>
  <c r="H126" i="33"/>
  <c r="G126" i="33"/>
  <c r="F126" i="33"/>
  <c r="E126" i="33"/>
  <c r="D126" i="33"/>
  <c r="C126" i="33"/>
  <c r="B126" i="33"/>
  <c r="A126" i="33"/>
  <c r="T125" i="33"/>
  <c r="S125" i="33"/>
  <c r="R125" i="33"/>
  <c r="Q125" i="33"/>
  <c r="P125" i="33"/>
  <c r="O125" i="33"/>
  <c r="N125" i="33"/>
  <c r="M125" i="33"/>
  <c r="L125" i="33"/>
  <c r="K125" i="33"/>
  <c r="J125" i="33"/>
  <c r="I125" i="33"/>
  <c r="H125" i="33"/>
  <c r="G125" i="33"/>
  <c r="F125" i="33"/>
  <c r="E125" i="33"/>
  <c r="D125" i="33"/>
  <c r="C125" i="33"/>
  <c r="B125" i="33"/>
  <c r="A125" i="33"/>
  <c r="T124" i="33"/>
  <c r="S124" i="33"/>
  <c r="R124" i="33"/>
  <c r="Q124" i="33"/>
  <c r="P124" i="33"/>
  <c r="O124" i="33"/>
  <c r="N124" i="33"/>
  <c r="M124" i="33"/>
  <c r="L124" i="33"/>
  <c r="K124" i="33"/>
  <c r="J124" i="33"/>
  <c r="I124" i="33"/>
  <c r="H124" i="33"/>
  <c r="G124" i="33"/>
  <c r="F124" i="33"/>
  <c r="E124" i="33"/>
  <c r="D124" i="33"/>
  <c r="C124" i="33"/>
  <c r="B124" i="33"/>
  <c r="A124" i="33"/>
  <c r="T123" i="33"/>
  <c r="S123" i="33"/>
  <c r="R123" i="33"/>
  <c r="Q123" i="33"/>
  <c r="P123" i="33"/>
  <c r="O123" i="33"/>
  <c r="N123" i="33"/>
  <c r="M123" i="33"/>
  <c r="L123" i="33"/>
  <c r="K123" i="33"/>
  <c r="J123" i="33"/>
  <c r="I123" i="33"/>
  <c r="H123" i="33"/>
  <c r="G123" i="33"/>
  <c r="F123" i="33"/>
  <c r="E123" i="33"/>
  <c r="D123" i="33"/>
  <c r="C123" i="33"/>
  <c r="B123" i="33"/>
  <c r="A123" i="33"/>
  <c r="T122" i="33"/>
  <c r="S122" i="33"/>
  <c r="R122" i="33"/>
  <c r="Q122" i="33"/>
  <c r="P122" i="33"/>
  <c r="O122" i="33"/>
  <c r="N122" i="33"/>
  <c r="M122" i="33"/>
  <c r="L122" i="33"/>
  <c r="K122" i="33"/>
  <c r="J122" i="33"/>
  <c r="I122" i="33"/>
  <c r="H122" i="33"/>
  <c r="G122" i="33"/>
  <c r="F122" i="33"/>
  <c r="E122" i="33"/>
  <c r="D122" i="33"/>
  <c r="C122" i="33"/>
  <c r="B122" i="33"/>
  <c r="A122" i="33"/>
  <c r="T121" i="33"/>
  <c r="S121" i="33"/>
  <c r="R121" i="33"/>
  <c r="Q121" i="33"/>
  <c r="P121" i="33"/>
  <c r="O121" i="33"/>
  <c r="N121" i="33"/>
  <c r="M121" i="33"/>
  <c r="L121" i="33"/>
  <c r="K121" i="33"/>
  <c r="J121" i="33"/>
  <c r="I121" i="33"/>
  <c r="H121" i="33"/>
  <c r="G121" i="33"/>
  <c r="F121" i="33"/>
  <c r="E121" i="33"/>
  <c r="D121" i="33"/>
  <c r="C121" i="33"/>
  <c r="B121" i="33"/>
  <c r="A121" i="33"/>
  <c r="T120" i="33"/>
  <c r="S120" i="33"/>
  <c r="R120" i="33"/>
  <c r="Q120" i="33"/>
  <c r="P120" i="33"/>
  <c r="O120" i="33"/>
  <c r="N120" i="33"/>
  <c r="M120" i="33"/>
  <c r="L120" i="33"/>
  <c r="K120" i="33"/>
  <c r="J120" i="33"/>
  <c r="I120" i="33"/>
  <c r="H120" i="33"/>
  <c r="G120" i="33"/>
  <c r="F120" i="33"/>
  <c r="E120" i="33"/>
  <c r="D120" i="33"/>
  <c r="C120" i="33"/>
  <c r="B120" i="33"/>
  <c r="A120" i="33"/>
  <c r="T119" i="33"/>
  <c r="S119" i="33"/>
  <c r="R119" i="33"/>
  <c r="Q119" i="33"/>
  <c r="P119" i="33"/>
  <c r="O119" i="33"/>
  <c r="N119" i="33"/>
  <c r="M119" i="33"/>
  <c r="L119" i="33"/>
  <c r="K119" i="33"/>
  <c r="J119" i="33"/>
  <c r="I119" i="33"/>
  <c r="H119" i="33"/>
  <c r="G119" i="33"/>
  <c r="F119" i="33"/>
  <c r="E119" i="33"/>
  <c r="D119" i="33"/>
  <c r="C119" i="33"/>
  <c r="B119" i="33"/>
  <c r="A119" i="33"/>
  <c r="T118" i="33"/>
  <c r="S118" i="33"/>
  <c r="R118" i="33"/>
  <c r="Q118" i="33"/>
  <c r="P118" i="33"/>
  <c r="O118" i="33"/>
  <c r="N118" i="33"/>
  <c r="M118" i="33"/>
  <c r="L118" i="33"/>
  <c r="K118" i="33"/>
  <c r="J118" i="33"/>
  <c r="I118" i="33"/>
  <c r="H118" i="33"/>
  <c r="G118" i="33"/>
  <c r="F118" i="33"/>
  <c r="E118" i="33"/>
  <c r="D118" i="33"/>
  <c r="C118" i="33"/>
  <c r="B118" i="33"/>
  <c r="A118" i="33"/>
  <c r="T117" i="33"/>
  <c r="S117" i="33"/>
  <c r="R117" i="33"/>
  <c r="Q117" i="33"/>
  <c r="P117" i="33"/>
  <c r="O117" i="33"/>
  <c r="N117" i="33"/>
  <c r="M117" i="33"/>
  <c r="L117" i="33"/>
  <c r="K117" i="33"/>
  <c r="J117" i="33"/>
  <c r="I117" i="33"/>
  <c r="H117" i="33"/>
  <c r="G117" i="33"/>
  <c r="F117" i="33"/>
  <c r="E117" i="33"/>
  <c r="D117" i="33"/>
  <c r="C117" i="33"/>
  <c r="B117" i="33"/>
  <c r="A117" i="33"/>
  <c r="T116" i="33"/>
  <c r="S116" i="33"/>
  <c r="R116" i="33"/>
  <c r="Q116" i="33"/>
  <c r="P116" i="33"/>
  <c r="O116" i="33"/>
  <c r="N116" i="33"/>
  <c r="M116" i="33"/>
  <c r="L116" i="33"/>
  <c r="K116" i="33"/>
  <c r="J116" i="33"/>
  <c r="I116" i="33"/>
  <c r="H116" i="33"/>
  <c r="G116" i="33"/>
  <c r="F116" i="33"/>
  <c r="E116" i="33"/>
  <c r="D116" i="33"/>
  <c r="C116" i="33"/>
  <c r="B116" i="33"/>
  <c r="A116" i="33"/>
  <c r="T115" i="33"/>
  <c r="S115" i="33"/>
  <c r="R115" i="33"/>
  <c r="Q115" i="33"/>
  <c r="P115" i="33"/>
  <c r="O115" i="33"/>
  <c r="N115" i="33"/>
  <c r="M115" i="33"/>
  <c r="L115" i="33"/>
  <c r="K115" i="33"/>
  <c r="J115" i="33"/>
  <c r="I115" i="33"/>
  <c r="H115" i="33"/>
  <c r="G115" i="33"/>
  <c r="F115" i="33"/>
  <c r="E115" i="33"/>
  <c r="D115" i="33"/>
  <c r="C115" i="33"/>
  <c r="B115" i="33"/>
  <c r="A115" i="33"/>
  <c r="T114" i="33"/>
  <c r="S114" i="33"/>
  <c r="R114" i="33"/>
  <c r="Q114" i="33"/>
  <c r="P114" i="33"/>
  <c r="O114" i="33"/>
  <c r="N114" i="33"/>
  <c r="M114" i="33"/>
  <c r="L114" i="33"/>
  <c r="K114" i="33"/>
  <c r="J114" i="33"/>
  <c r="I114" i="33"/>
  <c r="H114" i="33"/>
  <c r="G114" i="33"/>
  <c r="F114" i="33"/>
  <c r="E114" i="33"/>
  <c r="D114" i="33"/>
  <c r="C114" i="33"/>
  <c r="B114" i="33"/>
  <c r="A114" i="33"/>
  <c r="T113" i="33"/>
  <c r="S113" i="33"/>
  <c r="R113" i="33"/>
  <c r="Q113" i="33"/>
  <c r="P113" i="33"/>
  <c r="O113" i="33"/>
  <c r="N113" i="33"/>
  <c r="M113" i="33"/>
  <c r="L113" i="33"/>
  <c r="K113" i="33"/>
  <c r="J113" i="33"/>
  <c r="I113" i="33"/>
  <c r="H113" i="33"/>
  <c r="G113" i="33"/>
  <c r="F113" i="33"/>
  <c r="E113" i="33"/>
  <c r="D113" i="33"/>
  <c r="C113" i="33"/>
  <c r="B113" i="33"/>
  <c r="A113" i="33"/>
  <c r="T112" i="33"/>
  <c r="S112" i="33"/>
  <c r="R112" i="33"/>
  <c r="Q112" i="33"/>
  <c r="P112" i="33"/>
  <c r="O112" i="33"/>
  <c r="N112" i="33"/>
  <c r="M112" i="33"/>
  <c r="L112" i="33"/>
  <c r="K112" i="33"/>
  <c r="J112" i="33"/>
  <c r="I112" i="33"/>
  <c r="H112" i="33"/>
  <c r="G112" i="33"/>
  <c r="F112" i="33"/>
  <c r="E112" i="33"/>
  <c r="D112" i="33"/>
  <c r="C112" i="33"/>
  <c r="B112" i="33"/>
  <c r="A112" i="33"/>
  <c r="T111" i="33"/>
  <c r="S111" i="33"/>
  <c r="R111" i="33"/>
  <c r="Q111" i="33"/>
  <c r="P111" i="33"/>
  <c r="O111" i="33"/>
  <c r="N111" i="33"/>
  <c r="M111" i="33"/>
  <c r="L111" i="33"/>
  <c r="K111" i="33"/>
  <c r="J111" i="33"/>
  <c r="I111" i="33"/>
  <c r="H111" i="33"/>
  <c r="G111" i="33"/>
  <c r="F111" i="33"/>
  <c r="E111" i="33"/>
  <c r="D111" i="33"/>
  <c r="C111" i="33"/>
  <c r="B111" i="33"/>
  <c r="A111" i="33"/>
  <c r="T110" i="33"/>
  <c r="S110" i="33"/>
  <c r="R110" i="33"/>
  <c r="Q110" i="33"/>
  <c r="P110" i="33"/>
  <c r="O110" i="33"/>
  <c r="N110" i="33"/>
  <c r="M110" i="33"/>
  <c r="L110" i="33"/>
  <c r="K110" i="33"/>
  <c r="J110" i="33"/>
  <c r="I110" i="33"/>
  <c r="H110" i="33"/>
  <c r="G110" i="33"/>
  <c r="F110" i="33"/>
  <c r="E110" i="33"/>
  <c r="D110" i="33"/>
  <c r="C110" i="33"/>
  <c r="B110" i="33"/>
  <c r="A110" i="33"/>
  <c r="T109" i="33"/>
  <c r="S109" i="33"/>
  <c r="R109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A109" i="33"/>
  <c r="T108" i="33"/>
  <c r="S108" i="33"/>
  <c r="R108" i="33"/>
  <c r="Q108" i="33"/>
  <c r="P108" i="33"/>
  <c r="O108" i="33"/>
  <c r="N108" i="33"/>
  <c r="M108" i="33"/>
  <c r="L108" i="33"/>
  <c r="K108" i="33"/>
  <c r="J108" i="33"/>
  <c r="I108" i="33"/>
  <c r="H108" i="33"/>
  <c r="G108" i="33"/>
  <c r="F108" i="33"/>
  <c r="E108" i="33"/>
  <c r="D108" i="33"/>
  <c r="C108" i="33"/>
  <c r="B108" i="33"/>
  <c r="A108" i="33"/>
  <c r="T107" i="33"/>
  <c r="S107" i="33"/>
  <c r="R107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A107" i="33"/>
  <c r="T106" i="33"/>
  <c r="S106" i="33"/>
  <c r="R106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A106" i="33"/>
  <c r="T105" i="33"/>
  <c r="S105" i="33"/>
  <c r="R105" i="33"/>
  <c r="Q105" i="33"/>
  <c r="P105" i="33"/>
  <c r="O105" i="33"/>
  <c r="N105" i="33"/>
  <c r="M105" i="33"/>
  <c r="L105" i="33"/>
  <c r="K105" i="33"/>
  <c r="J105" i="33"/>
  <c r="I105" i="33"/>
  <c r="H105" i="33"/>
  <c r="G105" i="33"/>
  <c r="F105" i="33"/>
  <c r="E105" i="33"/>
  <c r="D105" i="33"/>
  <c r="C105" i="33"/>
  <c r="B105" i="33"/>
  <c r="A105" i="33"/>
  <c r="T104" i="33"/>
  <c r="S104" i="33"/>
  <c r="R104" i="33"/>
  <c r="Q104" i="33"/>
  <c r="P104" i="33"/>
  <c r="O104" i="33"/>
  <c r="N104" i="33"/>
  <c r="M104" i="33"/>
  <c r="L104" i="33"/>
  <c r="K104" i="33"/>
  <c r="J104" i="33"/>
  <c r="I104" i="33"/>
  <c r="H104" i="33"/>
  <c r="G104" i="33"/>
  <c r="F104" i="33"/>
  <c r="E104" i="33"/>
  <c r="D104" i="33"/>
  <c r="C104" i="33"/>
  <c r="B104" i="33"/>
  <c r="A104" i="33"/>
  <c r="T103" i="33"/>
  <c r="S103" i="33"/>
  <c r="R103" i="33"/>
  <c r="Q103" i="33"/>
  <c r="P103" i="33"/>
  <c r="O103" i="33"/>
  <c r="N103" i="33"/>
  <c r="M103" i="33"/>
  <c r="L103" i="33"/>
  <c r="K103" i="33"/>
  <c r="J103" i="33"/>
  <c r="I103" i="33"/>
  <c r="H103" i="33"/>
  <c r="G103" i="33"/>
  <c r="F103" i="33"/>
  <c r="E103" i="33"/>
  <c r="D103" i="33"/>
  <c r="C103" i="33"/>
  <c r="B103" i="33"/>
  <c r="A103" i="33"/>
  <c r="T102" i="33"/>
  <c r="S102" i="33"/>
  <c r="R102" i="33"/>
  <c r="Q102" i="33"/>
  <c r="P102" i="33"/>
  <c r="O102" i="33"/>
  <c r="N102" i="33"/>
  <c r="M102" i="33"/>
  <c r="L102" i="33"/>
  <c r="K102" i="33"/>
  <c r="J102" i="33"/>
  <c r="I102" i="33"/>
  <c r="H102" i="33"/>
  <c r="G102" i="33"/>
  <c r="F102" i="33"/>
  <c r="E102" i="33"/>
  <c r="D102" i="33"/>
  <c r="C102" i="33"/>
  <c r="B102" i="33"/>
  <c r="A102" i="33"/>
  <c r="T101" i="33"/>
  <c r="S101" i="33"/>
  <c r="R101" i="33"/>
  <c r="Q101" i="33"/>
  <c r="P101" i="33"/>
  <c r="O101" i="33"/>
  <c r="N101" i="33"/>
  <c r="M101" i="33"/>
  <c r="L101" i="33"/>
  <c r="K101" i="33"/>
  <c r="J101" i="33"/>
  <c r="I101" i="33"/>
  <c r="H101" i="33"/>
  <c r="G101" i="33"/>
  <c r="F101" i="33"/>
  <c r="E101" i="33"/>
  <c r="D101" i="33"/>
  <c r="C101" i="33"/>
  <c r="B101" i="33"/>
  <c r="A101" i="33"/>
  <c r="T100" i="33"/>
  <c r="S100" i="33"/>
  <c r="R100" i="33"/>
  <c r="Q100" i="33"/>
  <c r="P100" i="33"/>
  <c r="O100" i="33"/>
  <c r="N100" i="33"/>
  <c r="M100" i="33"/>
  <c r="L100" i="33"/>
  <c r="K100" i="33"/>
  <c r="J100" i="33"/>
  <c r="I100" i="33"/>
  <c r="H100" i="33"/>
  <c r="G100" i="33"/>
  <c r="F100" i="33"/>
  <c r="E100" i="33"/>
  <c r="D100" i="33"/>
  <c r="C100" i="33"/>
  <c r="B100" i="33"/>
  <c r="A100" i="33"/>
  <c r="T99" i="33"/>
  <c r="S99" i="33"/>
  <c r="R99" i="33"/>
  <c r="Q99" i="33"/>
  <c r="P99" i="33"/>
  <c r="O99" i="33"/>
  <c r="N99" i="33"/>
  <c r="M99" i="33"/>
  <c r="L99" i="33"/>
  <c r="K99" i="33"/>
  <c r="J99" i="33"/>
  <c r="I99" i="33"/>
  <c r="H99" i="33"/>
  <c r="G99" i="33"/>
  <c r="F99" i="33"/>
  <c r="E99" i="33"/>
  <c r="D99" i="33"/>
  <c r="C99" i="33"/>
  <c r="B99" i="33"/>
  <c r="A99" i="33"/>
  <c r="T98" i="33"/>
  <c r="S98" i="33"/>
  <c r="R98" i="33"/>
  <c r="Q98" i="33"/>
  <c r="P98" i="33"/>
  <c r="O98" i="33"/>
  <c r="N98" i="33"/>
  <c r="M98" i="33"/>
  <c r="L98" i="33"/>
  <c r="K98" i="33"/>
  <c r="J98" i="33"/>
  <c r="I98" i="33"/>
  <c r="H98" i="33"/>
  <c r="G98" i="33"/>
  <c r="F98" i="33"/>
  <c r="E98" i="33"/>
  <c r="D98" i="33"/>
  <c r="C98" i="33"/>
  <c r="B98" i="33"/>
  <c r="A98" i="33"/>
  <c r="T97" i="33"/>
  <c r="S97" i="33"/>
  <c r="R97" i="33"/>
  <c r="Q97" i="33"/>
  <c r="P97" i="33"/>
  <c r="O97" i="33"/>
  <c r="N97" i="33"/>
  <c r="M97" i="33"/>
  <c r="L97" i="33"/>
  <c r="K97" i="33"/>
  <c r="J97" i="33"/>
  <c r="I97" i="33"/>
  <c r="H97" i="33"/>
  <c r="G97" i="33"/>
  <c r="F97" i="33"/>
  <c r="E97" i="33"/>
  <c r="D97" i="33"/>
  <c r="C97" i="33"/>
  <c r="B97" i="33"/>
  <c r="A97" i="33"/>
  <c r="T96" i="33"/>
  <c r="S96" i="33"/>
  <c r="R96" i="33"/>
  <c r="Q96" i="33"/>
  <c r="P96" i="33"/>
  <c r="O96" i="33"/>
  <c r="N96" i="33"/>
  <c r="M96" i="33"/>
  <c r="L96" i="33"/>
  <c r="K96" i="33"/>
  <c r="J96" i="33"/>
  <c r="I96" i="33"/>
  <c r="H96" i="33"/>
  <c r="G96" i="33"/>
  <c r="F96" i="33"/>
  <c r="E96" i="33"/>
  <c r="D96" i="33"/>
  <c r="C96" i="33"/>
  <c r="B96" i="33"/>
  <c r="A96" i="33"/>
  <c r="T95" i="33"/>
  <c r="S95" i="33"/>
  <c r="R95" i="33"/>
  <c r="Q95" i="33"/>
  <c r="P95" i="33"/>
  <c r="O95" i="33"/>
  <c r="N95" i="33"/>
  <c r="M95" i="33"/>
  <c r="L95" i="33"/>
  <c r="K95" i="33"/>
  <c r="J95" i="33"/>
  <c r="I95" i="33"/>
  <c r="H95" i="33"/>
  <c r="G95" i="33"/>
  <c r="F95" i="33"/>
  <c r="E95" i="33"/>
  <c r="D95" i="33"/>
  <c r="C95" i="33"/>
  <c r="B95" i="33"/>
  <c r="A95" i="33"/>
  <c r="T94" i="33"/>
  <c r="S94" i="33"/>
  <c r="R94" i="33"/>
  <c r="Q94" i="33"/>
  <c r="P94" i="33"/>
  <c r="O94" i="33"/>
  <c r="N94" i="33"/>
  <c r="M94" i="33"/>
  <c r="L94" i="33"/>
  <c r="K94" i="33"/>
  <c r="J94" i="33"/>
  <c r="I94" i="33"/>
  <c r="H94" i="33"/>
  <c r="G94" i="33"/>
  <c r="F94" i="33"/>
  <c r="E94" i="33"/>
  <c r="D94" i="33"/>
  <c r="C94" i="33"/>
  <c r="B94" i="33"/>
  <c r="A94" i="33"/>
  <c r="T93" i="33"/>
  <c r="S93" i="33"/>
  <c r="R93" i="33"/>
  <c r="Q93" i="33"/>
  <c r="P93" i="33"/>
  <c r="O93" i="33"/>
  <c r="N93" i="33"/>
  <c r="M93" i="33"/>
  <c r="L93" i="33"/>
  <c r="K93" i="33"/>
  <c r="J93" i="33"/>
  <c r="I93" i="33"/>
  <c r="H93" i="33"/>
  <c r="G93" i="33"/>
  <c r="F93" i="33"/>
  <c r="E93" i="33"/>
  <c r="D93" i="33"/>
  <c r="C93" i="33"/>
  <c r="B93" i="33"/>
  <c r="A93" i="33"/>
  <c r="T92" i="33"/>
  <c r="S92" i="33"/>
  <c r="R92" i="33"/>
  <c r="Q92" i="33"/>
  <c r="P92" i="33"/>
  <c r="O92" i="33"/>
  <c r="N92" i="33"/>
  <c r="M92" i="33"/>
  <c r="L92" i="33"/>
  <c r="K92" i="33"/>
  <c r="J92" i="33"/>
  <c r="I92" i="33"/>
  <c r="H92" i="33"/>
  <c r="G92" i="33"/>
  <c r="F92" i="33"/>
  <c r="E92" i="33"/>
  <c r="D92" i="33"/>
  <c r="C92" i="33"/>
  <c r="B92" i="33"/>
  <c r="A92" i="33"/>
  <c r="T91" i="33"/>
  <c r="S91" i="33"/>
  <c r="R91" i="33"/>
  <c r="Q91" i="33"/>
  <c r="P91" i="33"/>
  <c r="O91" i="33"/>
  <c r="N91" i="33"/>
  <c r="M91" i="33"/>
  <c r="L91" i="33"/>
  <c r="K91" i="33"/>
  <c r="J91" i="33"/>
  <c r="I91" i="33"/>
  <c r="H91" i="33"/>
  <c r="G91" i="33"/>
  <c r="F91" i="33"/>
  <c r="E91" i="33"/>
  <c r="D91" i="33"/>
  <c r="C91" i="33"/>
  <c r="B91" i="33"/>
  <c r="A91" i="33"/>
  <c r="T90" i="33"/>
  <c r="S90" i="33"/>
  <c r="R90" i="33"/>
  <c r="Q90" i="33"/>
  <c r="P90" i="33"/>
  <c r="O90" i="33"/>
  <c r="N90" i="33"/>
  <c r="M90" i="33"/>
  <c r="L90" i="33"/>
  <c r="K90" i="33"/>
  <c r="J90" i="33"/>
  <c r="I90" i="33"/>
  <c r="H90" i="33"/>
  <c r="G90" i="33"/>
  <c r="F90" i="33"/>
  <c r="E90" i="33"/>
  <c r="D90" i="33"/>
  <c r="C90" i="33"/>
  <c r="B90" i="33"/>
  <c r="A90" i="33"/>
  <c r="T89" i="33"/>
  <c r="S89" i="33"/>
  <c r="R89" i="33"/>
  <c r="Q89" i="33"/>
  <c r="P89" i="33"/>
  <c r="O89" i="33"/>
  <c r="N89" i="33"/>
  <c r="M89" i="33"/>
  <c r="L89" i="33"/>
  <c r="K89" i="33"/>
  <c r="J89" i="33"/>
  <c r="I89" i="33"/>
  <c r="H89" i="33"/>
  <c r="G89" i="33"/>
  <c r="F89" i="33"/>
  <c r="E89" i="33"/>
  <c r="D89" i="33"/>
  <c r="C89" i="33"/>
  <c r="B89" i="33"/>
  <c r="A89" i="33"/>
  <c r="T88" i="33"/>
  <c r="S88" i="33"/>
  <c r="R88" i="33"/>
  <c r="Q88" i="33"/>
  <c r="P88" i="33"/>
  <c r="O88" i="33"/>
  <c r="N88" i="33"/>
  <c r="M88" i="33"/>
  <c r="L88" i="33"/>
  <c r="K88" i="33"/>
  <c r="J88" i="33"/>
  <c r="I88" i="33"/>
  <c r="H88" i="33"/>
  <c r="G88" i="33"/>
  <c r="F88" i="33"/>
  <c r="E88" i="33"/>
  <c r="D88" i="33"/>
  <c r="C88" i="33"/>
  <c r="B88" i="33"/>
  <c r="A88" i="33"/>
  <c r="T87" i="33"/>
  <c r="S87" i="33"/>
  <c r="R87" i="33"/>
  <c r="Q87" i="33"/>
  <c r="P87" i="33"/>
  <c r="O87" i="33"/>
  <c r="N87" i="33"/>
  <c r="M87" i="33"/>
  <c r="L87" i="33"/>
  <c r="K87" i="33"/>
  <c r="J87" i="33"/>
  <c r="I87" i="33"/>
  <c r="H87" i="33"/>
  <c r="G87" i="33"/>
  <c r="F87" i="33"/>
  <c r="E87" i="33"/>
  <c r="D87" i="33"/>
  <c r="C87" i="33"/>
  <c r="B87" i="33"/>
  <c r="A87" i="33"/>
  <c r="T86" i="33"/>
  <c r="S86" i="33"/>
  <c r="R86" i="33"/>
  <c r="Q86" i="33"/>
  <c r="P86" i="33"/>
  <c r="O86" i="33"/>
  <c r="N86" i="33"/>
  <c r="M86" i="33"/>
  <c r="L86" i="33"/>
  <c r="K86" i="33"/>
  <c r="J86" i="33"/>
  <c r="I86" i="33"/>
  <c r="H86" i="33"/>
  <c r="G86" i="33"/>
  <c r="F86" i="33"/>
  <c r="E86" i="33"/>
  <c r="D86" i="33"/>
  <c r="C86" i="33"/>
  <c r="B86" i="33"/>
  <c r="A86" i="33"/>
  <c r="T85" i="33"/>
  <c r="S85" i="33"/>
  <c r="R85" i="33"/>
  <c r="Q85" i="33"/>
  <c r="P85" i="33"/>
  <c r="O85" i="33"/>
  <c r="N85" i="33"/>
  <c r="M85" i="33"/>
  <c r="L85" i="33"/>
  <c r="K85" i="33"/>
  <c r="J85" i="33"/>
  <c r="I85" i="33"/>
  <c r="H85" i="33"/>
  <c r="G85" i="33"/>
  <c r="F85" i="33"/>
  <c r="E85" i="33"/>
  <c r="D85" i="33"/>
  <c r="C85" i="33"/>
  <c r="B85" i="33"/>
  <c r="A85" i="33"/>
  <c r="T84" i="33"/>
  <c r="S84" i="33"/>
  <c r="R84" i="33"/>
  <c r="Q84" i="33"/>
  <c r="P84" i="33"/>
  <c r="O84" i="33"/>
  <c r="N84" i="33"/>
  <c r="M84" i="33"/>
  <c r="L84" i="33"/>
  <c r="K84" i="33"/>
  <c r="J84" i="33"/>
  <c r="I84" i="33"/>
  <c r="H84" i="33"/>
  <c r="G84" i="33"/>
  <c r="F84" i="33"/>
  <c r="E84" i="33"/>
  <c r="D84" i="33"/>
  <c r="C84" i="33"/>
  <c r="B84" i="33"/>
  <c r="A84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A83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A82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A81" i="33"/>
  <c r="T80" i="33"/>
  <c r="S80" i="33"/>
  <c r="R80" i="33"/>
  <c r="Q80" i="33"/>
  <c r="P80" i="33"/>
  <c r="O80" i="33"/>
  <c r="N80" i="33"/>
  <c r="M80" i="33"/>
  <c r="L80" i="33"/>
  <c r="K80" i="33"/>
  <c r="J80" i="33"/>
  <c r="I80" i="33"/>
  <c r="H80" i="33"/>
  <c r="G80" i="33"/>
  <c r="F80" i="33"/>
  <c r="E80" i="33"/>
  <c r="D80" i="33"/>
  <c r="C80" i="33"/>
  <c r="B80" i="33"/>
  <c r="A80" i="33"/>
  <c r="T79" i="33"/>
  <c r="S79" i="33"/>
  <c r="R79" i="33"/>
  <c r="Q79" i="33"/>
  <c r="P79" i="33"/>
  <c r="O79" i="33"/>
  <c r="N79" i="33"/>
  <c r="M79" i="33"/>
  <c r="L79" i="33"/>
  <c r="K79" i="33"/>
  <c r="J79" i="33"/>
  <c r="I79" i="33"/>
  <c r="H79" i="33"/>
  <c r="G79" i="33"/>
  <c r="F79" i="33"/>
  <c r="E79" i="33"/>
  <c r="D79" i="33"/>
  <c r="C79" i="33"/>
  <c r="B79" i="33"/>
  <c r="A79" i="33"/>
  <c r="T78" i="33"/>
  <c r="S78" i="33"/>
  <c r="R78" i="33"/>
  <c r="Q78" i="33"/>
  <c r="P78" i="33"/>
  <c r="O78" i="33"/>
  <c r="N78" i="33"/>
  <c r="M78" i="33"/>
  <c r="L78" i="33"/>
  <c r="K78" i="33"/>
  <c r="J78" i="33"/>
  <c r="I78" i="33"/>
  <c r="H78" i="33"/>
  <c r="G78" i="33"/>
  <c r="F78" i="33"/>
  <c r="E78" i="33"/>
  <c r="D78" i="33"/>
  <c r="C78" i="33"/>
  <c r="B78" i="33"/>
  <c r="A78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A77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A76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A75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A74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A73" i="33"/>
  <c r="T72" i="33"/>
  <c r="S72" i="33"/>
  <c r="R72" i="33"/>
  <c r="Q72" i="33"/>
  <c r="P72" i="33"/>
  <c r="O72" i="33"/>
  <c r="N72" i="33"/>
  <c r="M72" i="33"/>
  <c r="L72" i="33"/>
  <c r="K72" i="33"/>
  <c r="J72" i="33"/>
  <c r="I72" i="33"/>
  <c r="H72" i="33"/>
  <c r="G72" i="33"/>
  <c r="F72" i="33"/>
  <c r="E72" i="33"/>
  <c r="D72" i="33"/>
  <c r="C72" i="33"/>
  <c r="B72" i="33"/>
  <c r="A72" i="33"/>
  <c r="T71" i="33"/>
  <c r="S71" i="33"/>
  <c r="R71" i="33"/>
  <c r="Q71" i="33"/>
  <c r="P71" i="33"/>
  <c r="O71" i="33"/>
  <c r="N71" i="33"/>
  <c r="M71" i="33"/>
  <c r="L71" i="33"/>
  <c r="K71" i="33"/>
  <c r="J71" i="33"/>
  <c r="I71" i="33"/>
  <c r="H71" i="33"/>
  <c r="G71" i="33"/>
  <c r="F71" i="33"/>
  <c r="E71" i="33"/>
  <c r="D71" i="33"/>
  <c r="C71" i="33"/>
  <c r="B71" i="33"/>
  <c r="A71" i="33"/>
  <c r="T70" i="33"/>
  <c r="S70" i="33"/>
  <c r="R70" i="33"/>
  <c r="Q70" i="33"/>
  <c r="P70" i="33"/>
  <c r="O70" i="33"/>
  <c r="N70" i="33"/>
  <c r="M70" i="33"/>
  <c r="L70" i="33"/>
  <c r="K70" i="33"/>
  <c r="J70" i="33"/>
  <c r="I70" i="33"/>
  <c r="H70" i="33"/>
  <c r="G70" i="33"/>
  <c r="F70" i="33"/>
  <c r="E70" i="33"/>
  <c r="D70" i="33"/>
  <c r="C70" i="33"/>
  <c r="B70" i="33"/>
  <c r="A70" i="33"/>
  <c r="T69" i="33"/>
  <c r="S69" i="33"/>
  <c r="R69" i="33"/>
  <c r="Q69" i="33"/>
  <c r="P69" i="33"/>
  <c r="O69" i="33"/>
  <c r="N69" i="33"/>
  <c r="M69" i="33"/>
  <c r="L69" i="33"/>
  <c r="K69" i="33"/>
  <c r="J69" i="33"/>
  <c r="I69" i="33"/>
  <c r="H69" i="33"/>
  <c r="G69" i="33"/>
  <c r="F69" i="33"/>
  <c r="E69" i="33"/>
  <c r="D69" i="33"/>
  <c r="C69" i="33"/>
  <c r="B69" i="33"/>
  <c r="A69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A68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A67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A66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A65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A64" i="33"/>
  <c r="T63" i="33"/>
  <c r="S63" i="33"/>
  <c r="R63" i="33"/>
  <c r="Q63" i="33"/>
  <c r="P63" i="33"/>
  <c r="O63" i="33"/>
  <c r="N63" i="33"/>
  <c r="M63" i="33"/>
  <c r="L63" i="33"/>
  <c r="K63" i="33"/>
  <c r="J63" i="33"/>
  <c r="I63" i="33"/>
  <c r="H63" i="33"/>
  <c r="G63" i="33"/>
  <c r="F63" i="33"/>
  <c r="E63" i="33"/>
  <c r="D63" i="33"/>
  <c r="C63" i="33"/>
  <c r="B63" i="33"/>
  <c r="A63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A62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A61" i="33"/>
  <c r="T60" i="33"/>
  <c r="S60" i="33"/>
  <c r="R60" i="33"/>
  <c r="Q60" i="33"/>
  <c r="P60" i="33"/>
  <c r="O60" i="33"/>
  <c r="N60" i="33"/>
  <c r="M60" i="33"/>
  <c r="L60" i="33"/>
  <c r="K60" i="33"/>
  <c r="J60" i="33"/>
  <c r="I60" i="33"/>
  <c r="H60" i="33"/>
  <c r="G60" i="33"/>
  <c r="F60" i="33"/>
  <c r="E60" i="33"/>
  <c r="D60" i="33"/>
  <c r="C60" i="33"/>
  <c r="B60" i="33"/>
  <c r="A60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A59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A58" i="33"/>
  <c r="T57" i="33"/>
  <c r="S57" i="33"/>
  <c r="R57" i="33"/>
  <c r="Q57" i="33"/>
  <c r="P57" i="33"/>
  <c r="O57" i="33"/>
  <c r="N57" i="33"/>
  <c r="M57" i="33"/>
  <c r="L57" i="33"/>
  <c r="K57" i="33"/>
  <c r="J57" i="33"/>
  <c r="I57" i="33"/>
  <c r="H57" i="33"/>
  <c r="G57" i="33"/>
  <c r="F57" i="33"/>
  <c r="E57" i="33"/>
  <c r="D57" i="33"/>
  <c r="C57" i="33"/>
  <c r="B57" i="33"/>
  <c r="A57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A56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A55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A54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A53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A52" i="33"/>
  <c r="T51" i="33"/>
  <c r="S51" i="33"/>
  <c r="R51" i="33"/>
  <c r="Q51" i="33"/>
  <c r="P51" i="33"/>
  <c r="O51" i="33"/>
  <c r="N51" i="33"/>
  <c r="M51" i="33"/>
  <c r="L51" i="33"/>
  <c r="K51" i="33"/>
  <c r="J51" i="33"/>
  <c r="I51" i="33"/>
  <c r="H51" i="33"/>
  <c r="G51" i="33"/>
  <c r="F51" i="33"/>
  <c r="E51" i="33"/>
  <c r="D51" i="33"/>
  <c r="C51" i="33"/>
  <c r="B51" i="33"/>
  <c r="A51" i="33"/>
  <c r="T50" i="33"/>
  <c r="S50" i="33"/>
  <c r="R50" i="33"/>
  <c r="Q50" i="33"/>
  <c r="P50" i="33"/>
  <c r="O50" i="33"/>
  <c r="N50" i="33"/>
  <c r="M50" i="33"/>
  <c r="L50" i="33"/>
  <c r="K50" i="33"/>
  <c r="J50" i="33"/>
  <c r="I50" i="33"/>
  <c r="H50" i="33"/>
  <c r="G50" i="33"/>
  <c r="F50" i="33"/>
  <c r="E50" i="33"/>
  <c r="D50" i="33"/>
  <c r="C50" i="33"/>
  <c r="B50" i="33"/>
  <c r="A50" i="33"/>
  <c r="T49" i="33"/>
  <c r="S49" i="33"/>
  <c r="R49" i="33"/>
  <c r="Q49" i="33"/>
  <c r="P49" i="33"/>
  <c r="O49" i="33"/>
  <c r="N49" i="33"/>
  <c r="M49" i="33"/>
  <c r="L49" i="33"/>
  <c r="K49" i="33"/>
  <c r="J49" i="33"/>
  <c r="I49" i="33"/>
  <c r="H49" i="33"/>
  <c r="G49" i="33"/>
  <c r="F49" i="33"/>
  <c r="E49" i="33"/>
  <c r="D49" i="33"/>
  <c r="C49" i="33"/>
  <c r="B49" i="33"/>
  <c r="A49" i="33"/>
  <c r="T48" i="33"/>
  <c r="S48" i="33"/>
  <c r="R48" i="33"/>
  <c r="Q48" i="33"/>
  <c r="P48" i="33"/>
  <c r="O48" i="33"/>
  <c r="N48" i="33"/>
  <c r="M48" i="33"/>
  <c r="L48" i="33"/>
  <c r="K48" i="33"/>
  <c r="J48" i="33"/>
  <c r="I48" i="33"/>
  <c r="H48" i="33"/>
  <c r="G48" i="33"/>
  <c r="F48" i="33"/>
  <c r="E48" i="33"/>
  <c r="D48" i="33"/>
  <c r="C48" i="33"/>
  <c r="B48" i="33"/>
  <c r="A48" i="33"/>
  <c r="T47" i="33"/>
  <c r="S47" i="33"/>
  <c r="R47" i="33"/>
  <c r="Q47" i="33"/>
  <c r="P47" i="33"/>
  <c r="O47" i="33"/>
  <c r="N47" i="33"/>
  <c r="M47" i="33"/>
  <c r="L47" i="33"/>
  <c r="K47" i="33"/>
  <c r="J47" i="33"/>
  <c r="I47" i="33"/>
  <c r="H47" i="33"/>
  <c r="G47" i="33"/>
  <c r="F47" i="33"/>
  <c r="E47" i="33"/>
  <c r="D47" i="33"/>
  <c r="C47" i="33"/>
  <c r="B47" i="33"/>
  <c r="A47" i="33"/>
  <c r="T46" i="33"/>
  <c r="S46" i="33"/>
  <c r="R46" i="33"/>
  <c r="Q46" i="33"/>
  <c r="P46" i="33"/>
  <c r="O46" i="33"/>
  <c r="N46" i="33"/>
  <c r="M46" i="33"/>
  <c r="L46" i="33"/>
  <c r="K46" i="33"/>
  <c r="J46" i="33"/>
  <c r="I46" i="33"/>
  <c r="H46" i="33"/>
  <c r="G46" i="33"/>
  <c r="F46" i="33"/>
  <c r="E46" i="33"/>
  <c r="D46" i="33"/>
  <c r="C46" i="33"/>
  <c r="B46" i="33"/>
  <c r="A46" i="33"/>
  <c r="T45" i="33"/>
  <c r="S45" i="33"/>
  <c r="R45" i="33"/>
  <c r="Q45" i="33"/>
  <c r="P45" i="33"/>
  <c r="O45" i="33"/>
  <c r="N45" i="33"/>
  <c r="M45" i="33"/>
  <c r="L45" i="33"/>
  <c r="K45" i="33"/>
  <c r="J45" i="33"/>
  <c r="I45" i="33"/>
  <c r="H45" i="33"/>
  <c r="G45" i="33"/>
  <c r="F45" i="33"/>
  <c r="E45" i="33"/>
  <c r="D45" i="33"/>
  <c r="C45" i="33"/>
  <c r="B45" i="33"/>
  <c r="A45" i="33"/>
  <c r="T44" i="33"/>
  <c r="S44" i="33"/>
  <c r="R44" i="33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D44" i="33"/>
  <c r="C44" i="33"/>
  <c r="B44" i="33"/>
  <c r="A44" i="33"/>
  <c r="T43" i="33"/>
  <c r="S43" i="33"/>
  <c r="R43" i="33"/>
  <c r="Q43" i="33"/>
  <c r="P43" i="33"/>
  <c r="O43" i="33"/>
  <c r="N43" i="33"/>
  <c r="M43" i="33"/>
  <c r="L43" i="33"/>
  <c r="K43" i="33"/>
  <c r="J43" i="33"/>
  <c r="I43" i="33"/>
  <c r="H43" i="33"/>
  <c r="G43" i="33"/>
  <c r="F43" i="33"/>
  <c r="E43" i="33"/>
  <c r="D43" i="33"/>
  <c r="C43" i="33"/>
  <c r="B43" i="33"/>
  <c r="A43" i="33"/>
  <c r="T42" i="33"/>
  <c r="S42" i="33"/>
  <c r="R42" i="33"/>
  <c r="Q42" i="33"/>
  <c r="P42" i="33"/>
  <c r="O42" i="33"/>
  <c r="N42" i="33"/>
  <c r="M42" i="33"/>
  <c r="L42" i="33"/>
  <c r="K42" i="33"/>
  <c r="J42" i="33"/>
  <c r="I42" i="33"/>
  <c r="H42" i="33"/>
  <c r="G42" i="33"/>
  <c r="F42" i="33"/>
  <c r="E42" i="33"/>
  <c r="D42" i="33"/>
  <c r="C42" i="33"/>
  <c r="B42" i="33"/>
  <c r="A42" i="33"/>
  <c r="T41" i="33"/>
  <c r="S41" i="33"/>
  <c r="R41" i="33"/>
  <c r="Q41" i="33"/>
  <c r="P41" i="33"/>
  <c r="O41" i="33"/>
  <c r="N41" i="33"/>
  <c r="M41" i="33"/>
  <c r="L41" i="33"/>
  <c r="K41" i="33"/>
  <c r="J41" i="33"/>
  <c r="I41" i="33"/>
  <c r="H41" i="33"/>
  <c r="G41" i="33"/>
  <c r="F41" i="33"/>
  <c r="E41" i="33"/>
  <c r="D41" i="33"/>
  <c r="C41" i="33"/>
  <c r="B41" i="33"/>
  <c r="A41" i="33"/>
  <c r="T40" i="33"/>
  <c r="S40" i="33"/>
  <c r="R40" i="33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D40" i="33"/>
  <c r="C40" i="33"/>
  <c r="B40" i="33"/>
  <c r="A40" i="33"/>
  <c r="T39" i="33"/>
  <c r="S39" i="33"/>
  <c r="R39" i="33"/>
  <c r="Q39" i="33"/>
  <c r="P39" i="33"/>
  <c r="O39" i="33"/>
  <c r="N39" i="33"/>
  <c r="M39" i="33"/>
  <c r="L39" i="33"/>
  <c r="K39" i="33"/>
  <c r="J39" i="33"/>
  <c r="I39" i="33"/>
  <c r="H39" i="33"/>
  <c r="G39" i="33"/>
  <c r="F39" i="33"/>
  <c r="E39" i="33"/>
  <c r="D39" i="33"/>
  <c r="C39" i="33"/>
  <c r="B39" i="33"/>
  <c r="A39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B38" i="33"/>
  <c r="A38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A37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C36" i="33"/>
  <c r="B36" i="33"/>
  <c r="A36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A35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A34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G33" i="33"/>
  <c r="F33" i="33"/>
  <c r="E33" i="33"/>
  <c r="D33" i="33"/>
  <c r="C33" i="33"/>
  <c r="B33" i="33"/>
  <c r="A33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H32" i="33"/>
  <c r="G32" i="33"/>
  <c r="F32" i="33"/>
  <c r="E32" i="33"/>
  <c r="D32" i="33"/>
  <c r="C32" i="33"/>
  <c r="B32" i="33"/>
  <c r="A32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M201" i="31"/>
  <c r="L201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A2" i="31"/>
  <c r="M201" i="30"/>
  <c r="L201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3" i="30"/>
  <c r="A2" i="30"/>
  <c r="M201" i="29"/>
  <c r="L201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2" i="29"/>
  <c r="M201" i="28"/>
  <c r="L201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M201" i="27"/>
  <c r="L201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M201" i="26"/>
  <c r="L201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A3" i="26"/>
  <c r="A2" i="26"/>
  <c r="M201" i="25"/>
  <c r="L201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A3" i="25"/>
  <c r="A2" i="25"/>
  <c r="M201" i="24"/>
  <c r="L201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M201" i="23"/>
  <c r="L201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M201" i="22"/>
  <c r="L201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M201" i="21"/>
  <c r="L201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M201" i="20"/>
  <c r="L201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M201" i="19"/>
  <c r="L201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M201" i="18"/>
  <c r="L201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M201" i="17"/>
  <c r="L201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M201" i="16"/>
  <c r="L201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M201" i="15"/>
  <c r="L201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M201" i="14"/>
  <c r="L201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01" i="13"/>
  <c r="L201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M201" i="12"/>
  <c r="L201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M201" i="11"/>
  <c r="L201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M201" i="10"/>
  <c r="L201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M201" i="9"/>
  <c r="L201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M201" i="8"/>
  <c r="L201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M201" i="7"/>
  <c r="L201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M201" i="6"/>
  <c r="L201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M201" i="5"/>
  <c r="L201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M201" i="4"/>
  <c r="L201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M201" i="3"/>
  <c r="L201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M201" i="2"/>
  <c r="L201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M2" i="1"/>
  <c r="L2" i="1"/>
  <c r="H34" i="34" l="1"/>
  <c r="G34" i="34"/>
  <c r="F34" i="34"/>
  <c r="E34" i="34"/>
  <c r="H33" i="34"/>
  <c r="G33" i="34"/>
  <c r="F33" i="34"/>
  <c r="E33" i="34"/>
  <c r="H32" i="34"/>
  <c r="G32" i="34"/>
  <c r="F32" i="34"/>
  <c r="E32" i="34"/>
  <c r="H31" i="34"/>
  <c r="G31" i="34"/>
  <c r="F31" i="34"/>
  <c r="E31" i="34"/>
  <c r="H30" i="34"/>
  <c r="G30" i="34"/>
  <c r="F30" i="34"/>
  <c r="E30" i="34"/>
  <c r="H29" i="34"/>
  <c r="G29" i="34"/>
  <c r="F29" i="34"/>
  <c r="E29" i="34"/>
  <c r="H28" i="34"/>
  <c r="G28" i="34"/>
  <c r="F28" i="34"/>
  <c r="E28" i="34"/>
  <c r="H27" i="34"/>
  <c r="G27" i="34"/>
  <c r="F27" i="34"/>
  <c r="E27" i="34"/>
  <c r="H26" i="34"/>
  <c r="G26" i="34"/>
  <c r="F26" i="34"/>
  <c r="E26" i="34"/>
  <c r="H25" i="34"/>
  <c r="G25" i="34"/>
  <c r="F25" i="34"/>
  <c r="E25" i="34"/>
  <c r="H24" i="34"/>
  <c r="G24" i="34"/>
  <c r="F24" i="34"/>
  <c r="E24" i="34"/>
  <c r="H23" i="34"/>
  <c r="G23" i="34"/>
  <c r="F23" i="34"/>
  <c r="E23" i="34"/>
  <c r="H22" i="34"/>
  <c r="G22" i="34"/>
  <c r="F22" i="34"/>
  <c r="E22" i="34"/>
  <c r="H21" i="34"/>
  <c r="G21" i="34"/>
  <c r="F21" i="34"/>
  <c r="E21" i="34"/>
  <c r="H20" i="34"/>
  <c r="G20" i="34"/>
  <c r="F20" i="34"/>
  <c r="E20" i="34"/>
  <c r="H19" i="34"/>
  <c r="G19" i="34"/>
  <c r="F19" i="34"/>
  <c r="E19" i="34"/>
  <c r="H18" i="34"/>
  <c r="G18" i="34"/>
  <c r="F18" i="34"/>
  <c r="E18" i="34"/>
  <c r="H17" i="34"/>
  <c r="G17" i="34"/>
  <c r="F17" i="34"/>
  <c r="E17" i="34"/>
  <c r="H16" i="34"/>
  <c r="G16" i="34"/>
  <c r="F16" i="34"/>
  <c r="E16" i="34"/>
  <c r="H15" i="34"/>
  <c r="G15" i="34"/>
  <c r="F15" i="34"/>
  <c r="E15" i="34"/>
  <c r="H14" i="34"/>
  <c r="G14" i="34"/>
  <c r="F14" i="34"/>
  <c r="E14" i="34"/>
  <c r="H13" i="34"/>
  <c r="G13" i="34"/>
  <c r="F13" i="34"/>
  <c r="E13" i="34"/>
  <c r="H12" i="34"/>
  <c r="G12" i="34"/>
  <c r="F12" i="34"/>
  <c r="E12" i="34"/>
  <c r="H11" i="34"/>
  <c r="G11" i="34"/>
  <c r="F11" i="34"/>
  <c r="E11" i="34"/>
  <c r="H10" i="34"/>
  <c r="G10" i="34"/>
  <c r="F10" i="34"/>
  <c r="E10" i="34"/>
  <c r="H9" i="34"/>
  <c r="G9" i="34"/>
  <c r="F9" i="34"/>
  <c r="E9" i="34"/>
  <c r="H8" i="34"/>
  <c r="G8" i="34"/>
  <c r="F8" i="34"/>
  <c r="E8" i="34"/>
  <c r="H7" i="34"/>
  <c r="G7" i="34"/>
  <c r="F7" i="34"/>
  <c r="E7" i="34"/>
  <c r="H6" i="34"/>
  <c r="G6" i="34"/>
  <c r="F6" i="34"/>
  <c r="E6" i="34"/>
  <c r="H5" i="34"/>
  <c r="G5" i="34"/>
  <c r="F5" i="34"/>
  <c r="E5" i="34"/>
  <c r="H4" i="34"/>
  <c r="G4" i="34"/>
  <c r="F4" i="34"/>
  <c r="E4" i="34"/>
  <c r="H35" i="34" l="1"/>
  <c r="G35" i="34"/>
  <c r="F35" i="34"/>
  <c r="L8" i="34" s="1"/>
  <c r="E35" i="34"/>
  <c r="L7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Rahat</author>
  </authors>
  <commentList>
    <comment ref="M2" authorId="0" shapeId="0" xr:uid="{9070984B-3B75-4C08-8ED5-E3C3ADD3822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" authorId="0" shapeId="0" xr:uid="{65273DE6-C0BB-4CC9-9568-1AF04C10BCA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" authorId="0" shapeId="0" xr:uid="{BF4A1DBC-18D0-486A-9E5D-9F50671D461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" authorId="0" shapeId="0" xr:uid="{BC904DF6-A4F3-42A8-AE54-4142BB83202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" authorId="0" shapeId="0" xr:uid="{0FD9DE2D-D033-4E6D-830D-B90B905A6E27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" authorId="0" shapeId="0" xr:uid="{4AF8E583-BA09-45E8-8E25-B7B6D1BEB63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" authorId="0" shapeId="0" xr:uid="{75F06917-4C48-4F38-9E79-464E0F3EECC7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" authorId="0" shapeId="0" xr:uid="{829138D7-5AD2-4D98-9542-2393D4890EC7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" authorId="0" shapeId="0" xr:uid="{97C85834-549B-4715-9E30-E65A1544762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" authorId="0" shapeId="0" xr:uid="{C9769C2A-1628-4144-A684-E6D18096322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" authorId="0" shapeId="0" xr:uid="{0A9AB982-2EAB-45B2-BD79-10B6E687479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" authorId="0" shapeId="0" xr:uid="{A5300C1A-9066-48F2-8AF3-910C20CA8A1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" authorId="0" shapeId="0" xr:uid="{7B941F8E-F423-444A-99AA-34CB4A80A3C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" authorId="0" shapeId="0" xr:uid="{01A19FCD-77A3-48FA-AE20-E81154BD4A2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" authorId="0" shapeId="0" xr:uid="{4CA6265A-C11C-4E9D-903C-3117E561D5E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" authorId="0" shapeId="0" xr:uid="{B5D32058-14A6-4024-8B7C-169111CD2AE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" authorId="0" shapeId="0" xr:uid="{903027D3-85D3-4EE5-8392-120B79D2B9F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" authorId="0" shapeId="0" xr:uid="{F21D2D03-EE63-46D4-A0ED-30356B249F4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0" authorId="0" shapeId="0" xr:uid="{CC4BCE66-114C-4188-A9A4-38AA4695B6E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1" authorId="0" shapeId="0" xr:uid="{DEAE29B1-11E3-49B8-B52C-352C3568581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2" authorId="0" shapeId="0" xr:uid="{95E78568-8479-4E43-9771-6CDD13196F8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3" authorId="0" shapeId="0" xr:uid="{97AACD00-2C63-40DC-AA1A-3E10BAA69FD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4" authorId="0" shapeId="0" xr:uid="{3C50BCE2-4A26-4F39-9885-CC05309D732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5" authorId="0" shapeId="0" xr:uid="{F3A47C5F-698E-4C54-B31E-C03C21C270E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6" authorId="0" shapeId="0" xr:uid="{9D54EBAE-EE74-4B91-9103-68A9CF279DC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7" authorId="0" shapeId="0" xr:uid="{D057E0A8-49D8-4FA7-82D4-A96A8D5AC30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8" authorId="0" shapeId="0" xr:uid="{3152A4E8-B54F-4F22-8848-41AC159F402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9" authorId="0" shapeId="0" xr:uid="{70E33BB1-7D10-45AF-8F5C-F8C4580DFED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0" authorId="0" shapeId="0" xr:uid="{DA4050B4-1D39-4C23-B181-43F109F29E6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1" authorId="0" shapeId="0" xr:uid="{68675317-05EE-4B6E-B5BF-A9BC9B10D4D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2" authorId="0" shapeId="0" xr:uid="{2C52B896-0FA4-49C4-80D1-B22F2F849BA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3" authorId="0" shapeId="0" xr:uid="{060819C5-1E2B-4DC5-B691-7550867FED5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4" authorId="0" shapeId="0" xr:uid="{85A5D237-262E-4A8B-89C4-80E054E511F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5" authorId="0" shapeId="0" xr:uid="{F7A22676-D21F-4DD6-9AB5-359AC7D14DD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6" authorId="0" shapeId="0" xr:uid="{35AC0687-6AF6-4D06-A7E8-1A11FB57998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7" authorId="0" shapeId="0" xr:uid="{368C2451-5928-4D65-8DA6-B7C4CB3D390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8" authorId="0" shapeId="0" xr:uid="{B6743CC0-56F4-4C1F-8CB1-112032E602B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39" authorId="0" shapeId="0" xr:uid="{2A90BAFC-8AB5-4ACE-9D6B-5DCB5AA9A01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0" authorId="0" shapeId="0" xr:uid="{BFFAB506-0361-4AEB-9BE1-B97D0A290FB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1" authorId="0" shapeId="0" xr:uid="{C8F520B4-FBDB-4C2C-8FBD-58422C0DCA2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2" authorId="0" shapeId="0" xr:uid="{D02CC2D2-595F-4BD0-BCA3-B0C6462D517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3" authorId="0" shapeId="0" xr:uid="{3ED9DD63-D88F-4441-8A8B-5680EA48D80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4" authorId="0" shapeId="0" xr:uid="{2DF1D768-A452-4821-A25F-12C95583AD0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5" authorId="0" shapeId="0" xr:uid="{009E3029-AF3E-4381-B615-9BB142C627F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6" authorId="0" shapeId="0" xr:uid="{539F820C-98F5-4750-83D9-3D62D611D02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7" authorId="0" shapeId="0" xr:uid="{A4872DB7-BFE9-4FA5-ABDF-45518781E82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8" authorId="0" shapeId="0" xr:uid="{E570F9FE-1D9B-41FA-AE58-721FAE26F07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49" authorId="0" shapeId="0" xr:uid="{45DA1FCF-2541-43F3-9E74-3626DBC7DF7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0" authorId="0" shapeId="0" xr:uid="{7ACE5CF7-6E7B-4EE1-9373-F5966D734A8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1" authorId="0" shapeId="0" xr:uid="{47DF1F3B-94D0-44F5-AD31-E01A7EED517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2" authorId="0" shapeId="0" xr:uid="{CA28E01C-322B-494D-9F31-17F569E470E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3" authorId="0" shapeId="0" xr:uid="{5BC845EA-3A20-4C8C-B6DD-50307313229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4" authorId="0" shapeId="0" xr:uid="{6F963FFE-4D78-44F9-B9DF-3B28966BA30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5" authorId="0" shapeId="0" xr:uid="{59D9FC39-74BC-46D7-B141-9067F3DD48E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6" authorId="0" shapeId="0" xr:uid="{CB1395B5-A113-4198-9438-274E8700528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7" authorId="0" shapeId="0" xr:uid="{EC4A229B-9A1B-499C-843D-55787C7E448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8" authorId="0" shapeId="0" xr:uid="{6D6DDCD0-F355-4F3B-87D5-1BC9B488383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59" authorId="0" shapeId="0" xr:uid="{33BB86C7-6548-4BB4-B06E-21C150AB5D3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0" authorId="0" shapeId="0" xr:uid="{E11C3CA0-0B6D-435B-9757-2E07030EF41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1" authorId="0" shapeId="0" xr:uid="{1E73B6C2-7441-4061-BD22-C5C81503B26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2" authorId="0" shapeId="0" xr:uid="{2B436B0B-F121-461A-B118-020B018F5FE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3" authorId="0" shapeId="0" xr:uid="{E6FF42C5-D8D0-4F0A-8779-CCD49B660CE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4" authorId="0" shapeId="0" xr:uid="{6A7F5DCF-574C-4B9C-AC3E-040A47EB829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5" authorId="0" shapeId="0" xr:uid="{8A620319-218B-4087-BF45-EAC00AC6E6F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6" authorId="0" shapeId="0" xr:uid="{44CD9139-AE8F-4436-B381-7788A2B5942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7" authorId="0" shapeId="0" xr:uid="{823993AE-1C67-4872-92E7-A4F68EB28BD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8" authorId="0" shapeId="0" xr:uid="{7C78962A-7A1B-409B-8570-A230EDFF1A1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69" authorId="0" shapeId="0" xr:uid="{344BF31F-4800-4891-83F0-B8F407D71DA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0" authorId="0" shapeId="0" xr:uid="{7645ADCB-8D2D-495A-A84C-522F718EBA0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1" authorId="0" shapeId="0" xr:uid="{A0FECF96-06C8-4D9A-A92E-7022A767C0D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2" authorId="0" shapeId="0" xr:uid="{440F09C4-4156-4B28-92CF-41DCC765AA6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3" authorId="0" shapeId="0" xr:uid="{C20DB97C-5044-4FB0-A4E2-48960B68294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4" authorId="0" shapeId="0" xr:uid="{11550CDB-48F4-471B-9203-0376513684B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5" authorId="0" shapeId="0" xr:uid="{9CA02C58-D1FA-4939-8832-89388E8C29C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6" authorId="0" shapeId="0" xr:uid="{E0CBB7F8-9698-4202-A003-1AB7D7CD771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7" authorId="0" shapeId="0" xr:uid="{30D33DCA-7321-4743-9BFA-578153009A9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8" authorId="0" shapeId="0" xr:uid="{3064BAF8-B397-4AE5-A69B-D02484C35F4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79" authorId="0" shapeId="0" xr:uid="{C2B8DC2F-1BC7-4832-884A-6776D23AFCB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0" authorId="0" shapeId="0" xr:uid="{40836A92-3F8D-4742-A932-B42B6B5A098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1" authorId="0" shapeId="0" xr:uid="{3EE7B506-5C6A-42B3-ADE3-E91EB494163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2" authorId="0" shapeId="0" xr:uid="{47245EB1-7B85-4F4C-A065-CC03E771947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3" authorId="0" shapeId="0" xr:uid="{72CDE614-62FA-4294-8E69-BD194F8622C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4" authorId="0" shapeId="0" xr:uid="{FEF211C6-EFC9-4309-90FF-57D6FF2AC47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5" authorId="0" shapeId="0" xr:uid="{EB425341-3343-487F-8EE8-11F21A21F437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6" authorId="0" shapeId="0" xr:uid="{C7C3C308-4B13-4267-8BC4-7D2C1FDB6F6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7" authorId="0" shapeId="0" xr:uid="{358C3DE5-F2DD-4ACA-BC86-93F6770B5BF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8" authorId="0" shapeId="0" xr:uid="{5677EE45-B716-4629-B5C1-486BA05773B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89" authorId="0" shapeId="0" xr:uid="{123647C8-016A-44D3-A2D7-592B2F6FE05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0" authorId="0" shapeId="0" xr:uid="{C73028B0-E99F-487F-99EA-A40EDEDCF59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1" authorId="0" shapeId="0" xr:uid="{654EC7D7-335C-4639-85E4-96B6D03F03E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2" authorId="0" shapeId="0" xr:uid="{7DAA5390-F4C7-4044-83FF-38C338C8DC7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3" authorId="0" shapeId="0" xr:uid="{7D5E1146-9DEE-4FDE-AA76-6BC2F39F8DF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4" authorId="0" shapeId="0" xr:uid="{62A7261C-12FB-4CEA-9076-68E1DDFB96B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5" authorId="0" shapeId="0" xr:uid="{32C1F23D-1FCE-4DD9-A2E7-57CCB93FE41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6" authorId="0" shapeId="0" xr:uid="{AE9CCACC-DCB3-4B04-9A94-59A23D5A215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7" authorId="0" shapeId="0" xr:uid="{987871C1-1DD3-4F88-9464-5E21F7FD8A2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8" authorId="0" shapeId="0" xr:uid="{0052AA4F-EAEF-4847-8CD7-CE6596868D1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99" authorId="0" shapeId="0" xr:uid="{B3A27B46-FA63-40CC-A205-CE7EA96F1D4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0" authorId="0" shapeId="0" xr:uid="{0EEBD99E-B869-4842-9898-35863C4E48D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1" authorId="0" shapeId="0" xr:uid="{DE653418-DA99-4782-AD68-86021A29313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2" authorId="0" shapeId="0" xr:uid="{E56E9FF2-8D4D-44A0-B4B5-DB36FE13CF1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3" authorId="0" shapeId="0" xr:uid="{41E0A34C-F90F-4D03-AC92-36D768B72A4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4" authorId="0" shapeId="0" xr:uid="{2D05AA83-2748-4109-A6A4-406B91BDF26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5" authorId="0" shapeId="0" xr:uid="{7BB16E29-716F-4749-B729-3785A94BF74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6" authorId="0" shapeId="0" xr:uid="{CA73B3D2-A04F-4714-8E6D-913BFA92F34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7" authorId="0" shapeId="0" xr:uid="{08F77EEE-ABFD-4638-911A-11395BAD2E7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8" authorId="0" shapeId="0" xr:uid="{DE69F67D-1ADB-4010-B660-49CA4F75978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09" authorId="0" shapeId="0" xr:uid="{7325C1A4-06F9-4B47-8F8B-9EE098C111A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0" authorId="0" shapeId="0" xr:uid="{ED9F5B83-1764-4179-B36A-14B64ADB5667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1" authorId="0" shapeId="0" xr:uid="{6269C1BB-0E2A-4774-A479-46B07F77A73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2" authorId="0" shapeId="0" xr:uid="{1CDC7DF3-8894-4E25-92AD-5B86C5F5571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3" authorId="0" shapeId="0" xr:uid="{5F7D2528-8066-4C19-9228-6113471564E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4" authorId="0" shapeId="0" xr:uid="{90A99D3A-E582-472B-84FB-CBFDCE441B8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5" authorId="0" shapeId="0" xr:uid="{D7D2EC27-B85A-4019-B5D3-CE709C8C0B4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6" authorId="0" shapeId="0" xr:uid="{5CFB2653-67CA-473A-BE3A-AEEF059F9AB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7" authorId="0" shapeId="0" xr:uid="{9EC06538-23CC-4170-9687-95FFF6E85B0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8" authorId="0" shapeId="0" xr:uid="{68286AC5-234B-4E1C-90CB-069A7B9A234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19" authorId="0" shapeId="0" xr:uid="{2DA7D896-4D98-410C-B602-A281A0D4981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0" authorId="0" shapeId="0" xr:uid="{AEF4A883-B3CB-41F4-9742-05E75CB9727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1" authorId="0" shapeId="0" xr:uid="{1DFE2C21-DBF2-4975-ACD4-2E4D743A809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2" authorId="0" shapeId="0" xr:uid="{720475B5-4FF4-401D-A995-E708A826E42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3" authorId="0" shapeId="0" xr:uid="{6FC28DC0-4248-4395-A8C6-F0A94A0DB08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4" authorId="0" shapeId="0" xr:uid="{5802B873-78F2-4126-9451-800EA512695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5" authorId="0" shapeId="0" xr:uid="{E8A16813-0689-4CBC-993F-CB75440A537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6" authorId="0" shapeId="0" xr:uid="{F1D6DCF4-B3F2-4682-8911-8FE3FD609C2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7" authorId="0" shapeId="0" xr:uid="{638763DC-A164-4848-85D2-EEDDB2681A1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8" authorId="0" shapeId="0" xr:uid="{F494817E-4316-40B8-9306-2E896B78E7C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29" authorId="0" shapeId="0" xr:uid="{EB78DD6F-8543-48C2-ADDD-11081D6BA7F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0" authorId="0" shapeId="0" xr:uid="{AEAE8C69-6CB6-439C-8CBD-F1328D298E8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1" authorId="0" shapeId="0" xr:uid="{2C4C9E28-FC5B-4AA7-99CB-3F939F04F62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2" authorId="0" shapeId="0" xr:uid="{3A95D6CB-F921-47AD-893F-F25D6C40AAE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3" authorId="0" shapeId="0" xr:uid="{218A5277-2F27-49CC-B711-9489952E98E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4" authorId="0" shapeId="0" xr:uid="{35B416B4-C558-4BE2-80FF-13A554E63E4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5" authorId="0" shapeId="0" xr:uid="{17204AC4-E811-49B2-A262-12D25D30FC7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6" authorId="0" shapeId="0" xr:uid="{18BCCE65-83F8-4E9A-ADDB-FCCA9DF4760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7" authorId="0" shapeId="0" xr:uid="{7C58ED83-8706-4E7E-9D65-196A43D763F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8" authorId="0" shapeId="0" xr:uid="{D1C795B9-7C0C-4BA0-9026-46D7A34065F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39" authorId="0" shapeId="0" xr:uid="{9EB7D86F-B076-41DD-9AD0-9CF1B354C77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0" authorId="0" shapeId="0" xr:uid="{1E162A3E-DAD6-4FDA-89BF-4A42F197537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1" authorId="0" shapeId="0" xr:uid="{F7333978-D35E-481A-A2A5-0EC1FB45F4C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2" authorId="0" shapeId="0" xr:uid="{2D871827-184C-49C9-903C-04E66450D29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3" authorId="0" shapeId="0" xr:uid="{7C948C41-B3DD-43A6-B654-13B04286FD7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4" authorId="0" shapeId="0" xr:uid="{6091838D-3819-4BCF-A690-5567CC3CC40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5" authorId="0" shapeId="0" xr:uid="{E6BC4564-5614-42DB-8C58-A82B14D081E7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6" authorId="0" shapeId="0" xr:uid="{29B88C42-33E4-4F8D-89A0-7205DCA5E2B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7" authorId="0" shapeId="0" xr:uid="{1EFB19E9-F551-468A-95FA-63629D1FBD4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8" authorId="0" shapeId="0" xr:uid="{83C2A320-C054-4AD3-917C-D6A9D0ABAF3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49" authorId="0" shapeId="0" xr:uid="{0C2CBC0E-5169-489E-91EC-2CBC4A21748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0" authorId="0" shapeId="0" xr:uid="{8AD0FAFC-654E-4FE3-8320-3FF5421EA7B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1" authorId="0" shapeId="0" xr:uid="{B5FADD02-54C8-47B8-ADA6-4713A29296E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2" authorId="0" shapeId="0" xr:uid="{86F12F2F-5152-49AF-82FD-7C2B45EEEBF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3" authorId="0" shapeId="0" xr:uid="{633CC061-6439-4E9A-9AB8-ED94C8E8DE3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4" authorId="0" shapeId="0" xr:uid="{1206F781-A296-487F-8A96-9F4F16815C1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5" authorId="0" shapeId="0" xr:uid="{557E4177-8472-403B-9DE0-EF023231EA3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6" authorId="0" shapeId="0" xr:uid="{55B0DEB5-30D6-4951-86CA-3B66C3DDC51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7" authorId="0" shapeId="0" xr:uid="{5FCB1E61-3CC3-4140-A0B5-08406D750EC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8" authorId="0" shapeId="0" xr:uid="{7957E970-BA2C-4553-8D26-C2645ED4D81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59" authorId="0" shapeId="0" xr:uid="{B51FFDBF-DE84-4CF7-8A8F-5A21E5D8F7A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0" authorId="0" shapeId="0" xr:uid="{2ECF8CCC-9C95-4936-9869-6933971821E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1" authorId="0" shapeId="0" xr:uid="{81ED6148-5ADE-4CB4-BB97-8DC04280738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2" authorId="0" shapeId="0" xr:uid="{56E02D76-F271-4A50-BBBF-80716EECA66D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3" authorId="0" shapeId="0" xr:uid="{21C246A3-C4C6-4A92-964A-E42351FF962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4" authorId="0" shapeId="0" xr:uid="{310A89DB-2C7B-44E7-AC6F-08F81685DF0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5" authorId="0" shapeId="0" xr:uid="{8527ABA5-D95F-4913-A979-06E78441AFD9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6" authorId="0" shapeId="0" xr:uid="{C03C5E8D-F149-4C7C-B021-CA98AF34326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7" authorId="0" shapeId="0" xr:uid="{DEE083F9-C41D-4799-9F15-B0682864277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8" authorId="0" shapeId="0" xr:uid="{2B96209C-6E41-4263-B283-0B24078B0C2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69" authorId="0" shapeId="0" xr:uid="{DD5A2B2D-96FF-4670-986E-D91496FA446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0" authorId="0" shapeId="0" xr:uid="{85E47AEA-CF51-46E0-841E-416E719424C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1" authorId="0" shapeId="0" xr:uid="{03F29DE9-A44F-4D94-8FF4-8742D73C211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2" authorId="0" shapeId="0" xr:uid="{F15D3C1F-23E1-4B2A-9FE9-6E0165933B3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3" authorId="0" shapeId="0" xr:uid="{D10EDAF2-6836-40DD-AB2F-5F207413823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4" authorId="0" shapeId="0" xr:uid="{6BCE290C-A497-45DC-8561-985970929E5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5" authorId="0" shapeId="0" xr:uid="{D8591280-8297-4079-BFAF-E4D3BC47ACF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6" authorId="0" shapeId="0" xr:uid="{35AAF215-FE1E-405B-B321-E4DE7D7C23A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7" authorId="0" shapeId="0" xr:uid="{E23ED806-B59C-4A9E-B766-3B27BA9C1B3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8" authorId="0" shapeId="0" xr:uid="{F7F33AF2-8C47-4012-AE58-A11056B5194F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79" authorId="0" shapeId="0" xr:uid="{BAE21F92-E6A0-47A5-980E-E5169615731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0" authorId="0" shapeId="0" xr:uid="{DD76AAB8-02BC-4575-B46B-356E91813E0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1" authorId="0" shapeId="0" xr:uid="{A06DC292-E141-43CE-96A0-680785E93E5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2" authorId="0" shapeId="0" xr:uid="{80730AFB-0DE0-4377-B0A5-0D9CFC108AA1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3" authorId="0" shapeId="0" xr:uid="{4607E8C5-F686-4515-B1E3-9755F2974402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4" authorId="0" shapeId="0" xr:uid="{9A948CCE-C39A-4A71-899A-07F4BAB650D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5" authorId="0" shapeId="0" xr:uid="{58B63206-6A8E-4244-AE72-FC15104CE2D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6" authorId="0" shapeId="0" xr:uid="{D5972EED-64C4-471B-8A99-34B95852FFC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7" authorId="0" shapeId="0" xr:uid="{2AEDF156-B7E2-4A47-8278-2B41D0F650A0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8" authorId="0" shapeId="0" xr:uid="{2F20FD7E-0EEB-4209-9496-45A9A8E1799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89" authorId="0" shapeId="0" xr:uid="{794B516B-F8DD-47DD-8CF0-D1AB552555E7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0" authorId="0" shapeId="0" xr:uid="{FFC77C70-E04F-485A-A0A0-F71164F3D56A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1" authorId="0" shapeId="0" xr:uid="{6B15A326-EDF3-44F9-9B91-F33E45ACFD54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2" authorId="0" shapeId="0" xr:uid="{26AB4B48-7B5E-4D8D-8094-16B7CB1A2133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3" authorId="0" shapeId="0" xr:uid="{F86CBE60-E90B-4EBE-B25A-E3262EA0D4A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4" authorId="0" shapeId="0" xr:uid="{3FAC2EA2-CBC2-4511-BF71-9A61978B8FCB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5" authorId="0" shapeId="0" xr:uid="{63C38F10-09FA-406A-B458-EBE4884952A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6" authorId="0" shapeId="0" xr:uid="{E897241B-BDFD-4D5F-AE15-992AC4E09D1C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7" authorId="0" shapeId="0" xr:uid="{6861BCF1-2C7A-468E-BADC-8ACA0C22ABF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8" authorId="0" shapeId="0" xr:uid="{B7BAC79F-163C-4BED-98EA-99982B8D543E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199" authorId="0" shapeId="0" xr:uid="{3C6D43E0-613F-4F55-9D9E-FC2C035C5305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00" authorId="0" shapeId="0" xr:uid="{0329D022-C46C-40F0-A303-AB56065C8778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  <comment ref="M201" authorId="0" shapeId="0" xr:uid="{F22D2852-FBB6-47E4-B0B1-A792CE965BB6}">
      <text>
        <r>
          <rPr>
            <b/>
            <sz val="9"/>
            <color indexed="81"/>
            <rFont val="Tahoma"/>
            <family val="2"/>
          </rPr>
          <t>Rahat:</t>
        </r>
        <r>
          <rPr>
            <sz val="9"/>
            <color indexed="81"/>
            <rFont val="Tahoma"/>
            <family val="2"/>
          </rPr>
          <t xml:space="preserve">
Must be Check Valid Approval</t>
        </r>
      </text>
    </comment>
  </commentList>
</comments>
</file>

<file path=xl/sharedStrings.xml><?xml version="1.0" encoding="utf-8"?>
<sst xmlns="http://schemas.openxmlformats.org/spreadsheetml/2006/main" count="677" uniqueCount="115">
  <si>
    <t>S.No.</t>
  </si>
  <si>
    <t>Customer Name</t>
  </si>
  <si>
    <t>Contact No</t>
  </si>
  <si>
    <t>Return Trx</t>
  </si>
  <si>
    <t>Trx No</t>
  </si>
  <si>
    <t>Item Description</t>
  </si>
  <si>
    <t>Item Exp Date</t>
  </si>
  <si>
    <t>Qty</t>
  </si>
  <si>
    <t>Total Amount</t>
  </si>
  <si>
    <t>Reason</t>
  </si>
  <si>
    <t>Approval Name (Auto)</t>
  </si>
  <si>
    <t>Designation (Auto)</t>
  </si>
  <si>
    <t>System Status</t>
  </si>
  <si>
    <t>Cash/Voucher</t>
  </si>
  <si>
    <t>Rcv by</t>
  </si>
  <si>
    <t>CCTV/Time</t>
  </si>
  <si>
    <t>Trx Time</t>
  </si>
  <si>
    <t>RETURN APPROVAL MANAGEMENT SETUP</t>
  </si>
  <si>
    <t>Designation</t>
  </si>
  <si>
    <t>Management Name (Edit Here)</t>
  </si>
  <si>
    <t>Approval Limit</t>
  </si>
  <si>
    <t>Store Manager</t>
  </si>
  <si>
    <t>Unlimited</t>
  </si>
  <si>
    <t>J SO</t>
  </si>
  <si>
    <t>Floor Manager</t>
  </si>
  <si>
    <t>SO</t>
  </si>
  <si>
    <t>SSO</t>
  </si>
  <si>
    <t>Executive</t>
  </si>
  <si>
    <t>Naveed Kamal</t>
  </si>
  <si>
    <t>ADMIN / MANAGEMENT SETUP</t>
  </si>
  <si>
    <t>1</t>
  </si>
  <si>
    <t>Column B mein authorized management ke actual names sirf admin ek martaba enter kare.</t>
  </si>
  <si>
    <t>2</t>
  </si>
  <si>
    <t>Return Entry sheet mein Approval Name aur Designation amount ke mutabiq automatic aayenge.</t>
  </si>
  <si>
    <t>3</t>
  </si>
  <si>
    <t>Cash/Voucher column mein sirf CASH ya VOUCHER select hoga; baqi entry columns open hain.</t>
  </si>
  <si>
    <t>Eligible 1</t>
  </si>
  <si>
    <t>Eligible 2</t>
  </si>
  <si>
    <t>Eligible 3</t>
  </si>
  <si>
    <t>Eligible 4</t>
  </si>
  <si>
    <t>Eligible 5</t>
  </si>
  <si>
    <t>Eligible 6</t>
  </si>
  <si>
    <t>Eligible 8</t>
  </si>
  <si>
    <t>Eligible 9</t>
  </si>
  <si>
    <t>Eligible 10</t>
  </si>
  <si>
    <t>Eligible 11</t>
  </si>
  <si>
    <t>Eligible 12</t>
  </si>
  <si>
    <t>Eligible 13</t>
  </si>
  <si>
    <t>Eligible 14</t>
  </si>
  <si>
    <t>Eligible 15</t>
  </si>
  <si>
    <t>Eligible 16</t>
  </si>
  <si>
    <t>Eligible 17</t>
  </si>
  <si>
    <t>Eligible 18</t>
  </si>
  <si>
    <t>Eligible 19</t>
  </si>
  <si>
    <t>Eligible 20</t>
  </si>
  <si>
    <t>RETURN APPROVAL – DAY WISE DASHBOARD</t>
  </si>
  <si>
    <t>MONTHLY RETURN CONTROL</t>
  </si>
  <si>
    <t>Day</t>
  </si>
  <si>
    <t>Cash Amount</t>
  </si>
  <si>
    <t>Voucher Amount</t>
  </si>
  <si>
    <t>Total Return Amount</t>
  </si>
  <si>
    <t>Valid Approval Amount</t>
  </si>
  <si>
    <t>Limit Exceeded Amount</t>
  </si>
  <si>
    <t>Valid Approval Count</t>
  </si>
  <si>
    <t>Limit Exceeded Count</t>
  </si>
  <si>
    <t>Total Entries</t>
  </si>
  <si>
    <t>KPI</t>
  </si>
  <si>
    <t>Value</t>
  </si>
  <si>
    <t>Cash Total</t>
  </si>
  <si>
    <t>Voucher Total</t>
  </si>
  <si>
    <t>Valid Approval</t>
  </si>
  <si>
    <t>Limit Exceeded</t>
  </si>
  <si>
    <t>Grand Total</t>
  </si>
  <si>
    <t>Duplicate Alert: Repeated Return Trx is highlighted RED and repeated Trx No is highlighted YELLOW across all day sheets.</t>
  </si>
  <si>
    <t>RETURN TRANSACTION SEARCH</t>
  </si>
  <si>
    <t>Select Day</t>
  </si>
  <si>
    <t>Search By</t>
  </si>
  <si>
    <t>Enter Number</t>
  </si>
  <si>
    <t>Approval Name</t>
  </si>
  <si>
    <t>RETURN APPROVAL FORM</t>
  </si>
  <si>
    <t>Received By</t>
  </si>
  <si>
    <t>Printed On</t>
  </si>
  <si>
    <t>Authorized Signature: ____________________________</t>
  </si>
  <si>
    <t>Raza Ali</t>
  </si>
  <si>
    <t>Waseem Raza</t>
  </si>
  <si>
    <t>Faisal Kausar</t>
  </si>
  <si>
    <t>xxx</t>
  </si>
  <si>
    <t>Manager - ICC</t>
  </si>
  <si>
    <t>Manager - Store Operations</t>
  </si>
  <si>
    <t>Muhammad Usman</t>
  </si>
  <si>
    <t>Nadeem Hussain</t>
  </si>
  <si>
    <t>Allah Ditta</t>
  </si>
  <si>
    <t>Mehmood Ahmed</t>
  </si>
  <si>
    <t>Tasawar Abbas</t>
  </si>
  <si>
    <t>Muhammad Farhan</t>
  </si>
  <si>
    <t>Shahzaib Ali</t>
  </si>
  <si>
    <t>Muhammad Majeed</t>
  </si>
  <si>
    <t>Shoukat Mahmood</t>
  </si>
  <si>
    <t>Alfqar</t>
  </si>
  <si>
    <t>Sheraz Ahmed</t>
  </si>
  <si>
    <t>Muhammad Faisal</t>
  </si>
  <si>
    <t>Sumair Hamza</t>
  </si>
  <si>
    <t>Muhammad Ali</t>
  </si>
  <si>
    <t>Jawad Aziz</t>
  </si>
  <si>
    <t>Muhammad Ashraf Butt</t>
  </si>
  <si>
    <t>Asad Mehmood</t>
  </si>
  <si>
    <t>Muhammad Salman</t>
  </si>
  <si>
    <t>Muzammil Hussain</t>
  </si>
  <si>
    <t>Muhammad Muneer</t>
  </si>
  <si>
    <t>Section Executive</t>
  </si>
  <si>
    <t>Senior Section Officer</t>
  </si>
  <si>
    <t>Jr. Section Officer</t>
  </si>
  <si>
    <t>Associate Floor Manager</t>
  </si>
  <si>
    <t>Head Chef</t>
  </si>
  <si>
    <t>Section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</si>
</sst>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1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8"/>
      <color rgb="FFFFFFFF"/>
      <name val="Carlito"/>
    </font>
    <font>
      <sz val="8"/>
      <name val="Carlito"/>
    </font>
    <font>
      <sz val="8"/>
      <color rgb="FF404040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7F6000"/>
      <name val="Carlito"/>
    </font>
    <font>
      <b/>
      <sz val="18"/>
      <color rgb="FFFFFFFF"/>
      <name val="Carlito"/>
    </font>
    <font>
      <b/>
      <sz val="9"/>
      <name val="Carlito"/>
    </font>
    <font>
      <sz val="9"/>
      <name val="Carlito"/>
    </font>
    <font>
      <b/>
      <sz val="9"/>
      <color rgb="FFFFFFFF"/>
      <name val="Carlit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1"/>
      <name val="Carlito"/>
    </font>
    <font>
      <b/>
      <sz val="9"/>
      <color rgb="FF1F1F1F"/>
      <name val="Carlito"/>
    </font>
    <font>
      <sz val="11"/>
      <color theme="1"/>
      <name val="Calibri"/>
      <family val="2"/>
    </font>
    <font>
      <sz val="11"/>
      <color rgb="FF404040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00000"/>
      </patternFill>
    </fill>
    <fill>
      <patternFill patternType="solid">
        <fgColor rgb="FF7F6000"/>
      </patternFill>
    </fill>
    <fill>
      <patternFill patternType="solid">
        <fgColor rgb="FFFF0000"/>
      </patternFill>
    </fill>
    <fill>
      <patternFill patternType="solid">
        <fgColor rgb="FFD9EAF7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8FBFE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8" fillId="11" borderId="0" xfId="0" applyFont="1" applyFill="1"/>
    <xf numFmtId="0" fontId="3" fillId="13" borderId="0" xfId="0" applyFont="1" applyFill="1"/>
    <xf numFmtId="4" fontId="0" fillId="0" borderId="0" xfId="0" applyNumberFormat="1"/>
    <xf numFmtId="0" fontId="11" fillId="11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2" fillId="0" borderId="0" xfId="0" applyFont="1"/>
    <xf numFmtId="0" fontId="13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4" fontId="12" fillId="14" borderId="0" xfId="0" applyNumberFormat="1" applyFont="1" applyFill="1" applyAlignment="1">
      <alignment horizontal="center" vertical="center" wrapText="1"/>
    </xf>
    <xf numFmtId="0" fontId="16" fillId="17" borderId="1" xfId="0" applyFont="1" applyFill="1" applyBorder="1" applyAlignment="1">
      <alignment horizontal="center"/>
    </xf>
    <xf numFmtId="0" fontId="7" fillId="10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 wrapText="1"/>
    </xf>
    <xf numFmtId="0" fontId="1" fillId="16" borderId="0" xfId="0" applyFont="1" applyFill="1" applyAlignment="1">
      <alignment horizontal="center" vertical="center"/>
    </xf>
    <xf numFmtId="0" fontId="8" fillId="0" borderId="0" xfId="0" applyFont="1" applyAlignment="1">
      <alignment horizontal="right"/>
    </xf>
    <xf numFmtId="0" fontId="0" fillId="15" borderId="0" xfId="0" applyFill="1"/>
    <xf numFmtId="164" fontId="0" fillId="15" borderId="0" xfId="0" applyNumberFormat="1" applyFill="1"/>
    <xf numFmtId="4" fontId="0" fillId="15" borderId="0" xfId="0" applyNumberFormat="1" applyFill="1"/>
    <xf numFmtId="0" fontId="10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/>
    <xf numFmtId="0" fontId="0" fillId="0" borderId="0" xfId="0" applyAlignment="1">
      <alignment wrapText="1"/>
    </xf>
    <xf numFmtId="0" fontId="3" fillId="5" borderId="0" xfId="0" applyFont="1" applyFill="1" applyAlignment="1">
      <alignment horizontal="center"/>
    </xf>
    <xf numFmtId="3" fontId="0" fillId="0" borderId="0" xfId="0" applyNumberFormat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1" fillId="8" borderId="0" xfId="0" applyFont="1" applyFill="1" applyAlignment="1">
      <alignment horizontal="center"/>
    </xf>
    <xf numFmtId="3" fontId="11" fillId="8" borderId="0" xfId="0" applyNumberFormat="1" applyFont="1" applyFill="1" applyAlignment="1">
      <alignment horizontal="center"/>
    </xf>
    <xf numFmtId="1" fontId="11" fillId="8" borderId="0" xfId="0" applyNumberFormat="1" applyFont="1" applyFill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Border="1" applyAlignment="1">
      <alignment horizontal="center" vertical="center"/>
    </xf>
    <xf numFmtId="1" fontId="19" fillId="0" borderId="0" xfId="0" applyNumberFormat="1" applyFont="1" applyFill="1" applyBorder="1" applyAlignment="1" applyProtection="1">
      <alignment horizontal="center" vertical="center"/>
      <protection locked="0"/>
    </xf>
    <xf numFmtId="20" fontId="19" fillId="0" borderId="0" xfId="0" applyNumberFormat="1" applyFont="1" applyFill="1" applyBorder="1" applyAlignment="1" applyProtection="1">
      <alignment horizontal="center" vertical="center"/>
      <protection locked="0"/>
    </xf>
    <xf numFmtId="9" fontId="5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43"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0B4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Cash vs Voucher – Day Wise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Cash Amount</c:v>
          </c:tx>
          <c:invertIfNegative val="1"/>
          <c:cat>
            <c:numRef>
              <c:f>Dashboard!$A$4:$A$34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Dashboard!$B$4:$B$34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7-485C-8B2D-3F36C5A6F3AF}"/>
            </c:ext>
          </c:extLst>
        </c:ser>
        <c:ser>
          <c:idx val="1"/>
          <c:order val="1"/>
          <c:tx>
            <c:v>Voucher Amount</c:v>
          </c:tx>
          <c:invertIfNegative val="1"/>
          <c:cat>
            <c:numRef>
              <c:f>Dashboard!$A$4:$A$34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Dashboard!$C$4:$C$34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7-485C-8B2D-3F36C5A6F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Approval Status Amount – Day Wise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3A-4E9C-B194-6DBCDC937B93}"/>
            </c:ext>
          </c:extLst>
        </c:ser>
        <c:ser>
          <c:idx val="1"/>
          <c:order val="1"/>
          <c:tx>
            <c:v>Valid Approval Amount</c:v>
          </c:tx>
          <c:invertIfNegative val="1"/>
          <c:cat>
            <c:numRef>
              <c:f>Dashboard!$A$4:$A$34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Dashboard!$E$4:$E$34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A-4E9C-B194-6DBCDC937B93}"/>
            </c:ext>
          </c:extLst>
        </c:ser>
        <c:ser>
          <c:idx val="2"/>
          <c:order val="2"/>
          <c:tx>
            <c:v>Limit Exceeded Amount</c:v>
          </c:tx>
          <c:invertIfNegative val="1"/>
          <c:cat>
            <c:numRef>
              <c:f>Dashboard!$A$4:$A$34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Dashboard!$F$4:$F$34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3A-4E9C-B194-6DBCDC93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Q9"/>
  <sheetViews>
    <sheetView showGridLines="0" workbookViewId="0">
      <selection activeCell="B4" sqref="B4"/>
    </sheetView>
  </sheetViews>
  <sheetFormatPr defaultRowHeight="14.25"/>
  <cols>
    <col min="1" max="1" width="10.625" style="16" bestFit="1" customWidth="1"/>
    <col min="2" max="2" width="12.375" style="16" bestFit="1" customWidth="1"/>
    <col min="3" max="3" width="9.625" style="16" bestFit="1" customWidth="1"/>
    <col min="4" max="5" width="8.75" style="16" bestFit="1" customWidth="1"/>
    <col min="6" max="6" width="12.5" style="16" bestFit="1" customWidth="1"/>
    <col min="7" max="7" width="10.625" style="16" bestFit="1" customWidth="1"/>
    <col min="8" max="8" width="3.25" style="16" bestFit="1" customWidth="1"/>
    <col min="9" max="9" width="10.25" style="16" bestFit="1" customWidth="1"/>
    <col min="10" max="10" width="6.375" style="16" bestFit="1" customWidth="1"/>
    <col min="11" max="11" width="11.625" style="16" bestFit="1" customWidth="1"/>
    <col min="12" max="12" width="10.875" style="16" bestFit="1" customWidth="1"/>
    <col min="13" max="13" width="11.25" style="16" bestFit="1" customWidth="1"/>
    <col min="14" max="14" width="10.875" style="16" bestFit="1" customWidth="1"/>
    <col min="15" max="15" width="5.5" style="16" bestFit="1" customWidth="1"/>
    <col min="16" max="16" width="8.625" style="16" bestFit="1" customWidth="1"/>
    <col min="17" max="17" width="7.125" style="16" bestFit="1" customWidth="1"/>
  </cols>
  <sheetData>
    <row r="1" spans="1:17" ht="30" customHeight="1">
      <c r="A1" s="21" t="s">
        <v>74</v>
      </c>
      <c r="B1" s="21"/>
      <c r="C1" s="21"/>
      <c r="D1" s="21"/>
      <c r="E1" s="21"/>
      <c r="F1" s="21"/>
      <c r="G1" s="21"/>
      <c r="H1" s="21"/>
      <c r="I1"/>
      <c r="J1"/>
      <c r="K1"/>
      <c r="L1"/>
      <c r="M1"/>
      <c r="N1"/>
      <c r="O1"/>
      <c r="P1"/>
      <c r="Q1"/>
    </row>
    <row r="3" spans="1:17">
      <c r="A3" s="14" t="s">
        <v>75</v>
      </c>
      <c r="B3" s="15">
        <v>1</v>
      </c>
    </row>
    <row r="4" spans="1:17">
      <c r="A4" s="14" t="s">
        <v>76</v>
      </c>
      <c r="B4" s="20" t="s">
        <v>4</v>
      </c>
    </row>
    <row r="5" spans="1:17">
      <c r="A5" s="14" t="s">
        <v>77</v>
      </c>
      <c r="B5" s="15" t="s">
        <v>86</v>
      </c>
    </row>
    <row r="8" spans="1:17">
      <c r="A8" s="17" t="s">
        <v>0</v>
      </c>
      <c r="B8" s="17" t="s">
        <v>1</v>
      </c>
      <c r="C8" s="17" t="s">
        <v>2</v>
      </c>
      <c r="D8" s="17" t="s">
        <v>3</v>
      </c>
      <c r="E8" s="17" t="s">
        <v>4</v>
      </c>
      <c r="F8" s="17" t="s">
        <v>5</v>
      </c>
      <c r="G8" s="17" t="s">
        <v>6</v>
      </c>
      <c r="H8" s="17" t="s">
        <v>7</v>
      </c>
      <c r="I8" s="17" t="s">
        <v>8</v>
      </c>
      <c r="J8" s="17" t="s">
        <v>9</v>
      </c>
      <c r="K8" s="17" t="s">
        <v>78</v>
      </c>
      <c r="L8" s="17" t="s">
        <v>18</v>
      </c>
      <c r="M8" s="17" t="s">
        <v>12</v>
      </c>
      <c r="N8" s="17" t="s">
        <v>13</v>
      </c>
      <c r="O8" s="17" t="s">
        <v>14</v>
      </c>
      <c r="P8" s="17" t="s">
        <v>15</v>
      </c>
      <c r="Q8" s="17" t="s">
        <v>16</v>
      </c>
    </row>
    <row r="9" spans="1:17" ht="42.75" customHeight="1">
      <c r="A9" s="18" t="str">
        <f ca="1">IF($B$5="","",IFERROR(INDEX(INDIRECT("'"&amp;$B$3&amp;"'!$A$2:$Q$201"),MATCH($B$5,INDIRECT("'"&amp;$B$3&amp;"'!"&amp;IF($B$4="Return Trx","$D$2:$D$201","$E$2:$E$201")),0),1),"Not Found"))</f>
        <v>Not Found</v>
      </c>
      <c r="B9" s="18" t="str">
        <f ca="1">IF($B$5="","",IFERROR(INDEX(INDIRECT("'"&amp;$B$3&amp;"'!$A$2:$Q$201"),MATCH($B$5,INDIRECT("'"&amp;$B$3&amp;"'!"&amp;IF($B$4="Return Trx","$D$2:$D$201","$E$2:$E$201")),0),2),"Not Found"))</f>
        <v>Not Found</v>
      </c>
      <c r="C9" s="18" t="str">
        <f ca="1">IF($B$5="","",IFERROR(INDEX(INDIRECT("'"&amp;$B$3&amp;"'!$A$2:$Q$201"),MATCH($B$5,INDIRECT("'"&amp;$B$3&amp;"'!"&amp;IF($B$4="Return Trx","$D$2:$D$201","$E$2:$E$201")),0),3),"Not Found"))</f>
        <v>Not Found</v>
      </c>
      <c r="D9" s="18" t="str">
        <f ca="1">IF($B$5="","",IFERROR(INDEX(INDIRECT("'"&amp;$B$3&amp;"'!$A$2:$Q$201"),MATCH($B$5,INDIRECT("'"&amp;$B$3&amp;"'!"&amp;IF($B$4="Return Trx","$D$2:$D$201","$E$2:$E$201")),0),4),"Not Found"))</f>
        <v>Not Found</v>
      </c>
      <c r="E9" s="18" t="str">
        <f ca="1">IF($B$5="","",IFERROR(INDEX(INDIRECT("'"&amp;$B$3&amp;"'!$A$2:$Q$201"),MATCH($B$5,INDIRECT("'"&amp;$B$3&amp;"'!"&amp;IF($B$4="Return Trx","$D$2:$D$201","$E$2:$E$201")),0),5),"Not Found"))</f>
        <v>Not Found</v>
      </c>
      <c r="F9" s="18" t="str">
        <f ca="1">IF($B$5="","",IFERROR(INDEX(INDIRECT("'"&amp;$B$3&amp;"'!$A$2:$Q$201"),MATCH($B$5,INDIRECT("'"&amp;$B$3&amp;"'!"&amp;IF($B$4="Return Trx","$D$2:$D$201","$E$2:$E$201")),0),6),"Not Found"))</f>
        <v>Not Found</v>
      </c>
      <c r="G9" s="18" t="str">
        <f ca="1">IF($B$5="","",IFERROR(INDEX(INDIRECT("'"&amp;$B$3&amp;"'!$A$2:$Q$201"),MATCH($B$5,INDIRECT("'"&amp;$B$3&amp;"'!"&amp;IF($B$4="Return Trx","$D$2:$D$201","$E$2:$E$201")),0),7),"Not Found"))</f>
        <v>Not Found</v>
      </c>
      <c r="H9" s="18" t="str">
        <f ca="1">IF($B$5="","",IFERROR(INDEX(INDIRECT("'"&amp;$B$3&amp;"'!$A$2:$Q$201"),MATCH($B$5,INDIRECT("'"&amp;$B$3&amp;"'!"&amp;IF($B$4="Return Trx","$D$2:$D$201","$E$2:$E$201")),0),8),"Not Found"))</f>
        <v>Not Found</v>
      </c>
      <c r="I9" s="19" t="str">
        <f ca="1">IF($B$5="","",IFERROR(INDEX(INDIRECT("'"&amp;$B$3&amp;"'!$A$2:$Q$201"),MATCH($B$5,INDIRECT("'"&amp;$B$3&amp;"'!"&amp;IF($B$4="Return Trx","$D$2:$D$201","$E$2:$E$201")),0),9),"Not Found"))</f>
        <v>Not Found</v>
      </c>
      <c r="J9" s="18" t="str">
        <f ca="1">IF($B$5="","",IFERROR(INDEX(INDIRECT("'"&amp;$B$3&amp;"'!$A$2:$Q$201"),MATCH($B$5,INDIRECT("'"&amp;$B$3&amp;"'!"&amp;IF($B$4="Return Trx","$D$2:$D$201","$E$2:$E$201")),0),10),"Not Found"))</f>
        <v>Not Found</v>
      </c>
      <c r="K9" s="18" t="str">
        <f ca="1">IF($B$5="","",IFERROR(INDEX(INDIRECT("'"&amp;$B$3&amp;"'!$A$2:$Q$201"),MATCH($B$5,INDIRECT("'"&amp;$B$3&amp;"'!"&amp;IF($B$4="Return Trx","$D$2:$D$201","$E$2:$E$201")),0),11),"Not Found"))</f>
        <v>Not Found</v>
      </c>
      <c r="L9" s="18" t="str">
        <f ca="1">IF($B$5="","",IFERROR(INDEX(INDIRECT("'"&amp;$B$3&amp;"'!$A$2:$Q$201"),MATCH($B$5,INDIRECT("'"&amp;$B$3&amp;"'!"&amp;IF($B$4="Return Trx","$D$2:$D$201","$E$2:$E$201")),0),12),"Not Found"))</f>
        <v>Not Found</v>
      </c>
      <c r="M9" s="18" t="str">
        <f ca="1">IF($B$5="","",IFERROR(INDEX(INDIRECT("'"&amp;$B$3&amp;"'!$A$2:$Q$201"),MATCH($B$5,INDIRECT("'"&amp;$B$3&amp;"'!"&amp;IF($B$4="Return Trx","$D$2:$D$201","$E$2:$E$201")),0),13),"Not Found"))</f>
        <v>Not Found</v>
      </c>
      <c r="N9" s="18" t="str">
        <f ca="1">IF($B$5="","",IFERROR(INDEX(INDIRECT("'"&amp;$B$3&amp;"'!$A$2:$Q$201"),MATCH($B$5,INDIRECT("'"&amp;$B$3&amp;"'!"&amp;IF($B$4="Return Trx","$D$2:$D$201","$E$2:$E$201")),0),14),"Not Found"))</f>
        <v>Not Found</v>
      </c>
      <c r="O9" s="18" t="str">
        <f ca="1">IF($B$5="","",IFERROR(INDEX(INDIRECT("'"&amp;$B$3&amp;"'!$A$2:$Q$201"),MATCH($B$5,INDIRECT("'"&amp;$B$3&amp;"'!"&amp;IF($B$4="Return Trx","$D$2:$D$201","$E$2:$E$201")),0),15),"Not Found"))</f>
        <v>Not Found</v>
      </c>
      <c r="P9" s="18" t="str">
        <f ca="1">IF($B$5="","",IFERROR(INDEX(INDIRECT("'"&amp;$B$3&amp;"'!$A$2:$Q$201"),MATCH($B$5,INDIRECT("'"&amp;$B$3&amp;"'!"&amp;IF($B$4="Return Trx","$D$2:$D$201","$E$2:$E$201")),0),16),"Not Found"))</f>
        <v>Not Found</v>
      </c>
      <c r="Q9" s="18" t="str">
        <f ca="1">IF($B$5="","",IFERROR(INDEX(INDIRECT("'"&amp;$B$3&amp;"'!$A$2:$Q$201"),MATCH($B$5,INDIRECT("'"&amp;$B$3&amp;"'!"&amp;IF($B$4="Return Trx","$D$2:$D$201","$E$2:$E$201")),0),17),"Not Found"))</f>
        <v>Not Found</v>
      </c>
    </row>
  </sheetData>
  <mergeCells count="1">
    <mergeCell ref="A1:H1"/>
  </mergeCells>
  <dataValidations disablePrompts="1" count="2">
    <dataValidation sqref="B3" xr:uid="{00000000-0002-0000-2200-000000000000}">
      <formula1>1</formula1>
      <formula2>31</formula2>
    </dataValidation>
    <dataValidation type="list" allowBlank="1" sqref="B4" xr:uid="{77E74B03-08FD-4634-B52A-F0958075D205}">
      <formula1>"Return trx,Trx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N38"/>
  <sheetViews>
    <sheetView showGridLines="0" workbookViewId="0">
      <selection activeCell="B9" sqref="B9"/>
    </sheetView>
  </sheetViews>
  <sheetFormatPr defaultRowHeight="14.25"/>
  <cols>
    <col min="1" max="1" width="8" customWidth="1"/>
    <col min="2" max="3" width="16" customWidth="1"/>
    <col min="4" max="4" width="18" customWidth="1"/>
    <col min="5" max="6" width="20" customWidth="1"/>
    <col min="7" max="7" width="17" customWidth="1"/>
    <col min="8" max="8" width="20" customWidth="1"/>
    <col min="9" max="9" width="13" customWidth="1"/>
    <col min="11" max="11" width="20" customWidth="1"/>
    <col min="12" max="12" width="16" customWidth="1"/>
  </cols>
  <sheetData>
    <row r="1" spans="1:14" ht="30" customHeight="1">
      <c r="A1" s="21" t="s">
        <v>55</v>
      </c>
      <c r="B1" s="21"/>
      <c r="C1" s="21"/>
      <c r="D1" s="21"/>
      <c r="E1" s="21"/>
      <c r="F1" s="21"/>
      <c r="G1" s="21"/>
      <c r="H1" s="21"/>
      <c r="I1" s="21"/>
      <c r="K1" s="23" t="s">
        <v>56</v>
      </c>
      <c r="L1" s="23"/>
      <c r="M1" s="23"/>
      <c r="N1" s="23"/>
    </row>
    <row r="2" spans="1:14">
      <c r="K2" s="23"/>
      <c r="L2" s="23"/>
      <c r="M2" s="23"/>
      <c r="N2" s="23"/>
    </row>
    <row r="3" spans="1:14" ht="32.1" customHeight="1">
      <c r="A3" s="34" t="s">
        <v>57</v>
      </c>
      <c r="B3" s="34" t="s">
        <v>58</v>
      </c>
      <c r="C3" s="34" t="s">
        <v>59</v>
      </c>
      <c r="D3" s="34" t="s">
        <v>60</v>
      </c>
      <c r="E3" s="34" t="s">
        <v>61</v>
      </c>
      <c r="F3" s="34" t="s">
        <v>62</v>
      </c>
      <c r="G3" s="34" t="s">
        <v>63</v>
      </c>
      <c r="H3" s="34" t="s">
        <v>64</v>
      </c>
      <c r="I3" s="34" t="s">
        <v>65</v>
      </c>
    </row>
    <row r="4" spans="1:14" ht="15">
      <c r="A4" s="35">
        <v>1</v>
      </c>
      <c r="B4" s="36">
        <f>SUMIF('1'!$N$2:$N$201,"CASH",'1'!$I$2:$I$201)</f>
        <v>0</v>
      </c>
      <c r="C4" s="36">
        <f>SUMIF('1'!$N$2:$N$201,"VOUCHER",'1'!$I$2:$I$201)</f>
        <v>0</v>
      </c>
      <c r="D4" s="36">
        <f>SUM('1'!$I$2:$I$201)</f>
        <v>0</v>
      </c>
      <c r="E4" s="36">
        <f>SUMIF('1'!$M$2:$M$201,"Valid Approval",'1'!$I$2:$I$201)</f>
        <v>0</v>
      </c>
      <c r="F4" s="36">
        <f>SUMIF('1'!$M$2:$M$201,"Limit Exceeded",'1'!$I$2:$I$201)</f>
        <v>0</v>
      </c>
      <c r="G4" s="37">
        <f>COUNTIF('1'!$M$2:$M$201,"Valid Approval")</f>
        <v>0</v>
      </c>
      <c r="H4" s="37">
        <f>COUNTIF('1'!$M$2:$M$201,"Limit Exceeded")</f>
        <v>0</v>
      </c>
      <c r="I4" s="37">
        <f>COUNTA('1'!$D$2:$D$201)</f>
        <v>0</v>
      </c>
      <c r="K4" s="12" t="s">
        <v>66</v>
      </c>
      <c r="L4" s="12" t="s">
        <v>67</v>
      </c>
    </row>
    <row r="5" spans="1:14">
      <c r="A5" s="35">
        <v>2</v>
      </c>
      <c r="B5" s="36">
        <f>SUMIF('2'!$N$2:$N$201,"CASH",'2'!$I$2:$I$201)</f>
        <v>0</v>
      </c>
      <c r="C5" s="36">
        <f>SUMIF('2'!$N$2:$N$201,"VOUCHER",'2'!$I$2:$I$201)</f>
        <v>0</v>
      </c>
      <c r="D5" s="36">
        <f>SUM('2'!$I$2:$I$201)</f>
        <v>0</v>
      </c>
      <c r="E5" s="36">
        <f>SUMIF('2'!$M$2:$M$201,"Valid Approval",'2'!$I$2:$I$201)</f>
        <v>0</v>
      </c>
      <c r="F5" s="36">
        <f>SUMIF('2'!$M$2:$M$201,"Limit Exceeded",'2'!$I$2:$I$201)</f>
        <v>0</v>
      </c>
      <c r="G5" s="37">
        <f>COUNTIF('2'!$M$2:$M$201,"Valid Approval")</f>
        <v>0</v>
      </c>
      <c r="H5" s="37">
        <f>COUNTIF('2'!$M$2:$M$201,"Limit Exceeded")</f>
        <v>0</v>
      </c>
      <c r="I5" s="37">
        <f>COUNTA('2'!$D$2:$D$201)</f>
        <v>0</v>
      </c>
      <c r="K5" t="s">
        <v>68</v>
      </c>
      <c r="L5" s="13">
        <f>B35</f>
        <v>0</v>
      </c>
    </row>
    <row r="6" spans="1:14">
      <c r="A6" s="35">
        <v>3</v>
      </c>
      <c r="B6" s="36">
        <f>SUMIF('3'!$N$2:$N$201,"CASH",'3'!$I$2:$I$201)</f>
        <v>0</v>
      </c>
      <c r="C6" s="36">
        <f>SUMIF('3'!$N$2:$N$201,"VOUCHER",'3'!$I$2:$I$201)</f>
        <v>0</v>
      </c>
      <c r="D6" s="36">
        <f>SUM('3'!$I$2:$I$201)</f>
        <v>0</v>
      </c>
      <c r="E6" s="36">
        <f>SUMIF('3'!$M$2:$M$201,"Valid Approval",'3'!$I$2:$I$201)</f>
        <v>0</v>
      </c>
      <c r="F6" s="36">
        <f>SUMIF('3'!$M$2:$M$201,"Limit Exceeded",'3'!$I$2:$I$201)</f>
        <v>0</v>
      </c>
      <c r="G6" s="37">
        <f>COUNTIF('3'!$M$2:$M$201,"Valid Approval")</f>
        <v>0</v>
      </c>
      <c r="H6" s="37">
        <f>COUNTIF('3'!$M$2:$M$201,"Limit Exceeded")</f>
        <v>0</v>
      </c>
      <c r="I6" s="37">
        <f>COUNTA('3'!$D$2:$D$201)</f>
        <v>0</v>
      </c>
      <c r="K6" t="s">
        <v>69</v>
      </c>
      <c r="L6" s="13">
        <f>C35</f>
        <v>0</v>
      </c>
    </row>
    <row r="7" spans="1:14">
      <c r="A7" s="35">
        <v>4</v>
      </c>
      <c r="B7" s="36">
        <f>SUMIF('4'!$N$2:$N$201,"CASH",'4'!$I$2:$I$201)</f>
        <v>0</v>
      </c>
      <c r="C7" s="36">
        <f>SUMIF('4'!$N$2:$N$201,"VOUCHER",'4'!$I$2:$I$201)</f>
        <v>0</v>
      </c>
      <c r="D7" s="36">
        <f>SUM('4'!$I$2:$I$201)</f>
        <v>0</v>
      </c>
      <c r="E7" s="36">
        <f>SUMIF('4'!$M$2:$M$201,"Valid Approval",'4'!$I$2:$I$201)</f>
        <v>0</v>
      </c>
      <c r="F7" s="36">
        <f>SUMIF('4'!$M$2:$M$201,"Limit Exceeded",'4'!$I$2:$I$201)</f>
        <v>0</v>
      </c>
      <c r="G7" s="37">
        <f>COUNTIF('4'!$M$2:$M$201,"Valid Approval")</f>
        <v>0</v>
      </c>
      <c r="H7" s="37">
        <f>COUNTIF('4'!$M$2:$M$201,"Limit Exceeded")</f>
        <v>0</v>
      </c>
      <c r="I7" s="37">
        <f>COUNTA('4'!$D$2:$D$201)</f>
        <v>0</v>
      </c>
      <c r="K7" t="s">
        <v>70</v>
      </c>
      <c r="L7" s="13">
        <f>E35</f>
        <v>0</v>
      </c>
    </row>
    <row r="8" spans="1:14">
      <c r="A8" s="35">
        <v>5</v>
      </c>
      <c r="B8" s="36">
        <f>SUMIF('5'!$N$2:$N$201,"CASH",'5'!$I$2:$I$201)</f>
        <v>0</v>
      </c>
      <c r="C8" s="36">
        <f>SUMIF('5'!$N$2:$N$201,"VOUCHER",'5'!$I$2:$I$201)</f>
        <v>0</v>
      </c>
      <c r="D8" s="36">
        <f>SUM('5'!$I$2:$I$201)</f>
        <v>0</v>
      </c>
      <c r="E8" s="36">
        <f>SUMIF('5'!$M$2:$M$201,"Valid Approval",'5'!$I$2:$I$201)</f>
        <v>0</v>
      </c>
      <c r="F8" s="36">
        <f>SUMIF('5'!$M$2:$M$201,"Limit Exceeded",'5'!$I$2:$I$201)</f>
        <v>0</v>
      </c>
      <c r="G8" s="37">
        <f>COUNTIF('5'!$M$2:$M$201,"Valid Approval")</f>
        <v>0</v>
      </c>
      <c r="H8" s="37">
        <f>COUNTIF('5'!$M$2:$M$201,"Limit Exceeded")</f>
        <v>0</v>
      </c>
      <c r="I8" s="37">
        <f>COUNTA('5'!$D$2:$D$201)</f>
        <v>0</v>
      </c>
      <c r="K8" t="s">
        <v>71</v>
      </c>
      <c r="L8" s="13">
        <f>F35</f>
        <v>0</v>
      </c>
    </row>
    <row r="9" spans="1:14">
      <c r="A9" s="35">
        <v>6</v>
      </c>
      <c r="B9" s="36">
        <f>SUMIF('6'!$N$2:$N$201,"CASH",'6'!$I$2:$I$201)</f>
        <v>0</v>
      </c>
      <c r="C9" s="36">
        <f>SUMIF('6'!$N$2:$N$201,"VOUCHER",'6'!$I$2:$I$201)</f>
        <v>0</v>
      </c>
      <c r="D9" s="36">
        <f>SUM('6'!$I$2:$I$201)</f>
        <v>0</v>
      </c>
      <c r="E9" s="36">
        <f>SUMIF('6'!$M$2:$M$201,"Valid Approval",'6'!$I$2:$I$201)</f>
        <v>0</v>
      </c>
      <c r="F9" s="36">
        <f>SUMIF('6'!$M$2:$M$201,"Limit Exceeded",'6'!$I$2:$I$201)</f>
        <v>0</v>
      </c>
      <c r="G9" s="37">
        <f>COUNTIF('6'!$M$2:$M$201,"Valid Approval")</f>
        <v>0</v>
      </c>
      <c r="H9" s="37">
        <f>COUNTIF('6'!$M$2:$M$201,"Limit Exceeded")</f>
        <v>0</v>
      </c>
      <c r="I9" s="37">
        <f>COUNTA('6'!$D$2:$D$201)</f>
        <v>0</v>
      </c>
    </row>
    <row r="10" spans="1:14">
      <c r="A10" s="35">
        <v>7</v>
      </c>
      <c r="B10" s="36">
        <f>SUMIF('7'!$N$2:$N$201,"CASH",'7'!$I$2:$I$201)</f>
        <v>0</v>
      </c>
      <c r="C10" s="36">
        <f>SUMIF('7'!$N$2:$N$201,"VOUCHER",'7'!$I$2:$I$201)</f>
        <v>0</v>
      </c>
      <c r="D10" s="36">
        <f>SUM('7'!$I$2:$I$201)</f>
        <v>0</v>
      </c>
      <c r="E10" s="36">
        <f>SUMIF('7'!$M$2:$M$201,"Valid Approval",'7'!$I$2:$I$201)</f>
        <v>0</v>
      </c>
      <c r="F10" s="36">
        <f>SUMIF('7'!$M$2:$M$201,"Limit Exceeded",'7'!$I$2:$I$201)</f>
        <v>0</v>
      </c>
      <c r="G10" s="37">
        <f>COUNTIF('7'!$M$2:$M$201,"Valid Approval")</f>
        <v>0</v>
      </c>
      <c r="H10" s="37">
        <f>COUNTIF('7'!$M$2:$M$201,"Limit Exceeded")</f>
        <v>0</v>
      </c>
      <c r="I10" s="37">
        <f>COUNTA('7'!$D$2:$D$201)</f>
        <v>0</v>
      </c>
    </row>
    <row r="11" spans="1:14">
      <c r="A11" s="35">
        <v>8</v>
      </c>
      <c r="B11" s="36">
        <f>SUMIF('8'!$N$2:$N$201,"CASH",'8'!$I$2:$I$201)</f>
        <v>0</v>
      </c>
      <c r="C11" s="36">
        <f>SUMIF('8'!$N$2:$N$201,"VOUCHER",'8'!$I$2:$I$201)</f>
        <v>0</v>
      </c>
      <c r="D11" s="36">
        <f>SUM('8'!$I$2:$I$201)</f>
        <v>0</v>
      </c>
      <c r="E11" s="36">
        <f>SUMIF('8'!$M$2:$M$201,"Valid Approval",'8'!$I$2:$I$201)</f>
        <v>0</v>
      </c>
      <c r="F11" s="36">
        <f>SUMIF('8'!$M$2:$M$201,"Limit Exceeded",'8'!$I$2:$I$201)</f>
        <v>0</v>
      </c>
      <c r="G11" s="37">
        <f>COUNTIF('8'!$M$2:$M$201,"Valid Approval")</f>
        <v>0</v>
      </c>
      <c r="H11" s="37">
        <f>COUNTIF('8'!$M$2:$M$201,"Limit Exceeded")</f>
        <v>0</v>
      </c>
      <c r="I11" s="37">
        <f>COUNTA('8'!$D$2:$D$201)</f>
        <v>0</v>
      </c>
    </row>
    <row r="12" spans="1:14">
      <c r="A12" s="35">
        <v>9</v>
      </c>
      <c r="B12" s="36">
        <f>SUMIF('9'!$N$2:$N$201,"CASH",'9'!$I$2:$I$201)</f>
        <v>0</v>
      </c>
      <c r="C12" s="36">
        <f>SUMIF('9'!$N$2:$N$201,"VOUCHER",'9'!$I$2:$I$201)</f>
        <v>0</v>
      </c>
      <c r="D12" s="36">
        <f>SUM('9'!$I$2:$I$201)</f>
        <v>0</v>
      </c>
      <c r="E12" s="36">
        <f>SUMIF('9'!$M$2:$M$201,"Valid Approval",'9'!$I$2:$I$201)</f>
        <v>0</v>
      </c>
      <c r="F12" s="36">
        <f>SUMIF('9'!$M$2:$M$201,"Limit Exceeded",'9'!$I$2:$I$201)</f>
        <v>0</v>
      </c>
      <c r="G12" s="37">
        <f>COUNTIF('9'!$M$2:$M$201,"Valid Approval")</f>
        <v>0</v>
      </c>
      <c r="H12" s="37">
        <f>COUNTIF('9'!$M$2:$M$201,"Limit Exceeded")</f>
        <v>0</v>
      </c>
      <c r="I12" s="37">
        <f>COUNTA('9'!$D$2:$D$201)</f>
        <v>0</v>
      </c>
    </row>
    <row r="13" spans="1:14">
      <c r="A13" s="35">
        <v>10</v>
      </c>
      <c r="B13" s="36">
        <f>SUMIF('10'!$N$2:$N$201,"CASH",'10'!$I$2:$I$201)</f>
        <v>0</v>
      </c>
      <c r="C13" s="36">
        <f>SUMIF('10'!$N$2:$N$201,"VOUCHER",'10'!$I$2:$I$201)</f>
        <v>0</v>
      </c>
      <c r="D13" s="36">
        <f>SUM('10'!$I$2:$I$201)</f>
        <v>0</v>
      </c>
      <c r="E13" s="36">
        <f>SUMIF('10'!$M$2:$M$201,"Valid Approval",'10'!$I$2:$I$201)</f>
        <v>0</v>
      </c>
      <c r="F13" s="36">
        <f>SUMIF('10'!$M$2:$M$201,"Limit Exceeded",'10'!$I$2:$I$201)</f>
        <v>0</v>
      </c>
      <c r="G13" s="37">
        <f>COUNTIF('10'!$M$2:$M$201,"Valid Approval")</f>
        <v>0</v>
      </c>
      <c r="H13" s="37">
        <f>COUNTIF('10'!$M$2:$M$201,"Limit Exceeded")</f>
        <v>0</v>
      </c>
      <c r="I13" s="37">
        <f>COUNTA('10'!$D$2:$D$201)</f>
        <v>0</v>
      </c>
    </row>
    <row r="14" spans="1:14">
      <c r="A14" s="35">
        <v>11</v>
      </c>
      <c r="B14" s="36">
        <f>SUMIF('11'!$N$2:$N$201,"CASH",'11'!$I$2:$I$201)</f>
        <v>0</v>
      </c>
      <c r="C14" s="36">
        <f>SUMIF('11'!$N$2:$N$201,"VOUCHER",'11'!$I$2:$I$201)</f>
        <v>0</v>
      </c>
      <c r="D14" s="36">
        <f>SUM('11'!$I$2:$I$201)</f>
        <v>0</v>
      </c>
      <c r="E14" s="36">
        <f>SUMIF('11'!$M$2:$M$201,"Valid Approval",'11'!$I$2:$I$201)</f>
        <v>0</v>
      </c>
      <c r="F14" s="36">
        <f>SUMIF('11'!$M$2:$M$201,"Limit Exceeded",'11'!$I$2:$I$201)</f>
        <v>0</v>
      </c>
      <c r="G14" s="37">
        <f>COUNTIF('11'!$M$2:$M$201,"Valid Approval")</f>
        <v>0</v>
      </c>
      <c r="H14" s="37">
        <f>COUNTIF('11'!$M$2:$M$201,"Limit Exceeded")</f>
        <v>0</v>
      </c>
      <c r="I14" s="37">
        <f>COUNTA('11'!$D$2:$D$201)</f>
        <v>0</v>
      </c>
    </row>
    <row r="15" spans="1:14">
      <c r="A15" s="35">
        <v>12</v>
      </c>
      <c r="B15" s="36">
        <f>SUMIF('12'!$N$2:$N$201,"CASH",'12'!$I$2:$I$201)</f>
        <v>0</v>
      </c>
      <c r="C15" s="36">
        <f>SUMIF('12'!$N$2:$N$201,"VOUCHER",'12'!$I$2:$I$201)</f>
        <v>0</v>
      </c>
      <c r="D15" s="36">
        <f>SUM('12'!$I$2:$I$201)</f>
        <v>0</v>
      </c>
      <c r="E15" s="36">
        <f>SUMIF('12'!$M$2:$M$201,"Valid Approval",'12'!$I$2:$I$201)</f>
        <v>0</v>
      </c>
      <c r="F15" s="36">
        <f>SUMIF('12'!$M$2:$M$201,"Limit Exceeded",'12'!$I$2:$I$201)</f>
        <v>0</v>
      </c>
      <c r="G15" s="37">
        <f>COUNTIF('12'!$M$2:$M$201,"Valid Approval")</f>
        <v>0</v>
      </c>
      <c r="H15" s="37">
        <f>COUNTIF('12'!$M$2:$M$201,"Limit Exceeded")</f>
        <v>0</v>
      </c>
      <c r="I15" s="37">
        <f>COUNTA('12'!$D$2:$D$201)</f>
        <v>0</v>
      </c>
    </row>
    <row r="16" spans="1:14">
      <c r="A16" s="35">
        <v>13</v>
      </c>
      <c r="B16" s="36">
        <f>SUMIF('13'!$N$2:$N$201,"CASH",'13'!$I$2:$I$201)</f>
        <v>0</v>
      </c>
      <c r="C16" s="36">
        <f>SUMIF('13'!$N$2:$N$201,"VOUCHER",'13'!$I$2:$I$201)</f>
        <v>0</v>
      </c>
      <c r="D16" s="36">
        <f>SUM('13'!$I$2:$I$201)</f>
        <v>0</v>
      </c>
      <c r="E16" s="36">
        <f>SUMIF('13'!$M$2:$M$201,"Valid Approval",'13'!$I$2:$I$201)</f>
        <v>0</v>
      </c>
      <c r="F16" s="36">
        <f>SUMIF('13'!$M$2:$M$201,"Limit Exceeded",'13'!$I$2:$I$201)</f>
        <v>0</v>
      </c>
      <c r="G16" s="37">
        <f>COUNTIF('13'!$M$2:$M$201,"Valid Approval")</f>
        <v>0</v>
      </c>
      <c r="H16" s="37">
        <f>COUNTIF('13'!$M$2:$M$201,"Limit Exceeded")</f>
        <v>0</v>
      </c>
      <c r="I16" s="37">
        <f>COUNTA('13'!$D$2:$D$201)</f>
        <v>0</v>
      </c>
    </row>
    <row r="17" spans="1:9">
      <c r="A17" s="35">
        <v>14</v>
      </c>
      <c r="B17" s="36">
        <f>SUMIF('14'!$N$2:$N$201,"CASH",'14'!$I$2:$I$201)</f>
        <v>0</v>
      </c>
      <c r="C17" s="36">
        <f>SUMIF('14'!$N$2:$N$201,"VOUCHER",'14'!$I$2:$I$201)</f>
        <v>0</v>
      </c>
      <c r="D17" s="36">
        <f>SUM('14'!$I$2:$I$201)</f>
        <v>0</v>
      </c>
      <c r="E17" s="36">
        <f>SUMIF('14'!$M$2:$M$201,"Valid Approval",'14'!$I$2:$I$201)</f>
        <v>0</v>
      </c>
      <c r="F17" s="36">
        <f>SUMIF('14'!$M$2:$M$201,"Limit Exceeded",'14'!$I$2:$I$201)</f>
        <v>0</v>
      </c>
      <c r="G17" s="37">
        <f>COUNTIF('14'!$M$2:$M$201,"Valid Approval")</f>
        <v>0</v>
      </c>
      <c r="H17" s="37">
        <f>COUNTIF('14'!$M$2:$M$201,"Limit Exceeded")</f>
        <v>0</v>
      </c>
      <c r="I17" s="37">
        <f>COUNTA('14'!$D$2:$D$201)</f>
        <v>0</v>
      </c>
    </row>
    <row r="18" spans="1:9">
      <c r="A18" s="35">
        <v>15</v>
      </c>
      <c r="B18" s="36">
        <f>SUMIF('15'!$N$2:$N$201,"CASH",'15'!$I$2:$I$201)</f>
        <v>0</v>
      </c>
      <c r="C18" s="36">
        <f>SUMIF('15'!$N$2:$N$201,"VOUCHER",'15'!$I$2:$I$201)</f>
        <v>0</v>
      </c>
      <c r="D18" s="36">
        <f>SUM('15'!$I$2:$I$201)</f>
        <v>0</v>
      </c>
      <c r="E18" s="36">
        <f>SUMIF('15'!$M$2:$M$201,"Valid Approval",'15'!$I$2:$I$201)</f>
        <v>0</v>
      </c>
      <c r="F18" s="36">
        <f>SUMIF('15'!$M$2:$M$201,"Limit Exceeded",'15'!$I$2:$I$201)</f>
        <v>0</v>
      </c>
      <c r="G18" s="37">
        <f>COUNTIF('15'!$M$2:$M$201,"Valid Approval")</f>
        <v>0</v>
      </c>
      <c r="H18" s="37">
        <f>COUNTIF('15'!$M$2:$M$201,"Limit Exceeded")</f>
        <v>0</v>
      </c>
      <c r="I18" s="37">
        <f>COUNTA('15'!$D$2:$D$201)</f>
        <v>0</v>
      </c>
    </row>
    <row r="19" spans="1:9">
      <c r="A19" s="35">
        <v>16</v>
      </c>
      <c r="B19" s="36">
        <f>SUMIF('16'!$N$2:$N$201,"CASH",'16'!$I$2:$I$201)</f>
        <v>0</v>
      </c>
      <c r="C19" s="36">
        <f>SUMIF('16'!$N$2:$N$201,"VOUCHER",'16'!$I$2:$I$201)</f>
        <v>0</v>
      </c>
      <c r="D19" s="36">
        <f>SUM('16'!$I$2:$I$201)</f>
        <v>0</v>
      </c>
      <c r="E19" s="36">
        <f>SUMIF('16'!$M$2:$M$201,"Valid Approval",'16'!$I$2:$I$201)</f>
        <v>0</v>
      </c>
      <c r="F19" s="36">
        <f>SUMIF('16'!$M$2:$M$201,"Limit Exceeded",'16'!$I$2:$I$201)</f>
        <v>0</v>
      </c>
      <c r="G19" s="37">
        <f>COUNTIF('16'!$M$2:$M$201,"Valid Approval")</f>
        <v>0</v>
      </c>
      <c r="H19" s="37">
        <f>COUNTIF('16'!$M$2:$M$201,"Limit Exceeded")</f>
        <v>0</v>
      </c>
      <c r="I19" s="37">
        <f>COUNTA('16'!$D$2:$D$201)</f>
        <v>0</v>
      </c>
    </row>
    <row r="20" spans="1:9">
      <c r="A20" s="35">
        <v>17</v>
      </c>
      <c r="B20" s="36">
        <f>SUMIF('17'!$N$2:$N$201,"CASH",'17'!$I$2:$I$201)</f>
        <v>0</v>
      </c>
      <c r="C20" s="36">
        <f>SUMIF('17'!$N$2:$N$201,"VOUCHER",'17'!$I$2:$I$201)</f>
        <v>0</v>
      </c>
      <c r="D20" s="36">
        <f>SUM('17'!$I$2:$I$201)</f>
        <v>0</v>
      </c>
      <c r="E20" s="36">
        <f>SUMIF('17'!$M$2:$M$201,"Valid Approval",'17'!$I$2:$I$201)</f>
        <v>0</v>
      </c>
      <c r="F20" s="36">
        <f>SUMIF('17'!$M$2:$M$201,"Limit Exceeded",'17'!$I$2:$I$201)</f>
        <v>0</v>
      </c>
      <c r="G20" s="37">
        <f>COUNTIF('17'!$M$2:$M$201,"Valid Approval")</f>
        <v>0</v>
      </c>
      <c r="H20" s="37">
        <f>COUNTIF('17'!$M$2:$M$201,"Limit Exceeded")</f>
        <v>0</v>
      </c>
      <c r="I20" s="37">
        <f>COUNTA('17'!$D$2:$D$201)</f>
        <v>0</v>
      </c>
    </row>
    <row r="21" spans="1:9">
      <c r="A21" s="35">
        <v>18</v>
      </c>
      <c r="B21" s="36">
        <f>SUMIF('18'!$N$2:$N$201,"CASH",'18'!$I$2:$I$201)</f>
        <v>0</v>
      </c>
      <c r="C21" s="36">
        <f>SUMIF('18'!$N$2:$N$201,"VOUCHER",'18'!$I$2:$I$201)</f>
        <v>0</v>
      </c>
      <c r="D21" s="36">
        <f>SUM('18'!$I$2:$I$201)</f>
        <v>0</v>
      </c>
      <c r="E21" s="36">
        <f>SUMIF('18'!$M$2:$M$201,"Valid Approval",'18'!$I$2:$I$201)</f>
        <v>0</v>
      </c>
      <c r="F21" s="36">
        <f>SUMIF('18'!$M$2:$M$201,"Limit Exceeded",'18'!$I$2:$I$201)</f>
        <v>0</v>
      </c>
      <c r="G21" s="37">
        <f>COUNTIF('18'!$M$2:$M$201,"Valid Approval")</f>
        <v>0</v>
      </c>
      <c r="H21" s="37">
        <f>COUNTIF('18'!$M$2:$M$201,"Limit Exceeded")</f>
        <v>0</v>
      </c>
      <c r="I21" s="37">
        <f>COUNTA('18'!$D$2:$D$201)</f>
        <v>0</v>
      </c>
    </row>
    <row r="22" spans="1:9">
      <c r="A22" s="35">
        <v>19</v>
      </c>
      <c r="B22" s="36">
        <f>SUMIF('19'!$N$2:$N$201,"CASH",'19'!$I$2:$I$201)</f>
        <v>0</v>
      </c>
      <c r="C22" s="36">
        <f>SUMIF('19'!$N$2:$N$201,"VOUCHER",'19'!$I$2:$I$201)</f>
        <v>0</v>
      </c>
      <c r="D22" s="36">
        <f>SUM('19'!$I$2:$I$201)</f>
        <v>0</v>
      </c>
      <c r="E22" s="36">
        <f>SUMIF('19'!$M$2:$M$201,"Valid Approval",'19'!$I$2:$I$201)</f>
        <v>0</v>
      </c>
      <c r="F22" s="36">
        <f>SUMIF('19'!$M$2:$M$201,"Limit Exceeded",'19'!$I$2:$I$201)</f>
        <v>0</v>
      </c>
      <c r="G22" s="37">
        <f>COUNTIF('19'!$M$2:$M$201,"Valid Approval")</f>
        <v>0</v>
      </c>
      <c r="H22" s="37">
        <f>COUNTIF('19'!$M$2:$M$201,"Limit Exceeded")</f>
        <v>0</v>
      </c>
      <c r="I22" s="37">
        <f>COUNTA('19'!$D$2:$D$201)</f>
        <v>0</v>
      </c>
    </row>
    <row r="23" spans="1:9">
      <c r="A23" s="35">
        <v>20</v>
      </c>
      <c r="B23" s="36">
        <f>SUMIF('20'!$N$2:$N$201,"CASH",'20'!$I$2:$I$201)</f>
        <v>0</v>
      </c>
      <c r="C23" s="36">
        <f>SUMIF('20'!$N$2:$N$201,"VOUCHER",'20'!$I$2:$I$201)</f>
        <v>0</v>
      </c>
      <c r="D23" s="36">
        <f>SUM('20'!$I$2:$I$201)</f>
        <v>0</v>
      </c>
      <c r="E23" s="36">
        <f>SUMIF('20'!$M$2:$M$201,"Valid Approval",'20'!$I$2:$I$201)</f>
        <v>0</v>
      </c>
      <c r="F23" s="36">
        <f>SUMIF('20'!$M$2:$M$201,"Limit Exceeded",'20'!$I$2:$I$201)</f>
        <v>0</v>
      </c>
      <c r="G23" s="37">
        <f>COUNTIF('20'!$M$2:$M$201,"Valid Approval")</f>
        <v>0</v>
      </c>
      <c r="H23" s="37">
        <f>COUNTIF('20'!$M$2:$M$201,"Limit Exceeded")</f>
        <v>0</v>
      </c>
      <c r="I23" s="37">
        <f>COUNTA('20'!$D$2:$D$201)</f>
        <v>0</v>
      </c>
    </row>
    <row r="24" spans="1:9">
      <c r="A24" s="35">
        <v>21</v>
      </c>
      <c r="B24" s="36">
        <f>SUMIF('21'!$N$2:$N$201,"CASH",'21'!$I$2:$I$201)</f>
        <v>0</v>
      </c>
      <c r="C24" s="36">
        <f>SUMIF('21'!$N$2:$N$201,"VOUCHER",'21'!$I$2:$I$201)</f>
        <v>0</v>
      </c>
      <c r="D24" s="36">
        <f>SUM('21'!$I$2:$I$201)</f>
        <v>0</v>
      </c>
      <c r="E24" s="36">
        <f>SUMIF('21'!$M$2:$M$201,"Valid Approval",'21'!$I$2:$I$201)</f>
        <v>0</v>
      </c>
      <c r="F24" s="36">
        <f>SUMIF('21'!$M$2:$M$201,"Limit Exceeded",'21'!$I$2:$I$201)</f>
        <v>0</v>
      </c>
      <c r="G24" s="37">
        <f>COUNTIF('21'!$M$2:$M$201,"Valid Approval")</f>
        <v>0</v>
      </c>
      <c r="H24" s="37">
        <f>COUNTIF('21'!$M$2:$M$201,"Limit Exceeded")</f>
        <v>0</v>
      </c>
      <c r="I24" s="37">
        <f>COUNTA('21'!$D$2:$D$201)</f>
        <v>0</v>
      </c>
    </row>
    <row r="25" spans="1:9">
      <c r="A25" s="35">
        <v>22</v>
      </c>
      <c r="B25" s="36">
        <f>SUMIF('22'!$N$2:$N$201,"CASH",'22'!$I$2:$I$201)</f>
        <v>0</v>
      </c>
      <c r="C25" s="36">
        <f>SUMIF('22'!$N$2:$N$201,"VOUCHER",'22'!$I$2:$I$201)</f>
        <v>0</v>
      </c>
      <c r="D25" s="36">
        <f>SUM('22'!$I$2:$I$201)</f>
        <v>0</v>
      </c>
      <c r="E25" s="36">
        <f>SUMIF('22'!$M$2:$M$201,"Valid Approval",'22'!$I$2:$I$201)</f>
        <v>0</v>
      </c>
      <c r="F25" s="36">
        <f>SUMIF('22'!$M$2:$M$201,"Limit Exceeded",'22'!$I$2:$I$201)</f>
        <v>0</v>
      </c>
      <c r="G25" s="37">
        <f>COUNTIF('22'!$M$2:$M$201,"Valid Approval")</f>
        <v>0</v>
      </c>
      <c r="H25" s="37">
        <f>COUNTIF('22'!$M$2:$M$201,"Limit Exceeded")</f>
        <v>0</v>
      </c>
      <c r="I25" s="37">
        <f>COUNTA('22'!$D$2:$D$201)</f>
        <v>0</v>
      </c>
    </row>
    <row r="26" spans="1:9">
      <c r="A26" s="35">
        <v>23</v>
      </c>
      <c r="B26" s="36">
        <f>SUMIF('23'!$N$2:$N$201,"CASH",'23'!$I$2:$I$201)</f>
        <v>0</v>
      </c>
      <c r="C26" s="36">
        <f>SUMIF('23'!$N$2:$N$201,"VOUCHER",'23'!$I$2:$I$201)</f>
        <v>0</v>
      </c>
      <c r="D26" s="36">
        <f>SUM('23'!$I$2:$I$201)</f>
        <v>0</v>
      </c>
      <c r="E26" s="36">
        <f>SUMIF('23'!$M$2:$M$201,"Valid Approval",'23'!$I$2:$I$201)</f>
        <v>0</v>
      </c>
      <c r="F26" s="36">
        <f>SUMIF('23'!$M$2:$M$201,"Limit Exceeded",'23'!$I$2:$I$201)</f>
        <v>0</v>
      </c>
      <c r="G26" s="37">
        <f>COUNTIF('23'!$M$2:$M$201,"Valid Approval")</f>
        <v>0</v>
      </c>
      <c r="H26" s="37">
        <f>COUNTIF('23'!$M$2:$M$201,"Limit Exceeded")</f>
        <v>0</v>
      </c>
      <c r="I26" s="37">
        <f>COUNTA('23'!$D$2:$D$201)</f>
        <v>0</v>
      </c>
    </row>
    <row r="27" spans="1:9">
      <c r="A27" s="35">
        <v>24</v>
      </c>
      <c r="B27" s="36">
        <f>SUMIF('24'!$N$2:$N$201,"CASH",'24'!$I$2:$I$201)</f>
        <v>0</v>
      </c>
      <c r="C27" s="36">
        <f>SUMIF('24'!$N$2:$N$201,"VOUCHER",'24'!$I$2:$I$201)</f>
        <v>0</v>
      </c>
      <c r="D27" s="36">
        <f>SUM('24'!$I$2:$I$201)</f>
        <v>0</v>
      </c>
      <c r="E27" s="36">
        <f>SUMIF('24'!$M$2:$M$201,"Valid Approval",'24'!$I$2:$I$201)</f>
        <v>0</v>
      </c>
      <c r="F27" s="36">
        <f>SUMIF('24'!$M$2:$M$201,"Limit Exceeded",'24'!$I$2:$I$201)</f>
        <v>0</v>
      </c>
      <c r="G27" s="37">
        <f>COUNTIF('24'!$M$2:$M$201,"Valid Approval")</f>
        <v>0</v>
      </c>
      <c r="H27" s="37">
        <f>COUNTIF('24'!$M$2:$M$201,"Limit Exceeded")</f>
        <v>0</v>
      </c>
      <c r="I27" s="37">
        <f>COUNTA('24'!$D$2:$D$201)</f>
        <v>0</v>
      </c>
    </row>
    <row r="28" spans="1:9">
      <c r="A28" s="35">
        <v>25</v>
      </c>
      <c r="B28" s="36">
        <f>SUMIF('25'!$N$2:$N$201,"CASH",'25'!$I$2:$I$201)</f>
        <v>0</v>
      </c>
      <c r="C28" s="36">
        <f>SUMIF('25'!$N$2:$N$201,"VOUCHER",'25'!$I$2:$I$201)</f>
        <v>0</v>
      </c>
      <c r="D28" s="36">
        <f>SUM('25'!$I$2:$I$201)</f>
        <v>0</v>
      </c>
      <c r="E28" s="36">
        <f>SUMIF('25'!$M$2:$M$201,"Valid Approval",'25'!$I$2:$I$201)</f>
        <v>0</v>
      </c>
      <c r="F28" s="36">
        <f>SUMIF('25'!$M$2:$M$201,"Limit Exceeded",'25'!$I$2:$I$201)</f>
        <v>0</v>
      </c>
      <c r="G28" s="37">
        <f>COUNTIF('25'!$M$2:$M$201,"Valid Approval")</f>
        <v>0</v>
      </c>
      <c r="H28" s="37">
        <f>COUNTIF('25'!$M$2:$M$201,"Limit Exceeded")</f>
        <v>0</v>
      </c>
      <c r="I28" s="37">
        <f>COUNTA('25'!$D$2:$D$201)</f>
        <v>0</v>
      </c>
    </row>
    <row r="29" spans="1:9">
      <c r="A29" s="35">
        <v>26</v>
      </c>
      <c r="B29" s="36">
        <f>SUMIF('26'!$N$2:$N$201,"CASH",'26'!$I$2:$I$201)</f>
        <v>0</v>
      </c>
      <c r="C29" s="36">
        <f>SUMIF('26'!$N$2:$N$201,"VOUCHER",'26'!$I$2:$I$201)</f>
        <v>0</v>
      </c>
      <c r="D29" s="36">
        <f>SUM('26'!$I$2:$I$201)</f>
        <v>0</v>
      </c>
      <c r="E29" s="36">
        <f>SUMIF('26'!$M$2:$M$201,"Valid Approval",'26'!$I$2:$I$201)</f>
        <v>0</v>
      </c>
      <c r="F29" s="36">
        <f>SUMIF('26'!$M$2:$M$201,"Limit Exceeded",'26'!$I$2:$I$201)</f>
        <v>0</v>
      </c>
      <c r="G29" s="37">
        <f>COUNTIF('26'!$M$2:$M$201,"Valid Approval")</f>
        <v>0</v>
      </c>
      <c r="H29" s="37">
        <f>COUNTIF('26'!$M$2:$M$201,"Limit Exceeded")</f>
        <v>0</v>
      </c>
      <c r="I29" s="37">
        <f>COUNTA('26'!$D$2:$D$201)</f>
        <v>0</v>
      </c>
    </row>
    <row r="30" spans="1:9">
      <c r="A30" s="35">
        <v>27</v>
      </c>
      <c r="B30" s="36">
        <f>SUMIF('27'!$N$2:$N$201,"CASH",'27'!$I$2:$I$201)</f>
        <v>0</v>
      </c>
      <c r="C30" s="36">
        <f>SUMIF('27'!$N$2:$N$201,"VOUCHER",'27'!$I$2:$I$201)</f>
        <v>0</v>
      </c>
      <c r="D30" s="36">
        <f>SUM('27'!$I$2:$I$201)</f>
        <v>0</v>
      </c>
      <c r="E30" s="36">
        <f>SUMIF('27'!$M$2:$M$201,"Valid Approval",'27'!$I$2:$I$201)</f>
        <v>0</v>
      </c>
      <c r="F30" s="36">
        <f>SUMIF('27'!$M$2:$M$201,"Limit Exceeded",'27'!$I$2:$I$201)</f>
        <v>0</v>
      </c>
      <c r="G30" s="37">
        <f>COUNTIF('27'!$M$2:$M$201,"Valid Approval")</f>
        <v>0</v>
      </c>
      <c r="H30" s="37">
        <f>COUNTIF('27'!$M$2:$M$201,"Limit Exceeded")</f>
        <v>0</v>
      </c>
      <c r="I30" s="37">
        <f>COUNTA('27'!$D$2:$D$201)</f>
        <v>0</v>
      </c>
    </row>
    <row r="31" spans="1:9">
      <c r="A31" s="35">
        <v>28</v>
      </c>
      <c r="B31" s="36">
        <f>SUMIF('28'!$N$2:$N$201,"CASH",'28'!$I$2:$I$201)</f>
        <v>0</v>
      </c>
      <c r="C31" s="36">
        <f>SUMIF('28'!$N$2:$N$201,"VOUCHER",'28'!$I$2:$I$201)</f>
        <v>0</v>
      </c>
      <c r="D31" s="36">
        <f>SUM('28'!$I$2:$I$201)</f>
        <v>0</v>
      </c>
      <c r="E31" s="36">
        <f>SUMIF('28'!$M$2:$M$201,"Valid Approval",'28'!$I$2:$I$201)</f>
        <v>0</v>
      </c>
      <c r="F31" s="36">
        <f>SUMIF('28'!$M$2:$M$201,"Limit Exceeded",'28'!$I$2:$I$201)</f>
        <v>0</v>
      </c>
      <c r="G31" s="37">
        <f>COUNTIF('28'!$M$2:$M$201,"Valid Approval")</f>
        <v>0</v>
      </c>
      <c r="H31" s="37">
        <f>COUNTIF('28'!$M$2:$M$201,"Limit Exceeded")</f>
        <v>0</v>
      </c>
      <c r="I31" s="37">
        <f>COUNTA('28'!$D$2:$D$201)</f>
        <v>0</v>
      </c>
    </row>
    <row r="32" spans="1:9">
      <c r="A32" s="35">
        <v>29</v>
      </c>
      <c r="B32" s="36">
        <f>SUMIF('29'!$N$2:$N$201,"CASH",'29'!$I$2:$I$201)</f>
        <v>0</v>
      </c>
      <c r="C32" s="36">
        <f>SUMIF('29'!$N$2:$N$201,"VOUCHER",'29'!$I$2:$I$201)</f>
        <v>0</v>
      </c>
      <c r="D32" s="36">
        <f>SUM('29'!$I$2:$I$201)</f>
        <v>0</v>
      </c>
      <c r="E32" s="36">
        <f>SUMIF('29'!$M$2:$M$201,"Valid Approval",'29'!$I$2:$I$201)</f>
        <v>0</v>
      </c>
      <c r="F32" s="36">
        <f>SUMIF('29'!$M$2:$M$201,"Limit Exceeded",'29'!$I$2:$I$201)</f>
        <v>0</v>
      </c>
      <c r="G32" s="37">
        <f>COUNTIF('29'!$M$2:$M$201,"Valid Approval")</f>
        <v>0</v>
      </c>
      <c r="H32" s="37">
        <f>COUNTIF('29'!$M$2:$M$201,"Limit Exceeded")</f>
        <v>0</v>
      </c>
      <c r="I32" s="37">
        <f>COUNTA('29'!$D$2:$D$201)</f>
        <v>0</v>
      </c>
    </row>
    <row r="33" spans="1:9">
      <c r="A33" s="35">
        <v>30</v>
      </c>
      <c r="B33" s="36">
        <f>SUMIF('30'!$N$2:$N$201,"CASH",'30'!$I$2:$I$201)</f>
        <v>0</v>
      </c>
      <c r="C33" s="36">
        <f>SUMIF('30'!$N$2:$N$201,"VOUCHER",'30'!$I$2:$I$201)</f>
        <v>0</v>
      </c>
      <c r="D33" s="36">
        <f>SUM('30'!$I$2:$I$201)</f>
        <v>0</v>
      </c>
      <c r="E33" s="36">
        <f>SUMIF('30'!$M$2:$M$201,"Valid Approval",'30'!$I$2:$I$201)</f>
        <v>0</v>
      </c>
      <c r="F33" s="36">
        <f>SUMIF('30'!$M$2:$M$201,"Limit Exceeded",'30'!$I$2:$I$201)</f>
        <v>0</v>
      </c>
      <c r="G33" s="37">
        <f>COUNTIF('30'!$M$2:$M$201,"Valid Approval")</f>
        <v>0</v>
      </c>
      <c r="H33" s="37">
        <f>COUNTIF('30'!$M$2:$M$201,"Limit Exceeded")</f>
        <v>0</v>
      </c>
      <c r="I33" s="37">
        <f>COUNTA('30'!$D$2:$D$201)</f>
        <v>0</v>
      </c>
    </row>
    <row r="34" spans="1:9">
      <c r="A34" s="35">
        <v>31</v>
      </c>
      <c r="B34" s="36">
        <f>SUMIF('31'!$N$2:$N$201,"CASH",'31'!$I$2:$I$201)</f>
        <v>0</v>
      </c>
      <c r="C34" s="36">
        <f>SUMIF('31'!$N$2:$N$201,"VOUCHER",'31'!$I$2:$I$201)</f>
        <v>0</v>
      </c>
      <c r="D34" s="36">
        <f>SUM('31'!$I$2:$I$201)</f>
        <v>0</v>
      </c>
      <c r="E34" s="36">
        <f>SUMIF('31'!$M$2:$M$201,"Valid Approval",'31'!$I$2:$I$201)</f>
        <v>0</v>
      </c>
      <c r="F34" s="36">
        <f>SUMIF('31'!$M$2:$M$201,"Limit Exceeded",'31'!$I$2:$I$201)</f>
        <v>0</v>
      </c>
      <c r="G34" s="37">
        <f>COUNTIF('31'!$M$2:$M$201,"Valid Approval")</f>
        <v>0</v>
      </c>
      <c r="H34" s="37">
        <f>COUNTIF('31'!$M$2:$M$201,"Limit Exceeded")</f>
        <v>0</v>
      </c>
      <c r="I34" s="37">
        <f>COUNTA('31'!$D$2:$D$201)</f>
        <v>0</v>
      </c>
    </row>
    <row r="35" spans="1:9">
      <c r="A35" s="38" t="s">
        <v>72</v>
      </c>
      <c r="B35" s="39">
        <f t="shared" ref="B35:I35" si="0">SUM(B4:B34)</f>
        <v>0</v>
      </c>
      <c r="C35" s="39">
        <f t="shared" si="0"/>
        <v>0</v>
      </c>
      <c r="D35" s="39">
        <f t="shared" si="0"/>
        <v>0</v>
      </c>
      <c r="E35" s="39">
        <f t="shared" si="0"/>
        <v>0</v>
      </c>
      <c r="F35" s="39">
        <f t="shared" si="0"/>
        <v>0</v>
      </c>
      <c r="G35" s="40">
        <f t="shared" si="0"/>
        <v>0</v>
      </c>
      <c r="H35" s="40">
        <f t="shared" si="0"/>
        <v>0</v>
      </c>
      <c r="I35" s="40">
        <f t="shared" si="0"/>
        <v>0</v>
      </c>
    </row>
    <row r="37" spans="1:9">
      <c r="A37" s="22" t="s">
        <v>73</v>
      </c>
      <c r="B37" s="22"/>
      <c r="C37" s="22"/>
      <c r="D37" s="22"/>
      <c r="E37" s="22"/>
      <c r="F37" s="22"/>
      <c r="G37" s="22"/>
      <c r="H37" s="22"/>
      <c r="I37" s="22"/>
    </row>
    <row r="38" spans="1:9">
      <c r="A38" s="22"/>
      <c r="B38" s="22"/>
      <c r="C38" s="22"/>
      <c r="D38" s="22"/>
      <c r="E38" s="22"/>
      <c r="F38" s="22"/>
      <c r="G38" s="22"/>
      <c r="H38" s="22"/>
      <c r="I38" s="22"/>
    </row>
  </sheetData>
  <sheetProtection algorithmName="SHA-512" hashValue="KmBIaRlxhitALjetyQhv1E7WoqltrwSGGBihFFS6jf1+QpA9StHRzR8g1erSaKYbNcahXayx3hLU7dUeuz4v9w==" saltValue="FnQl0i2uie1rbmXBs03aeA==" spinCount="100000" sheet="1" objects="1" scenarios="1"/>
  <mergeCells count="3">
    <mergeCell ref="A1:I1"/>
    <mergeCell ref="A37:I38"/>
    <mergeCell ref="K1:N2"/>
  </mergeCells>
  <conditionalFormatting sqref="E4:E34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F4:F34">
    <cfRule type="dataBar" priority="1">
      <dataBar>
        <cfvo type="min"/>
        <cfvo type="max"/>
        <color rgb="FFC00000"/>
      </dataBar>
    </cfRule>
    <cfRule type="dataBar" priority="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E4:E34</xm:sqref>
        </x14:conditionalFormatting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F4:F34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5"/>
  <sheetViews>
    <sheetView showGridLines="0" workbookViewId="0">
      <selection sqref="A1:H2"/>
    </sheetView>
  </sheetViews>
  <sheetFormatPr defaultRowHeight="14.25"/>
  <cols>
    <col min="1" max="1" width="18" customWidth="1"/>
    <col min="2" max="4" width="15" customWidth="1"/>
    <col min="5" max="5" width="18" customWidth="1"/>
    <col min="6" max="8" width="15" customWidth="1"/>
  </cols>
  <sheetData>
    <row r="1" spans="1:8">
      <c r="A1" s="28" t="s">
        <v>79</v>
      </c>
      <c r="B1" s="28"/>
      <c r="C1" s="28"/>
      <c r="D1" s="28"/>
      <c r="E1" s="28"/>
      <c r="F1" s="28"/>
      <c r="G1" s="28"/>
      <c r="H1" s="28"/>
    </row>
    <row r="2" spans="1:8">
      <c r="A2" s="28"/>
      <c r="B2" s="28"/>
      <c r="C2" s="28"/>
      <c r="D2" s="28"/>
      <c r="E2" s="28"/>
      <c r="F2" s="28"/>
      <c r="G2" s="28"/>
      <c r="H2" s="28"/>
    </row>
    <row r="4" spans="1:8" ht="15">
      <c r="A4" s="11" t="s">
        <v>57</v>
      </c>
      <c r="B4" s="25">
        <f>Search!$B$3</f>
        <v>1</v>
      </c>
      <c r="C4" s="25"/>
      <c r="D4" s="25"/>
      <c r="E4" s="11" t="s">
        <v>78</v>
      </c>
      <c r="F4" s="25" t="str">
        <f ca="1">Search!$K$9</f>
        <v>Not Found</v>
      </c>
      <c r="G4" s="25"/>
      <c r="H4" s="25"/>
    </row>
    <row r="5" spans="1:8" ht="15">
      <c r="A5" s="11" t="s">
        <v>1</v>
      </c>
      <c r="B5" s="25" t="str">
        <f ca="1">Search!$B$9</f>
        <v>Not Found</v>
      </c>
      <c r="C5" s="25"/>
      <c r="D5" s="25"/>
      <c r="E5" s="11" t="s">
        <v>18</v>
      </c>
      <c r="F5" s="25" t="str">
        <f ca="1">Search!$L$9</f>
        <v>Not Found</v>
      </c>
      <c r="G5" s="25"/>
      <c r="H5" s="25"/>
    </row>
    <row r="6" spans="1:8" ht="15">
      <c r="A6" s="11" t="s">
        <v>2</v>
      </c>
      <c r="B6" s="25" t="str">
        <f ca="1">Search!$C$9</f>
        <v>Not Found</v>
      </c>
      <c r="C6" s="25"/>
      <c r="D6" s="25"/>
      <c r="E6" s="11" t="s">
        <v>12</v>
      </c>
      <c r="F6" s="25" t="str">
        <f ca="1">Search!$M$9</f>
        <v>Not Found</v>
      </c>
      <c r="G6" s="25"/>
      <c r="H6" s="25"/>
    </row>
    <row r="7" spans="1:8" ht="15">
      <c r="A7" s="11" t="s">
        <v>3</v>
      </c>
      <c r="B7" s="25" t="str">
        <f ca="1">Search!$D$9</f>
        <v>Not Found</v>
      </c>
      <c r="C7" s="25"/>
      <c r="D7" s="25"/>
      <c r="E7" s="11" t="s">
        <v>9</v>
      </c>
      <c r="F7" s="25" t="str">
        <f ca="1">Search!$J$9</f>
        <v>Not Found</v>
      </c>
      <c r="G7" s="25"/>
      <c r="H7" s="25"/>
    </row>
    <row r="8" spans="1:8" ht="15">
      <c r="A8" s="11" t="s">
        <v>4</v>
      </c>
      <c r="B8" s="25" t="str">
        <f ca="1">Search!$E$9</f>
        <v>Not Found</v>
      </c>
      <c r="C8" s="25"/>
      <c r="D8" s="25"/>
      <c r="E8" s="11" t="s">
        <v>6</v>
      </c>
      <c r="F8" s="25" t="str">
        <f ca="1">Search!$G$9</f>
        <v>Not Found</v>
      </c>
      <c r="G8" s="25"/>
      <c r="H8" s="25"/>
    </row>
    <row r="9" spans="1:8" ht="15">
      <c r="A9" s="11" t="s">
        <v>5</v>
      </c>
      <c r="B9" s="25" t="str">
        <f ca="1">Search!$F$9</f>
        <v>Not Found</v>
      </c>
      <c r="C9" s="25"/>
      <c r="D9" s="25"/>
      <c r="E9" s="11" t="s">
        <v>80</v>
      </c>
      <c r="F9" s="25" t="str">
        <f ca="1">Search!$O$9</f>
        <v>Not Found</v>
      </c>
      <c r="G9" s="25"/>
      <c r="H9" s="25"/>
    </row>
    <row r="10" spans="1:8" ht="15">
      <c r="A10" s="11" t="s">
        <v>7</v>
      </c>
      <c r="B10" s="25" t="str">
        <f ca="1">Search!$H$9</f>
        <v>Not Found</v>
      </c>
      <c r="C10" s="25"/>
      <c r="D10" s="25"/>
      <c r="E10" s="11" t="s">
        <v>15</v>
      </c>
      <c r="F10" s="25" t="str">
        <f ca="1">Search!$P$9</f>
        <v>Not Found</v>
      </c>
      <c r="G10" s="25"/>
      <c r="H10" s="25"/>
    </row>
    <row r="11" spans="1:8" ht="15">
      <c r="A11" s="11" t="s">
        <v>8</v>
      </c>
      <c r="B11" s="27" t="str">
        <f ca="1">Search!$I$9</f>
        <v>Not Found</v>
      </c>
      <c r="C11" s="25"/>
      <c r="D11" s="25"/>
      <c r="E11" s="11" t="s">
        <v>16</v>
      </c>
      <c r="F11" s="25" t="str">
        <f ca="1">Search!$Q$9</f>
        <v>Not Found</v>
      </c>
      <c r="G11" s="25"/>
      <c r="H11" s="25"/>
    </row>
    <row r="12" spans="1:8" ht="15">
      <c r="A12" s="11" t="s">
        <v>13</v>
      </c>
      <c r="B12" s="25" t="str">
        <f ca="1">Search!$N$9</f>
        <v>Not Found</v>
      </c>
      <c r="C12" s="25"/>
      <c r="D12" s="25"/>
      <c r="E12" s="11" t="s">
        <v>81</v>
      </c>
      <c r="F12" s="26">
        <f ca="1">TODAY()</f>
        <v>46237</v>
      </c>
      <c r="G12" s="25"/>
      <c r="H12" s="25"/>
    </row>
    <row r="15" spans="1:8" ht="15">
      <c r="A15" s="24" t="s">
        <v>82</v>
      </c>
      <c r="B15" s="24"/>
      <c r="C15" s="24"/>
      <c r="D15" s="24"/>
      <c r="E15" s="24"/>
      <c r="F15" s="24"/>
      <c r="G15" s="24"/>
      <c r="H15" s="24"/>
    </row>
  </sheetData>
  <mergeCells count="20">
    <mergeCell ref="A1:H2"/>
    <mergeCell ref="B4:D4"/>
    <mergeCell ref="B5:D5"/>
    <mergeCell ref="B6:D6"/>
    <mergeCell ref="B7:D7"/>
    <mergeCell ref="F4:H4"/>
    <mergeCell ref="F5:H5"/>
    <mergeCell ref="F6:H6"/>
    <mergeCell ref="F7:H7"/>
    <mergeCell ref="A15:H15"/>
    <mergeCell ref="F8:H8"/>
    <mergeCell ref="F9:H9"/>
    <mergeCell ref="F10:H10"/>
    <mergeCell ref="F11:H11"/>
    <mergeCell ref="F12:H12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72"/>
  <sheetViews>
    <sheetView showGridLines="0" workbookViewId="0">
      <selection activeCell="B2" sqref="B2"/>
    </sheetView>
  </sheetViews>
  <sheetFormatPr defaultRowHeight="14.25"/>
  <cols>
    <col min="1" max="1" width="46.25" bestFit="1" customWidth="1"/>
    <col min="2" max="2" width="28.375" bestFit="1" customWidth="1"/>
    <col min="3" max="3" width="13.625" bestFit="1" customWidth="1"/>
    <col min="7" max="7" width="12.75" bestFit="1" customWidth="1"/>
    <col min="8" max="8" width="8.375" bestFit="1" customWidth="1"/>
  </cols>
  <sheetData>
    <row r="1" spans="1:8" ht="18">
      <c r="A1" s="29" t="s">
        <v>17</v>
      </c>
      <c r="B1" s="29"/>
      <c r="C1" s="29"/>
    </row>
    <row r="2" spans="1:8" ht="15">
      <c r="A2" s="1" t="s">
        <v>18</v>
      </c>
      <c r="B2" s="1" t="s">
        <v>19</v>
      </c>
      <c r="C2" s="1" t="s">
        <v>20</v>
      </c>
    </row>
    <row r="3" spans="1:8">
      <c r="A3" s="4" t="s">
        <v>109</v>
      </c>
      <c r="B3" s="4" t="s">
        <v>89</v>
      </c>
      <c r="C3" s="33">
        <v>5000</v>
      </c>
      <c r="G3" t="s">
        <v>23</v>
      </c>
      <c r="H3">
        <v>500</v>
      </c>
    </row>
    <row r="4" spans="1:8">
      <c r="A4" s="4" t="s">
        <v>110</v>
      </c>
      <c r="B4" s="4" t="s">
        <v>90</v>
      </c>
      <c r="C4" s="33">
        <v>3000</v>
      </c>
      <c r="G4" t="s">
        <v>25</v>
      </c>
      <c r="H4">
        <v>2000</v>
      </c>
    </row>
    <row r="5" spans="1:8">
      <c r="A5" s="4" t="s">
        <v>111</v>
      </c>
      <c r="B5" s="4" t="s">
        <v>91</v>
      </c>
      <c r="C5" s="33">
        <v>500</v>
      </c>
      <c r="G5" t="s">
        <v>26</v>
      </c>
      <c r="H5">
        <v>3000</v>
      </c>
    </row>
    <row r="6" spans="1:8">
      <c r="A6" s="4" t="s">
        <v>112</v>
      </c>
      <c r="B6" s="4" t="s">
        <v>92</v>
      </c>
      <c r="C6" s="33">
        <v>9000</v>
      </c>
      <c r="G6" t="s">
        <v>27</v>
      </c>
      <c r="H6">
        <v>5000</v>
      </c>
    </row>
    <row r="7" spans="1:8">
      <c r="A7" s="4" t="s">
        <v>111</v>
      </c>
      <c r="B7" s="4" t="s">
        <v>93</v>
      </c>
      <c r="C7" s="33">
        <v>500</v>
      </c>
      <c r="G7" t="s">
        <v>24</v>
      </c>
      <c r="H7">
        <v>9000</v>
      </c>
    </row>
    <row r="8" spans="1:8">
      <c r="A8" s="4" t="s">
        <v>110</v>
      </c>
      <c r="B8" s="4" t="s">
        <v>94</v>
      </c>
      <c r="C8" s="4">
        <v>3000</v>
      </c>
      <c r="G8" t="s">
        <v>21</v>
      </c>
      <c r="H8" t="s">
        <v>22</v>
      </c>
    </row>
    <row r="9" spans="1:8">
      <c r="A9" s="4" t="s">
        <v>111</v>
      </c>
      <c r="B9" s="4" t="s">
        <v>95</v>
      </c>
      <c r="C9" s="4">
        <v>500</v>
      </c>
    </row>
    <row r="10" spans="1:8">
      <c r="A10" s="4" t="s">
        <v>111</v>
      </c>
      <c r="B10" s="4" t="s">
        <v>84</v>
      </c>
      <c r="C10" s="4">
        <v>500</v>
      </c>
    </row>
    <row r="11" spans="1:8">
      <c r="A11" s="4" t="s">
        <v>113</v>
      </c>
      <c r="B11" s="4" t="s">
        <v>96</v>
      </c>
      <c r="C11" s="33">
        <v>3000</v>
      </c>
    </row>
    <row r="12" spans="1:8">
      <c r="A12" s="4" t="s">
        <v>114</v>
      </c>
      <c r="B12" s="4" t="s">
        <v>97</v>
      </c>
      <c r="C12" s="33">
        <v>2000</v>
      </c>
    </row>
    <row r="13" spans="1:8">
      <c r="A13" s="4" t="s">
        <v>109</v>
      </c>
      <c r="B13" s="4" t="s">
        <v>28</v>
      </c>
      <c r="C13" s="33">
        <v>5000</v>
      </c>
    </row>
    <row r="14" spans="1:8">
      <c r="A14" s="4" t="s">
        <v>114</v>
      </c>
      <c r="B14" s="4" t="s">
        <v>83</v>
      </c>
      <c r="C14" s="33">
        <v>2000</v>
      </c>
    </row>
    <row r="15" spans="1:8">
      <c r="A15" s="4" t="s">
        <v>113</v>
      </c>
      <c r="B15" s="4" t="s">
        <v>98</v>
      </c>
      <c r="C15" s="4">
        <v>3000</v>
      </c>
    </row>
    <row r="16" spans="1:8">
      <c r="A16" s="4" t="s">
        <v>114</v>
      </c>
      <c r="B16" s="4" t="s">
        <v>99</v>
      </c>
      <c r="C16" s="4">
        <v>2000</v>
      </c>
    </row>
    <row r="17" spans="1:3">
      <c r="A17" s="4" t="s">
        <v>110</v>
      </c>
      <c r="B17" s="4" t="s">
        <v>85</v>
      </c>
      <c r="C17" s="4">
        <v>3000</v>
      </c>
    </row>
    <row r="18" spans="1:3">
      <c r="A18" s="4" t="s">
        <v>110</v>
      </c>
      <c r="B18" s="4" t="s">
        <v>100</v>
      </c>
      <c r="C18" s="4">
        <v>3000</v>
      </c>
    </row>
    <row r="19" spans="1:3">
      <c r="A19" s="4" t="s">
        <v>111</v>
      </c>
      <c r="B19" s="4" t="s">
        <v>101</v>
      </c>
      <c r="C19" s="4">
        <v>500</v>
      </c>
    </row>
    <row r="20" spans="1:3">
      <c r="A20" s="4" t="s">
        <v>114</v>
      </c>
      <c r="B20" s="4" t="s">
        <v>102</v>
      </c>
      <c r="C20" s="4">
        <v>2000</v>
      </c>
    </row>
    <row r="21" spans="1:3">
      <c r="A21" s="4" t="s">
        <v>109</v>
      </c>
      <c r="B21" s="4" t="s">
        <v>102</v>
      </c>
      <c r="C21" s="4">
        <v>5000</v>
      </c>
    </row>
    <row r="22" spans="1:3">
      <c r="A22" s="4" t="s">
        <v>110</v>
      </c>
      <c r="B22" s="4" t="s">
        <v>103</v>
      </c>
      <c r="C22" s="4">
        <v>3000</v>
      </c>
    </row>
    <row r="23" spans="1:3">
      <c r="A23" s="4" t="s">
        <v>87</v>
      </c>
      <c r="B23" s="4" t="s">
        <v>104</v>
      </c>
      <c r="C23" s="4">
        <v>9000</v>
      </c>
    </row>
    <row r="24" spans="1:3">
      <c r="A24" s="4" t="s">
        <v>114</v>
      </c>
      <c r="B24" s="4" t="s">
        <v>105</v>
      </c>
      <c r="C24" s="4">
        <v>2000</v>
      </c>
    </row>
    <row r="25" spans="1:3">
      <c r="A25" s="4" t="s">
        <v>88</v>
      </c>
      <c r="B25" s="4" t="s">
        <v>106</v>
      </c>
      <c r="C25" s="4" t="s">
        <v>22</v>
      </c>
    </row>
    <row r="26" spans="1:3">
      <c r="A26" s="4" t="s">
        <v>112</v>
      </c>
      <c r="B26" s="4" t="s">
        <v>107</v>
      </c>
      <c r="C26" s="4">
        <v>9000</v>
      </c>
    </row>
    <row r="27" spans="1:3">
      <c r="A27" s="4" t="s">
        <v>109</v>
      </c>
      <c r="B27" s="4" t="s">
        <v>108</v>
      </c>
      <c r="C27" s="4">
        <v>5000</v>
      </c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9" spans="1:3" ht="15">
      <c r="A69" s="30" t="s">
        <v>29</v>
      </c>
      <c r="B69" s="30"/>
      <c r="C69" s="30"/>
    </row>
    <row r="70" spans="1:3">
      <c r="A70" s="3" t="s">
        <v>30</v>
      </c>
      <c r="B70" s="31" t="s">
        <v>31</v>
      </c>
      <c r="C70" s="31"/>
    </row>
    <row r="71" spans="1:3">
      <c r="A71" s="3" t="s">
        <v>32</v>
      </c>
      <c r="B71" s="31" t="s">
        <v>33</v>
      </c>
      <c r="C71" s="31"/>
    </row>
    <row r="72" spans="1:3">
      <c r="A72" s="3" t="s">
        <v>34</v>
      </c>
      <c r="B72" s="31" t="s">
        <v>35</v>
      </c>
      <c r="C72" s="31"/>
    </row>
  </sheetData>
  <autoFilter ref="A2:C27" xr:uid="{00000000-0001-0000-1F00-000000000000}"/>
  <mergeCells count="5">
    <mergeCell ref="A1:C1"/>
    <mergeCell ref="A69:C69"/>
    <mergeCell ref="B70:C70"/>
    <mergeCell ref="B71:C71"/>
    <mergeCell ref="B72:C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showGridLines="0" tabSelected="1" zoomScale="90" zoomScaleNormal="9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10.625" bestFit="1" customWidth="1"/>
    <col min="4" max="5" width="11.375" bestFit="1" customWidth="1"/>
    <col min="6" max="6" width="19" bestFit="1" customWidth="1"/>
    <col min="7" max="7" width="10.125" customWidth="1"/>
    <col min="8" max="8" width="4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2.875" bestFit="1" customWidth="1"/>
    <col min="14" max="14" width="10.625" customWidth="1"/>
    <col min="15" max="15" width="17.125" bestFit="1" customWidth="1"/>
    <col min="16" max="16" width="9.625" bestFit="1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41" t="str">
        <f t="shared" ref="A2:A33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41" t="str">
        <f t="shared" ref="A3:A66" si="1">IF(D3="","",ROW()-1)</f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41" t="str">
        <f t="shared" si="1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41" t="str">
        <f t="shared" si="1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41" t="str">
        <f t="shared" si="1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41" t="str">
        <f t="shared" si="1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41" t="str">
        <f t="shared" si="1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41" t="str">
        <f t="shared" si="1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41" t="str">
        <f t="shared" si="1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41" t="str">
        <f t="shared" si="1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41" t="str">
        <f t="shared" si="1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41" t="str">
        <f t="shared" si="1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41" t="str">
        <f t="shared" si="1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41" t="str">
        <f t="shared" si="1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41" t="str">
        <f t="shared" si="1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41" t="str">
        <f t="shared" si="1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41" t="str">
        <f t="shared" si="1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41" t="str">
        <f t="shared" si="1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41" t="str">
        <f t="shared" si="1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41" t="str">
        <f t="shared" si="1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41" t="str">
        <f t="shared" si="1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41" t="str">
        <f t="shared" si="1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41" t="str">
        <f t="shared" si="1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41" t="str">
        <f t="shared" si="1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41" t="str">
        <f t="shared" si="1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41" t="str">
        <f t="shared" si="1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41" t="str">
        <f t="shared" si="1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41" t="str">
        <f t="shared" si="1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41" t="str">
        <f t="shared" si="1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41" t="str">
        <f t="shared" si="1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41" t="str">
        <f t="shared" si="1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41" t="str">
        <f t="shared" si="1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41" t="str">
        <f t="shared" si="1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41" t="str">
        <f t="shared" si="1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41" t="str">
        <f t="shared" si="1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41" t="str">
        <f t="shared" si="1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41" t="str">
        <f t="shared" si="1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41" t="str">
        <f t="shared" si="1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41" t="str">
        <f t="shared" si="1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41" t="str">
        <f t="shared" si="1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41" t="str">
        <f t="shared" si="1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41" t="str">
        <f t="shared" si="1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41" t="str">
        <f t="shared" si="1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41" t="str">
        <f t="shared" si="1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41" t="str">
        <f t="shared" si="1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41" t="str">
        <f t="shared" si="1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41" t="str">
        <f t="shared" si="1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41" t="str">
        <f t="shared" si="1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41" t="str">
        <f t="shared" si="1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41" t="str">
        <f t="shared" si="1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41" t="str">
        <f t="shared" si="1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41" t="str">
        <f t="shared" si="1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41" t="str">
        <f t="shared" si="1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41" t="str">
        <f t="shared" si="1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41" t="str">
        <f t="shared" si="1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41" t="str">
        <f t="shared" si="1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41" t="str">
        <f t="shared" si="1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41" t="str">
        <f t="shared" si="1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41" t="str">
        <f t="shared" si="1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41" t="str">
        <f t="shared" si="1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41" t="str">
        <f t="shared" si="1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41" t="str">
        <f t="shared" si="1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41" t="str">
        <f t="shared" si="1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41" t="str">
        <f t="shared" si="1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41" t="str">
        <f t="shared" si="1"/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41" t="str">
        <f t="shared" ref="A67:A130" si="2">IF(D67="","",ROW()-1)</f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41" t="str">
        <f t="shared" si="2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41" t="str">
        <f t="shared" si="2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41" t="str">
        <f t="shared" si="2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41" t="str">
        <f t="shared" si="2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41" t="str">
        <f t="shared" si="2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41" t="str">
        <f t="shared" si="2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41" t="str">
        <f t="shared" si="2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41" t="str">
        <f t="shared" si="2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41" t="str">
        <f t="shared" si="2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41" t="str">
        <f t="shared" si="2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41" t="str">
        <f t="shared" si="2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41" t="str">
        <f t="shared" si="2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41" t="str">
        <f t="shared" si="2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41" t="str">
        <f t="shared" si="2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41" t="str">
        <f t="shared" si="2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41" t="str">
        <f t="shared" si="2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41" t="str">
        <f t="shared" si="2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41" t="str">
        <f t="shared" si="2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41" t="str">
        <f t="shared" si="2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41" t="str">
        <f t="shared" si="2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41" t="str">
        <f t="shared" si="2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41" t="str">
        <f t="shared" si="2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41" t="str">
        <f t="shared" si="2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41" t="str">
        <f t="shared" si="2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41" t="str">
        <f t="shared" si="2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41" t="str">
        <f t="shared" si="2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41" t="str">
        <f t="shared" si="2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41" t="str">
        <f t="shared" si="2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41" t="str">
        <f t="shared" si="2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41" t="str">
        <f t="shared" si="2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41" t="str">
        <f t="shared" si="2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41" t="str">
        <f t="shared" si="2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41" t="str">
        <f t="shared" si="2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41" t="str">
        <f t="shared" si="2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41" t="str">
        <f t="shared" si="2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41" t="str">
        <f t="shared" si="2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41" t="str">
        <f t="shared" si="2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41" t="str">
        <f t="shared" si="2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41" t="str">
        <f t="shared" si="2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41" t="str">
        <f t="shared" si="2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41" t="str">
        <f t="shared" si="2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41" t="str">
        <f t="shared" si="2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41" t="str">
        <f t="shared" si="2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41" t="str">
        <f t="shared" si="2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41" t="str">
        <f t="shared" si="2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41" t="str">
        <f t="shared" si="2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41" t="str">
        <f t="shared" si="2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41" t="str">
        <f t="shared" si="2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41" t="str">
        <f t="shared" si="2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41" t="str">
        <f t="shared" si="2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41" t="str">
        <f t="shared" si="2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41" t="str">
        <f t="shared" si="2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41" t="str">
        <f t="shared" si="2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41" t="str">
        <f t="shared" si="2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41" t="str">
        <f t="shared" si="2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41" t="str">
        <f t="shared" si="2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41" t="str">
        <f t="shared" si="2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41" t="str">
        <f t="shared" si="2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41" t="str">
        <f t="shared" si="2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41" t="str">
        <f t="shared" si="2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41" t="str">
        <f t="shared" si="2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41" t="str">
        <f t="shared" si="2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41" t="str">
        <f t="shared" si="2"/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41" t="str">
        <f t="shared" ref="A131:A194" si="3">IF(D131="","",ROW()-1)</f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41" t="str">
        <f t="shared" si="3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41" t="str">
        <f t="shared" si="3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41" t="str">
        <f t="shared" si="3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41" t="str">
        <f t="shared" si="3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41" t="str">
        <f t="shared" si="3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41" t="str">
        <f t="shared" si="3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41" t="str">
        <f t="shared" si="3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41" t="str">
        <f t="shared" si="3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41" t="str">
        <f t="shared" si="3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41" t="str">
        <f t="shared" si="3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41" t="str">
        <f t="shared" si="3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41" t="str">
        <f t="shared" si="3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41" t="str">
        <f t="shared" si="3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41" t="str">
        <f t="shared" si="3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41" t="str">
        <f t="shared" si="3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41" t="str">
        <f t="shared" si="3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41" t="str">
        <f t="shared" si="3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41" t="str">
        <f t="shared" si="3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41" t="str">
        <f t="shared" si="3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41" t="str">
        <f t="shared" si="3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41" t="str">
        <f t="shared" si="3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41" t="str">
        <f t="shared" si="3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41" t="str">
        <f t="shared" si="3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41" t="str">
        <f t="shared" si="3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41" t="str">
        <f t="shared" si="3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41" t="str">
        <f t="shared" si="3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41" t="str">
        <f t="shared" si="3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41" t="str">
        <f t="shared" si="3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41" t="str">
        <f t="shared" si="3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41" t="str">
        <f t="shared" si="3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41" t="str">
        <f t="shared" si="3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41" t="str">
        <f t="shared" si="3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41" t="str">
        <f t="shared" si="3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41" t="str">
        <f t="shared" si="3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41" t="str">
        <f t="shared" si="3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41" t="str">
        <f t="shared" si="3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41" t="str">
        <f t="shared" si="3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41" t="str">
        <f t="shared" si="3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41" t="str">
        <f t="shared" si="3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41" t="str">
        <f t="shared" si="3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41" t="str">
        <f t="shared" si="3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41" t="str">
        <f t="shared" si="3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41" t="str">
        <f t="shared" si="3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41" t="str">
        <f t="shared" si="3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41" t="str">
        <f t="shared" si="3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41" t="str">
        <f t="shared" si="3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41" t="str">
        <f t="shared" si="3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41" t="str">
        <f t="shared" si="3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41" t="str">
        <f t="shared" si="3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41" t="str">
        <f t="shared" si="3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41" t="str">
        <f t="shared" si="3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41" t="str">
        <f t="shared" si="3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41" t="str">
        <f t="shared" si="3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41" t="str">
        <f t="shared" si="3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41" t="str">
        <f t="shared" si="3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41" t="str">
        <f t="shared" si="3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41" t="str">
        <f t="shared" si="3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41" t="str">
        <f t="shared" si="3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41" t="str">
        <f t="shared" si="3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41" t="str">
        <f t="shared" si="3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41" t="str">
        <f t="shared" si="3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41" t="str">
        <f t="shared" si="3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41" t="str">
        <f t="shared" si="3"/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41" t="str">
        <f t="shared" ref="A195:A201" si="4">IF(D195="","",ROW()-1)</f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41" t="str">
        <f t="shared" si="4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41" t="str">
        <f t="shared" si="4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41" t="str">
        <f t="shared" si="4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41" t="str">
        <f t="shared" si="4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41" t="str">
        <f t="shared" si="4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 ht="15">
      <c r="A201" s="41" t="str">
        <f t="shared" si="4"/>
        <v/>
      </c>
      <c r="B201" s="43"/>
      <c r="C201" s="45"/>
      <c r="D201" s="45"/>
      <c r="E201" s="45"/>
      <c r="F201" s="43"/>
      <c r="G201" s="43"/>
      <c r="H201" s="43"/>
      <c r="I201" s="43"/>
      <c r="J201" s="43"/>
      <c r="K201" s="43"/>
      <c r="L201" s="44" t="str">
        <f>IF(K201="","",IFERROR(INDEX(Management!$A$3:$A$50,MATCH(K201,Management!$B$3:$B$50,0)),""))</f>
        <v/>
      </c>
      <c r="M201" s="42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43"/>
      <c r="O201" s="43"/>
      <c r="P201" s="46"/>
      <c r="Q201" s="46"/>
    </row>
  </sheetData>
  <sheetProtection algorithmName="SHA-512" hashValue="7ihSxuF9WvyTufzQPtmz3QP3m3jWNx7+nKJPR8DE4GMsbaNco5tw3ObUDU86XhZth/cT94U6dLYAI4TOuFeYtw==" saltValue="MLmR9kPn0g/ddW8aF6Srbg==" spinCount="100000" sheet="1" objects="1" scenarios="1"/>
  <conditionalFormatting sqref="M2:M201">
    <cfRule type="expression" dxfId="92" priority="9">
      <formula>M2="Valid Approval"</formula>
    </cfRule>
    <cfRule type="expression" dxfId="91" priority="10">
      <formula>M2="Limit Exceeded"</formula>
    </cfRule>
    <cfRule type="expression" dxfId="90" priority="11">
      <formula>M2="Select Approval Name"</formula>
    </cfRule>
  </conditionalFormatting>
  <dataValidations count="4">
    <dataValidation type="custom" showErrorMessage="1" errorTitle="System Controlled Column" error="Yeh column amount ke mutabiq automatic update hota hai. Manual entry allowed nahi hai." sqref="M2:M201" xr:uid="{7891F239-5A21-4910-9E26-C93706F55625}">
      <formula1>FALSE</formula1>
    </dataValidation>
    <dataValidation type="list" allowBlank="1" showInputMessage="1" showErrorMessage="1" sqref="N2:N201" xr:uid="{4879D22B-D902-4B84-AF59-CA72FA6F4527}">
      <formula1>"Cash,Voucher"</formula1>
    </dataValidation>
    <dataValidation type="list" allowBlank="1" showInputMessage="1" showErrorMessage="1" sqref="J2:J201" xr:uid="{B260085F-5817-4536-A3F6-0BB49121C758}">
      <formula1>"Mind_Change,BarcodeIssue,Size Issue,Cashier Mistake,Quality Issue,Wrong Charge,Wronge Tag,Over Charge,Price Issue,Other Reason"</formula1>
    </dataValidation>
    <dataValidation type="list" allowBlank="1" showInputMessage="1" showErrorMessage="1" sqref="O2:O201" xr:uid="{0CAA1B65-CDB4-4D82-8C21-07A5F7BAAA22}">
      <formula1>"70243 - Riffat Fatima,68470 - Kamran,58112 - Shama,HOF Respctive Person"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System Controlled Column" error="Yeh column amount ke mutabiq automatic update hota hai. Manual entry allowed nahi hai." xr:uid="{C91712E6-0D5F-4156-BB44-1AFD2E3E92B2}">
          <x14:formula1>
            <xm:f>Management!$B$3:$B$26</xm:f>
          </x14:formula1>
          <xm:sqref>L2:L201</xm:sqref>
        </x14:dataValidation>
        <x14:dataValidation type="list" allowBlank="1" showInputMessage="1" showErrorMessage="1" xr:uid="{57703369-9F62-4593-9632-D91D17A464C3}">
          <x14:formula1>
            <xm:f>Management!$B$3:$B$28</xm:f>
          </x14:formula1>
          <xm:sqref>K2:K201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OXpvizhRw1yPoeS9NBLpHI52GRbea/aldfgYTjeMW1F0WzroxEMfW1DCPcI7pJRfx2FZbu2MtYxcXckXcMpJNA==" saltValue="lboYCKfNOOFKs0rh0vNWvg==" spinCount="100000" sheet="1" objects="1" scenarios="1"/>
  <conditionalFormatting sqref="M201">
    <cfRule type="expression" dxfId="240" priority="4">
      <formula>M201="Valid Approval"</formula>
    </cfRule>
    <cfRule type="expression" dxfId="239" priority="5">
      <formula>M201="Limit Exceeded"</formula>
    </cfRule>
    <cfRule type="expression" dxfId="238" priority="6">
      <formula>M201="Select Approval Name"</formula>
    </cfRule>
  </conditionalFormatting>
  <conditionalFormatting sqref="M2:M200">
    <cfRule type="expression" dxfId="2" priority="1">
      <formula>M2="Valid Approval"</formula>
    </cfRule>
    <cfRule type="expression" dxfId="1" priority="2">
      <formula>M2="Limit Exceeded"</formula>
    </cfRule>
    <cfRule type="expression" dxfId="0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0100-000000000000}">
      <formula1>FALSE</formula1>
    </dataValidation>
    <dataValidation type="list" showErrorMessage="1" errorTitle="Cash/Voucher" error="Sirf CASH ya VOUCHER select karein." sqref="N201" xr:uid="{00000000-0002-0000-0100-000001000000}">
      <formula1>"CASH,VOUCHER"</formula1>
    </dataValidation>
    <dataValidation type="custom" showErrorMessage="1" errorTitle="Duplicate Return Trx" error="This Return Trx already exists on this day sheet." sqref="D201" xr:uid="{00000000-0002-0000-01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100-000003000000}">
      <formula1>OR(E201="",COUNTIF($E$2:$E$201,E201)=1)</formula1>
    </dataValidation>
    <dataValidation type="list" allowBlank="1" showInputMessage="1" showErrorMessage="1" sqref="O2:O200" xr:uid="{5C7F5353-3FD0-4F9E-BE73-BFF3E304C28A}">
      <formula1>"70243 - Riffat Fatima,68470 - Kamran,58112 - Shama,HOF Respctive Person"</formula1>
    </dataValidation>
    <dataValidation type="list" allowBlank="1" showInputMessage="1" showErrorMessage="1" sqref="J2:J200" xr:uid="{A139ADE3-9A2E-4477-BECB-A4675085AD10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AFB4BE3B-6881-4501-9D43-CE64041D0116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100-000004000000}">
            <xm:f>AND(D201&lt;&gt;"",(COUNTIF('1'!$D$2:$D$201,D201)+COUNTIF(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100-000005000000}">
            <xm:f>AND(E201&lt;&gt;"",(COUNTIF('1'!$E$2:$E$201,E201)+COUNTIF(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C2C8B9D-F2B5-4753-AFFB-A761B3195801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D2937766-3EBF-4C9C-B2AB-025A1E7F86D5}">
          <x14:formula1>
            <xm:f>Management!$B$3:$B$26</xm:f>
          </x14:formula1>
          <xm:sqref>L2:L200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1"/>
  <sheetViews>
    <sheetView showGridLines="0" zoomScale="90" zoomScaleNormal="9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p3aS/mDaEUi0u4L6cvzADMH9j8nGoJVaoaDDJ9o5Iz+CXJY7u6CAnBwCu99OYf3qwZMC8IvfSQzkbz+ZF0Bm/w==" saltValue="oEjZiHKDoFbfQGo6mDHSLw==" spinCount="100000" sheet="1" objects="1" scenarios="1"/>
  <conditionalFormatting sqref="M201">
    <cfRule type="expression" dxfId="235" priority="4">
      <formula>M201="Valid Approval"</formula>
    </cfRule>
    <cfRule type="expression" dxfId="234" priority="5">
      <formula>M201="Limit Exceeded"</formula>
    </cfRule>
    <cfRule type="expression" dxfId="233" priority="6">
      <formula>M201="Select Approval Name"</formula>
    </cfRule>
  </conditionalFormatting>
  <conditionalFormatting sqref="M2:M200">
    <cfRule type="expression" dxfId="5" priority="1">
      <formula>M2="Valid Approval"</formula>
    </cfRule>
    <cfRule type="expression" dxfId="4" priority="2">
      <formula>M2="Limit Exceeded"</formula>
    </cfRule>
    <cfRule type="expression" dxfId="3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02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0200-000001000000}">
      <formula1>FALSE</formula1>
    </dataValidation>
    <dataValidation type="custom" showErrorMessage="1" errorTitle="Duplicate Return Trx" error="This Return Trx already exists on this day sheet." sqref="D201" xr:uid="{00000000-0002-0000-02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200-000003000000}">
      <formula1>OR(E201="",COUNTIF($E$2:$E$201,E201)=1)</formula1>
    </dataValidation>
    <dataValidation type="list" allowBlank="1" showInputMessage="1" showErrorMessage="1" sqref="O2:O200" xr:uid="{1703EF05-948C-4E80-BAD7-4315CFE03193}">
      <formula1>"70243 - Riffat Fatima,68470 - Kamran,58112 - Shama,HOF Respctive Person"</formula1>
    </dataValidation>
    <dataValidation type="list" allowBlank="1" showInputMessage="1" showErrorMessage="1" sqref="J2:J200" xr:uid="{CB73B572-454B-472C-B99C-BD66E174B7BD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51A89EAE-D1A3-49DA-BE75-CBCC8A32F8D3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200-000004000000}">
            <xm:f>AND(D201&lt;&gt;"",(COUNTIF('1'!$D$2:$D$201,D201)+COUNTIF('2'!$D$2:$D$201,D201)+COUNTIF(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200-000005000000}">
            <xm:f>AND(E201&lt;&gt;"",(COUNTIF('1'!$E$2:$E$201,E201)+COUNTIF('2'!$E$2:$E$201,E201)+COUNTIF(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18D349-4491-4CC5-80BB-23EA5697B78A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E306CB3B-2C6B-4820-85E0-D8B8A41B66B9}">
          <x14:formula1>
            <xm:f>Management!$B$3:$B$26</xm:f>
          </x14:formula1>
          <xm:sqref>L2:L200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1"/>
  <sheetViews>
    <sheetView showGridLines="0" zoomScale="90" zoomScaleNormal="9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2BRXEjAiK4kcDKr0fgazZf2prl+s02axOY8bqwOsm2LTIrs+YGPVDH/RpmhewE0+QpgSeaGJHCR3jorcjL59Yw==" saltValue="O9MT1UroijAmj8xlL3J5Gg==" spinCount="100000" sheet="1" objects="1" scenarios="1"/>
  <conditionalFormatting sqref="M201">
    <cfRule type="expression" dxfId="230" priority="4">
      <formula>M201="Valid Approval"</formula>
    </cfRule>
    <cfRule type="expression" dxfId="229" priority="5">
      <formula>M201="Limit Exceeded"</formula>
    </cfRule>
    <cfRule type="expression" dxfId="228" priority="6">
      <formula>M201="Select Approval Name"</formula>
    </cfRule>
  </conditionalFormatting>
  <conditionalFormatting sqref="M2:M200">
    <cfRule type="expression" dxfId="8" priority="1">
      <formula>M2="Valid Approval"</formula>
    </cfRule>
    <cfRule type="expression" dxfId="7" priority="2">
      <formula>M2="Limit Exceeded"</formula>
    </cfRule>
    <cfRule type="expression" dxfId="6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0300-000000000000}">
      <formula1>FALSE</formula1>
    </dataValidation>
    <dataValidation type="list" showErrorMessage="1" errorTitle="Cash/Voucher" error="Sirf CASH ya VOUCHER select karein." sqref="N201" xr:uid="{00000000-0002-0000-0300-000001000000}">
      <formula1>"CASH,VOUCHER"</formula1>
    </dataValidation>
    <dataValidation type="custom" showErrorMessage="1" errorTitle="Duplicate Return Trx" error="This Return Trx already exists on this day sheet." sqref="D201" xr:uid="{00000000-0002-0000-03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300-000003000000}">
      <formula1>OR(E201="",COUNTIF($E$2:$E$201,E201)=1)</formula1>
    </dataValidation>
    <dataValidation type="list" allowBlank="1" showInputMessage="1" showErrorMessage="1" sqref="O2:O200" xr:uid="{745BA9F5-283C-40F8-8B2D-C9DE6465BBEB}">
      <formula1>"70243 - Riffat Fatima,68470 - Kamran,58112 - Shama,HOF Respctive Person"</formula1>
    </dataValidation>
    <dataValidation type="list" allowBlank="1" showInputMessage="1" showErrorMessage="1" sqref="J2:J200" xr:uid="{9EC8A520-2191-4A9C-904F-6C83871F2120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EB401B92-568A-4780-85EA-C12ABA9576BC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300-000004000000}">
            <xm:f>AND(D201&lt;&gt;"",(COUNTIF('1'!$D$2:$D$201,D201)+COUNTIF('2'!$D$2:$D$201,D201)+COUNTIF('3'!$D$2:$D$201,D201)+COUNTIF(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300-000005000000}">
            <xm:f>AND(E201&lt;&gt;"",(COUNTIF('1'!$E$2:$E$201,E201)+COUNTIF('2'!$E$2:$E$201,E201)+COUNTIF('3'!$E$2:$E$201,E201)+COUNTIF(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0FF41E-082A-48EF-AFBC-E321C06CBA50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85C1BC6C-CCE9-47D5-B185-6D176FCBDF89}">
          <x14:formula1>
            <xm:f>Management!$B$3:$B$26</xm:f>
          </x14:formula1>
          <xm:sqref>L2:L200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b4FFosEqxeDBawjuVVa49t/MWMDsL/pl8djUwRbBqqf/nFgzRDB7sV1pbQSbKlBWl4lxPPB7fmMZZB6qu+SWuw==" saltValue="Sa7zCw6zDhou46vlac2hig==" spinCount="100000" sheet="1" objects="1" scenarios="1"/>
  <conditionalFormatting sqref="M201">
    <cfRule type="expression" dxfId="225" priority="4">
      <formula>M201="Valid Approval"</formula>
    </cfRule>
    <cfRule type="expression" dxfId="224" priority="5">
      <formula>M201="Limit Exceeded"</formula>
    </cfRule>
    <cfRule type="expression" dxfId="223" priority="6">
      <formula>M201="Select Approval Name"</formula>
    </cfRule>
  </conditionalFormatting>
  <conditionalFormatting sqref="M2:M200">
    <cfRule type="expression" dxfId="11" priority="1">
      <formula>M2="Valid Approval"</formula>
    </cfRule>
    <cfRule type="expression" dxfId="10" priority="2">
      <formula>M2="Limit Exceeded"</formula>
    </cfRule>
    <cfRule type="expression" dxfId="9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04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0400-000001000000}">
      <formula1>FALSE</formula1>
    </dataValidation>
    <dataValidation type="custom" showErrorMessage="1" errorTitle="Duplicate Return Trx" error="This Return Trx already exists on this day sheet." sqref="D201" xr:uid="{00000000-0002-0000-04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400-000003000000}">
      <formula1>OR(E201="",COUNTIF($E$2:$E$201,E201)=1)</formula1>
    </dataValidation>
    <dataValidation type="list" allowBlank="1" showInputMessage="1" showErrorMessage="1" sqref="O2:O200" xr:uid="{3A69E5F4-F495-4D78-BC09-FC6337A4D282}">
      <formula1>"70243 - Riffat Fatima,68470 - Kamran,58112 - Shama,HOF Respctive Person"</formula1>
    </dataValidation>
    <dataValidation type="list" allowBlank="1" showInputMessage="1" showErrorMessage="1" sqref="J2:J200" xr:uid="{AC2A2331-D955-48F2-A047-692A87D1EB40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35D89184-FBED-4645-8C7C-2E68501DC879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400-000004000000}">
            <xm:f>AND(D201&lt;&gt;"",(COUNTIF('1'!$D$2:$D$201,D201)+COUNTIF('2'!$D$2:$D$201,D201)+COUNTIF('3'!$D$2:$D$201,D201)+COUNTIF('4'!$D$2:$D$201,D201)+COUNTIF(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400-000005000000}">
            <xm:f>AND(E201&lt;&gt;"",(COUNTIF('1'!$E$2:$E$201,E201)+COUNTIF('2'!$E$2:$E$201,E201)+COUNTIF('3'!$E$2:$E$201,E201)+COUNTIF('4'!$E$2:$E$201,E201)+COUNTIF(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315326-05C6-4375-9E02-61448BE35F1E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F445CEEA-FF85-4149-8CE9-EC351D9C6682}">
          <x14:formula1>
            <xm:f>Management!$B$3:$B$26</xm:f>
          </x14:formula1>
          <xm:sqref>L2:L200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1"/>
  <sheetViews>
    <sheetView showGridLines="0" zoomScale="90" zoomScaleNormal="9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esiFGUtckVZXqj0BvRR7CboVR1RFnCNEeDjFSGEnpG2qJF4uDHZ3yniHZWcPWRmj5nVC59/9riQ+5JfQRt7wfw==" saltValue="1GqAkZuMRjt6+yTnybPzEg==" spinCount="100000" sheet="1" objects="1" scenarios="1"/>
  <conditionalFormatting sqref="M201">
    <cfRule type="expression" dxfId="220" priority="4">
      <formula>M201="Valid Approval"</formula>
    </cfRule>
    <cfRule type="expression" dxfId="219" priority="5">
      <formula>M201="Limit Exceeded"</formula>
    </cfRule>
    <cfRule type="expression" dxfId="218" priority="6">
      <formula>M201="Select Approval Name"</formula>
    </cfRule>
  </conditionalFormatting>
  <conditionalFormatting sqref="M2:M200">
    <cfRule type="expression" dxfId="14" priority="1">
      <formula>M2="Valid Approval"</formula>
    </cfRule>
    <cfRule type="expression" dxfId="13" priority="2">
      <formula>M2="Limit Exceeded"</formula>
    </cfRule>
    <cfRule type="expression" dxfId="12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0500-000000000000}">
      <formula1>FALSE</formula1>
    </dataValidation>
    <dataValidation type="list" showErrorMessage="1" errorTitle="Cash/Voucher" error="Sirf CASH ya VOUCHER select karein." sqref="N201" xr:uid="{00000000-0002-0000-0500-000001000000}">
      <formula1>"CASH,VOUCHER"</formula1>
    </dataValidation>
    <dataValidation type="custom" showErrorMessage="1" errorTitle="Duplicate Return Trx" error="This Return Trx already exists on this day sheet." sqref="D201" xr:uid="{00000000-0002-0000-05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500-000003000000}">
      <formula1>OR(E201="",COUNTIF($E$2:$E$201,E201)=1)</formula1>
    </dataValidation>
    <dataValidation type="list" allowBlank="1" showInputMessage="1" showErrorMessage="1" sqref="O2:O200" xr:uid="{55B3FF5F-8C3E-406F-B91C-B0B802F10E34}">
      <formula1>"70243 - Riffat Fatima,68470 - Kamran,58112 - Shama,HOF Respctive Person"</formula1>
    </dataValidation>
    <dataValidation type="list" allowBlank="1" showInputMessage="1" showErrorMessage="1" sqref="J2:J200" xr:uid="{00884DEA-56DB-4C1F-8C7D-CAC3E6543A1E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93DFD3D5-7DA8-4DCA-9E82-808F30689541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500-000004000000}">
            <xm:f>AND(D201&lt;&gt;"",(COUNTIF('1'!$D$2:$D$201,D201)+COUNTIF('2'!$D$2:$D$201,D201)+COUNTIF('3'!$D$2:$D$201,D201)+COUNTIF('4'!$D$2:$D$201,D201)+COUNTIF('5'!$D$2:$D$201,D201)+COUNTIF(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500-000005000000}">
            <xm:f>AND(E201&lt;&gt;"",(COUNTIF('1'!$E$2:$E$201,E201)+COUNTIF('2'!$E$2:$E$201,E201)+COUNTIF('3'!$E$2:$E$201,E201)+COUNTIF('4'!$E$2:$E$201,E201)+COUNTIF('5'!$E$2:$E$201,E201)+COUNTIF(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766B1A-6767-4FDF-97FE-262F0116BE12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6A1A0DAE-252F-4D04-A0F0-C97475C07424}">
          <x14:formula1>
            <xm:f>Management!$B$3:$B$26</xm:f>
          </x14:formula1>
          <xm:sqref>L2:L200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01"/>
  <sheetViews>
    <sheetView showGridLines="0" zoomScale="90" zoomScaleNormal="9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lj6Jzih2ceVRp8lufLlKdDCW+rL6yRhxQZp9puWpYbo9W+3cnY3sHBoq5Dm0L0RM+wCeTimZE/SJYFG9VtHDZw==" saltValue="0wci7VObEe2GkbbyK9ZtCg==" spinCount="100000" sheet="1" objects="1" scenarios="1"/>
  <conditionalFormatting sqref="M201">
    <cfRule type="expression" dxfId="215" priority="4">
      <formula>M201="Valid Approval"</formula>
    </cfRule>
    <cfRule type="expression" dxfId="214" priority="5">
      <formula>M201="Limit Exceeded"</formula>
    </cfRule>
    <cfRule type="expression" dxfId="213" priority="6">
      <formula>M201="Select Approval Name"</formula>
    </cfRule>
  </conditionalFormatting>
  <conditionalFormatting sqref="M2:M200">
    <cfRule type="expression" dxfId="17" priority="1">
      <formula>M2="Valid Approval"</formula>
    </cfRule>
    <cfRule type="expression" dxfId="16" priority="2">
      <formula>M2="Limit Exceeded"</formula>
    </cfRule>
    <cfRule type="expression" dxfId="15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06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0600-000001000000}">
      <formula1>FALSE</formula1>
    </dataValidation>
    <dataValidation type="custom" showErrorMessage="1" errorTitle="Duplicate Return Trx" error="This Return Trx already exists on this day sheet." sqref="D201" xr:uid="{00000000-0002-0000-06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600-000003000000}">
      <formula1>OR(E201="",COUNTIF($E$2:$E$201,E201)=1)</formula1>
    </dataValidation>
    <dataValidation type="list" allowBlank="1" showInputMessage="1" showErrorMessage="1" sqref="O2:O200" xr:uid="{9D8CADEC-3509-4D5C-8A6F-24D8A50FEAFC}">
      <formula1>"70243 - Riffat Fatima,68470 - Kamran,58112 - Shama,HOF Respctive Person"</formula1>
    </dataValidation>
    <dataValidation type="list" allowBlank="1" showInputMessage="1" showErrorMessage="1" sqref="J2:J200" xr:uid="{D4AF2CDC-F57D-4A7F-9EA7-37FBCE527FCB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750B8DF0-5878-409D-8364-C20F6DE89366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600-000004000000}">
            <xm:f>AND(D201&lt;&gt;"",(COUNTIF('1'!$D$2:$D$201,D201)+COUNTIF('2'!$D$2:$D$201,D201)+COUNTIF('3'!$D$2:$D$201,D201)+COUNTIF('4'!$D$2:$D$201,D201)+COUNTIF('5'!$D$2:$D$201,D201)+COUNTIF('6'!$D$2:$D$201,D201)+COUNTIF(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600-000005000000}">
            <xm:f>AND(E201&lt;&gt;"",(COUNTIF('1'!$E$2:$E$201,E201)+COUNTIF('2'!$E$2:$E$201,E201)+COUNTIF('3'!$E$2:$E$201,E201)+COUNTIF('4'!$E$2:$E$201,E201)+COUNTIF('5'!$E$2:$E$201,E201)+COUNTIF('6'!$E$2:$E$201,E201)+COUNTIF(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AA1900-6C0B-4CDA-A0A2-B532B57499C4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42536276-15C5-4805-90B3-E8050902A65B}">
          <x14:formula1>
            <xm:f>Management!$B$3:$B$26</xm:f>
          </x14:formula1>
          <xm:sqref>L2:L200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01"/>
  <sheetViews>
    <sheetView showGridLines="0" zoomScale="90" zoomScaleNormal="9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m98sVTYYOMePft5nsu2+KzAqhO3ZgNXPjyIQRlqHFsaSGqOEvHYs+pkeq2pdeIBUbqjbxLbazEIt2B/q3/CG5g==" saltValue="xhi0hetxYAeKcIsFVHsaYA==" spinCount="100000" sheet="1" objects="1" scenarios="1"/>
  <conditionalFormatting sqref="M201">
    <cfRule type="expression" dxfId="210" priority="4">
      <formula>M201="Valid Approval"</formula>
    </cfRule>
    <cfRule type="expression" dxfId="209" priority="5">
      <formula>M201="Limit Exceeded"</formula>
    </cfRule>
    <cfRule type="expression" dxfId="208" priority="6">
      <formula>M201="Select Approval Name"</formula>
    </cfRule>
  </conditionalFormatting>
  <conditionalFormatting sqref="M2:M200">
    <cfRule type="expression" dxfId="20" priority="1">
      <formula>M2="Valid Approval"</formula>
    </cfRule>
    <cfRule type="expression" dxfId="19" priority="2">
      <formula>M2="Limit Exceeded"</formula>
    </cfRule>
    <cfRule type="expression" dxfId="18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0700-000000000000}">
      <formula1>FALSE</formula1>
    </dataValidation>
    <dataValidation type="list" showErrorMessage="1" errorTitle="Cash/Voucher" error="Sirf CASH ya VOUCHER select karein." sqref="N201" xr:uid="{00000000-0002-0000-0700-000001000000}">
      <formula1>"CASH,VOUCHER"</formula1>
    </dataValidation>
    <dataValidation type="custom" showErrorMessage="1" errorTitle="Duplicate Return Trx" error="This Return Trx already exists on this day sheet." sqref="D201" xr:uid="{00000000-0002-0000-07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700-000003000000}">
      <formula1>OR(E201="",COUNTIF($E$2:$E$201,E201)=1)</formula1>
    </dataValidation>
    <dataValidation type="list" allowBlank="1" showInputMessage="1" showErrorMessage="1" sqref="O2:O200" xr:uid="{63554E83-74BC-401E-87FB-7E7F52B976DF}">
      <formula1>"70243 - Riffat Fatima,68470 - Kamran,58112 - Shama,HOF Respctive Person"</formula1>
    </dataValidation>
    <dataValidation type="list" allowBlank="1" showInputMessage="1" showErrorMessage="1" sqref="J2:J200" xr:uid="{0B21E3CD-EA6C-411E-A03B-377FF4C8BA79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D1760A80-3A34-42F4-95C1-9F7528E171F5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700-000004000000}">
            <xm:f>AND(D201&lt;&gt;"",(COUNTIF('1'!$D$2:$D$201,D201)+COUNTIF('2'!$D$2:$D$201,D201)+COUNTIF('3'!$D$2:$D$201,D201)+COUNTIF('4'!$D$2:$D$201,D201)+COUNTIF('5'!$D$2:$D$201,D201)+COUNTIF('6'!$D$2:$D$201,D201)+COUNTIF('7'!$D$2:$D$201,D201)+COUNTIF(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700-000005000000}">
            <xm:f>AND(E201&lt;&gt;"",(COUNTIF('1'!$E$2:$E$201,E201)+COUNTIF('2'!$E$2:$E$201,E201)+COUNTIF('3'!$E$2:$E$201,E201)+COUNTIF('4'!$E$2:$E$201,E201)+COUNTIF('5'!$E$2:$E$201,E201)+COUNTIF('6'!$E$2:$E$201,E201)+COUNTIF('7'!$E$2:$E$201,E201)+COUNTIF(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A618D34-4237-4C7D-9AA6-7BE0B0A5C8B6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162CC429-A671-4C6C-BCA2-4F9DFD2C3F7F}">
          <x14:formula1>
            <xm:f>Management!$B$3:$B$26</xm:f>
          </x14:formula1>
          <xm:sqref>L2:L200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Kmn+b80LXYf+PRGoZppMteYEcQplvek7/CxNW6yk+MkOfu2yrbGrGTg0skZs0leufP1ANdbY1IkKXoi/F0Onng==" saltValue="+6JX5Nyvzib6oPWV+8m2kw==" spinCount="100000" sheet="1" objects="1" scenarios="1"/>
  <conditionalFormatting sqref="M201">
    <cfRule type="expression" dxfId="205" priority="4">
      <formula>M201="Valid Approval"</formula>
    </cfRule>
    <cfRule type="expression" dxfId="204" priority="5">
      <formula>M201="Limit Exceeded"</formula>
    </cfRule>
    <cfRule type="expression" dxfId="203" priority="6">
      <formula>M201="Select Approval Name"</formula>
    </cfRule>
  </conditionalFormatting>
  <conditionalFormatting sqref="M2:M200">
    <cfRule type="expression" dxfId="23" priority="1">
      <formula>M2="Valid Approval"</formula>
    </cfRule>
    <cfRule type="expression" dxfId="22" priority="2">
      <formula>M2="Limit Exceeded"</formula>
    </cfRule>
    <cfRule type="expression" dxfId="21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08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0800-000001000000}">
      <formula1>FALSE</formula1>
    </dataValidation>
    <dataValidation type="custom" showErrorMessage="1" errorTitle="Duplicate Return Trx" error="This Return Trx already exists on this day sheet." sqref="D201" xr:uid="{00000000-0002-0000-08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800-000003000000}">
      <formula1>OR(E201="",COUNTIF($E$2:$E$201,E201)=1)</formula1>
    </dataValidation>
    <dataValidation type="list" allowBlank="1" showInputMessage="1" showErrorMessage="1" sqref="O2:O200" xr:uid="{8FE1531D-2B65-43B8-8802-3F8382A494D6}">
      <formula1>"70243 - Riffat Fatima,68470 - Kamran,58112 - Shama,HOF Respctive Person"</formula1>
    </dataValidation>
    <dataValidation type="list" allowBlank="1" showInputMessage="1" showErrorMessage="1" sqref="J2:J200" xr:uid="{D9FD2E4D-C33F-44FF-91E6-39554738ED53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351ECCA9-7577-44CF-9A19-9D345776EDC9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8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8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E81FBC-4211-4328-AB9B-D5451F5BF86B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C70AF6A3-6A92-4992-8757-EA1C74672540}">
          <x14:formula1>
            <xm:f>Management!$B$3:$B$26</xm:f>
          </x14:formula1>
          <xm:sqref>L2:L200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qd725CUJcZh7aCIptzzxRoyuH2hhmfodF4GVKHbemXavLbsKxMhhbCI+8Ij7iX5vm2SJWk8JmfvBDUfI+9Dlkg==" saltValue="mwXLwRaUpCxoC6EDo8WiuA==" spinCount="100000" sheet="1" objects="1" scenarios="1"/>
  <conditionalFormatting sqref="M201">
    <cfRule type="expression" dxfId="200" priority="4">
      <formula>M201="Valid Approval"</formula>
    </cfRule>
    <cfRule type="expression" dxfId="199" priority="5">
      <formula>M201="Limit Exceeded"</formula>
    </cfRule>
    <cfRule type="expression" dxfId="198" priority="6">
      <formula>M201="Select Approval Name"</formula>
    </cfRule>
  </conditionalFormatting>
  <conditionalFormatting sqref="M2:M200">
    <cfRule type="expression" dxfId="26" priority="1">
      <formula>M2="Valid Approval"</formula>
    </cfRule>
    <cfRule type="expression" dxfId="25" priority="2">
      <formula>M2="Limit Exceeded"</formula>
    </cfRule>
    <cfRule type="expression" dxfId="24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0900-000000000000}">
      <formula1>FALSE</formula1>
    </dataValidation>
    <dataValidation type="list" showErrorMessage="1" errorTitle="Cash/Voucher" error="Sirf CASH ya VOUCHER select karein." sqref="N201" xr:uid="{00000000-0002-0000-0900-000001000000}">
      <formula1>"CASH,VOUCHER"</formula1>
    </dataValidation>
    <dataValidation type="custom" showErrorMessage="1" errorTitle="Duplicate Return Trx" error="This Return Trx already exists on this day sheet." sqref="D201" xr:uid="{00000000-0002-0000-09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900-000003000000}">
      <formula1>OR(E201="",COUNTIF($E$2:$E$201,E201)=1)</formula1>
    </dataValidation>
    <dataValidation type="list" allowBlank="1" showInputMessage="1" showErrorMessage="1" sqref="O2:O200" xr:uid="{5DF652C3-239E-4B1D-9D9C-F27536466EBF}">
      <formula1>"70243 - Riffat Fatima,68470 - Kamran,58112 - Shama,HOF Respctive Person"</formula1>
    </dataValidation>
    <dataValidation type="list" allowBlank="1" showInputMessage="1" showErrorMessage="1" sqref="J2:J200" xr:uid="{745E154A-2624-4D68-A15F-C62EA7AADF72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F9725EFA-8EDC-4FDA-82F8-7AB4E4E822E2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9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9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090E8C-E93A-4320-8E2C-6B27C178FB5B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CDBB2B7D-EA30-4520-BA75-1728B84098E5}">
          <x14:formula1>
            <xm:f>Management!$B$3:$B$26</xm:f>
          </x14:formula1>
          <xm:sqref>L2:L200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01"/>
  <sheetViews>
    <sheetView showGridLines="0" zoomScale="90" zoomScaleNormal="90" workbookViewId="0">
      <pane ySplit="1" topLeftCell="A146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uYEiqG9kKE6oBLbiVrTgR46fKBE602BDiway+nZelrpaYsquN7klN5l79OdHkL4cFY2ojnu5m4IV95FKUkTrgw==" saltValue="pUXu0N5G/CDK3LG2ESsMJw==" spinCount="100000" sheet="1" objects="1" scenarios="1"/>
  <conditionalFormatting sqref="M201">
    <cfRule type="expression" dxfId="195" priority="4">
      <formula>M201="Valid Approval"</formula>
    </cfRule>
    <cfRule type="expression" dxfId="194" priority="5">
      <formula>M201="Limit Exceeded"</formula>
    </cfRule>
    <cfRule type="expression" dxfId="193" priority="6">
      <formula>M201="Select Approval Name"</formula>
    </cfRule>
  </conditionalFormatting>
  <conditionalFormatting sqref="M2:M200">
    <cfRule type="expression" dxfId="29" priority="1">
      <formula>M2="Valid Approval"</formula>
    </cfRule>
    <cfRule type="expression" dxfId="28" priority="2">
      <formula>M2="Limit Exceeded"</formula>
    </cfRule>
    <cfRule type="expression" dxfId="27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0A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0A00-000001000000}">
      <formula1>FALSE</formula1>
    </dataValidation>
    <dataValidation type="custom" showErrorMessage="1" errorTitle="Duplicate Return Trx" error="This Return Trx already exists on this day sheet." sqref="D201" xr:uid="{00000000-0002-0000-0A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A00-000003000000}">
      <formula1>OR(E201="",COUNTIF($E$2:$E$201,E201)=1)</formula1>
    </dataValidation>
    <dataValidation type="list" allowBlank="1" showInputMessage="1" showErrorMessage="1" sqref="O2:O200" xr:uid="{5050542F-E781-4C7B-A307-58E403635FA1}">
      <formula1>"70243 - Riffat Fatima,68470 - Kamran,58112 - Shama,HOF Respctive Person"</formula1>
    </dataValidation>
    <dataValidation type="list" allowBlank="1" showInputMessage="1" showErrorMessage="1" sqref="J2:J200" xr:uid="{DC37C45E-7E5C-496A-8FC9-FDC0C8F77958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C152A26D-41AC-4410-BBEB-F8E38BC3370B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A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A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CC4817A-5ECE-447D-8502-D3D098E23AC1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AF057D36-90EB-4842-8F41-707958933094}">
          <x14:formula1>
            <xm:f>Management!$B$3:$B$26</xm:f>
          </x14:formula1>
          <xm:sqref>L2:L200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z/DdXuXxR3mDjHsbLWqbG3+62MoK/Hzl9l5EgqrKz2kR68E1gIs/VMSV3nflQ8pobr/2cJYQFUTVsYE1+xuRgA==" saltValue="bKUopEZulz2d3KumOH/OLA==" spinCount="100000" sheet="1" objects="1" scenarios="1"/>
  <conditionalFormatting sqref="M201">
    <cfRule type="expression" dxfId="190" priority="4">
      <formula>M201="Valid Approval"</formula>
    </cfRule>
    <cfRule type="expression" dxfId="189" priority="5">
      <formula>M201="Limit Exceeded"</formula>
    </cfRule>
    <cfRule type="expression" dxfId="188" priority="6">
      <formula>M201="Select Approval Name"</formula>
    </cfRule>
  </conditionalFormatting>
  <conditionalFormatting sqref="M2:M200">
    <cfRule type="expression" dxfId="32" priority="1">
      <formula>M2="Valid Approval"</formula>
    </cfRule>
    <cfRule type="expression" dxfId="31" priority="2">
      <formula>M2="Limit Exceeded"</formula>
    </cfRule>
    <cfRule type="expression" dxfId="30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0B00-000000000000}">
      <formula1>FALSE</formula1>
    </dataValidation>
    <dataValidation type="list" showErrorMessage="1" errorTitle="Cash/Voucher" error="Sirf CASH ya VOUCHER select karein." sqref="N201" xr:uid="{00000000-0002-0000-0B00-000001000000}">
      <formula1>"CASH,VOUCHER"</formula1>
    </dataValidation>
    <dataValidation type="custom" showErrorMessage="1" errorTitle="Duplicate Return Trx" error="This Return Trx already exists on this day sheet." sqref="D201" xr:uid="{00000000-0002-0000-0B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B00-000003000000}">
      <formula1>OR(E201="",COUNTIF($E$2:$E$201,E201)=1)</formula1>
    </dataValidation>
    <dataValidation type="list" allowBlank="1" showInputMessage="1" showErrorMessage="1" sqref="O2:O200" xr:uid="{7A9D1F65-01A3-43AA-9056-D9443E136183}">
      <formula1>"70243 - Riffat Fatima,68470 - Kamran,58112 - Shama,HOF Respctive Person"</formula1>
    </dataValidation>
    <dataValidation type="list" allowBlank="1" showInputMessage="1" showErrorMessage="1" sqref="J2:J200" xr:uid="{F969DB18-3778-490E-B134-C869C62E83F0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D5E1B4F8-42F5-4917-8F13-896887A4AF47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B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B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3B068-FFCC-4FA3-B582-58E2333AC780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53C1E848-B2FF-4CDA-B9EF-A25D8FC05CCC}">
          <x14:formula1>
            <xm:f>Management!$B$3:$B$26</xm:f>
          </x14:formula1>
          <xm:sqref>L2:L200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6U4ULy9kqN2n32cdBELg9RDPOaLB2oulJx9IZP4cG5cvpWUKs7jQcl4TwriXvojszdTwhPBKTABQDeLVZ4utpA==" saltValue="TopEzlEUmdp5fBRCDli6Wg==" spinCount="100000" sheet="1" objects="1" scenarios="1"/>
  <conditionalFormatting sqref="M201">
    <cfRule type="expression" dxfId="185" priority="4">
      <formula>M201="Valid Approval"</formula>
    </cfRule>
    <cfRule type="expression" dxfId="184" priority="5">
      <formula>M201="Limit Exceeded"</formula>
    </cfRule>
    <cfRule type="expression" dxfId="183" priority="6">
      <formula>M201="Select Approval Name"</formula>
    </cfRule>
  </conditionalFormatting>
  <conditionalFormatting sqref="M2:M200">
    <cfRule type="expression" dxfId="35" priority="1">
      <formula>M2="Valid Approval"</formula>
    </cfRule>
    <cfRule type="expression" dxfId="34" priority="2">
      <formula>M2="Limit Exceeded"</formula>
    </cfRule>
    <cfRule type="expression" dxfId="33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0C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0C00-000001000000}">
      <formula1>FALSE</formula1>
    </dataValidation>
    <dataValidation type="custom" showErrorMessage="1" errorTitle="Duplicate Return Trx" error="This Return Trx already exists on this day sheet." sqref="D201" xr:uid="{00000000-0002-0000-0C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C00-000003000000}">
      <formula1>OR(E201="",COUNTIF($E$2:$E$201,E201)=1)</formula1>
    </dataValidation>
    <dataValidation type="list" allowBlank="1" showInputMessage="1" showErrorMessage="1" sqref="O2:O200" xr:uid="{6DEDDFC2-E27D-421E-A2C3-3487EF07CF60}">
      <formula1>"70243 - Riffat Fatima,68470 - Kamran,58112 - Shama,HOF Respctive Person"</formula1>
    </dataValidation>
    <dataValidation type="list" allowBlank="1" showInputMessage="1" showErrorMessage="1" sqref="J2:J200" xr:uid="{5885B251-4C8D-4D87-A48D-E3143FC08BCC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DD7E0F0E-A55F-4E2B-956C-28F229C6E91D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C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C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092D74F-F38F-4CFF-A1A8-ADF4B9B8FA10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E1BC5AD7-9040-4445-9811-DA8EB63B4D36}">
          <x14:formula1>
            <xm:f>Management!$B$3:$B$26</xm:f>
          </x14:formula1>
          <xm:sqref>L2:L200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lLqFrbGyiDvMDP65BKpwj7vr2MyFmLlse7jnQzzmG1G6cLY7Bh9cKHik+VOiCc7Xy9ruMfx/Rd0kOZVuIsVjQA==" saltValue="WG/Pn3cnCXbxecysxxVN1w==" spinCount="100000" sheet="1" objects="1" scenarios="1"/>
  <conditionalFormatting sqref="M201">
    <cfRule type="expression" dxfId="180" priority="4">
      <formula>M201="Valid Approval"</formula>
    </cfRule>
    <cfRule type="expression" dxfId="179" priority="5">
      <formula>M201="Limit Exceeded"</formula>
    </cfRule>
    <cfRule type="expression" dxfId="178" priority="6">
      <formula>M201="Select Approval Name"</formula>
    </cfRule>
  </conditionalFormatting>
  <conditionalFormatting sqref="M2:M200">
    <cfRule type="expression" dxfId="38" priority="1">
      <formula>M2="Valid Approval"</formula>
    </cfRule>
    <cfRule type="expression" dxfId="37" priority="2">
      <formula>M2="Limit Exceeded"</formula>
    </cfRule>
    <cfRule type="expression" dxfId="36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0D00-000000000000}">
      <formula1>FALSE</formula1>
    </dataValidation>
    <dataValidation type="list" showErrorMessage="1" errorTitle="Cash/Voucher" error="Sirf CASH ya VOUCHER select karein." sqref="N201" xr:uid="{00000000-0002-0000-0D00-000001000000}">
      <formula1>"CASH,VOUCHER"</formula1>
    </dataValidation>
    <dataValidation type="custom" showErrorMessage="1" errorTitle="Duplicate Return Trx" error="This Return Trx already exists on this day sheet." sqref="D201" xr:uid="{00000000-0002-0000-0D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D00-000003000000}">
      <formula1>OR(E201="",COUNTIF($E$2:$E$201,E201)=1)</formula1>
    </dataValidation>
    <dataValidation type="list" allowBlank="1" showInputMessage="1" showErrorMessage="1" sqref="O2:O200" xr:uid="{4893294A-4FF4-4D79-89B5-E68288F08158}">
      <formula1>"70243 - Riffat Fatima,68470 - Kamran,58112 - Shama,HOF Respctive Person"</formula1>
    </dataValidation>
    <dataValidation type="list" allowBlank="1" showInputMessage="1" showErrorMessage="1" sqref="J2:J200" xr:uid="{D0DCEAC4-36CD-43D2-A335-8D785C6B6F3D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75FA4317-2970-44FF-B5C4-DDF9FBE332DD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D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D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97A66A-3DDD-4BD6-A3EF-F716D0B38603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13B86282-9E51-4C12-8714-F5DC2CE8118C}">
          <x14:formula1>
            <xm:f>Management!$B$3:$B$26</xm:f>
          </x14:formula1>
          <xm:sqref>L2:L200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lT0GUZjaie+K6A8Z/+3amRtiEClqyxpqnO3Y+ACWm5eArBR0E92qz8wrGuXwu3Yl6mvkFeczxPCDMjeJiPiUeQ==" saltValue="zk73u1ZHHytUSaEeUfjsAw==" spinCount="100000" sheet="1" objects="1" scenarios="1"/>
  <conditionalFormatting sqref="M201">
    <cfRule type="expression" dxfId="175" priority="4">
      <formula>M201="Valid Approval"</formula>
    </cfRule>
    <cfRule type="expression" dxfId="174" priority="5">
      <formula>M201="Limit Exceeded"</formula>
    </cfRule>
    <cfRule type="expression" dxfId="173" priority="6">
      <formula>M201="Select Approval Name"</formula>
    </cfRule>
  </conditionalFormatting>
  <conditionalFormatting sqref="M2:M200">
    <cfRule type="expression" dxfId="41" priority="1">
      <formula>M2="Valid Approval"</formula>
    </cfRule>
    <cfRule type="expression" dxfId="40" priority="2">
      <formula>M2="Limit Exceeded"</formula>
    </cfRule>
    <cfRule type="expression" dxfId="39" priority="3">
      <formula>M2="Select Approval Name"</formula>
    </cfRule>
  </conditionalFormatting>
  <dataValidations disablePrompts="1" count="7">
    <dataValidation type="list" showErrorMessage="1" errorTitle="Cash/Voucher" error="Sirf CASH ya VOUCHER select karein." sqref="N201" xr:uid="{00000000-0002-0000-0E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0E00-000001000000}">
      <formula1>FALSE</formula1>
    </dataValidation>
    <dataValidation type="custom" showErrorMessage="1" errorTitle="Duplicate Return Trx" error="This Return Trx already exists on this day sheet." sqref="D201" xr:uid="{00000000-0002-0000-0E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E00-000003000000}">
      <formula1>OR(E201="",COUNTIF($E$2:$E$201,E201)=1)</formula1>
    </dataValidation>
    <dataValidation type="list" allowBlank="1" showInputMessage="1" showErrorMessage="1" sqref="O2:O200" xr:uid="{12412E00-1888-4182-BDFE-596499E62CC8}">
      <formula1>"70243 - Riffat Fatima,68470 - Kamran,58112 - Shama,HOF Respctive Person"</formula1>
    </dataValidation>
    <dataValidation type="list" allowBlank="1" showInputMessage="1" showErrorMessage="1" sqref="J2:J200" xr:uid="{F555AD66-3B8A-44E7-8BB8-138797034DF3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E6BBDE4B-E6F4-4CBC-8BA1-75DFF3C2E38E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E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E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9F523F2-077F-4221-A372-49253626D85A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49499678-EB51-4F2B-85AD-6C23ED7996E8}">
          <x14:formula1>
            <xm:f>Management!$B$3:$B$26</xm:f>
          </x14:formula1>
          <xm:sqref>L2:L200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8CeLNK2wgPdXlPZmVre8r4pOM9S+u+Qi+p1XBrVOeMPlH9o8jNgZ3mXNOZm+ImLaDnP2Yv1zpbvrTqE92FtR3A==" saltValue="9aObyU3HZSnyVOs937quVA==" spinCount="100000" sheet="1" objects="1" scenarios="1"/>
  <conditionalFormatting sqref="M201">
    <cfRule type="expression" dxfId="170" priority="4">
      <formula>M201="Valid Approval"</formula>
    </cfRule>
    <cfRule type="expression" dxfId="169" priority="5">
      <formula>M201="Limit Exceeded"</formula>
    </cfRule>
    <cfRule type="expression" dxfId="168" priority="6">
      <formula>M201="Select Approval Name"</formula>
    </cfRule>
  </conditionalFormatting>
  <conditionalFormatting sqref="M2:M200">
    <cfRule type="expression" dxfId="44" priority="1">
      <formula>M2="Valid Approval"</formula>
    </cfRule>
    <cfRule type="expression" dxfId="43" priority="2">
      <formula>M2="Limit Exceeded"</formula>
    </cfRule>
    <cfRule type="expression" dxfId="42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0F00-000000000000}">
      <formula1>FALSE</formula1>
    </dataValidation>
    <dataValidation type="list" showErrorMessage="1" errorTitle="Cash/Voucher" error="Sirf CASH ya VOUCHER select karein." sqref="N201" xr:uid="{00000000-0002-0000-0F00-000001000000}">
      <formula1>"CASH,VOUCHER"</formula1>
    </dataValidation>
    <dataValidation type="custom" showErrorMessage="1" errorTitle="Duplicate Return Trx" error="This Return Trx already exists on this day sheet." sqref="D201" xr:uid="{00000000-0002-0000-0F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0F00-000003000000}">
      <formula1>OR(E201="",COUNTIF($E$2:$E$201,E201)=1)</formula1>
    </dataValidation>
    <dataValidation type="list" allowBlank="1" showInputMessage="1" showErrorMessage="1" sqref="O2:O200" xr:uid="{618C1629-DE9C-4416-B791-679C348BFBD1}">
      <formula1>"70243 - Riffat Fatima,68470 - Kamran,58112 - Shama,HOF Respctive Person"</formula1>
    </dataValidation>
    <dataValidation type="list" allowBlank="1" showInputMessage="1" showErrorMessage="1" sqref="J2:J200" xr:uid="{43DBA27C-4A8E-49CB-9CA1-806E82AEB139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937F1AE3-321A-4323-8290-BBE7A621D382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F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0F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3BD59B-E8D3-4FAA-909B-C34FB2721A97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CF10F667-3C02-45EC-9363-8252D22BB498}">
          <x14:formula1>
            <xm:f>Management!$B$3:$B$26</xm:f>
          </x14:formula1>
          <xm:sqref>L2:L200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2Mfl/87tLPp4onCy/wNyXL+EfPIVhgTOq8Us0b7MhIcmufAj5KzYPges0o3lGorbAm0Vv78ifK7iwsVeUszdPA==" saltValue="zYrsR9LSdovhUo+qjQFkpw==" spinCount="100000" sheet="1" objects="1" scenarios="1"/>
  <conditionalFormatting sqref="M201">
    <cfRule type="expression" dxfId="165" priority="4">
      <formula>M201="Valid Approval"</formula>
    </cfRule>
    <cfRule type="expression" dxfId="164" priority="5">
      <formula>M201="Limit Exceeded"</formula>
    </cfRule>
    <cfRule type="expression" dxfId="163" priority="6">
      <formula>M201="Select Approval Name"</formula>
    </cfRule>
  </conditionalFormatting>
  <conditionalFormatting sqref="M2:M200">
    <cfRule type="expression" dxfId="47" priority="1">
      <formula>M2="Valid Approval"</formula>
    </cfRule>
    <cfRule type="expression" dxfId="46" priority="2">
      <formula>M2="Limit Exceeded"</formula>
    </cfRule>
    <cfRule type="expression" dxfId="45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10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1000-000001000000}">
      <formula1>FALSE</formula1>
    </dataValidation>
    <dataValidation type="custom" showErrorMessage="1" errorTitle="Duplicate Return Trx" error="This Return Trx already exists on this day sheet." sqref="D201" xr:uid="{00000000-0002-0000-10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000-000003000000}">
      <formula1>OR(E201="",COUNTIF($E$2:$E$201,E201)=1)</formula1>
    </dataValidation>
    <dataValidation type="list" allowBlank="1" showInputMessage="1" showErrorMessage="1" sqref="O2:O200" xr:uid="{74AB0AB8-5538-4D7D-91CC-9935CEF3FA7C}">
      <formula1>"70243 - Riffat Fatima,68470 - Kamran,58112 - Shama,HOF Respctive Person"</formula1>
    </dataValidation>
    <dataValidation type="list" allowBlank="1" showInputMessage="1" showErrorMessage="1" sqref="J2:J200" xr:uid="{1C2B7E31-A31A-404A-89C6-BDD0778DA3AE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AE40C386-CC7E-4879-BCD0-7738DD2DDF72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0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0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E69977-8238-4118-A6C0-24D9B6012EDE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F4A3BC88-AFDF-4850-8317-512230ADC8E1}">
          <x14:formula1>
            <xm:f>Management!$B$3:$B$26</xm:f>
          </x14:formula1>
          <xm:sqref>L2:L200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01"/>
  <sheetViews>
    <sheetView showGridLines="0" zoomScale="90" zoomScaleNormal="9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47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2qbKnQBMCric3ivHf7Q78qJCtBMchayQnFXP1k9SdFx2R8fwF9ltI2HEssZuTSDSzlppnTEBv8/8id4sFd8Nuw==" saltValue="EsnGOuMie1C7PxomssC5Ig==" spinCount="100000" sheet="1" objects="1" scenarios="1"/>
  <conditionalFormatting sqref="M201">
    <cfRule type="expression" dxfId="160" priority="4">
      <formula>M201="Valid Approval"</formula>
    </cfRule>
    <cfRule type="expression" dxfId="159" priority="5">
      <formula>M201="Limit Exceeded"</formula>
    </cfRule>
    <cfRule type="expression" dxfId="158" priority="6">
      <formula>M201="Select Approval Name"</formula>
    </cfRule>
  </conditionalFormatting>
  <conditionalFormatting sqref="M2:M200">
    <cfRule type="expression" dxfId="50" priority="1">
      <formula>M2="Valid Approval"</formula>
    </cfRule>
    <cfRule type="expression" dxfId="49" priority="2">
      <formula>M2="Limit Exceeded"</formula>
    </cfRule>
    <cfRule type="expression" dxfId="48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1100-000000000000}">
      <formula1>FALSE</formula1>
    </dataValidation>
    <dataValidation type="list" showErrorMessage="1" errorTitle="Cash/Voucher" error="Sirf CASH ya VOUCHER select karein." sqref="N201" xr:uid="{00000000-0002-0000-1100-000001000000}">
      <formula1>"CASH,VOUCHER"</formula1>
    </dataValidation>
    <dataValidation type="custom" showErrorMessage="1" errorTitle="Duplicate Return Trx" error="This Return Trx already exists on this day sheet." sqref="D201" xr:uid="{00000000-0002-0000-11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100-000003000000}">
      <formula1>OR(E201="",COUNTIF($E$2:$E$201,E201)=1)</formula1>
    </dataValidation>
    <dataValidation type="list" allowBlank="1" showInputMessage="1" showErrorMessage="1" sqref="O2:O200" xr:uid="{5305DA30-41B1-4C1F-BE41-F252A1E4E212}">
      <formula1>"70243 - Riffat Fatima,68470 - Kamran,58112 - Shama,HOF Respctive Person"</formula1>
    </dataValidation>
    <dataValidation type="list" allowBlank="1" showInputMessage="1" showErrorMessage="1" sqref="J2:J200" xr:uid="{C2824F67-5266-4649-8EA4-C7FC86DA516D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045E7E51-07EF-43B0-9060-AC356DCD3D24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1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1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BF868E9-C55F-461B-9EE5-5C73C1A188AF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8E496B87-637D-45A5-A62E-B249B63BEEB6}">
          <x14:formula1>
            <xm:f>Management!$B$3:$B$26</xm:f>
          </x14:formula1>
          <xm:sqref>L2:L200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01"/>
  <sheetViews>
    <sheetView showGridLines="0" zoomScale="90" zoomScaleNormal="9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OuVrB9xIbuayElKMZgU7qZIolZ12o5yqpnjTbqEbKqVMAjb2mhfhv3/k5IRXiP7rR7MqhjS/Vhtr6f0Ai5Sx4Q==" saltValue="e/5g/zIGOdJdJJrKJ8362Q==" spinCount="100000" sheet="1" objects="1" scenarios="1"/>
  <conditionalFormatting sqref="M201">
    <cfRule type="expression" dxfId="155" priority="4">
      <formula>M201="Valid Approval"</formula>
    </cfRule>
    <cfRule type="expression" dxfId="154" priority="5">
      <formula>M201="Limit Exceeded"</formula>
    </cfRule>
    <cfRule type="expression" dxfId="153" priority="6">
      <formula>M201="Select Approval Name"</formula>
    </cfRule>
  </conditionalFormatting>
  <conditionalFormatting sqref="M2:M200">
    <cfRule type="expression" dxfId="53" priority="1">
      <formula>M2="Valid Approval"</formula>
    </cfRule>
    <cfRule type="expression" dxfId="52" priority="2">
      <formula>M2="Limit Exceeded"</formula>
    </cfRule>
    <cfRule type="expression" dxfId="51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12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1200-000001000000}">
      <formula1>FALSE</formula1>
    </dataValidation>
    <dataValidation type="custom" showErrorMessage="1" errorTitle="Duplicate Return Trx" error="This Return Trx already exists on this day sheet." sqref="D201" xr:uid="{00000000-0002-0000-12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200-000003000000}">
      <formula1>OR(E201="",COUNTIF($E$2:$E$201,E201)=1)</formula1>
    </dataValidation>
    <dataValidation type="list" allowBlank="1" showInputMessage="1" showErrorMessage="1" sqref="O2:O200" xr:uid="{512EF3B3-DE24-4A1A-9483-5BEB0B25F418}">
      <formula1>"70243 - Riffat Fatima,68470 - Kamran,58112 - Shama,HOF Respctive Person"</formula1>
    </dataValidation>
    <dataValidation type="list" allowBlank="1" showInputMessage="1" showErrorMessage="1" sqref="J2:J200" xr:uid="{DC650D8D-3736-48ED-804C-599BBABB95ED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BBD035B2-9EC4-4395-9000-7D768F11DFAA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2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2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9CA09AC-A22B-4268-BCA7-DA2EB23FBBAD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2C1A2F33-DC3A-4A6C-AC3B-62FCFC7CDE39}">
          <x14:formula1>
            <xm:f>Management!$B$3:$B$26</xm:f>
          </x14:formula1>
          <xm:sqref>L2:L200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IR9ooKdxDxn7tGVkKOvGPs0wFv15PAtOFpnR+xWzz9w5HlTNPz50Nww4qRyGZ/XS9Fsu09GMD+okTkKiCRn5ZA==" saltValue="U8mh9Qvsdo5EBWdVxRoCvg==" spinCount="100000" sheet="1" objects="1" scenarios="1"/>
  <conditionalFormatting sqref="M201">
    <cfRule type="expression" dxfId="150" priority="4">
      <formula>M201="Valid Approval"</formula>
    </cfRule>
    <cfRule type="expression" dxfId="149" priority="5">
      <formula>M201="Limit Exceeded"</formula>
    </cfRule>
    <cfRule type="expression" dxfId="148" priority="6">
      <formula>M201="Select Approval Name"</formula>
    </cfRule>
  </conditionalFormatting>
  <conditionalFormatting sqref="M2:M200">
    <cfRule type="expression" dxfId="56" priority="1">
      <formula>M2="Valid Approval"</formula>
    </cfRule>
    <cfRule type="expression" dxfId="55" priority="2">
      <formula>M2="Limit Exceeded"</formula>
    </cfRule>
    <cfRule type="expression" dxfId="54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1300-000000000000}">
      <formula1>FALSE</formula1>
    </dataValidation>
    <dataValidation type="list" showErrorMessage="1" errorTitle="Cash/Voucher" error="Sirf CASH ya VOUCHER select karein." sqref="N201" xr:uid="{00000000-0002-0000-1300-000001000000}">
      <formula1>"CASH,VOUCHER"</formula1>
    </dataValidation>
    <dataValidation type="custom" showErrorMessage="1" errorTitle="Duplicate Return Trx" error="This Return Trx already exists on this day sheet." sqref="D201" xr:uid="{00000000-0002-0000-13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300-000003000000}">
      <formula1>OR(E201="",COUNTIF($E$2:$E$201,E201)=1)</formula1>
    </dataValidation>
    <dataValidation type="list" allowBlank="1" showInputMessage="1" showErrorMessage="1" sqref="O2:O200" xr:uid="{DAD748CE-8BCA-49DF-8728-93A988C60A90}">
      <formula1>"70243 - Riffat Fatima,68470 - Kamran,58112 - Shama,HOF Respctive Person"</formula1>
    </dataValidation>
    <dataValidation type="list" allowBlank="1" showInputMessage="1" showErrorMessage="1" sqref="J2:J200" xr:uid="{1F3731E9-7CEF-41D4-AD69-477DB6FD499E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2688E716-9C8A-4D9A-9081-430987360D2E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3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3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40BFBD0-BA9E-4937-9497-BE58710C015E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9C2D25AA-65F3-4C3E-8011-CC545FE1C44C}">
          <x14:formula1>
            <xm:f>Management!$B$3:$B$26</xm:f>
          </x14:formula1>
          <xm:sqref>L2:L200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eVsk10FeE2c1O0IZgDE8Ef42PppvsfXKbmJuzhSCmaRDxd4qdvfp1OZ2c9HrdGOHnmpMJjQSS4Rydzv5a5KlCA==" saltValue="Wa5cmEum58ZRxCsW0cCAxw==" spinCount="100000" sheet="1" objects="1" scenarios="1"/>
  <conditionalFormatting sqref="M201">
    <cfRule type="expression" dxfId="145" priority="4">
      <formula>M201="Valid Approval"</formula>
    </cfRule>
    <cfRule type="expression" dxfId="144" priority="5">
      <formula>M201="Limit Exceeded"</formula>
    </cfRule>
    <cfRule type="expression" dxfId="143" priority="6">
      <formula>M201="Select Approval Name"</formula>
    </cfRule>
  </conditionalFormatting>
  <conditionalFormatting sqref="M2:M200">
    <cfRule type="expression" dxfId="59" priority="1">
      <formula>M2="Valid Approval"</formula>
    </cfRule>
    <cfRule type="expression" dxfId="58" priority="2">
      <formula>M2="Limit Exceeded"</formula>
    </cfRule>
    <cfRule type="expression" dxfId="57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14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1400-000001000000}">
      <formula1>FALSE</formula1>
    </dataValidation>
    <dataValidation type="custom" showErrorMessage="1" errorTitle="Duplicate Return Trx" error="This Return Trx already exists on this day sheet." sqref="D201" xr:uid="{00000000-0002-0000-14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400-000003000000}">
      <formula1>OR(E201="",COUNTIF($E$2:$E$201,E201)=1)</formula1>
    </dataValidation>
    <dataValidation type="list" allowBlank="1" showInputMessage="1" showErrorMessage="1" sqref="O2:O200" xr:uid="{4A5D1E53-AB06-4D48-91C2-8E96D6F2430F}">
      <formula1>"70243 - Riffat Fatima,68470 - Kamran,58112 - Shama,HOF Respctive Person"</formula1>
    </dataValidation>
    <dataValidation type="list" allowBlank="1" showInputMessage="1" showErrorMessage="1" sqref="J2:J200" xr:uid="{E27F9AED-B9A7-4ABA-BC00-DC842D271709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C045DFE7-295A-43D2-96E7-4941C4D75229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4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4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B30998-740E-4D01-AAD3-818D17969C6B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738940B6-88F4-4991-88B3-64471C4C670A}">
          <x14:formula1>
            <xm:f>Management!$B$3:$B$26</xm:f>
          </x14:formula1>
          <xm:sqref>L2:L200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krWIXEEJFCGE7EXSwWtPd74+We0IM36pNxhg2gpG18P84RNSU2ZkLvQ89kolszexDkXTM3f1jiGkB2qVr2RRvw==" saltValue="n2VtQuai8pQSvrWFbYTbIQ==" spinCount="100000" sheet="1" objects="1" scenarios="1"/>
  <conditionalFormatting sqref="M201">
    <cfRule type="expression" dxfId="140" priority="4">
      <formula>M201="Valid Approval"</formula>
    </cfRule>
    <cfRule type="expression" dxfId="139" priority="5">
      <formula>M201="Limit Exceeded"</formula>
    </cfRule>
    <cfRule type="expression" dxfId="138" priority="6">
      <formula>M201="Select Approval Name"</formula>
    </cfRule>
  </conditionalFormatting>
  <conditionalFormatting sqref="M2:M200">
    <cfRule type="expression" dxfId="62" priority="1">
      <formula>M2="Valid Approval"</formula>
    </cfRule>
    <cfRule type="expression" dxfId="61" priority="2">
      <formula>M2="Limit Exceeded"</formula>
    </cfRule>
    <cfRule type="expression" dxfId="60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1500-000000000000}">
      <formula1>FALSE</formula1>
    </dataValidation>
    <dataValidation type="list" showErrorMessage="1" errorTitle="Cash/Voucher" error="Sirf CASH ya VOUCHER select karein." sqref="N201" xr:uid="{00000000-0002-0000-1500-000001000000}">
      <formula1>"CASH,VOUCHER"</formula1>
    </dataValidation>
    <dataValidation type="custom" showErrorMessage="1" errorTitle="Duplicate Return Trx" error="This Return Trx already exists on this day sheet." sqref="D201" xr:uid="{00000000-0002-0000-15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500-000003000000}">
      <formula1>OR(E201="",COUNTIF($E$2:$E$201,E201)=1)</formula1>
    </dataValidation>
    <dataValidation type="list" allowBlank="1" showInputMessage="1" showErrorMessage="1" sqref="O2:O200" xr:uid="{7EC619E7-4650-437E-9445-B7F120570422}">
      <formula1>"70243 - Riffat Fatima,68470 - Kamran,58112 - Shama,HOF Respctive Person"</formula1>
    </dataValidation>
    <dataValidation type="list" allowBlank="1" showInputMessage="1" showErrorMessage="1" sqref="J2:J200" xr:uid="{7B15447E-64E6-4E66-9288-B706E67BA9B6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C8775C9E-EFCD-4877-91BB-FF021A6E0857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5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$D$2:$D$201,D201)+COUNTIF('23'!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5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$E$2:$E$201,E201)+COUNTIF('23'!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5E80BC-7847-4D8A-A252-5251FD25A51B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69C8E4B6-5930-4C0B-AADF-96A0035B7167}">
          <x14:formula1>
            <xm:f>Management!$B$3:$B$26</xm:f>
          </x14:formula1>
          <xm:sqref>L2:L200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b1qsqzDaFPBqXNHknUS5pci1jrLULwH3NGszDNM0cLjV6mDl5ITLbcIM0/Z3goLyir1/j5JXr+gsVck3aR7LVQ==" saltValue="MEOVOJyEYLM9IXwZAsqPsw==" spinCount="100000" sheet="1" objects="1" scenarios="1"/>
  <conditionalFormatting sqref="M201">
    <cfRule type="expression" dxfId="135" priority="4">
      <formula>M201="Valid Approval"</formula>
    </cfRule>
    <cfRule type="expression" dxfId="134" priority="5">
      <formula>M201="Limit Exceeded"</formula>
    </cfRule>
    <cfRule type="expression" dxfId="133" priority="6">
      <formula>M201="Select Approval Name"</formula>
    </cfRule>
  </conditionalFormatting>
  <conditionalFormatting sqref="M2:M200">
    <cfRule type="expression" dxfId="65" priority="1">
      <formula>M2="Valid Approval"</formula>
    </cfRule>
    <cfRule type="expression" dxfId="64" priority="2">
      <formula>M2="Limit Exceeded"</formula>
    </cfRule>
    <cfRule type="expression" dxfId="63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16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1600-000001000000}">
      <formula1>FALSE</formula1>
    </dataValidation>
    <dataValidation type="custom" showErrorMessage="1" errorTitle="Duplicate Return Trx" error="This Return Trx already exists on this day sheet." sqref="D201" xr:uid="{00000000-0002-0000-16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600-000003000000}">
      <formula1>OR(E201="",COUNTIF($E$2:$E$201,E201)=1)</formula1>
    </dataValidation>
    <dataValidation type="list" allowBlank="1" showInputMessage="1" showErrorMessage="1" sqref="O2:O200" xr:uid="{ED0145EA-91F6-44EB-92C0-22729F763C6A}">
      <formula1>"70243 - Riffat Fatima,68470 - Kamran,58112 - Shama,HOF Respctive Person"</formula1>
    </dataValidation>
    <dataValidation type="list" allowBlank="1" showInputMessage="1" showErrorMessage="1" sqref="J2:J200" xr:uid="{C136B0DC-9B35-4ACA-80AF-05ED502BF6AC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4F786F57-BF12-4570-9D5F-71196BF86F3A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6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$D$2:$D$201,D201)+COUNTIF('24'!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6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$E$2:$E$201,E201)+COUNTIF('24'!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41D90F-11EC-4192-9B9D-F5F5E4A88925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ACAB25E5-D128-4352-93E1-FBD9D1B3A36E}">
          <x14:formula1>
            <xm:f>Management!$B$3:$B$26</xm:f>
          </x14:formula1>
          <xm:sqref>L2:L200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0jBBinJd0EpNe0fc4IrVbYNAUr855xqRJa9ALvBQM69derdI6K7kkT2P9FLowmQVllN03a6ftNPbp/nbjrAOtA==" saltValue="CctuQIs+jvRp1jUzYUy1kQ==" spinCount="100000" sheet="1" objects="1" scenarios="1"/>
  <conditionalFormatting sqref="M201">
    <cfRule type="expression" dxfId="130" priority="4">
      <formula>M201="Valid Approval"</formula>
    </cfRule>
    <cfRule type="expression" dxfId="129" priority="5">
      <formula>M201="Limit Exceeded"</formula>
    </cfRule>
    <cfRule type="expression" dxfId="128" priority="6">
      <formula>M201="Select Approval Name"</formula>
    </cfRule>
  </conditionalFormatting>
  <conditionalFormatting sqref="M2:M200">
    <cfRule type="expression" dxfId="68" priority="1">
      <formula>M2="Valid Approval"</formula>
    </cfRule>
    <cfRule type="expression" dxfId="67" priority="2">
      <formula>M2="Limit Exceeded"</formula>
    </cfRule>
    <cfRule type="expression" dxfId="66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1700-000000000000}">
      <formula1>FALSE</formula1>
    </dataValidation>
    <dataValidation type="list" showErrorMessage="1" errorTitle="Cash/Voucher" error="Sirf CASH ya VOUCHER select karein." sqref="N201" xr:uid="{00000000-0002-0000-1700-000001000000}">
      <formula1>"CASH,VOUCHER"</formula1>
    </dataValidation>
    <dataValidation type="custom" showErrorMessage="1" errorTitle="Duplicate Return Trx" error="This Return Trx already exists on this day sheet." sqref="D201" xr:uid="{00000000-0002-0000-17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700-000003000000}">
      <formula1>OR(E201="",COUNTIF($E$2:$E$201,E201)=1)</formula1>
    </dataValidation>
    <dataValidation type="list" allowBlank="1" showInputMessage="1" showErrorMessage="1" sqref="O2:O200" xr:uid="{B29080BD-A072-41E3-927C-15D5280411C3}">
      <formula1>"70243 - Riffat Fatima,68470 - Kamran,58112 - Shama,HOF Respctive Person"</formula1>
    </dataValidation>
    <dataValidation type="list" allowBlank="1" showInputMessage="1" showErrorMessage="1" sqref="J2:J200" xr:uid="{BDF2B1E4-9855-479B-A28D-BF8036EC7FEB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3A6F0299-7DB9-4F3E-8135-2159680A4639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7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$D$2:$D$201,D201)+COUNTIF('25'!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7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$E$2:$E$201,E201)+COUNTIF('25'!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EF0FFC-4507-420D-8F5A-C3705DAC31BB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9F1E4206-DE41-4C12-9005-CCF79D4243E0}">
          <x14:formula1>
            <xm:f>Management!$B$3:$B$26</xm:f>
          </x14:formula1>
          <xm:sqref>L2:L200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9BNynbmZO5iRgYTl9BI/AVXQfji+YbIxbtdoeub67aTjyPUg/BDKaWCwfSqxpKNgec2eQ9yQvwz1IUW+RzyO0w==" saltValue="Wnlg6rNpQ/zpKuA5oMZHqQ==" spinCount="100000" sheet="1" objects="1" scenarios="1"/>
  <conditionalFormatting sqref="M201">
    <cfRule type="expression" dxfId="125" priority="4">
      <formula>M201="Valid Approval"</formula>
    </cfRule>
    <cfRule type="expression" dxfId="124" priority="5">
      <formula>M201="Limit Exceeded"</formula>
    </cfRule>
    <cfRule type="expression" dxfId="123" priority="6">
      <formula>M201="Select Approval Name"</formula>
    </cfRule>
  </conditionalFormatting>
  <conditionalFormatting sqref="M2:M200">
    <cfRule type="expression" dxfId="71" priority="1">
      <formula>M2="Valid Approval"</formula>
    </cfRule>
    <cfRule type="expression" dxfId="70" priority="2">
      <formula>M2="Limit Exceeded"</formula>
    </cfRule>
    <cfRule type="expression" dxfId="69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18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1800-000001000000}">
      <formula1>FALSE</formula1>
    </dataValidation>
    <dataValidation type="custom" showErrorMessage="1" errorTitle="Duplicate Return Trx" error="This Return Trx already exists on this day sheet." sqref="D201" xr:uid="{00000000-0002-0000-18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800-000003000000}">
      <formula1>OR(E201="",COUNTIF($E$2:$E$201,E201)=1)</formula1>
    </dataValidation>
    <dataValidation type="list" allowBlank="1" showInputMessage="1" showErrorMessage="1" sqref="O2:O200" xr:uid="{3E0722DE-D94D-4871-B4AB-410761FA5332}">
      <formula1>"70243 - Riffat Fatima,68470 - Kamran,58112 - Shama,HOF Respctive Person"</formula1>
    </dataValidation>
    <dataValidation type="list" allowBlank="1" showInputMessage="1" showErrorMessage="1" sqref="J2:J200" xr:uid="{0B7E1037-594F-4471-82C4-523FC9DA4D9C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4CC62E1A-BF6E-43B4-A8DC-7B4C2971CBEF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8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$D$2:$D$201,D201)+COUNTIF('26'!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8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$E$2:$E$201,E201)+COUNTIF('26'!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1F7CB9-DFE7-4E43-97CB-73CA854EEA3B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4A9BA674-6EFE-4CC1-B274-B1EB13D68AB7}">
          <x14:formula1>
            <xm:f>Management!$B$3:$B$26</xm:f>
          </x14:formula1>
          <xm:sqref>L2:L200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CsZ4/LeTEdSb3CLG+amZmzWzPTalar9OWQRy//GfUbioKJ05NepTxPaQozqvyrfx8uKSfkg0STdTovq95hl17A==" saltValue="7e9+aO3JHq6OvcO2rtJxfg==" spinCount="100000" sheet="1" objects="1" scenarios="1"/>
  <conditionalFormatting sqref="M201">
    <cfRule type="expression" dxfId="120" priority="4">
      <formula>M201="Valid Approval"</formula>
    </cfRule>
    <cfRule type="expression" dxfId="119" priority="5">
      <formula>M201="Limit Exceeded"</formula>
    </cfRule>
    <cfRule type="expression" dxfId="118" priority="6">
      <formula>M201="Select Approval Name"</formula>
    </cfRule>
  </conditionalFormatting>
  <conditionalFormatting sqref="M2:M200">
    <cfRule type="expression" dxfId="74" priority="1">
      <formula>M2="Valid Approval"</formula>
    </cfRule>
    <cfRule type="expression" dxfId="73" priority="2">
      <formula>M2="Limit Exceeded"</formula>
    </cfRule>
    <cfRule type="expression" dxfId="72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1900-000000000000}">
      <formula1>FALSE</formula1>
    </dataValidation>
    <dataValidation type="list" showErrorMessage="1" errorTitle="Cash/Voucher" error="Sirf CASH ya VOUCHER select karein." sqref="N201" xr:uid="{00000000-0002-0000-1900-000001000000}">
      <formula1>"CASH,VOUCHER"</formula1>
    </dataValidation>
    <dataValidation type="custom" showErrorMessage="1" errorTitle="Duplicate Return Trx" error="This Return Trx already exists on this day sheet." sqref="D201" xr:uid="{00000000-0002-0000-19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900-000003000000}">
      <formula1>OR(E201="",COUNTIF($E$2:$E$201,E201)=1)</formula1>
    </dataValidation>
    <dataValidation type="list" allowBlank="1" showInputMessage="1" showErrorMessage="1" sqref="O2:O200" xr:uid="{CC89EDF0-3EC2-4C34-A557-C2446730C28D}">
      <formula1>"70243 - Riffat Fatima,68470 - Kamran,58112 - Shama,HOF Respctive Person"</formula1>
    </dataValidation>
    <dataValidation type="list" allowBlank="1" showInputMessage="1" showErrorMessage="1" sqref="J2:J200" xr:uid="{7E97A9F5-79BA-486B-943A-C61FDE0DDB53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25572A84-A345-4625-977E-C4E09A65CCF7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9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$D$2:$D$201,D201)+COUNTIF('27'!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9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$E$2:$E$201,E201)+COUNTIF('27'!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781A5A-82F7-4A3B-BB68-3548132749D5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9271858D-B8EC-4A21-B969-E0E727CE6572}">
          <x14:formula1>
            <xm:f>Management!$B$3:$B$26</xm:f>
          </x14:formula1>
          <xm:sqref>L2:L200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gO0TiHwET/0ithH/tVz0vVsQafqCB3TDuqYuo83NlGVv8gzJmf67YeL4yIpxEasPTH6wbTa2/YwW+4GAgz5WKw==" saltValue="4iIJy4dieNsKzNZUNwUjZA==" spinCount="100000" sheet="1" objects="1" scenarios="1"/>
  <conditionalFormatting sqref="M201">
    <cfRule type="expression" dxfId="115" priority="4">
      <formula>M201="Valid Approval"</formula>
    </cfRule>
    <cfRule type="expression" dxfId="114" priority="5">
      <formula>M201="Limit Exceeded"</formula>
    </cfRule>
    <cfRule type="expression" dxfId="113" priority="6">
      <formula>M201="Select Approval Name"</formula>
    </cfRule>
  </conditionalFormatting>
  <conditionalFormatting sqref="M2:M200">
    <cfRule type="expression" dxfId="77" priority="1">
      <formula>M2="Valid Approval"</formula>
    </cfRule>
    <cfRule type="expression" dxfId="76" priority="2">
      <formula>M2="Limit Exceeded"</formula>
    </cfRule>
    <cfRule type="expression" dxfId="75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1A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1A00-000001000000}">
      <formula1>FALSE</formula1>
    </dataValidation>
    <dataValidation type="custom" showErrorMessage="1" errorTitle="Duplicate Return Trx" error="This Return Trx already exists on this day sheet." sqref="D201" xr:uid="{00000000-0002-0000-1A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A00-000003000000}">
      <formula1>OR(E201="",COUNTIF($E$2:$E$201,E201)=1)</formula1>
    </dataValidation>
    <dataValidation type="list" allowBlank="1" showInputMessage="1" showErrorMessage="1" sqref="O2:O200" xr:uid="{C7B1CACA-C856-4FEA-A11A-8348A6A862B4}">
      <formula1>"70243 - Riffat Fatima,68470 - Kamran,58112 - Shama,HOF Respctive Person"</formula1>
    </dataValidation>
    <dataValidation type="list" allowBlank="1" showInputMessage="1" showErrorMessage="1" sqref="J2:J200" xr:uid="{097BF880-0875-40C5-9F85-71611742B021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9FB51145-FCEA-48BA-8600-DD823E22CE99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A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$D$2:$D$201,D201)+COUNTIF('28'!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A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$E$2:$E$201,E201)+COUNTIF('28'!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44D8E5-AC84-4C74-9DC9-F2D041470641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D623C311-EAFB-4324-84D5-B51098D21588}">
          <x14:formula1>
            <xm:f>Management!$B$3:$B$26</xm:f>
          </x14:formula1>
          <xm:sqref>L2:L200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fyyMV22gx2zLAn/lkS7DVe+04Bd8QctaOMOcbF24vMkfYi6iBL+zLNhVdgUK5huavWyJv25BiS/5ffpT5a1UFg==" saltValue="ljVck1HIQvypvkgiIPeRKA==" spinCount="100000" sheet="1" objects="1" scenarios="1"/>
  <conditionalFormatting sqref="M201">
    <cfRule type="expression" dxfId="110" priority="4">
      <formula>M201="Valid Approval"</formula>
    </cfRule>
    <cfRule type="expression" dxfId="109" priority="5">
      <formula>M201="Limit Exceeded"</formula>
    </cfRule>
    <cfRule type="expression" dxfId="108" priority="6">
      <formula>M201="Select Approval Name"</formula>
    </cfRule>
  </conditionalFormatting>
  <conditionalFormatting sqref="M2:M200">
    <cfRule type="expression" dxfId="80" priority="1">
      <formula>M2="Valid Approval"</formula>
    </cfRule>
    <cfRule type="expression" dxfId="79" priority="2">
      <formula>M2="Limit Exceeded"</formula>
    </cfRule>
    <cfRule type="expression" dxfId="78" priority="3">
      <formula>M2="Select Approval Name"</formula>
    </cfRule>
  </conditionalFormatting>
  <dataValidations disablePrompts="1" count="7">
    <dataValidation type="custom" showErrorMessage="1" errorTitle="System Controlled Column" error="Yeh column amount ke mutabiq automatic update hota hai. Manual entry allowed nahi hai." sqref="L201:M201 M2:M200" xr:uid="{00000000-0002-0000-1B00-000000000000}">
      <formula1>FALSE</formula1>
    </dataValidation>
    <dataValidation type="list" showErrorMessage="1" errorTitle="Cash/Voucher" error="Sirf CASH ya VOUCHER select karein." sqref="N201" xr:uid="{00000000-0002-0000-1B00-000001000000}">
      <formula1>"CASH,VOUCHER"</formula1>
    </dataValidation>
    <dataValidation type="custom" showErrorMessage="1" errorTitle="Duplicate Return Trx" error="This Return Trx already exists on this day sheet." sqref="D201" xr:uid="{00000000-0002-0000-1B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B00-000003000000}">
      <formula1>OR(E201="",COUNTIF($E$2:$E$201,E201)=1)</formula1>
    </dataValidation>
    <dataValidation type="list" allowBlank="1" showInputMessage="1" showErrorMessage="1" sqref="O2:O200" xr:uid="{6EDB9876-297B-417E-865D-5BC1C339A044}">
      <formula1>"70243 - Riffat Fatima,68470 - Kamran,58112 - Shama,HOF Respctive Person"</formula1>
    </dataValidation>
    <dataValidation type="list" allowBlank="1" showInputMessage="1" showErrorMessage="1" sqref="J2:J200" xr:uid="{E791C49E-CC8C-47D4-BA40-C5AFE1CA00BC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E6FEA65A-4205-4ADE-904E-07FC086A5A78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B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$D$2:$D$201,D201)+COUNTIF('29'!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B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$E$2:$E$201,E201)+COUNTIF('29'!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738FFC3-5D9E-4AF4-BF82-9CA0B77382C2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9C5E1580-100C-41FF-8871-D0704162AA3A}">
          <x14:formula1>
            <xm:f>Management!$B$3:$B$26</xm:f>
          </x14:formula1>
          <xm:sqref>L2:L200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987k4DYfLer7xOy2+J7qCm++/OTxYIUnE54KaE+B4LDQmNoc1VUSjCmFYW1fhVa0SxPDzE3rqb+GWBGsD5uOMg==" saltValue="kyKx5AnHRXYjkHeD41/ZmA==" spinCount="100000" sheet="1" objects="1" scenarios="1"/>
  <conditionalFormatting sqref="M201">
    <cfRule type="expression" dxfId="105" priority="4">
      <formula>M201="Valid Approval"</formula>
    </cfRule>
    <cfRule type="expression" dxfId="104" priority="5">
      <formula>M201="Limit Exceeded"</formula>
    </cfRule>
    <cfRule type="expression" dxfId="103" priority="6">
      <formula>M201="Select Approval Name"</formula>
    </cfRule>
  </conditionalFormatting>
  <conditionalFormatting sqref="M2:M200">
    <cfRule type="expression" dxfId="83" priority="1">
      <formula>M2="Valid Approval"</formula>
    </cfRule>
    <cfRule type="expression" dxfId="82" priority="2">
      <formula>M2="Limit Exceeded"</formula>
    </cfRule>
    <cfRule type="expression" dxfId="81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1C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1C00-000001000000}">
      <formula1>FALSE</formula1>
    </dataValidation>
    <dataValidation type="custom" showErrorMessage="1" errorTitle="Duplicate Return Trx" error="This Return Trx already exists on this day sheet." sqref="D201" xr:uid="{00000000-0002-0000-1C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C00-000003000000}">
      <formula1>OR(E201="",COUNTIF($E$2:$E$201,E201)=1)</formula1>
    </dataValidation>
    <dataValidation type="list" allowBlank="1" showInputMessage="1" showErrorMessage="1" sqref="O2:O200" xr:uid="{ED22575C-DF12-4E58-80D2-12BB8FA74B41}">
      <formula1>"70243 - Riffat Fatima,68470 - Kamran,58112 - Shama,HOF Respctive Person"</formula1>
    </dataValidation>
    <dataValidation type="list" allowBlank="1" showInputMessage="1" showErrorMessage="1" sqref="J2:J200" xr:uid="{7A6DDFE5-002F-42E0-9ACB-459BFFF99385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6FC93DC5-29F1-4D59-9802-2B374DBFEDBA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C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$D$2:$D$201,D201)+COUNTIF('30'!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C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$E$2:$E$201,E201)+COUNTIF('30'!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AA6B5D-39DB-479F-B5F8-667B82CC743C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86B2D6E5-E35B-4A19-81A2-B729D55B992B}">
          <x14:formula1>
            <xm:f>Management!$B$3:$B$26</xm:f>
          </x14:formula1>
          <xm:sqref>L2:L200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01"/>
  <sheetViews>
    <sheetView showGridLines="0" zoomScale="90" zoomScaleNormal="90" workbookViewId="0">
      <pane ySplit="1" topLeftCell="A174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A8Ttwn1nk1sGz4JJo0DGNrD+Gq7odn67A7hRR7/DmONks6QFkLvT4zq36/4Eb/Z7UfIoaKFyt45h6BqiZH/WdA==" saltValue="RX9U/ynHe7zcgm0FGwom9w==" spinCount="100000" sheet="1" objects="1" scenarios="1"/>
  <conditionalFormatting sqref="M201">
    <cfRule type="expression" dxfId="100" priority="4">
      <formula>M201="Valid Approval"</formula>
    </cfRule>
    <cfRule type="expression" dxfId="99" priority="5">
      <formula>M201="Limit Exceeded"</formula>
    </cfRule>
    <cfRule type="expression" dxfId="98" priority="6">
      <formula>M201="Select Approval Name"</formula>
    </cfRule>
  </conditionalFormatting>
  <conditionalFormatting sqref="M2:M200">
    <cfRule type="expression" dxfId="86" priority="1">
      <formula>M2="Valid Approval"</formula>
    </cfRule>
    <cfRule type="expression" dxfId="85" priority="2">
      <formula>M2="Limit Exceeded"</formula>
    </cfRule>
    <cfRule type="expression" dxfId="84" priority="3">
      <formula>M2="Select Approval Name"</formula>
    </cfRule>
  </conditionalFormatting>
  <dataValidations count="7">
    <dataValidation type="custom" showErrorMessage="1" errorTitle="System Controlled Column" error="Yeh column amount ke mutabiq automatic update hota hai. Manual entry allowed nahi hai." sqref="L201:M201 M2:M200" xr:uid="{00000000-0002-0000-1D00-000000000000}">
      <formula1>FALSE</formula1>
    </dataValidation>
    <dataValidation type="list" showErrorMessage="1" errorTitle="Cash/Voucher" error="Sirf CASH ya VOUCHER select karein." sqref="N201" xr:uid="{00000000-0002-0000-1D00-000001000000}">
      <formula1>"CASH,VOUCHER"</formula1>
    </dataValidation>
    <dataValidation type="custom" showErrorMessage="1" errorTitle="Duplicate Return Trx" error="This Return Trx already exists on this day sheet." sqref="D201" xr:uid="{00000000-0002-0000-1D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D00-000003000000}">
      <formula1>OR(E201="",COUNTIF($E$2:$E$201,E201)=1)</formula1>
    </dataValidation>
    <dataValidation type="list" allowBlank="1" showInputMessage="1" showErrorMessage="1" sqref="O2:O200" xr:uid="{0795A00C-D02F-4A2D-9C1E-9DA50E4F47A3}">
      <formula1>"70243 - Riffat Fatima,68470 - Kamran,58112 - Shama,HOF Respctive Person"</formula1>
    </dataValidation>
    <dataValidation type="list" allowBlank="1" showInputMessage="1" showErrorMessage="1" sqref="J2:J200" xr:uid="{50D3A5A4-8807-4BE5-A0C0-26BE88DCC5EF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D0D4578E-661C-423B-99BB-FF36B51CAB0D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D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$D$2:$D$201,D201)+COUNTIF('31'!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D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$E$2:$E$201,E201)+COUNTIF('31'!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19C798-B1F7-4265-997E-39557CFF7432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CB6BA5E6-1E24-4018-A696-708C5224DBBD}">
          <x14:formula1>
            <xm:f>Management!$B$3:$B$26</xm:f>
          </x14:formula1>
          <xm:sqref>L2:L200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01"/>
  <sheetViews>
    <sheetView showGridLines="0" zoomScale="90" zoomScaleNormal="9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25"/>
  <cols>
    <col min="1" max="1" width="4.25" customWidth="1"/>
    <col min="2" max="2" width="12.125" customWidth="1"/>
    <col min="3" max="3" width="9.625" bestFit="1" customWidth="1"/>
    <col min="4" max="5" width="11.375" bestFit="1" customWidth="1"/>
    <col min="6" max="6" width="18.5" bestFit="1" customWidth="1"/>
    <col min="7" max="7" width="10.125" customWidth="1"/>
    <col min="8" max="8" width="3.125" customWidth="1"/>
    <col min="9" max="9" width="10.125" customWidth="1"/>
    <col min="10" max="10" width="13.25" bestFit="1" customWidth="1"/>
    <col min="11" max="11" width="19.375" bestFit="1" customWidth="1"/>
    <col min="12" max="12" width="13.75" customWidth="1"/>
    <col min="13" max="13" width="11.375" customWidth="1"/>
    <col min="14" max="14" width="10.625" customWidth="1"/>
    <col min="15" max="15" width="16.625" bestFit="1" customWidth="1"/>
    <col min="16" max="16" width="8.625" customWidth="1"/>
    <col min="17" max="17" width="7" customWidth="1"/>
  </cols>
  <sheetData>
    <row r="1" spans="1:17" ht="32.1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>
      <c r="A2" s="5" t="str">
        <f t="shared" ref="A2:A65" si="0">IF(D2="","",ROW()-1)</f>
        <v/>
      </c>
      <c r="B2" s="43"/>
      <c r="C2" s="45"/>
      <c r="D2" s="45"/>
      <c r="E2" s="45"/>
      <c r="F2" s="43"/>
      <c r="G2" s="43"/>
      <c r="H2" s="43"/>
      <c r="I2" s="43"/>
      <c r="J2" s="43"/>
      <c r="K2" s="43"/>
      <c r="L2" s="44" t="str">
        <f>IF(K2="","",IFERROR(INDEX(Management!$A$3:$A$50,MATCH(K2,Management!$B$3:$B$50,0)),""))</f>
        <v/>
      </c>
      <c r="M2" s="42" t="str">
        <f>IF(I2="","",IF(K2="","Select Approval Name",IFERROR(IF(I2&lt;=IF(INDEX(Management!$C$3:$C$50,MATCH(K2,Management!$B$3:$B$50,0))="Unlimited",10^15,INDEX(Management!$C$3:$C$50,MATCH(K2,Management!$B$3:$B$50,0))),"Valid Approval","Limit Exceeded"),"Check Management Name")))</f>
        <v/>
      </c>
      <c r="N2" s="43"/>
      <c r="O2" s="43"/>
      <c r="P2" s="46"/>
      <c r="Q2" s="46"/>
    </row>
    <row r="3" spans="1:17" ht="15">
      <c r="A3" s="5" t="str">
        <f t="shared" si="0"/>
        <v/>
      </c>
      <c r="B3" s="43"/>
      <c r="C3" s="45"/>
      <c r="D3" s="45"/>
      <c r="E3" s="45"/>
      <c r="F3" s="43"/>
      <c r="G3" s="43"/>
      <c r="H3" s="43"/>
      <c r="I3" s="43"/>
      <c r="J3" s="43"/>
      <c r="K3" s="43"/>
      <c r="L3" s="44" t="str">
        <f>IF(K3="","",IFERROR(INDEX(Management!$A$3:$A$50,MATCH(K3,Management!$B$3:$B$50,0)),""))</f>
        <v/>
      </c>
      <c r="M3" s="42" t="str">
        <f>IF(I3="","",IF(K3="","Select Approval Name",IFERROR(IF(I3&lt;=IF(INDEX(Management!$C$3:$C$50,MATCH(K3,Management!$B$3:$B$50,0))="Unlimited",10^15,INDEX(Management!$C$3:$C$50,MATCH(K3,Management!$B$3:$B$50,0))),"Valid Approval","Limit Exceeded"),"Check Management Name")))</f>
        <v/>
      </c>
      <c r="N3" s="43"/>
      <c r="O3" s="43"/>
      <c r="P3" s="46"/>
      <c r="Q3" s="46"/>
    </row>
    <row r="4" spans="1:17" ht="15">
      <c r="A4" s="5" t="str">
        <f t="shared" si="0"/>
        <v/>
      </c>
      <c r="B4" s="43"/>
      <c r="C4" s="45"/>
      <c r="D4" s="45"/>
      <c r="E4" s="45"/>
      <c r="F4" s="43"/>
      <c r="G4" s="43"/>
      <c r="H4" s="43"/>
      <c r="I4" s="43"/>
      <c r="J4" s="43"/>
      <c r="K4" s="43"/>
      <c r="L4" s="44" t="str">
        <f>IF(K4="","",IFERROR(INDEX(Management!$A$3:$A$50,MATCH(K4,Management!$B$3:$B$50,0)),""))</f>
        <v/>
      </c>
      <c r="M4" s="42" t="str">
        <f>IF(I4="","",IF(K4="","Select Approval Name",IFERROR(IF(I4&lt;=IF(INDEX(Management!$C$3:$C$50,MATCH(K4,Management!$B$3:$B$50,0))="Unlimited",10^15,INDEX(Management!$C$3:$C$50,MATCH(K4,Management!$B$3:$B$50,0))),"Valid Approval","Limit Exceeded"),"Check Management Name")))</f>
        <v/>
      </c>
      <c r="N4" s="43"/>
      <c r="O4" s="43"/>
      <c r="P4" s="46"/>
      <c r="Q4" s="46"/>
    </row>
    <row r="5" spans="1:17" ht="15">
      <c r="A5" s="5" t="str">
        <f t="shared" si="0"/>
        <v/>
      </c>
      <c r="B5" s="43"/>
      <c r="C5" s="45"/>
      <c r="D5" s="45"/>
      <c r="E5" s="45"/>
      <c r="F5" s="43"/>
      <c r="G5" s="43"/>
      <c r="H5" s="43"/>
      <c r="I5" s="43"/>
      <c r="J5" s="43"/>
      <c r="K5" s="43"/>
      <c r="L5" s="44" t="str">
        <f>IF(K5="","",IFERROR(INDEX(Management!$A$3:$A$50,MATCH(K5,Management!$B$3:$B$50,0)),""))</f>
        <v/>
      </c>
      <c r="M5" s="42" t="str">
        <f>IF(I5="","",IF(K5="","Select Approval Name",IFERROR(IF(I5&lt;=IF(INDEX(Management!$C$3:$C$50,MATCH(K5,Management!$B$3:$B$50,0))="Unlimited",10^15,INDEX(Management!$C$3:$C$50,MATCH(K5,Management!$B$3:$B$50,0))),"Valid Approval","Limit Exceeded"),"Check Management Name")))</f>
        <v/>
      </c>
      <c r="N5" s="43"/>
      <c r="O5" s="43"/>
      <c r="P5" s="46"/>
      <c r="Q5" s="46"/>
    </row>
    <row r="6" spans="1:17" ht="15">
      <c r="A6" s="5" t="str">
        <f t="shared" si="0"/>
        <v/>
      </c>
      <c r="B6" s="43"/>
      <c r="C6" s="45"/>
      <c r="D6" s="45"/>
      <c r="E6" s="45"/>
      <c r="F6" s="43"/>
      <c r="G6" s="43"/>
      <c r="H6" s="43"/>
      <c r="I6" s="43"/>
      <c r="J6" s="43"/>
      <c r="K6" s="43"/>
      <c r="L6" s="44" t="str">
        <f>IF(K6="","",IFERROR(INDEX(Management!$A$3:$A$50,MATCH(K6,Management!$B$3:$B$50,0)),""))</f>
        <v/>
      </c>
      <c r="M6" s="42" t="str">
        <f>IF(I6="","",IF(K6="","Select Approval Name",IFERROR(IF(I6&lt;=IF(INDEX(Management!$C$3:$C$50,MATCH(K6,Management!$B$3:$B$50,0))="Unlimited",10^15,INDEX(Management!$C$3:$C$50,MATCH(K6,Management!$B$3:$B$50,0))),"Valid Approval","Limit Exceeded"),"Check Management Name")))</f>
        <v/>
      </c>
      <c r="N6" s="43"/>
      <c r="O6" s="43"/>
      <c r="P6" s="46"/>
      <c r="Q6" s="46"/>
    </row>
    <row r="7" spans="1:17" ht="15">
      <c r="A7" s="5" t="str">
        <f t="shared" si="0"/>
        <v/>
      </c>
      <c r="B7" s="43"/>
      <c r="C7" s="45"/>
      <c r="D7" s="45"/>
      <c r="E7" s="45"/>
      <c r="F7" s="43"/>
      <c r="G7" s="43"/>
      <c r="H7" s="43"/>
      <c r="I7" s="43"/>
      <c r="J7" s="43"/>
      <c r="K7" s="43"/>
      <c r="L7" s="44" t="str">
        <f>IF(K7="","",IFERROR(INDEX(Management!$A$3:$A$50,MATCH(K7,Management!$B$3:$B$50,0)),""))</f>
        <v/>
      </c>
      <c r="M7" s="42" t="str">
        <f>IF(I7="","",IF(K7="","Select Approval Name",IFERROR(IF(I7&lt;=IF(INDEX(Management!$C$3:$C$50,MATCH(K7,Management!$B$3:$B$50,0))="Unlimited",10^15,INDEX(Management!$C$3:$C$50,MATCH(K7,Management!$B$3:$B$50,0))),"Valid Approval","Limit Exceeded"),"Check Management Name")))</f>
        <v/>
      </c>
      <c r="N7" s="43"/>
      <c r="O7" s="43"/>
      <c r="P7" s="46"/>
      <c r="Q7" s="46"/>
    </row>
    <row r="8" spans="1:17" ht="15">
      <c r="A8" s="5" t="str">
        <f t="shared" si="0"/>
        <v/>
      </c>
      <c r="B8" s="43"/>
      <c r="C8" s="45"/>
      <c r="D8" s="45"/>
      <c r="E8" s="45"/>
      <c r="F8" s="43"/>
      <c r="G8" s="43"/>
      <c r="H8" s="43"/>
      <c r="I8" s="43"/>
      <c r="J8" s="43"/>
      <c r="K8" s="43"/>
      <c r="L8" s="44" t="str">
        <f>IF(K8="","",IFERROR(INDEX(Management!$A$3:$A$50,MATCH(K8,Management!$B$3:$B$50,0)),""))</f>
        <v/>
      </c>
      <c r="M8" s="42" t="str">
        <f>IF(I8="","",IF(K8="","Select Approval Name",IFERROR(IF(I8&lt;=IF(INDEX(Management!$C$3:$C$50,MATCH(K8,Management!$B$3:$B$50,0))="Unlimited",10^15,INDEX(Management!$C$3:$C$50,MATCH(K8,Management!$B$3:$B$50,0))),"Valid Approval","Limit Exceeded"),"Check Management Name")))</f>
        <v/>
      </c>
      <c r="N8" s="43"/>
      <c r="O8" s="43"/>
      <c r="P8" s="46"/>
      <c r="Q8" s="46"/>
    </row>
    <row r="9" spans="1:17" ht="15">
      <c r="A9" s="5" t="str">
        <f t="shared" si="0"/>
        <v/>
      </c>
      <c r="B9" s="43"/>
      <c r="C9" s="45"/>
      <c r="D9" s="45"/>
      <c r="E9" s="45"/>
      <c r="F9" s="43"/>
      <c r="G9" s="43"/>
      <c r="H9" s="43"/>
      <c r="I9" s="43"/>
      <c r="J9" s="43"/>
      <c r="K9" s="43"/>
      <c r="L9" s="44" t="str">
        <f>IF(K9="","",IFERROR(INDEX(Management!$A$3:$A$50,MATCH(K9,Management!$B$3:$B$50,0)),""))</f>
        <v/>
      </c>
      <c r="M9" s="42" t="str">
        <f>IF(I9="","",IF(K9="","Select Approval Name",IFERROR(IF(I9&lt;=IF(INDEX(Management!$C$3:$C$50,MATCH(K9,Management!$B$3:$B$50,0))="Unlimited",10^15,INDEX(Management!$C$3:$C$50,MATCH(K9,Management!$B$3:$B$50,0))),"Valid Approval","Limit Exceeded"),"Check Management Name")))</f>
        <v/>
      </c>
      <c r="N9" s="43"/>
      <c r="O9" s="43"/>
      <c r="P9" s="46"/>
      <c r="Q9" s="46"/>
    </row>
    <row r="10" spans="1:17" ht="15">
      <c r="A10" s="5" t="str">
        <f t="shared" si="0"/>
        <v/>
      </c>
      <c r="B10" s="43"/>
      <c r="C10" s="45"/>
      <c r="D10" s="45"/>
      <c r="E10" s="45"/>
      <c r="F10" s="43"/>
      <c r="G10" s="43"/>
      <c r="H10" s="43"/>
      <c r="I10" s="43"/>
      <c r="J10" s="43"/>
      <c r="K10" s="43"/>
      <c r="L10" s="44" t="str">
        <f>IF(K10="","",IFERROR(INDEX(Management!$A$3:$A$50,MATCH(K10,Management!$B$3:$B$50,0)),""))</f>
        <v/>
      </c>
      <c r="M10" s="42" t="str">
        <f>IF(I10="","",IF(K10="","Select Approval Name",IFERROR(IF(I10&lt;=IF(INDEX(Management!$C$3:$C$50,MATCH(K10,Management!$B$3:$B$50,0))="Unlimited",10^15,INDEX(Management!$C$3:$C$50,MATCH(K10,Management!$B$3:$B$50,0))),"Valid Approval","Limit Exceeded"),"Check Management Name")))</f>
        <v/>
      </c>
      <c r="N10" s="43"/>
      <c r="O10" s="43"/>
      <c r="P10" s="46"/>
      <c r="Q10" s="46"/>
    </row>
    <row r="11" spans="1:17" ht="15">
      <c r="A11" s="5" t="str">
        <f t="shared" si="0"/>
        <v/>
      </c>
      <c r="B11" s="43"/>
      <c r="C11" s="45"/>
      <c r="D11" s="45"/>
      <c r="E11" s="45"/>
      <c r="F11" s="43"/>
      <c r="G11" s="43"/>
      <c r="H11" s="43"/>
      <c r="I11" s="43"/>
      <c r="J11" s="43"/>
      <c r="K11" s="43"/>
      <c r="L11" s="44" t="str">
        <f>IF(K11="","",IFERROR(INDEX(Management!$A$3:$A$50,MATCH(K11,Management!$B$3:$B$50,0)),""))</f>
        <v/>
      </c>
      <c r="M11" s="42" t="str">
        <f>IF(I11="","",IF(K11="","Select Approval Name",IFERROR(IF(I11&lt;=IF(INDEX(Management!$C$3:$C$50,MATCH(K11,Management!$B$3:$B$50,0))="Unlimited",10^15,INDEX(Management!$C$3:$C$50,MATCH(K11,Management!$B$3:$B$50,0))),"Valid Approval","Limit Exceeded"),"Check Management Name")))</f>
        <v/>
      </c>
      <c r="N11" s="43"/>
      <c r="O11" s="43"/>
      <c r="P11" s="46"/>
      <c r="Q11" s="46"/>
    </row>
    <row r="12" spans="1:17" ht="15">
      <c r="A12" s="5" t="str">
        <f t="shared" si="0"/>
        <v/>
      </c>
      <c r="B12" s="43"/>
      <c r="C12" s="45"/>
      <c r="D12" s="45"/>
      <c r="E12" s="45"/>
      <c r="F12" s="43"/>
      <c r="G12" s="43"/>
      <c r="H12" s="43"/>
      <c r="I12" s="43"/>
      <c r="J12" s="43"/>
      <c r="K12" s="43"/>
      <c r="L12" s="44" t="str">
        <f>IF(K12="","",IFERROR(INDEX(Management!$A$3:$A$50,MATCH(K12,Management!$B$3:$B$50,0)),""))</f>
        <v/>
      </c>
      <c r="M12" s="42" t="str">
        <f>IF(I12="","",IF(K12="","Select Approval Name",IFERROR(IF(I12&lt;=IF(INDEX(Management!$C$3:$C$50,MATCH(K12,Management!$B$3:$B$50,0))="Unlimited",10^15,INDEX(Management!$C$3:$C$50,MATCH(K12,Management!$B$3:$B$50,0))),"Valid Approval","Limit Exceeded"),"Check Management Name")))</f>
        <v/>
      </c>
      <c r="N12" s="43"/>
      <c r="O12" s="43"/>
      <c r="P12" s="46"/>
      <c r="Q12" s="46"/>
    </row>
    <row r="13" spans="1:17" ht="15">
      <c r="A13" s="5" t="str">
        <f t="shared" si="0"/>
        <v/>
      </c>
      <c r="B13" s="43"/>
      <c r="C13" s="45"/>
      <c r="D13" s="45"/>
      <c r="E13" s="45"/>
      <c r="F13" s="43"/>
      <c r="G13" s="43"/>
      <c r="H13" s="43"/>
      <c r="I13" s="43"/>
      <c r="J13" s="43"/>
      <c r="K13" s="43"/>
      <c r="L13" s="44" t="str">
        <f>IF(K13="","",IFERROR(INDEX(Management!$A$3:$A$50,MATCH(K13,Management!$B$3:$B$50,0)),""))</f>
        <v/>
      </c>
      <c r="M13" s="42" t="str">
        <f>IF(I13="","",IF(K13="","Select Approval Name",IFERROR(IF(I13&lt;=IF(INDEX(Management!$C$3:$C$50,MATCH(K13,Management!$B$3:$B$50,0))="Unlimited",10^15,INDEX(Management!$C$3:$C$50,MATCH(K13,Management!$B$3:$B$50,0))),"Valid Approval","Limit Exceeded"),"Check Management Name")))</f>
        <v/>
      </c>
      <c r="N13" s="43"/>
      <c r="O13" s="43"/>
      <c r="P13" s="46"/>
      <c r="Q13" s="46"/>
    </row>
    <row r="14" spans="1:17" ht="15">
      <c r="A14" s="5" t="str">
        <f t="shared" si="0"/>
        <v/>
      </c>
      <c r="B14" s="43"/>
      <c r="C14" s="45"/>
      <c r="D14" s="45"/>
      <c r="E14" s="45"/>
      <c r="F14" s="43"/>
      <c r="G14" s="43"/>
      <c r="H14" s="43"/>
      <c r="I14" s="43"/>
      <c r="J14" s="43"/>
      <c r="K14" s="43"/>
      <c r="L14" s="44" t="str">
        <f>IF(K14="","",IFERROR(INDEX(Management!$A$3:$A$50,MATCH(K14,Management!$B$3:$B$50,0)),""))</f>
        <v/>
      </c>
      <c r="M14" s="42" t="str">
        <f>IF(I14="","",IF(K14="","Select Approval Name",IFERROR(IF(I14&lt;=IF(INDEX(Management!$C$3:$C$50,MATCH(K14,Management!$B$3:$B$50,0))="Unlimited",10^15,INDEX(Management!$C$3:$C$50,MATCH(K14,Management!$B$3:$B$50,0))),"Valid Approval","Limit Exceeded"),"Check Management Name")))</f>
        <v/>
      </c>
      <c r="N14" s="43"/>
      <c r="O14" s="43"/>
      <c r="P14" s="46"/>
      <c r="Q14" s="46"/>
    </row>
    <row r="15" spans="1:17" ht="15">
      <c r="A15" s="5" t="str">
        <f t="shared" si="0"/>
        <v/>
      </c>
      <c r="B15" s="43"/>
      <c r="C15" s="45"/>
      <c r="D15" s="45"/>
      <c r="E15" s="45"/>
      <c r="F15" s="43"/>
      <c r="G15" s="43"/>
      <c r="H15" s="43"/>
      <c r="I15" s="43"/>
      <c r="J15" s="43"/>
      <c r="K15" s="43"/>
      <c r="L15" s="44" t="str">
        <f>IF(K15="","",IFERROR(INDEX(Management!$A$3:$A$50,MATCH(K15,Management!$B$3:$B$50,0)),""))</f>
        <v/>
      </c>
      <c r="M15" s="42" t="str">
        <f>IF(I15="","",IF(K15="","Select Approval Name",IFERROR(IF(I15&lt;=IF(INDEX(Management!$C$3:$C$50,MATCH(K15,Management!$B$3:$B$50,0))="Unlimited",10^15,INDEX(Management!$C$3:$C$50,MATCH(K15,Management!$B$3:$B$50,0))),"Valid Approval","Limit Exceeded"),"Check Management Name")))</f>
        <v/>
      </c>
      <c r="N15" s="43"/>
      <c r="O15" s="43"/>
      <c r="P15" s="46"/>
      <c r="Q15" s="46"/>
    </row>
    <row r="16" spans="1:17" ht="15">
      <c r="A16" s="5" t="str">
        <f t="shared" si="0"/>
        <v/>
      </c>
      <c r="B16" s="43"/>
      <c r="C16" s="45"/>
      <c r="D16" s="45"/>
      <c r="E16" s="45"/>
      <c r="F16" s="43"/>
      <c r="G16" s="43"/>
      <c r="H16" s="43"/>
      <c r="I16" s="43"/>
      <c r="J16" s="43"/>
      <c r="K16" s="43"/>
      <c r="L16" s="44" t="str">
        <f>IF(K16="","",IFERROR(INDEX(Management!$A$3:$A$50,MATCH(K16,Management!$B$3:$B$50,0)),""))</f>
        <v/>
      </c>
      <c r="M16" s="42" t="str">
        <f>IF(I16="","",IF(K16="","Select Approval Name",IFERROR(IF(I16&lt;=IF(INDEX(Management!$C$3:$C$50,MATCH(K16,Management!$B$3:$B$50,0))="Unlimited",10^15,INDEX(Management!$C$3:$C$50,MATCH(K16,Management!$B$3:$B$50,0))),"Valid Approval","Limit Exceeded"),"Check Management Name")))</f>
        <v/>
      </c>
      <c r="N16" s="43"/>
      <c r="O16" s="43"/>
      <c r="P16" s="46"/>
      <c r="Q16" s="46"/>
    </row>
    <row r="17" spans="1:17" ht="15">
      <c r="A17" s="5" t="str">
        <f t="shared" si="0"/>
        <v/>
      </c>
      <c r="B17" s="43"/>
      <c r="C17" s="45"/>
      <c r="D17" s="45"/>
      <c r="E17" s="45"/>
      <c r="F17" s="43"/>
      <c r="G17" s="43"/>
      <c r="H17" s="43"/>
      <c r="I17" s="43"/>
      <c r="J17" s="43"/>
      <c r="K17" s="43"/>
      <c r="L17" s="44" t="str">
        <f>IF(K17="","",IFERROR(INDEX(Management!$A$3:$A$50,MATCH(K17,Management!$B$3:$B$50,0)),""))</f>
        <v/>
      </c>
      <c r="M17" s="42" t="str">
        <f>IF(I17="","",IF(K17="","Select Approval Name",IFERROR(IF(I17&lt;=IF(INDEX(Management!$C$3:$C$50,MATCH(K17,Management!$B$3:$B$50,0))="Unlimited",10^15,INDEX(Management!$C$3:$C$50,MATCH(K17,Management!$B$3:$B$50,0))),"Valid Approval","Limit Exceeded"),"Check Management Name")))</f>
        <v/>
      </c>
      <c r="N17" s="43"/>
      <c r="O17" s="43"/>
      <c r="P17" s="46"/>
      <c r="Q17" s="46"/>
    </row>
    <row r="18" spans="1:17" ht="15">
      <c r="A18" s="5" t="str">
        <f t="shared" si="0"/>
        <v/>
      </c>
      <c r="B18" s="43"/>
      <c r="C18" s="45"/>
      <c r="D18" s="45"/>
      <c r="E18" s="45"/>
      <c r="F18" s="43"/>
      <c r="G18" s="43"/>
      <c r="H18" s="43"/>
      <c r="I18" s="43"/>
      <c r="J18" s="43"/>
      <c r="K18" s="43"/>
      <c r="L18" s="44" t="str">
        <f>IF(K18="","",IFERROR(INDEX(Management!$A$3:$A$50,MATCH(K18,Management!$B$3:$B$50,0)),""))</f>
        <v/>
      </c>
      <c r="M18" s="42" t="str">
        <f>IF(I18="","",IF(K18="","Select Approval Name",IFERROR(IF(I18&lt;=IF(INDEX(Management!$C$3:$C$50,MATCH(K18,Management!$B$3:$B$50,0))="Unlimited",10^15,INDEX(Management!$C$3:$C$50,MATCH(K18,Management!$B$3:$B$50,0))),"Valid Approval","Limit Exceeded"),"Check Management Name")))</f>
        <v/>
      </c>
      <c r="N18" s="43"/>
      <c r="O18" s="43"/>
      <c r="P18" s="46"/>
      <c r="Q18" s="46"/>
    </row>
    <row r="19" spans="1:17" ht="15">
      <c r="A19" s="5" t="str">
        <f t="shared" si="0"/>
        <v/>
      </c>
      <c r="B19" s="43"/>
      <c r="C19" s="45"/>
      <c r="D19" s="45"/>
      <c r="E19" s="45"/>
      <c r="F19" s="43"/>
      <c r="G19" s="43"/>
      <c r="H19" s="43"/>
      <c r="I19" s="43"/>
      <c r="J19" s="43"/>
      <c r="K19" s="43"/>
      <c r="L19" s="44" t="str">
        <f>IF(K19="","",IFERROR(INDEX(Management!$A$3:$A$50,MATCH(K19,Management!$B$3:$B$50,0)),""))</f>
        <v/>
      </c>
      <c r="M19" s="42" t="str">
        <f>IF(I19="","",IF(K19="","Select Approval Name",IFERROR(IF(I19&lt;=IF(INDEX(Management!$C$3:$C$50,MATCH(K19,Management!$B$3:$B$50,0))="Unlimited",10^15,INDEX(Management!$C$3:$C$50,MATCH(K19,Management!$B$3:$B$50,0))),"Valid Approval","Limit Exceeded"),"Check Management Name")))</f>
        <v/>
      </c>
      <c r="N19" s="43"/>
      <c r="O19" s="43"/>
      <c r="P19" s="46"/>
      <c r="Q19" s="46"/>
    </row>
    <row r="20" spans="1:17" ht="15">
      <c r="A20" s="5" t="str">
        <f t="shared" si="0"/>
        <v/>
      </c>
      <c r="B20" s="43"/>
      <c r="C20" s="45"/>
      <c r="D20" s="45"/>
      <c r="E20" s="45"/>
      <c r="F20" s="43"/>
      <c r="G20" s="43"/>
      <c r="H20" s="43"/>
      <c r="I20" s="43"/>
      <c r="J20" s="43"/>
      <c r="K20" s="43"/>
      <c r="L20" s="44" t="str">
        <f>IF(K20="","",IFERROR(INDEX(Management!$A$3:$A$50,MATCH(K20,Management!$B$3:$B$50,0)),""))</f>
        <v/>
      </c>
      <c r="M20" s="42" t="str">
        <f>IF(I20="","",IF(K20="","Select Approval Name",IFERROR(IF(I20&lt;=IF(INDEX(Management!$C$3:$C$50,MATCH(K20,Management!$B$3:$B$50,0))="Unlimited",10^15,INDEX(Management!$C$3:$C$50,MATCH(K20,Management!$B$3:$B$50,0))),"Valid Approval","Limit Exceeded"),"Check Management Name")))</f>
        <v/>
      </c>
      <c r="N20" s="43"/>
      <c r="O20" s="43"/>
      <c r="P20" s="46"/>
      <c r="Q20" s="46"/>
    </row>
    <row r="21" spans="1:17" ht="15">
      <c r="A21" s="5" t="str">
        <f t="shared" si="0"/>
        <v/>
      </c>
      <c r="B21" s="43"/>
      <c r="C21" s="45"/>
      <c r="D21" s="45"/>
      <c r="E21" s="45"/>
      <c r="F21" s="43"/>
      <c r="G21" s="43"/>
      <c r="H21" s="43"/>
      <c r="I21" s="43"/>
      <c r="J21" s="43"/>
      <c r="K21" s="43"/>
      <c r="L21" s="44" t="str">
        <f>IF(K21="","",IFERROR(INDEX(Management!$A$3:$A$50,MATCH(K21,Management!$B$3:$B$50,0)),""))</f>
        <v/>
      </c>
      <c r="M21" s="42" t="str">
        <f>IF(I21="","",IF(K21="","Select Approval Name",IFERROR(IF(I21&lt;=IF(INDEX(Management!$C$3:$C$50,MATCH(K21,Management!$B$3:$B$50,0))="Unlimited",10^15,INDEX(Management!$C$3:$C$50,MATCH(K21,Management!$B$3:$B$50,0))),"Valid Approval","Limit Exceeded"),"Check Management Name")))</f>
        <v/>
      </c>
      <c r="N21" s="43"/>
      <c r="O21" s="43"/>
      <c r="P21" s="46"/>
      <c r="Q21" s="46"/>
    </row>
    <row r="22" spans="1:17" ht="15">
      <c r="A22" s="5" t="str">
        <f t="shared" si="0"/>
        <v/>
      </c>
      <c r="B22" s="43"/>
      <c r="C22" s="45"/>
      <c r="D22" s="45"/>
      <c r="E22" s="45"/>
      <c r="F22" s="43"/>
      <c r="G22" s="43"/>
      <c r="H22" s="43"/>
      <c r="I22" s="43"/>
      <c r="J22" s="43"/>
      <c r="K22" s="43"/>
      <c r="L22" s="44" t="str">
        <f>IF(K22="","",IFERROR(INDEX(Management!$A$3:$A$50,MATCH(K22,Management!$B$3:$B$50,0)),""))</f>
        <v/>
      </c>
      <c r="M22" s="42" t="str">
        <f>IF(I22="","",IF(K22="","Select Approval Name",IFERROR(IF(I22&lt;=IF(INDEX(Management!$C$3:$C$50,MATCH(K22,Management!$B$3:$B$50,0))="Unlimited",10^15,INDEX(Management!$C$3:$C$50,MATCH(K22,Management!$B$3:$B$50,0))),"Valid Approval","Limit Exceeded"),"Check Management Name")))</f>
        <v/>
      </c>
      <c r="N22" s="43"/>
      <c r="O22" s="43"/>
      <c r="P22" s="46"/>
      <c r="Q22" s="46"/>
    </row>
    <row r="23" spans="1:17" ht="15">
      <c r="A23" s="5" t="str">
        <f t="shared" si="0"/>
        <v/>
      </c>
      <c r="B23" s="43"/>
      <c r="C23" s="45"/>
      <c r="D23" s="45"/>
      <c r="E23" s="45"/>
      <c r="F23" s="43"/>
      <c r="G23" s="43"/>
      <c r="H23" s="43"/>
      <c r="I23" s="43"/>
      <c r="J23" s="43"/>
      <c r="K23" s="43"/>
      <c r="L23" s="44" t="str">
        <f>IF(K23="","",IFERROR(INDEX(Management!$A$3:$A$50,MATCH(K23,Management!$B$3:$B$50,0)),""))</f>
        <v/>
      </c>
      <c r="M23" s="42" t="str">
        <f>IF(I23="","",IF(K23="","Select Approval Name",IFERROR(IF(I23&lt;=IF(INDEX(Management!$C$3:$C$50,MATCH(K23,Management!$B$3:$B$50,0))="Unlimited",10^15,INDEX(Management!$C$3:$C$50,MATCH(K23,Management!$B$3:$B$50,0))),"Valid Approval","Limit Exceeded"),"Check Management Name")))</f>
        <v/>
      </c>
      <c r="N23" s="43"/>
      <c r="O23" s="43"/>
      <c r="P23" s="46"/>
      <c r="Q23" s="46"/>
    </row>
    <row r="24" spans="1:17" ht="15">
      <c r="A24" s="5" t="str">
        <f t="shared" si="0"/>
        <v/>
      </c>
      <c r="B24" s="43"/>
      <c r="C24" s="45"/>
      <c r="D24" s="45"/>
      <c r="E24" s="45"/>
      <c r="F24" s="43"/>
      <c r="G24" s="43"/>
      <c r="H24" s="43"/>
      <c r="I24" s="43"/>
      <c r="J24" s="43"/>
      <c r="K24" s="43"/>
      <c r="L24" s="44" t="str">
        <f>IF(K24="","",IFERROR(INDEX(Management!$A$3:$A$50,MATCH(K24,Management!$B$3:$B$50,0)),""))</f>
        <v/>
      </c>
      <c r="M24" s="42" t="str">
        <f>IF(I24="","",IF(K24="","Select Approval Name",IFERROR(IF(I24&lt;=IF(INDEX(Management!$C$3:$C$50,MATCH(K24,Management!$B$3:$B$50,0))="Unlimited",10^15,INDEX(Management!$C$3:$C$50,MATCH(K24,Management!$B$3:$B$50,0))),"Valid Approval","Limit Exceeded"),"Check Management Name")))</f>
        <v/>
      </c>
      <c r="N24" s="43"/>
      <c r="O24" s="43"/>
      <c r="P24" s="46"/>
      <c r="Q24" s="46"/>
    </row>
    <row r="25" spans="1:17" ht="15">
      <c r="A25" s="5" t="str">
        <f t="shared" si="0"/>
        <v/>
      </c>
      <c r="B25" s="43"/>
      <c r="C25" s="45"/>
      <c r="D25" s="45"/>
      <c r="E25" s="45"/>
      <c r="F25" s="43"/>
      <c r="G25" s="43"/>
      <c r="H25" s="43"/>
      <c r="I25" s="43"/>
      <c r="J25" s="43"/>
      <c r="K25" s="43"/>
      <c r="L25" s="44" t="str">
        <f>IF(K25="","",IFERROR(INDEX(Management!$A$3:$A$50,MATCH(K25,Management!$B$3:$B$50,0)),""))</f>
        <v/>
      </c>
      <c r="M25" s="42" t="str">
        <f>IF(I25="","",IF(K25="","Select Approval Name",IFERROR(IF(I25&lt;=IF(INDEX(Management!$C$3:$C$50,MATCH(K25,Management!$B$3:$B$50,0))="Unlimited",10^15,INDEX(Management!$C$3:$C$50,MATCH(K25,Management!$B$3:$B$50,0))),"Valid Approval","Limit Exceeded"),"Check Management Name")))</f>
        <v/>
      </c>
      <c r="N25" s="43"/>
      <c r="O25" s="43"/>
      <c r="P25" s="46"/>
      <c r="Q25" s="46"/>
    </row>
    <row r="26" spans="1:17" ht="15">
      <c r="A26" s="5" t="str">
        <f t="shared" si="0"/>
        <v/>
      </c>
      <c r="B26" s="43"/>
      <c r="C26" s="45"/>
      <c r="D26" s="45"/>
      <c r="E26" s="45"/>
      <c r="F26" s="43"/>
      <c r="G26" s="43"/>
      <c r="H26" s="43"/>
      <c r="I26" s="43"/>
      <c r="J26" s="43"/>
      <c r="K26" s="43"/>
      <c r="L26" s="44" t="str">
        <f>IF(K26="","",IFERROR(INDEX(Management!$A$3:$A$50,MATCH(K26,Management!$B$3:$B$50,0)),""))</f>
        <v/>
      </c>
      <c r="M26" s="42" t="str">
        <f>IF(I26="","",IF(K26="","Select Approval Name",IFERROR(IF(I26&lt;=IF(INDEX(Management!$C$3:$C$50,MATCH(K26,Management!$B$3:$B$50,0))="Unlimited",10^15,INDEX(Management!$C$3:$C$50,MATCH(K26,Management!$B$3:$B$50,0))),"Valid Approval","Limit Exceeded"),"Check Management Name")))</f>
        <v/>
      </c>
      <c r="N26" s="43"/>
      <c r="O26" s="43"/>
      <c r="P26" s="46"/>
      <c r="Q26" s="46"/>
    </row>
    <row r="27" spans="1:17" ht="15">
      <c r="A27" s="5" t="str">
        <f t="shared" si="0"/>
        <v/>
      </c>
      <c r="B27" s="43"/>
      <c r="C27" s="45"/>
      <c r="D27" s="45"/>
      <c r="E27" s="45"/>
      <c r="F27" s="43"/>
      <c r="G27" s="43"/>
      <c r="H27" s="43"/>
      <c r="I27" s="43"/>
      <c r="J27" s="43"/>
      <c r="K27" s="43"/>
      <c r="L27" s="44" t="str">
        <f>IF(K27="","",IFERROR(INDEX(Management!$A$3:$A$50,MATCH(K27,Management!$B$3:$B$50,0)),""))</f>
        <v/>
      </c>
      <c r="M27" s="42" t="str">
        <f>IF(I27="","",IF(K27="","Select Approval Name",IFERROR(IF(I27&lt;=IF(INDEX(Management!$C$3:$C$50,MATCH(K27,Management!$B$3:$B$50,0))="Unlimited",10^15,INDEX(Management!$C$3:$C$50,MATCH(K27,Management!$B$3:$B$50,0))),"Valid Approval","Limit Exceeded"),"Check Management Name")))</f>
        <v/>
      </c>
      <c r="N27" s="43"/>
      <c r="O27" s="43"/>
      <c r="P27" s="46"/>
      <c r="Q27" s="46"/>
    </row>
    <row r="28" spans="1:17" ht="15">
      <c r="A28" s="5" t="str">
        <f t="shared" si="0"/>
        <v/>
      </c>
      <c r="B28" s="43"/>
      <c r="C28" s="45"/>
      <c r="D28" s="45"/>
      <c r="E28" s="45"/>
      <c r="F28" s="43"/>
      <c r="G28" s="43"/>
      <c r="H28" s="43"/>
      <c r="I28" s="43"/>
      <c r="J28" s="43"/>
      <c r="K28" s="43"/>
      <c r="L28" s="44" t="str">
        <f>IF(K28="","",IFERROR(INDEX(Management!$A$3:$A$50,MATCH(K28,Management!$B$3:$B$50,0)),""))</f>
        <v/>
      </c>
      <c r="M28" s="42" t="str">
        <f>IF(I28="","",IF(K28="","Select Approval Name",IFERROR(IF(I28&lt;=IF(INDEX(Management!$C$3:$C$50,MATCH(K28,Management!$B$3:$B$50,0))="Unlimited",10^15,INDEX(Management!$C$3:$C$50,MATCH(K28,Management!$B$3:$B$50,0))),"Valid Approval","Limit Exceeded"),"Check Management Name")))</f>
        <v/>
      </c>
      <c r="N28" s="43"/>
      <c r="O28" s="43"/>
      <c r="P28" s="46"/>
      <c r="Q28" s="46"/>
    </row>
    <row r="29" spans="1:17" ht="15">
      <c r="A29" s="5" t="str">
        <f t="shared" si="0"/>
        <v/>
      </c>
      <c r="B29" s="43"/>
      <c r="C29" s="45"/>
      <c r="D29" s="45"/>
      <c r="E29" s="45"/>
      <c r="F29" s="43"/>
      <c r="G29" s="43"/>
      <c r="H29" s="43"/>
      <c r="I29" s="43"/>
      <c r="J29" s="43"/>
      <c r="K29" s="43"/>
      <c r="L29" s="44" t="str">
        <f>IF(K29="","",IFERROR(INDEX(Management!$A$3:$A$50,MATCH(K29,Management!$B$3:$B$50,0)),""))</f>
        <v/>
      </c>
      <c r="M29" s="42" t="str">
        <f>IF(I29="","",IF(K29="","Select Approval Name",IFERROR(IF(I29&lt;=IF(INDEX(Management!$C$3:$C$50,MATCH(K29,Management!$B$3:$B$50,0))="Unlimited",10^15,INDEX(Management!$C$3:$C$50,MATCH(K29,Management!$B$3:$B$50,0))),"Valid Approval","Limit Exceeded"),"Check Management Name")))</f>
        <v/>
      </c>
      <c r="N29" s="43"/>
      <c r="O29" s="43"/>
      <c r="P29" s="46"/>
      <c r="Q29" s="46"/>
    </row>
    <row r="30" spans="1:17" ht="15">
      <c r="A30" s="5" t="str">
        <f t="shared" si="0"/>
        <v/>
      </c>
      <c r="B30" s="43"/>
      <c r="C30" s="45"/>
      <c r="D30" s="45"/>
      <c r="E30" s="45"/>
      <c r="F30" s="43"/>
      <c r="G30" s="43"/>
      <c r="H30" s="43"/>
      <c r="I30" s="43"/>
      <c r="J30" s="43"/>
      <c r="K30" s="43"/>
      <c r="L30" s="44" t="str">
        <f>IF(K30="","",IFERROR(INDEX(Management!$A$3:$A$50,MATCH(K30,Management!$B$3:$B$50,0)),""))</f>
        <v/>
      </c>
      <c r="M30" s="42" t="str">
        <f>IF(I30="","",IF(K30="","Select Approval Name",IFERROR(IF(I30&lt;=IF(INDEX(Management!$C$3:$C$50,MATCH(K30,Management!$B$3:$B$50,0))="Unlimited",10^15,INDEX(Management!$C$3:$C$50,MATCH(K30,Management!$B$3:$B$50,0))),"Valid Approval","Limit Exceeded"),"Check Management Name")))</f>
        <v/>
      </c>
      <c r="N30" s="43"/>
      <c r="O30" s="43"/>
      <c r="P30" s="46"/>
      <c r="Q30" s="46"/>
    </row>
    <row r="31" spans="1:17" ht="15">
      <c r="A31" s="5" t="str">
        <f t="shared" si="0"/>
        <v/>
      </c>
      <c r="B31" s="43"/>
      <c r="C31" s="45"/>
      <c r="D31" s="45"/>
      <c r="E31" s="45"/>
      <c r="F31" s="43"/>
      <c r="G31" s="43"/>
      <c r="H31" s="43"/>
      <c r="I31" s="43"/>
      <c r="J31" s="43"/>
      <c r="K31" s="43"/>
      <c r="L31" s="44" t="str">
        <f>IF(K31="","",IFERROR(INDEX(Management!$A$3:$A$50,MATCH(K31,Management!$B$3:$B$50,0)),""))</f>
        <v/>
      </c>
      <c r="M31" s="42" t="str">
        <f>IF(I31="","",IF(K31="","Select Approval Name",IFERROR(IF(I31&lt;=IF(INDEX(Management!$C$3:$C$50,MATCH(K31,Management!$B$3:$B$50,0))="Unlimited",10^15,INDEX(Management!$C$3:$C$50,MATCH(K31,Management!$B$3:$B$50,0))),"Valid Approval","Limit Exceeded"),"Check Management Name")))</f>
        <v/>
      </c>
      <c r="N31" s="43"/>
      <c r="O31" s="43"/>
      <c r="P31" s="46"/>
      <c r="Q31" s="46"/>
    </row>
    <row r="32" spans="1:17" ht="15">
      <c r="A32" s="5" t="str">
        <f t="shared" si="0"/>
        <v/>
      </c>
      <c r="B32" s="43"/>
      <c r="C32" s="45"/>
      <c r="D32" s="45"/>
      <c r="E32" s="45"/>
      <c r="F32" s="43"/>
      <c r="G32" s="43"/>
      <c r="H32" s="43"/>
      <c r="I32" s="43"/>
      <c r="J32" s="43"/>
      <c r="K32" s="43"/>
      <c r="L32" s="44" t="str">
        <f>IF(K32="","",IFERROR(INDEX(Management!$A$3:$A$50,MATCH(K32,Management!$B$3:$B$50,0)),""))</f>
        <v/>
      </c>
      <c r="M32" s="42" t="str">
        <f>IF(I32="","",IF(K32="","Select Approval Name",IFERROR(IF(I32&lt;=IF(INDEX(Management!$C$3:$C$50,MATCH(K32,Management!$B$3:$B$50,0))="Unlimited",10^15,INDEX(Management!$C$3:$C$50,MATCH(K32,Management!$B$3:$B$50,0))),"Valid Approval","Limit Exceeded"),"Check Management Name")))</f>
        <v/>
      </c>
      <c r="N32" s="43"/>
      <c r="O32" s="43"/>
      <c r="P32" s="46"/>
      <c r="Q32" s="46"/>
    </row>
    <row r="33" spans="1:17" ht="15">
      <c r="A33" s="5" t="str">
        <f t="shared" si="0"/>
        <v/>
      </c>
      <c r="B33" s="43"/>
      <c r="C33" s="45"/>
      <c r="D33" s="45"/>
      <c r="E33" s="45"/>
      <c r="F33" s="43"/>
      <c r="G33" s="43"/>
      <c r="H33" s="43"/>
      <c r="I33" s="43"/>
      <c r="J33" s="43"/>
      <c r="K33" s="43"/>
      <c r="L33" s="44" t="str">
        <f>IF(K33="","",IFERROR(INDEX(Management!$A$3:$A$50,MATCH(K33,Management!$B$3:$B$50,0)),""))</f>
        <v/>
      </c>
      <c r="M33" s="42" t="str">
        <f>IF(I33="","",IF(K33="","Select Approval Name",IFERROR(IF(I33&lt;=IF(INDEX(Management!$C$3:$C$50,MATCH(K33,Management!$B$3:$B$50,0))="Unlimited",10^15,INDEX(Management!$C$3:$C$50,MATCH(K33,Management!$B$3:$B$50,0))),"Valid Approval","Limit Exceeded"),"Check Management Name")))</f>
        <v/>
      </c>
      <c r="N33" s="43"/>
      <c r="O33" s="43"/>
      <c r="P33" s="46"/>
      <c r="Q33" s="46"/>
    </row>
    <row r="34" spans="1:17" ht="15">
      <c r="A34" s="5" t="str">
        <f t="shared" si="0"/>
        <v/>
      </c>
      <c r="B34" s="43"/>
      <c r="C34" s="45"/>
      <c r="D34" s="45"/>
      <c r="E34" s="45"/>
      <c r="F34" s="43"/>
      <c r="G34" s="43"/>
      <c r="H34" s="43"/>
      <c r="I34" s="43"/>
      <c r="J34" s="43"/>
      <c r="K34" s="43"/>
      <c r="L34" s="44" t="str">
        <f>IF(K34="","",IFERROR(INDEX(Management!$A$3:$A$50,MATCH(K34,Management!$B$3:$B$50,0)),""))</f>
        <v/>
      </c>
      <c r="M34" s="42" t="str">
        <f>IF(I34="","",IF(K34="","Select Approval Name",IFERROR(IF(I34&lt;=IF(INDEX(Management!$C$3:$C$50,MATCH(K34,Management!$B$3:$B$50,0))="Unlimited",10^15,INDEX(Management!$C$3:$C$50,MATCH(K34,Management!$B$3:$B$50,0))),"Valid Approval","Limit Exceeded"),"Check Management Name")))</f>
        <v/>
      </c>
      <c r="N34" s="43"/>
      <c r="O34" s="43"/>
      <c r="P34" s="46"/>
      <c r="Q34" s="46"/>
    </row>
    <row r="35" spans="1:17" ht="15">
      <c r="A35" s="5" t="str">
        <f t="shared" si="0"/>
        <v/>
      </c>
      <c r="B35" s="43"/>
      <c r="C35" s="45"/>
      <c r="D35" s="45"/>
      <c r="E35" s="45"/>
      <c r="F35" s="43"/>
      <c r="G35" s="43"/>
      <c r="H35" s="43"/>
      <c r="I35" s="43"/>
      <c r="J35" s="43"/>
      <c r="K35" s="43"/>
      <c r="L35" s="44" t="str">
        <f>IF(K35="","",IFERROR(INDEX(Management!$A$3:$A$50,MATCH(K35,Management!$B$3:$B$50,0)),""))</f>
        <v/>
      </c>
      <c r="M35" s="42" t="str">
        <f>IF(I35="","",IF(K35="","Select Approval Name",IFERROR(IF(I35&lt;=IF(INDEX(Management!$C$3:$C$50,MATCH(K35,Management!$B$3:$B$50,0))="Unlimited",10^15,INDEX(Management!$C$3:$C$50,MATCH(K35,Management!$B$3:$B$50,0))),"Valid Approval","Limit Exceeded"),"Check Management Name")))</f>
        <v/>
      </c>
      <c r="N35" s="43"/>
      <c r="O35" s="43"/>
      <c r="P35" s="46"/>
      <c r="Q35" s="46"/>
    </row>
    <row r="36" spans="1:17" ht="15">
      <c r="A36" s="5" t="str">
        <f t="shared" si="0"/>
        <v/>
      </c>
      <c r="B36" s="43"/>
      <c r="C36" s="45"/>
      <c r="D36" s="45"/>
      <c r="E36" s="45"/>
      <c r="F36" s="43"/>
      <c r="G36" s="43"/>
      <c r="H36" s="43"/>
      <c r="I36" s="43"/>
      <c r="J36" s="43"/>
      <c r="K36" s="43"/>
      <c r="L36" s="44" t="str">
        <f>IF(K36="","",IFERROR(INDEX(Management!$A$3:$A$50,MATCH(K36,Management!$B$3:$B$50,0)),""))</f>
        <v/>
      </c>
      <c r="M36" s="42" t="str">
        <f>IF(I36="","",IF(K36="","Select Approval Name",IFERROR(IF(I36&lt;=IF(INDEX(Management!$C$3:$C$50,MATCH(K36,Management!$B$3:$B$50,0))="Unlimited",10^15,INDEX(Management!$C$3:$C$50,MATCH(K36,Management!$B$3:$B$50,0))),"Valid Approval","Limit Exceeded"),"Check Management Name")))</f>
        <v/>
      </c>
      <c r="N36" s="43"/>
      <c r="O36" s="43"/>
      <c r="P36" s="46"/>
      <c r="Q36" s="46"/>
    </row>
    <row r="37" spans="1:17" ht="15">
      <c r="A37" s="5" t="str">
        <f t="shared" si="0"/>
        <v/>
      </c>
      <c r="B37" s="43"/>
      <c r="C37" s="45"/>
      <c r="D37" s="45"/>
      <c r="E37" s="45"/>
      <c r="F37" s="43"/>
      <c r="G37" s="43"/>
      <c r="H37" s="43"/>
      <c r="I37" s="43"/>
      <c r="J37" s="43"/>
      <c r="K37" s="43"/>
      <c r="L37" s="44" t="str">
        <f>IF(K37="","",IFERROR(INDEX(Management!$A$3:$A$50,MATCH(K37,Management!$B$3:$B$50,0)),""))</f>
        <v/>
      </c>
      <c r="M37" s="42" t="str">
        <f>IF(I37="","",IF(K37="","Select Approval Name",IFERROR(IF(I37&lt;=IF(INDEX(Management!$C$3:$C$50,MATCH(K37,Management!$B$3:$B$50,0))="Unlimited",10^15,INDEX(Management!$C$3:$C$50,MATCH(K37,Management!$B$3:$B$50,0))),"Valid Approval","Limit Exceeded"),"Check Management Name")))</f>
        <v/>
      </c>
      <c r="N37" s="43"/>
      <c r="O37" s="43"/>
      <c r="P37" s="46"/>
      <c r="Q37" s="46"/>
    </row>
    <row r="38" spans="1:17" ht="15">
      <c r="A38" s="5" t="str">
        <f t="shared" si="0"/>
        <v/>
      </c>
      <c r="B38" s="43"/>
      <c r="C38" s="45"/>
      <c r="D38" s="45"/>
      <c r="E38" s="45"/>
      <c r="F38" s="43"/>
      <c r="G38" s="43"/>
      <c r="H38" s="43"/>
      <c r="I38" s="43"/>
      <c r="J38" s="43"/>
      <c r="K38" s="43"/>
      <c r="L38" s="44" t="str">
        <f>IF(K38="","",IFERROR(INDEX(Management!$A$3:$A$50,MATCH(K38,Management!$B$3:$B$50,0)),""))</f>
        <v/>
      </c>
      <c r="M38" s="42" t="str">
        <f>IF(I38="","",IF(K38="","Select Approval Name",IFERROR(IF(I38&lt;=IF(INDEX(Management!$C$3:$C$50,MATCH(K38,Management!$B$3:$B$50,0))="Unlimited",10^15,INDEX(Management!$C$3:$C$50,MATCH(K38,Management!$B$3:$B$50,0))),"Valid Approval","Limit Exceeded"),"Check Management Name")))</f>
        <v/>
      </c>
      <c r="N38" s="43"/>
      <c r="O38" s="43"/>
      <c r="P38" s="46"/>
      <c r="Q38" s="46"/>
    </row>
    <row r="39" spans="1:17" ht="15">
      <c r="A39" s="5" t="str">
        <f t="shared" si="0"/>
        <v/>
      </c>
      <c r="B39" s="43"/>
      <c r="C39" s="45"/>
      <c r="D39" s="45"/>
      <c r="E39" s="45"/>
      <c r="F39" s="43"/>
      <c r="G39" s="43"/>
      <c r="H39" s="43"/>
      <c r="I39" s="43"/>
      <c r="J39" s="43"/>
      <c r="K39" s="43"/>
      <c r="L39" s="44" t="str">
        <f>IF(K39="","",IFERROR(INDEX(Management!$A$3:$A$50,MATCH(K39,Management!$B$3:$B$50,0)),""))</f>
        <v/>
      </c>
      <c r="M39" s="42" t="str">
        <f>IF(I39="","",IF(K39="","Select Approval Name",IFERROR(IF(I39&lt;=IF(INDEX(Management!$C$3:$C$50,MATCH(K39,Management!$B$3:$B$50,0))="Unlimited",10^15,INDEX(Management!$C$3:$C$50,MATCH(K39,Management!$B$3:$B$50,0))),"Valid Approval","Limit Exceeded"),"Check Management Name")))</f>
        <v/>
      </c>
      <c r="N39" s="43"/>
      <c r="O39" s="43"/>
      <c r="P39" s="46"/>
      <c r="Q39" s="46"/>
    </row>
    <row r="40" spans="1:17" ht="15">
      <c r="A40" s="5" t="str">
        <f t="shared" si="0"/>
        <v/>
      </c>
      <c r="B40" s="43"/>
      <c r="C40" s="45"/>
      <c r="D40" s="45"/>
      <c r="E40" s="45"/>
      <c r="F40" s="43"/>
      <c r="G40" s="43"/>
      <c r="H40" s="43"/>
      <c r="I40" s="43"/>
      <c r="J40" s="43"/>
      <c r="K40" s="43"/>
      <c r="L40" s="44" t="str">
        <f>IF(K40="","",IFERROR(INDEX(Management!$A$3:$A$50,MATCH(K40,Management!$B$3:$B$50,0)),""))</f>
        <v/>
      </c>
      <c r="M40" s="42" t="str">
        <f>IF(I40="","",IF(K40="","Select Approval Name",IFERROR(IF(I40&lt;=IF(INDEX(Management!$C$3:$C$50,MATCH(K40,Management!$B$3:$B$50,0))="Unlimited",10^15,INDEX(Management!$C$3:$C$50,MATCH(K40,Management!$B$3:$B$50,0))),"Valid Approval","Limit Exceeded"),"Check Management Name")))</f>
        <v/>
      </c>
      <c r="N40" s="43"/>
      <c r="O40" s="43"/>
      <c r="P40" s="46"/>
      <c r="Q40" s="46"/>
    </row>
    <row r="41" spans="1:17" ht="15">
      <c r="A41" s="5" t="str">
        <f t="shared" si="0"/>
        <v/>
      </c>
      <c r="B41" s="43"/>
      <c r="C41" s="45"/>
      <c r="D41" s="45"/>
      <c r="E41" s="45"/>
      <c r="F41" s="43"/>
      <c r="G41" s="43"/>
      <c r="H41" s="43"/>
      <c r="I41" s="43"/>
      <c r="J41" s="43"/>
      <c r="K41" s="43"/>
      <c r="L41" s="44" t="str">
        <f>IF(K41="","",IFERROR(INDEX(Management!$A$3:$A$50,MATCH(K41,Management!$B$3:$B$50,0)),""))</f>
        <v/>
      </c>
      <c r="M41" s="42" t="str">
        <f>IF(I41="","",IF(K41="","Select Approval Name",IFERROR(IF(I41&lt;=IF(INDEX(Management!$C$3:$C$50,MATCH(K41,Management!$B$3:$B$50,0))="Unlimited",10^15,INDEX(Management!$C$3:$C$50,MATCH(K41,Management!$B$3:$B$50,0))),"Valid Approval","Limit Exceeded"),"Check Management Name")))</f>
        <v/>
      </c>
      <c r="N41" s="43"/>
      <c r="O41" s="43"/>
      <c r="P41" s="46"/>
      <c r="Q41" s="46"/>
    </row>
    <row r="42" spans="1:17" ht="15">
      <c r="A42" s="5" t="str">
        <f t="shared" si="0"/>
        <v/>
      </c>
      <c r="B42" s="43"/>
      <c r="C42" s="45"/>
      <c r="D42" s="45"/>
      <c r="E42" s="45"/>
      <c r="F42" s="43"/>
      <c r="G42" s="43"/>
      <c r="H42" s="43"/>
      <c r="I42" s="43"/>
      <c r="J42" s="43"/>
      <c r="K42" s="43"/>
      <c r="L42" s="44" t="str">
        <f>IF(K42="","",IFERROR(INDEX(Management!$A$3:$A$50,MATCH(K42,Management!$B$3:$B$50,0)),""))</f>
        <v/>
      </c>
      <c r="M42" s="42" t="str">
        <f>IF(I42="","",IF(K42="","Select Approval Name",IFERROR(IF(I42&lt;=IF(INDEX(Management!$C$3:$C$50,MATCH(K42,Management!$B$3:$B$50,0))="Unlimited",10^15,INDEX(Management!$C$3:$C$50,MATCH(K42,Management!$B$3:$B$50,0))),"Valid Approval","Limit Exceeded"),"Check Management Name")))</f>
        <v/>
      </c>
      <c r="N42" s="43"/>
      <c r="O42" s="43"/>
      <c r="P42" s="46"/>
      <c r="Q42" s="46"/>
    </row>
    <row r="43" spans="1:17" ht="15">
      <c r="A43" s="5" t="str">
        <f t="shared" si="0"/>
        <v/>
      </c>
      <c r="B43" s="43"/>
      <c r="C43" s="45"/>
      <c r="D43" s="45"/>
      <c r="E43" s="45"/>
      <c r="F43" s="43"/>
      <c r="G43" s="43"/>
      <c r="H43" s="43"/>
      <c r="I43" s="43"/>
      <c r="J43" s="43"/>
      <c r="K43" s="43"/>
      <c r="L43" s="44" t="str">
        <f>IF(K43="","",IFERROR(INDEX(Management!$A$3:$A$50,MATCH(K43,Management!$B$3:$B$50,0)),""))</f>
        <v/>
      </c>
      <c r="M43" s="42" t="str">
        <f>IF(I43="","",IF(K43="","Select Approval Name",IFERROR(IF(I43&lt;=IF(INDEX(Management!$C$3:$C$50,MATCH(K43,Management!$B$3:$B$50,0))="Unlimited",10^15,INDEX(Management!$C$3:$C$50,MATCH(K43,Management!$B$3:$B$50,0))),"Valid Approval","Limit Exceeded"),"Check Management Name")))</f>
        <v/>
      </c>
      <c r="N43" s="43"/>
      <c r="O43" s="43"/>
      <c r="P43" s="46"/>
      <c r="Q43" s="46"/>
    </row>
    <row r="44" spans="1:17" ht="15">
      <c r="A44" s="5" t="str">
        <f t="shared" si="0"/>
        <v/>
      </c>
      <c r="B44" s="43"/>
      <c r="C44" s="45"/>
      <c r="D44" s="45"/>
      <c r="E44" s="45"/>
      <c r="F44" s="43"/>
      <c r="G44" s="43"/>
      <c r="H44" s="43"/>
      <c r="I44" s="43"/>
      <c r="J44" s="43"/>
      <c r="K44" s="43"/>
      <c r="L44" s="44" t="str">
        <f>IF(K44="","",IFERROR(INDEX(Management!$A$3:$A$50,MATCH(K44,Management!$B$3:$B$50,0)),""))</f>
        <v/>
      </c>
      <c r="M44" s="42" t="str">
        <f>IF(I44="","",IF(K44="","Select Approval Name",IFERROR(IF(I44&lt;=IF(INDEX(Management!$C$3:$C$50,MATCH(K44,Management!$B$3:$B$50,0))="Unlimited",10^15,INDEX(Management!$C$3:$C$50,MATCH(K44,Management!$B$3:$B$50,0))),"Valid Approval","Limit Exceeded"),"Check Management Name")))</f>
        <v/>
      </c>
      <c r="N44" s="43"/>
      <c r="O44" s="43"/>
      <c r="P44" s="46"/>
      <c r="Q44" s="46"/>
    </row>
    <row r="45" spans="1:17" ht="15">
      <c r="A45" s="5" t="str">
        <f t="shared" si="0"/>
        <v/>
      </c>
      <c r="B45" s="43"/>
      <c r="C45" s="45"/>
      <c r="D45" s="45"/>
      <c r="E45" s="45"/>
      <c r="F45" s="43"/>
      <c r="G45" s="43"/>
      <c r="H45" s="43"/>
      <c r="I45" s="43"/>
      <c r="J45" s="43"/>
      <c r="K45" s="43"/>
      <c r="L45" s="44" t="str">
        <f>IF(K45="","",IFERROR(INDEX(Management!$A$3:$A$50,MATCH(K45,Management!$B$3:$B$50,0)),""))</f>
        <v/>
      </c>
      <c r="M45" s="42" t="str">
        <f>IF(I45="","",IF(K45="","Select Approval Name",IFERROR(IF(I45&lt;=IF(INDEX(Management!$C$3:$C$50,MATCH(K45,Management!$B$3:$B$50,0))="Unlimited",10^15,INDEX(Management!$C$3:$C$50,MATCH(K45,Management!$B$3:$B$50,0))),"Valid Approval","Limit Exceeded"),"Check Management Name")))</f>
        <v/>
      </c>
      <c r="N45" s="43"/>
      <c r="O45" s="43"/>
      <c r="P45" s="46"/>
      <c r="Q45" s="46"/>
    </row>
    <row r="46" spans="1:17" ht="15">
      <c r="A46" s="5" t="str">
        <f t="shared" si="0"/>
        <v/>
      </c>
      <c r="B46" s="43"/>
      <c r="C46" s="45"/>
      <c r="D46" s="45"/>
      <c r="E46" s="45"/>
      <c r="F46" s="43"/>
      <c r="G46" s="43"/>
      <c r="H46" s="43"/>
      <c r="I46" s="43"/>
      <c r="J46" s="43"/>
      <c r="K46" s="43"/>
      <c r="L46" s="44" t="str">
        <f>IF(K46="","",IFERROR(INDEX(Management!$A$3:$A$50,MATCH(K46,Management!$B$3:$B$50,0)),""))</f>
        <v/>
      </c>
      <c r="M46" s="42" t="str">
        <f>IF(I46="","",IF(K46="","Select Approval Name",IFERROR(IF(I46&lt;=IF(INDEX(Management!$C$3:$C$50,MATCH(K46,Management!$B$3:$B$50,0))="Unlimited",10^15,INDEX(Management!$C$3:$C$50,MATCH(K46,Management!$B$3:$B$50,0))),"Valid Approval","Limit Exceeded"),"Check Management Name")))</f>
        <v/>
      </c>
      <c r="N46" s="43"/>
      <c r="O46" s="43"/>
      <c r="P46" s="46"/>
      <c r="Q46" s="46"/>
    </row>
    <row r="47" spans="1:17" ht="15">
      <c r="A47" s="5" t="str">
        <f t="shared" si="0"/>
        <v/>
      </c>
      <c r="B47" s="43"/>
      <c r="C47" s="45"/>
      <c r="D47" s="45"/>
      <c r="E47" s="45"/>
      <c r="F47" s="43"/>
      <c r="G47" s="43"/>
      <c r="H47" s="43"/>
      <c r="I47" s="43"/>
      <c r="J47" s="43"/>
      <c r="K47" s="43"/>
      <c r="L47" s="44" t="str">
        <f>IF(K47="","",IFERROR(INDEX(Management!$A$3:$A$50,MATCH(K47,Management!$B$3:$B$50,0)),""))</f>
        <v/>
      </c>
      <c r="M47" s="42" t="str">
        <f>IF(I47="","",IF(K47="","Select Approval Name",IFERROR(IF(I47&lt;=IF(INDEX(Management!$C$3:$C$50,MATCH(K47,Management!$B$3:$B$50,0))="Unlimited",10^15,INDEX(Management!$C$3:$C$50,MATCH(K47,Management!$B$3:$B$50,0))),"Valid Approval","Limit Exceeded"),"Check Management Name")))</f>
        <v/>
      </c>
      <c r="N47" s="43"/>
      <c r="O47" s="43"/>
      <c r="P47" s="46"/>
      <c r="Q47" s="46"/>
    </row>
    <row r="48" spans="1:17" ht="15">
      <c r="A48" s="5" t="str">
        <f t="shared" si="0"/>
        <v/>
      </c>
      <c r="B48" s="43"/>
      <c r="C48" s="45"/>
      <c r="D48" s="45"/>
      <c r="E48" s="45"/>
      <c r="F48" s="43"/>
      <c r="G48" s="43"/>
      <c r="H48" s="43"/>
      <c r="I48" s="43"/>
      <c r="J48" s="43"/>
      <c r="K48" s="43"/>
      <c r="L48" s="44" t="str">
        <f>IF(K48="","",IFERROR(INDEX(Management!$A$3:$A$50,MATCH(K48,Management!$B$3:$B$50,0)),""))</f>
        <v/>
      </c>
      <c r="M48" s="42" t="str">
        <f>IF(I48="","",IF(K48="","Select Approval Name",IFERROR(IF(I48&lt;=IF(INDEX(Management!$C$3:$C$50,MATCH(K48,Management!$B$3:$B$50,0))="Unlimited",10^15,INDEX(Management!$C$3:$C$50,MATCH(K48,Management!$B$3:$B$50,0))),"Valid Approval","Limit Exceeded"),"Check Management Name")))</f>
        <v/>
      </c>
      <c r="N48" s="43"/>
      <c r="O48" s="43"/>
      <c r="P48" s="46"/>
      <c r="Q48" s="46"/>
    </row>
    <row r="49" spans="1:17" ht="15">
      <c r="A49" s="5" t="str">
        <f t="shared" si="0"/>
        <v/>
      </c>
      <c r="B49" s="43"/>
      <c r="C49" s="45"/>
      <c r="D49" s="45"/>
      <c r="E49" s="45"/>
      <c r="F49" s="43"/>
      <c r="G49" s="43"/>
      <c r="H49" s="43"/>
      <c r="I49" s="43"/>
      <c r="J49" s="43"/>
      <c r="K49" s="43"/>
      <c r="L49" s="44" t="str">
        <f>IF(K49="","",IFERROR(INDEX(Management!$A$3:$A$50,MATCH(K49,Management!$B$3:$B$50,0)),""))</f>
        <v/>
      </c>
      <c r="M49" s="42" t="str">
        <f>IF(I49="","",IF(K49="","Select Approval Name",IFERROR(IF(I49&lt;=IF(INDEX(Management!$C$3:$C$50,MATCH(K49,Management!$B$3:$B$50,0))="Unlimited",10^15,INDEX(Management!$C$3:$C$50,MATCH(K49,Management!$B$3:$B$50,0))),"Valid Approval","Limit Exceeded"),"Check Management Name")))</f>
        <v/>
      </c>
      <c r="N49" s="43"/>
      <c r="O49" s="43"/>
      <c r="P49" s="46"/>
      <c r="Q49" s="46"/>
    </row>
    <row r="50" spans="1:17" ht="15">
      <c r="A50" s="5" t="str">
        <f t="shared" si="0"/>
        <v/>
      </c>
      <c r="B50" s="43"/>
      <c r="C50" s="45"/>
      <c r="D50" s="45"/>
      <c r="E50" s="45"/>
      <c r="F50" s="43"/>
      <c r="G50" s="43"/>
      <c r="H50" s="43"/>
      <c r="I50" s="43"/>
      <c r="J50" s="43"/>
      <c r="K50" s="43"/>
      <c r="L50" s="44" t="str">
        <f>IF(K50="","",IFERROR(INDEX(Management!$A$3:$A$50,MATCH(K50,Management!$B$3:$B$50,0)),""))</f>
        <v/>
      </c>
      <c r="M50" s="42" t="str">
        <f>IF(I50="","",IF(K50="","Select Approval Name",IFERROR(IF(I50&lt;=IF(INDEX(Management!$C$3:$C$50,MATCH(K50,Management!$B$3:$B$50,0))="Unlimited",10^15,INDEX(Management!$C$3:$C$50,MATCH(K50,Management!$B$3:$B$50,0))),"Valid Approval","Limit Exceeded"),"Check Management Name")))</f>
        <v/>
      </c>
      <c r="N50" s="43"/>
      <c r="O50" s="43"/>
      <c r="P50" s="46"/>
      <c r="Q50" s="46"/>
    </row>
    <row r="51" spans="1:17" ht="15">
      <c r="A51" s="5" t="str">
        <f t="shared" si="0"/>
        <v/>
      </c>
      <c r="B51" s="43"/>
      <c r="C51" s="45"/>
      <c r="D51" s="45"/>
      <c r="E51" s="45"/>
      <c r="F51" s="43"/>
      <c r="G51" s="43"/>
      <c r="H51" s="43"/>
      <c r="I51" s="43"/>
      <c r="J51" s="43"/>
      <c r="K51" s="43"/>
      <c r="L51" s="44" t="str">
        <f>IF(K51="","",IFERROR(INDEX(Management!$A$3:$A$50,MATCH(K51,Management!$B$3:$B$50,0)),""))</f>
        <v/>
      </c>
      <c r="M51" s="42" t="str">
        <f>IF(I51="","",IF(K51="","Select Approval Name",IFERROR(IF(I51&lt;=IF(INDEX(Management!$C$3:$C$50,MATCH(K51,Management!$B$3:$B$50,0))="Unlimited",10^15,INDEX(Management!$C$3:$C$50,MATCH(K51,Management!$B$3:$B$50,0))),"Valid Approval","Limit Exceeded"),"Check Management Name")))</f>
        <v/>
      </c>
      <c r="N51" s="43"/>
      <c r="O51" s="43"/>
      <c r="P51" s="46"/>
      <c r="Q51" s="46"/>
    </row>
    <row r="52" spans="1:17" ht="15">
      <c r="A52" s="5" t="str">
        <f t="shared" si="0"/>
        <v/>
      </c>
      <c r="B52" s="43"/>
      <c r="C52" s="45"/>
      <c r="D52" s="45"/>
      <c r="E52" s="45"/>
      <c r="F52" s="43"/>
      <c r="G52" s="43"/>
      <c r="H52" s="43"/>
      <c r="I52" s="43"/>
      <c r="J52" s="43"/>
      <c r="K52" s="43"/>
      <c r="L52" s="44" t="str">
        <f>IF(K52="","",IFERROR(INDEX(Management!$A$3:$A$50,MATCH(K52,Management!$B$3:$B$50,0)),""))</f>
        <v/>
      </c>
      <c r="M52" s="42" t="str">
        <f>IF(I52="","",IF(K52="","Select Approval Name",IFERROR(IF(I52&lt;=IF(INDEX(Management!$C$3:$C$50,MATCH(K52,Management!$B$3:$B$50,0))="Unlimited",10^15,INDEX(Management!$C$3:$C$50,MATCH(K52,Management!$B$3:$B$50,0))),"Valid Approval","Limit Exceeded"),"Check Management Name")))</f>
        <v/>
      </c>
      <c r="N52" s="43"/>
      <c r="O52" s="43"/>
      <c r="P52" s="46"/>
      <c r="Q52" s="46"/>
    </row>
    <row r="53" spans="1:17" ht="15">
      <c r="A53" s="5" t="str">
        <f t="shared" si="0"/>
        <v/>
      </c>
      <c r="B53" s="43"/>
      <c r="C53" s="45"/>
      <c r="D53" s="45"/>
      <c r="E53" s="45"/>
      <c r="F53" s="43"/>
      <c r="G53" s="43"/>
      <c r="H53" s="43"/>
      <c r="I53" s="43"/>
      <c r="J53" s="43"/>
      <c r="K53" s="43"/>
      <c r="L53" s="44" t="str">
        <f>IF(K53="","",IFERROR(INDEX(Management!$A$3:$A$50,MATCH(K53,Management!$B$3:$B$50,0)),""))</f>
        <v/>
      </c>
      <c r="M53" s="42" t="str">
        <f>IF(I53="","",IF(K53="","Select Approval Name",IFERROR(IF(I53&lt;=IF(INDEX(Management!$C$3:$C$50,MATCH(K53,Management!$B$3:$B$50,0))="Unlimited",10^15,INDEX(Management!$C$3:$C$50,MATCH(K53,Management!$B$3:$B$50,0))),"Valid Approval","Limit Exceeded"),"Check Management Name")))</f>
        <v/>
      </c>
      <c r="N53" s="43"/>
      <c r="O53" s="43"/>
      <c r="P53" s="46"/>
      <c r="Q53" s="46"/>
    </row>
    <row r="54" spans="1:17" ht="15">
      <c r="A54" s="5" t="str">
        <f t="shared" si="0"/>
        <v/>
      </c>
      <c r="B54" s="43"/>
      <c r="C54" s="45"/>
      <c r="D54" s="45"/>
      <c r="E54" s="45"/>
      <c r="F54" s="43"/>
      <c r="G54" s="43"/>
      <c r="H54" s="43"/>
      <c r="I54" s="43"/>
      <c r="J54" s="43"/>
      <c r="K54" s="43"/>
      <c r="L54" s="44" t="str">
        <f>IF(K54="","",IFERROR(INDEX(Management!$A$3:$A$50,MATCH(K54,Management!$B$3:$B$50,0)),""))</f>
        <v/>
      </c>
      <c r="M54" s="42" t="str">
        <f>IF(I54="","",IF(K54="","Select Approval Name",IFERROR(IF(I54&lt;=IF(INDEX(Management!$C$3:$C$50,MATCH(K54,Management!$B$3:$B$50,0))="Unlimited",10^15,INDEX(Management!$C$3:$C$50,MATCH(K54,Management!$B$3:$B$50,0))),"Valid Approval","Limit Exceeded"),"Check Management Name")))</f>
        <v/>
      </c>
      <c r="N54" s="43"/>
      <c r="O54" s="43"/>
      <c r="P54" s="46"/>
      <c r="Q54" s="46"/>
    </row>
    <row r="55" spans="1:17" ht="15">
      <c r="A55" s="5" t="str">
        <f t="shared" si="0"/>
        <v/>
      </c>
      <c r="B55" s="43"/>
      <c r="C55" s="45"/>
      <c r="D55" s="45"/>
      <c r="E55" s="45"/>
      <c r="F55" s="43"/>
      <c r="G55" s="43"/>
      <c r="H55" s="43"/>
      <c r="I55" s="43"/>
      <c r="J55" s="43"/>
      <c r="K55" s="43"/>
      <c r="L55" s="44" t="str">
        <f>IF(K55="","",IFERROR(INDEX(Management!$A$3:$A$50,MATCH(K55,Management!$B$3:$B$50,0)),""))</f>
        <v/>
      </c>
      <c r="M55" s="42" t="str">
        <f>IF(I55="","",IF(K55="","Select Approval Name",IFERROR(IF(I55&lt;=IF(INDEX(Management!$C$3:$C$50,MATCH(K55,Management!$B$3:$B$50,0))="Unlimited",10^15,INDEX(Management!$C$3:$C$50,MATCH(K55,Management!$B$3:$B$50,0))),"Valid Approval","Limit Exceeded"),"Check Management Name")))</f>
        <v/>
      </c>
      <c r="N55" s="43"/>
      <c r="O55" s="43"/>
      <c r="P55" s="46"/>
      <c r="Q55" s="46"/>
    </row>
    <row r="56" spans="1:17" ht="15">
      <c r="A56" s="5" t="str">
        <f t="shared" si="0"/>
        <v/>
      </c>
      <c r="B56" s="43"/>
      <c r="C56" s="45"/>
      <c r="D56" s="45"/>
      <c r="E56" s="45"/>
      <c r="F56" s="43"/>
      <c r="G56" s="43"/>
      <c r="H56" s="43"/>
      <c r="I56" s="43"/>
      <c r="J56" s="43"/>
      <c r="K56" s="43"/>
      <c r="L56" s="44" t="str">
        <f>IF(K56="","",IFERROR(INDEX(Management!$A$3:$A$50,MATCH(K56,Management!$B$3:$B$50,0)),""))</f>
        <v/>
      </c>
      <c r="M56" s="42" t="str">
        <f>IF(I56="","",IF(K56="","Select Approval Name",IFERROR(IF(I56&lt;=IF(INDEX(Management!$C$3:$C$50,MATCH(K56,Management!$B$3:$B$50,0))="Unlimited",10^15,INDEX(Management!$C$3:$C$50,MATCH(K56,Management!$B$3:$B$50,0))),"Valid Approval","Limit Exceeded"),"Check Management Name")))</f>
        <v/>
      </c>
      <c r="N56" s="43"/>
      <c r="O56" s="43"/>
      <c r="P56" s="46"/>
      <c r="Q56" s="46"/>
    </row>
    <row r="57" spans="1:17" ht="15">
      <c r="A57" s="5" t="str">
        <f t="shared" si="0"/>
        <v/>
      </c>
      <c r="B57" s="43"/>
      <c r="C57" s="45"/>
      <c r="D57" s="45"/>
      <c r="E57" s="45"/>
      <c r="F57" s="43"/>
      <c r="G57" s="43"/>
      <c r="H57" s="43"/>
      <c r="I57" s="43"/>
      <c r="J57" s="43"/>
      <c r="K57" s="43"/>
      <c r="L57" s="44" t="str">
        <f>IF(K57="","",IFERROR(INDEX(Management!$A$3:$A$50,MATCH(K57,Management!$B$3:$B$50,0)),""))</f>
        <v/>
      </c>
      <c r="M57" s="42" t="str">
        <f>IF(I57="","",IF(K57="","Select Approval Name",IFERROR(IF(I57&lt;=IF(INDEX(Management!$C$3:$C$50,MATCH(K57,Management!$B$3:$B$50,0))="Unlimited",10^15,INDEX(Management!$C$3:$C$50,MATCH(K57,Management!$B$3:$B$50,0))),"Valid Approval","Limit Exceeded"),"Check Management Name")))</f>
        <v/>
      </c>
      <c r="N57" s="43"/>
      <c r="O57" s="43"/>
      <c r="P57" s="46"/>
      <c r="Q57" s="46"/>
    </row>
    <row r="58" spans="1:17" ht="15">
      <c r="A58" s="5" t="str">
        <f t="shared" si="0"/>
        <v/>
      </c>
      <c r="B58" s="43"/>
      <c r="C58" s="45"/>
      <c r="D58" s="45"/>
      <c r="E58" s="45"/>
      <c r="F58" s="43"/>
      <c r="G58" s="43"/>
      <c r="H58" s="43"/>
      <c r="I58" s="43"/>
      <c r="J58" s="43"/>
      <c r="K58" s="43"/>
      <c r="L58" s="44" t="str">
        <f>IF(K58="","",IFERROR(INDEX(Management!$A$3:$A$50,MATCH(K58,Management!$B$3:$B$50,0)),""))</f>
        <v/>
      </c>
      <c r="M58" s="42" t="str">
        <f>IF(I58="","",IF(K58="","Select Approval Name",IFERROR(IF(I58&lt;=IF(INDEX(Management!$C$3:$C$50,MATCH(K58,Management!$B$3:$B$50,0))="Unlimited",10^15,INDEX(Management!$C$3:$C$50,MATCH(K58,Management!$B$3:$B$50,0))),"Valid Approval","Limit Exceeded"),"Check Management Name")))</f>
        <v/>
      </c>
      <c r="N58" s="43"/>
      <c r="O58" s="43"/>
      <c r="P58" s="46"/>
      <c r="Q58" s="46"/>
    </row>
    <row r="59" spans="1:17" ht="15">
      <c r="A59" s="5" t="str">
        <f t="shared" si="0"/>
        <v/>
      </c>
      <c r="B59" s="43"/>
      <c r="C59" s="45"/>
      <c r="D59" s="45"/>
      <c r="E59" s="45"/>
      <c r="F59" s="43"/>
      <c r="G59" s="43"/>
      <c r="H59" s="43"/>
      <c r="I59" s="43"/>
      <c r="J59" s="43"/>
      <c r="K59" s="43"/>
      <c r="L59" s="44" t="str">
        <f>IF(K59="","",IFERROR(INDEX(Management!$A$3:$A$50,MATCH(K59,Management!$B$3:$B$50,0)),""))</f>
        <v/>
      </c>
      <c r="M59" s="42" t="str">
        <f>IF(I59="","",IF(K59="","Select Approval Name",IFERROR(IF(I59&lt;=IF(INDEX(Management!$C$3:$C$50,MATCH(K59,Management!$B$3:$B$50,0))="Unlimited",10^15,INDEX(Management!$C$3:$C$50,MATCH(K59,Management!$B$3:$B$50,0))),"Valid Approval","Limit Exceeded"),"Check Management Name")))</f>
        <v/>
      </c>
      <c r="N59" s="43"/>
      <c r="O59" s="43"/>
      <c r="P59" s="46"/>
      <c r="Q59" s="46"/>
    </row>
    <row r="60" spans="1:17" ht="15">
      <c r="A60" s="5" t="str">
        <f t="shared" si="0"/>
        <v/>
      </c>
      <c r="B60" s="43"/>
      <c r="C60" s="45"/>
      <c r="D60" s="45"/>
      <c r="E60" s="45"/>
      <c r="F60" s="43"/>
      <c r="G60" s="43"/>
      <c r="H60" s="43"/>
      <c r="I60" s="43"/>
      <c r="J60" s="43"/>
      <c r="K60" s="43"/>
      <c r="L60" s="44" t="str">
        <f>IF(K60="","",IFERROR(INDEX(Management!$A$3:$A$50,MATCH(K60,Management!$B$3:$B$50,0)),""))</f>
        <v/>
      </c>
      <c r="M60" s="42" t="str">
        <f>IF(I60="","",IF(K60="","Select Approval Name",IFERROR(IF(I60&lt;=IF(INDEX(Management!$C$3:$C$50,MATCH(K60,Management!$B$3:$B$50,0))="Unlimited",10^15,INDEX(Management!$C$3:$C$50,MATCH(K60,Management!$B$3:$B$50,0))),"Valid Approval","Limit Exceeded"),"Check Management Name")))</f>
        <v/>
      </c>
      <c r="N60" s="43"/>
      <c r="O60" s="43"/>
      <c r="P60" s="46"/>
      <c r="Q60" s="46"/>
    </row>
    <row r="61" spans="1:17" ht="15">
      <c r="A61" s="5" t="str">
        <f t="shared" si="0"/>
        <v/>
      </c>
      <c r="B61" s="43"/>
      <c r="C61" s="45"/>
      <c r="D61" s="45"/>
      <c r="E61" s="45"/>
      <c r="F61" s="43"/>
      <c r="G61" s="43"/>
      <c r="H61" s="43"/>
      <c r="I61" s="43"/>
      <c r="J61" s="43"/>
      <c r="K61" s="43"/>
      <c r="L61" s="44" t="str">
        <f>IF(K61="","",IFERROR(INDEX(Management!$A$3:$A$50,MATCH(K61,Management!$B$3:$B$50,0)),""))</f>
        <v/>
      </c>
      <c r="M61" s="42" t="str">
        <f>IF(I61="","",IF(K61="","Select Approval Name",IFERROR(IF(I61&lt;=IF(INDEX(Management!$C$3:$C$50,MATCH(K61,Management!$B$3:$B$50,0))="Unlimited",10^15,INDEX(Management!$C$3:$C$50,MATCH(K61,Management!$B$3:$B$50,0))),"Valid Approval","Limit Exceeded"),"Check Management Name")))</f>
        <v/>
      </c>
      <c r="N61" s="43"/>
      <c r="O61" s="43"/>
      <c r="P61" s="46"/>
      <c r="Q61" s="46"/>
    </row>
    <row r="62" spans="1:17" ht="15">
      <c r="A62" s="5" t="str">
        <f t="shared" si="0"/>
        <v/>
      </c>
      <c r="B62" s="43"/>
      <c r="C62" s="45"/>
      <c r="D62" s="45"/>
      <c r="E62" s="45"/>
      <c r="F62" s="43"/>
      <c r="G62" s="43"/>
      <c r="H62" s="43"/>
      <c r="I62" s="43"/>
      <c r="J62" s="43"/>
      <c r="K62" s="43"/>
      <c r="L62" s="44" t="str">
        <f>IF(K62="","",IFERROR(INDEX(Management!$A$3:$A$50,MATCH(K62,Management!$B$3:$B$50,0)),""))</f>
        <v/>
      </c>
      <c r="M62" s="42" t="str">
        <f>IF(I62="","",IF(K62="","Select Approval Name",IFERROR(IF(I62&lt;=IF(INDEX(Management!$C$3:$C$50,MATCH(K62,Management!$B$3:$B$50,0))="Unlimited",10^15,INDEX(Management!$C$3:$C$50,MATCH(K62,Management!$B$3:$B$50,0))),"Valid Approval","Limit Exceeded"),"Check Management Name")))</f>
        <v/>
      </c>
      <c r="N62" s="43"/>
      <c r="O62" s="43"/>
      <c r="P62" s="46"/>
      <c r="Q62" s="46"/>
    </row>
    <row r="63" spans="1:17" ht="15">
      <c r="A63" s="5" t="str">
        <f t="shared" si="0"/>
        <v/>
      </c>
      <c r="B63" s="43"/>
      <c r="C63" s="45"/>
      <c r="D63" s="45"/>
      <c r="E63" s="45"/>
      <c r="F63" s="43"/>
      <c r="G63" s="43"/>
      <c r="H63" s="43"/>
      <c r="I63" s="43"/>
      <c r="J63" s="43"/>
      <c r="K63" s="43"/>
      <c r="L63" s="44" t="str">
        <f>IF(K63="","",IFERROR(INDEX(Management!$A$3:$A$50,MATCH(K63,Management!$B$3:$B$50,0)),""))</f>
        <v/>
      </c>
      <c r="M63" s="42" t="str">
        <f>IF(I63="","",IF(K63="","Select Approval Name",IFERROR(IF(I63&lt;=IF(INDEX(Management!$C$3:$C$50,MATCH(K63,Management!$B$3:$B$50,0))="Unlimited",10^15,INDEX(Management!$C$3:$C$50,MATCH(K63,Management!$B$3:$B$50,0))),"Valid Approval","Limit Exceeded"),"Check Management Name")))</f>
        <v/>
      </c>
      <c r="N63" s="43"/>
      <c r="O63" s="43"/>
      <c r="P63" s="46"/>
      <c r="Q63" s="46"/>
    </row>
    <row r="64" spans="1:17" ht="15">
      <c r="A64" s="5" t="str">
        <f t="shared" si="0"/>
        <v/>
      </c>
      <c r="B64" s="43"/>
      <c r="C64" s="45"/>
      <c r="D64" s="45"/>
      <c r="E64" s="45"/>
      <c r="F64" s="43"/>
      <c r="G64" s="43"/>
      <c r="H64" s="43"/>
      <c r="I64" s="43"/>
      <c r="J64" s="43"/>
      <c r="K64" s="43"/>
      <c r="L64" s="44" t="str">
        <f>IF(K64="","",IFERROR(INDEX(Management!$A$3:$A$50,MATCH(K64,Management!$B$3:$B$50,0)),""))</f>
        <v/>
      </c>
      <c r="M64" s="42" t="str">
        <f>IF(I64="","",IF(K64="","Select Approval Name",IFERROR(IF(I64&lt;=IF(INDEX(Management!$C$3:$C$50,MATCH(K64,Management!$B$3:$B$50,0))="Unlimited",10^15,INDEX(Management!$C$3:$C$50,MATCH(K64,Management!$B$3:$B$50,0))),"Valid Approval","Limit Exceeded"),"Check Management Name")))</f>
        <v/>
      </c>
      <c r="N64" s="43"/>
      <c r="O64" s="43"/>
      <c r="P64" s="46"/>
      <c r="Q64" s="46"/>
    </row>
    <row r="65" spans="1:17" ht="15">
      <c r="A65" s="5" t="str">
        <f t="shared" si="0"/>
        <v/>
      </c>
      <c r="B65" s="43"/>
      <c r="C65" s="45"/>
      <c r="D65" s="45"/>
      <c r="E65" s="45"/>
      <c r="F65" s="43"/>
      <c r="G65" s="43"/>
      <c r="H65" s="43"/>
      <c r="I65" s="43"/>
      <c r="J65" s="43"/>
      <c r="K65" s="43"/>
      <c r="L65" s="44" t="str">
        <f>IF(K65="","",IFERROR(INDEX(Management!$A$3:$A$50,MATCH(K65,Management!$B$3:$B$50,0)),""))</f>
        <v/>
      </c>
      <c r="M65" s="42" t="str">
        <f>IF(I65="","",IF(K65="","Select Approval Name",IFERROR(IF(I65&lt;=IF(INDEX(Management!$C$3:$C$50,MATCH(K65,Management!$B$3:$B$50,0))="Unlimited",10^15,INDEX(Management!$C$3:$C$50,MATCH(K65,Management!$B$3:$B$50,0))),"Valid Approval","Limit Exceeded"),"Check Management Name")))</f>
        <v/>
      </c>
      <c r="N65" s="43"/>
      <c r="O65" s="43"/>
      <c r="P65" s="46"/>
      <c r="Q65" s="46"/>
    </row>
    <row r="66" spans="1:17" ht="15">
      <c r="A66" s="5" t="str">
        <f t="shared" ref="A66:A129" si="1">IF(D66="","",ROW()-1)</f>
        <v/>
      </c>
      <c r="B66" s="43"/>
      <c r="C66" s="45"/>
      <c r="D66" s="45"/>
      <c r="E66" s="45"/>
      <c r="F66" s="43"/>
      <c r="G66" s="43"/>
      <c r="H66" s="43"/>
      <c r="I66" s="43"/>
      <c r="J66" s="43"/>
      <c r="K66" s="43"/>
      <c r="L66" s="44" t="str">
        <f>IF(K66="","",IFERROR(INDEX(Management!$A$3:$A$50,MATCH(K66,Management!$B$3:$B$50,0)),""))</f>
        <v/>
      </c>
      <c r="M66" s="42" t="str">
        <f>IF(I66="","",IF(K66="","Select Approval Name",IFERROR(IF(I66&lt;=IF(INDEX(Management!$C$3:$C$50,MATCH(K66,Management!$B$3:$B$50,0))="Unlimited",10^15,INDEX(Management!$C$3:$C$50,MATCH(K66,Management!$B$3:$B$50,0))),"Valid Approval","Limit Exceeded"),"Check Management Name")))</f>
        <v/>
      </c>
      <c r="N66" s="43"/>
      <c r="O66" s="43"/>
      <c r="P66" s="46"/>
      <c r="Q66" s="46"/>
    </row>
    <row r="67" spans="1:17" ht="15">
      <c r="A67" s="5" t="str">
        <f t="shared" si="1"/>
        <v/>
      </c>
      <c r="B67" s="43"/>
      <c r="C67" s="45"/>
      <c r="D67" s="45"/>
      <c r="E67" s="45"/>
      <c r="F67" s="43"/>
      <c r="G67" s="43"/>
      <c r="H67" s="43"/>
      <c r="I67" s="43"/>
      <c r="J67" s="43"/>
      <c r="K67" s="43"/>
      <c r="L67" s="44" t="str">
        <f>IF(K67="","",IFERROR(INDEX(Management!$A$3:$A$50,MATCH(K67,Management!$B$3:$B$50,0)),""))</f>
        <v/>
      </c>
      <c r="M67" s="42" t="str">
        <f>IF(I67="","",IF(K67="","Select Approval Name",IFERROR(IF(I67&lt;=IF(INDEX(Management!$C$3:$C$50,MATCH(K67,Management!$B$3:$B$50,0))="Unlimited",10^15,INDEX(Management!$C$3:$C$50,MATCH(K67,Management!$B$3:$B$50,0))),"Valid Approval","Limit Exceeded"),"Check Management Name")))</f>
        <v/>
      </c>
      <c r="N67" s="43"/>
      <c r="O67" s="43"/>
      <c r="P67" s="46"/>
      <c r="Q67" s="46"/>
    </row>
    <row r="68" spans="1:17" ht="15">
      <c r="A68" s="5" t="str">
        <f t="shared" si="1"/>
        <v/>
      </c>
      <c r="B68" s="43"/>
      <c r="C68" s="45"/>
      <c r="D68" s="45"/>
      <c r="E68" s="45"/>
      <c r="F68" s="43"/>
      <c r="G68" s="43"/>
      <c r="H68" s="43"/>
      <c r="I68" s="43"/>
      <c r="J68" s="43"/>
      <c r="K68" s="43"/>
      <c r="L68" s="44" t="str">
        <f>IF(K68="","",IFERROR(INDEX(Management!$A$3:$A$50,MATCH(K68,Management!$B$3:$B$50,0)),""))</f>
        <v/>
      </c>
      <c r="M68" s="42" t="str">
        <f>IF(I68="","",IF(K68="","Select Approval Name",IFERROR(IF(I68&lt;=IF(INDEX(Management!$C$3:$C$50,MATCH(K68,Management!$B$3:$B$50,0))="Unlimited",10^15,INDEX(Management!$C$3:$C$50,MATCH(K68,Management!$B$3:$B$50,0))),"Valid Approval","Limit Exceeded"),"Check Management Name")))</f>
        <v/>
      </c>
      <c r="N68" s="43"/>
      <c r="O68" s="43"/>
      <c r="P68" s="46"/>
      <c r="Q68" s="46"/>
    </row>
    <row r="69" spans="1:17" ht="15">
      <c r="A69" s="5" t="str">
        <f t="shared" si="1"/>
        <v/>
      </c>
      <c r="B69" s="43"/>
      <c r="C69" s="45"/>
      <c r="D69" s="45"/>
      <c r="E69" s="45"/>
      <c r="F69" s="43"/>
      <c r="G69" s="43"/>
      <c r="H69" s="43"/>
      <c r="I69" s="43"/>
      <c r="J69" s="43"/>
      <c r="K69" s="43"/>
      <c r="L69" s="44" t="str">
        <f>IF(K69="","",IFERROR(INDEX(Management!$A$3:$A$50,MATCH(K69,Management!$B$3:$B$50,0)),""))</f>
        <v/>
      </c>
      <c r="M69" s="42" t="str">
        <f>IF(I69="","",IF(K69="","Select Approval Name",IFERROR(IF(I69&lt;=IF(INDEX(Management!$C$3:$C$50,MATCH(K69,Management!$B$3:$B$50,0))="Unlimited",10^15,INDEX(Management!$C$3:$C$50,MATCH(K69,Management!$B$3:$B$50,0))),"Valid Approval","Limit Exceeded"),"Check Management Name")))</f>
        <v/>
      </c>
      <c r="N69" s="43"/>
      <c r="O69" s="43"/>
      <c r="P69" s="46"/>
      <c r="Q69" s="46"/>
    </row>
    <row r="70" spans="1:17" ht="15">
      <c r="A70" s="5" t="str">
        <f t="shared" si="1"/>
        <v/>
      </c>
      <c r="B70" s="43"/>
      <c r="C70" s="45"/>
      <c r="D70" s="45"/>
      <c r="E70" s="45"/>
      <c r="F70" s="43"/>
      <c r="G70" s="43"/>
      <c r="H70" s="43"/>
      <c r="I70" s="43"/>
      <c r="J70" s="43"/>
      <c r="K70" s="43"/>
      <c r="L70" s="44" t="str">
        <f>IF(K70="","",IFERROR(INDEX(Management!$A$3:$A$50,MATCH(K70,Management!$B$3:$B$50,0)),""))</f>
        <v/>
      </c>
      <c r="M70" s="42" t="str">
        <f>IF(I70="","",IF(K70="","Select Approval Name",IFERROR(IF(I70&lt;=IF(INDEX(Management!$C$3:$C$50,MATCH(K70,Management!$B$3:$B$50,0))="Unlimited",10^15,INDEX(Management!$C$3:$C$50,MATCH(K70,Management!$B$3:$B$50,0))),"Valid Approval","Limit Exceeded"),"Check Management Name")))</f>
        <v/>
      </c>
      <c r="N70" s="43"/>
      <c r="O70" s="43"/>
      <c r="P70" s="46"/>
      <c r="Q70" s="46"/>
    </row>
    <row r="71" spans="1:17" ht="15">
      <c r="A71" s="5" t="str">
        <f t="shared" si="1"/>
        <v/>
      </c>
      <c r="B71" s="43"/>
      <c r="C71" s="45"/>
      <c r="D71" s="45"/>
      <c r="E71" s="45"/>
      <c r="F71" s="43"/>
      <c r="G71" s="43"/>
      <c r="H71" s="43"/>
      <c r="I71" s="43"/>
      <c r="J71" s="43"/>
      <c r="K71" s="43"/>
      <c r="L71" s="44" t="str">
        <f>IF(K71="","",IFERROR(INDEX(Management!$A$3:$A$50,MATCH(K71,Management!$B$3:$B$50,0)),""))</f>
        <v/>
      </c>
      <c r="M71" s="42" t="str">
        <f>IF(I71="","",IF(K71="","Select Approval Name",IFERROR(IF(I71&lt;=IF(INDEX(Management!$C$3:$C$50,MATCH(K71,Management!$B$3:$B$50,0))="Unlimited",10^15,INDEX(Management!$C$3:$C$50,MATCH(K71,Management!$B$3:$B$50,0))),"Valid Approval","Limit Exceeded"),"Check Management Name")))</f>
        <v/>
      </c>
      <c r="N71" s="43"/>
      <c r="O71" s="43"/>
      <c r="P71" s="46"/>
      <c r="Q71" s="46"/>
    </row>
    <row r="72" spans="1:17" ht="15">
      <c r="A72" s="5" t="str">
        <f t="shared" si="1"/>
        <v/>
      </c>
      <c r="B72" s="43"/>
      <c r="C72" s="45"/>
      <c r="D72" s="45"/>
      <c r="E72" s="45"/>
      <c r="F72" s="43"/>
      <c r="G72" s="43"/>
      <c r="H72" s="43"/>
      <c r="I72" s="43"/>
      <c r="J72" s="43"/>
      <c r="K72" s="43"/>
      <c r="L72" s="44" t="str">
        <f>IF(K72="","",IFERROR(INDEX(Management!$A$3:$A$50,MATCH(K72,Management!$B$3:$B$50,0)),""))</f>
        <v/>
      </c>
      <c r="M72" s="42" t="str">
        <f>IF(I72="","",IF(K72="","Select Approval Name",IFERROR(IF(I72&lt;=IF(INDEX(Management!$C$3:$C$50,MATCH(K72,Management!$B$3:$B$50,0))="Unlimited",10^15,INDEX(Management!$C$3:$C$50,MATCH(K72,Management!$B$3:$B$50,0))),"Valid Approval","Limit Exceeded"),"Check Management Name")))</f>
        <v/>
      </c>
      <c r="N72" s="43"/>
      <c r="O72" s="43"/>
      <c r="P72" s="46"/>
      <c r="Q72" s="46"/>
    </row>
    <row r="73" spans="1:17" ht="15">
      <c r="A73" s="5" t="str">
        <f t="shared" si="1"/>
        <v/>
      </c>
      <c r="B73" s="43"/>
      <c r="C73" s="45"/>
      <c r="D73" s="45"/>
      <c r="E73" s="45"/>
      <c r="F73" s="43"/>
      <c r="G73" s="43"/>
      <c r="H73" s="43"/>
      <c r="I73" s="43"/>
      <c r="J73" s="43"/>
      <c r="K73" s="43"/>
      <c r="L73" s="44" t="str">
        <f>IF(K73="","",IFERROR(INDEX(Management!$A$3:$A$50,MATCH(K73,Management!$B$3:$B$50,0)),""))</f>
        <v/>
      </c>
      <c r="M73" s="42" t="str">
        <f>IF(I73="","",IF(K73="","Select Approval Name",IFERROR(IF(I73&lt;=IF(INDEX(Management!$C$3:$C$50,MATCH(K73,Management!$B$3:$B$50,0))="Unlimited",10^15,INDEX(Management!$C$3:$C$50,MATCH(K73,Management!$B$3:$B$50,0))),"Valid Approval","Limit Exceeded"),"Check Management Name")))</f>
        <v/>
      </c>
      <c r="N73" s="43"/>
      <c r="O73" s="43"/>
      <c r="P73" s="46"/>
      <c r="Q73" s="46"/>
    </row>
    <row r="74" spans="1:17" ht="15">
      <c r="A74" s="5" t="str">
        <f t="shared" si="1"/>
        <v/>
      </c>
      <c r="B74" s="43"/>
      <c r="C74" s="45"/>
      <c r="D74" s="45"/>
      <c r="E74" s="45"/>
      <c r="F74" s="43"/>
      <c r="G74" s="43"/>
      <c r="H74" s="43"/>
      <c r="I74" s="43"/>
      <c r="J74" s="43"/>
      <c r="K74" s="43"/>
      <c r="L74" s="44" t="str">
        <f>IF(K74="","",IFERROR(INDEX(Management!$A$3:$A$50,MATCH(K74,Management!$B$3:$B$50,0)),""))</f>
        <v/>
      </c>
      <c r="M74" s="42" t="str">
        <f>IF(I74="","",IF(K74="","Select Approval Name",IFERROR(IF(I74&lt;=IF(INDEX(Management!$C$3:$C$50,MATCH(K74,Management!$B$3:$B$50,0))="Unlimited",10^15,INDEX(Management!$C$3:$C$50,MATCH(K74,Management!$B$3:$B$50,0))),"Valid Approval","Limit Exceeded"),"Check Management Name")))</f>
        <v/>
      </c>
      <c r="N74" s="43"/>
      <c r="O74" s="43"/>
      <c r="P74" s="46"/>
      <c r="Q74" s="46"/>
    </row>
    <row r="75" spans="1:17" ht="15">
      <c r="A75" s="5" t="str">
        <f t="shared" si="1"/>
        <v/>
      </c>
      <c r="B75" s="43"/>
      <c r="C75" s="45"/>
      <c r="D75" s="45"/>
      <c r="E75" s="45"/>
      <c r="F75" s="43"/>
      <c r="G75" s="43"/>
      <c r="H75" s="43"/>
      <c r="I75" s="43"/>
      <c r="J75" s="43"/>
      <c r="K75" s="43"/>
      <c r="L75" s="44" t="str">
        <f>IF(K75="","",IFERROR(INDEX(Management!$A$3:$A$50,MATCH(K75,Management!$B$3:$B$50,0)),""))</f>
        <v/>
      </c>
      <c r="M75" s="42" t="str">
        <f>IF(I75="","",IF(K75="","Select Approval Name",IFERROR(IF(I75&lt;=IF(INDEX(Management!$C$3:$C$50,MATCH(K75,Management!$B$3:$B$50,0))="Unlimited",10^15,INDEX(Management!$C$3:$C$50,MATCH(K75,Management!$B$3:$B$50,0))),"Valid Approval","Limit Exceeded"),"Check Management Name")))</f>
        <v/>
      </c>
      <c r="N75" s="43"/>
      <c r="O75" s="43"/>
      <c r="P75" s="46"/>
      <c r="Q75" s="46"/>
    </row>
    <row r="76" spans="1:17" ht="15">
      <c r="A76" s="5" t="str">
        <f t="shared" si="1"/>
        <v/>
      </c>
      <c r="B76" s="43"/>
      <c r="C76" s="45"/>
      <c r="D76" s="45"/>
      <c r="E76" s="45"/>
      <c r="F76" s="43"/>
      <c r="G76" s="43"/>
      <c r="H76" s="43"/>
      <c r="I76" s="43"/>
      <c r="J76" s="43"/>
      <c r="K76" s="43"/>
      <c r="L76" s="44" t="str">
        <f>IF(K76="","",IFERROR(INDEX(Management!$A$3:$A$50,MATCH(K76,Management!$B$3:$B$50,0)),""))</f>
        <v/>
      </c>
      <c r="M76" s="42" t="str">
        <f>IF(I76="","",IF(K76="","Select Approval Name",IFERROR(IF(I76&lt;=IF(INDEX(Management!$C$3:$C$50,MATCH(K76,Management!$B$3:$B$50,0))="Unlimited",10^15,INDEX(Management!$C$3:$C$50,MATCH(K76,Management!$B$3:$B$50,0))),"Valid Approval","Limit Exceeded"),"Check Management Name")))</f>
        <v/>
      </c>
      <c r="N76" s="43"/>
      <c r="O76" s="43"/>
      <c r="P76" s="46"/>
      <c r="Q76" s="46"/>
    </row>
    <row r="77" spans="1:17" ht="15">
      <c r="A77" s="5" t="str">
        <f t="shared" si="1"/>
        <v/>
      </c>
      <c r="B77" s="43"/>
      <c r="C77" s="45"/>
      <c r="D77" s="45"/>
      <c r="E77" s="45"/>
      <c r="F77" s="43"/>
      <c r="G77" s="43"/>
      <c r="H77" s="43"/>
      <c r="I77" s="43"/>
      <c r="J77" s="43"/>
      <c r="K77" s="43"/>
      <c r="L77" s="44" t="str">
        <f>IF(K77="","",IFERROR(INDEX(Management!$A$3:$A$50,MATCH(K77,Management!$B$3:$B$50,0)),""))</f>
        <v/>
      </c>
      <c r="M77" s="42" t="str">
        <f>IF(I77="","",IF(K77="","Select Approval Name",IFERROR(IF(I77&lt;=IF(INDEX(Management!$C$3:$C$50,MATCH(K77,Management!$B$3:$B$50,0))="Unlimited",10^15,INDEX(Management!$C$3:$C$50,MATCH(K77,Management!$B$3:$B$50,0))),"Valid Approval","Limit Exceeded"),"Check Management Name")))</f>
        <v/>
      </c>
      <c r="N77" s="43"/>
      <c r="O77" s="43"/>
      <c r="P77" s="46"/>
      <c r="Q77" s="46"/>
    </row>
    <row r="78" spans="1:17" ht="15">
      <c r="A78" s="5" t="str">
        <f t="shared" si="1"/>
        <v/>
      </c>
      <c r="B78" s="43"/>
      <c r="C78" s="45"/>
      <c r="D78" s="45"/>
      <c r="E78" s="45"/>
      <c r="F78" s="43"/>
      <c r="G78" s="43"/>
      <c r="H78" s="43"/>
      <c r="I78" s="43"/>
      <c r="J78" s="43"/>
      <c r="K78" s="43"/>
      <c r="L78" s="44" t="str">
        <f>IF(K78="","",IFERROR(INDEX(Management!$A$3:$A$50,MATCH(K78,Management!$B$3:$B$50,0)),""))</f>
        <v/>
      </c>
      <c r="M78" s="42" t="str">
        <f>IF(I78="","",IF(K78="","Select Approval Name",IFERROR(IF(I78&lt;=IF(INDEX(Management!$C$3:$C$50,MATCH(K78,Management!$B$3:$B$50,0))="Unlimited",10^15,INDEX(Management!$C$3:$C$50,MATCH(K78,Management!$B$3:$B$50,0))),"Valid Approval","Limit Exceeded"),"Check Management Name")))</f>
        <v/>
      </c>
      <c r="N78" s="43"/>
      <c r="O78" s="43"/>
      <c r="P78" s="46"/>
      <c r="Q78" s="46"/>
    </row>
    <row r="79" spans="1:17" ht="15">
      <c r="A79" s="5" t="str">
        <f t="shared" si="1"/>
        <v/>
      </c>
      <c r="B79" s="43"/>
      <c r="C79" s="45"/>
      <c r="D79" s="45"/>
      <c r="E79" s="45"/>
      <c r="F79" s="43"/>
      <c r="G79" s="43"/>
      <c r="H79" s="43"/>
      <c r="I79" s="43"/>
      <c r="J79" s="43"/>
      <c r="K79" s="43"/>
      <c r="L79" s="44" t="str">
        <f>IF(K79="","",IFERROR(INDEX(Management!$A$3:$A$50,MATCH(K79,Management!$B$3:$B$50,0)),""))</f>
        <v/>
      </c>
      <c r="M79" s="42" t="str">
        <f>IF(I79="","",IF(K79="","Select Approval Name",IFERROR(IF(I79&lt;=IF(INDEX(Management!$C$3:$C$50,MATCH(K79,Management!$B$3:$B$50,0))="Unlimited",10^15,INDEX(Management!$C$3:$C$50,MATCH(K79,Management!$B$3:$B$50,0))),"Valid Approval","Limit Exceeded"),"Check Management Name")))</f>
        <v/>
      </c>
      <c r="N79" s="43"/>
      <c r="O79" s="43"/>
      <c r="P79" s="46"/>
      <c r="Q79" s="46"/>
    </row>
    <row r="80" spans="1:17" ht="15">
      <c r="A80" s="5" t="str">
        <f t="shared" si="1"/>
        <v/>
      </c>
      <c r="B80" s="43"/>
      <c r="C80" s="45"/>
      <c r="D80" s="45"/>
      <c r="E80" s="45"/>
      <c r="F80" s="43"/>
      <c r="G80" s="43"/>
      <c r="H80" s="43"/>
      <c r="I80" s="43"/>
      <c r="J80" s="43"/>
      <c r="K80" s="43"/>
      <c r="L80" s="44" t="str">
        <f>IF(K80="","",IFERROR(INDEX(Management!$A$3:$A$50,MATCH(K80,Management!$B$3:$B$50,0)),""))</f>
        <v/>
      </c>
      <c r="M80" s="42" t="str">
        <f>IF(I80="","",IF(K80="","Select Approval Name",IFERROR(IF(I80&lt;=IF(INDEX(Management!$C$3:$C$50,MATCH(K80,Management!$B$3:$B$50,0))="Unlimited",10^15,INDEX(Management!$C$3:$C$50,MATCH(K80,Management!$B$3:$B$50,0))),"Valid Approval","Limit Exceeded"),"Check Management Name")))</f>
        <v/>
      </c>
      <c r="N80" s="43"/>
      <c r="O80" s="43"/>
      <c r="P80" s="46"/>
      <c r="Q80" s="46"/>
    </row>
    <row r="81" spans="1:17" ht="15">
      <c r="A81" s="5" t="str">
        <f t="shared" si="1"/>
        <v/>
      </c>
      <c r="B81" s="43"/>
      <c r="C81" s="45"/>
      <c r="D81" s="45"/>
      <c r="E81" s="45"/>
      <c r="F81" s="43"/>
      <c r="G81" s="43"/>
      <c r="H81" s="43"/>
      <c r="I81" s="43"/>
      <c r="J81" s="43"/>
      <c r="K81" s="43"/>
      <c r="L81" s="44" t="str">
        <f>IF(K81="","",IFERROR(INDEX(Management!$A$3:$A$50,MATCH(K81,Management!$B$3:$B$50,0)),""))</f>
        <v/>
      </c>
      <c r="M81" s="42" t="str">
        <f>IF(I81="","",IF(K81="","Select Approval Name",IFERROR(IF(I81&lt;=IF(INDEX(Management!$C$3:$C$50,MATCH(K81,Management!$B$3:$B$50,0))="Unlimited",10^15,INDEX(Management!$C$3:$C$50,MATCH(K81,Management!$B$3:$B$50,0))),"Valid Approval","Limit Exceeded"),"Check Management Name")))</f>
        <v/>
      </c>
      <c r="N81" s="43"/>
      <c r="O81" s="43"/>
      <c r="P81" s="46"/>
      <c r="Q81" s="46"/>
    </row>
    <row r="82" spans="1:17" ht="15">
      <c r="A82" s="5" t="str">
        <f t="shared" si="1"/>
        <v/>
      </c>
      <c r="B82" s="43"/>
      <c r="C82" s="45"/>
      <c r="D82" s="45"/>
      <c r="E82" s="45"/>
      <c r="F82" s="43"/>
      <c r="G82" s="43"/>
      <c r="H82" s="43"/>
      <c r="I82" s="43"/>
      <c r="J82" s="43"/>
      <c r="K82" s="43"/>
      <c r="L82" s="44" t="str">
        <f>IF(K82="","",IFERROR(INDEX(Management!$A$3:$A$50,MATCH(K82,Management!$B$3:$B$50,0)),""))</f>
        <v/>
      </c>
      <c r="M82" s="42" t="str">
        <f>IF(I82="","",IF(K82="","Select Approval Name",IFERROR(IF(I82&lt;=IF(INDEX(Management!$C$3:$C$50,MATCH(K82,Management!$B$3:$B$50,0))="Unlimited",10^15,INDEX(Management!$C$3:$C$50,MATCH(K82,Management!$B$3:$B$50,0))),"Valid Approval","Limit Exceeded"),"Check Management Name")))</f>
        <v/>
      </c>
      <c r="N82" s="43"/>
      <c r="O82" s="43"/>
      <c r="P82" s="46"/>
      <c r="Q82" s="46"/>
    </row>
    <row r="83" spans="1:17" ht="15">
      <c r="A83" s="5" t="str">
        <f t="shared" si="1"/>
        <v/>
      </c>
      <c r="B83" s="43"/>
      <c r="C83" s="45"/>
      <c r="D83" s="45"/>
      <c r="E83" s="45"/>
      <c r="F83" s="43"/>
      <c r="G83" s="43"/>
      <c r="H83" s="43"/>
      <c r="I83" s="43"/>
      <c r="J83" s="43"/>
      <c r="K83" s="43"/>
      <c r="L83" s="44" t="str">
        <f>IF(K83="","",IFERROR(INDEX(Management!$A$3:$A$50,MATCH(K83,Management!$B$3:$B$50,0)),""))</f>
        <v/>
      </c>
      <c r="M83" s="42" t="str">
        <f>IF(I83="","",IF(K83="","Select Approval Name",IFERROR(IF(I83&lt;=IF(INDEX(Management!$C$3:$C$50,MATCH(K83,Management!$B$3:$B$50,0))="Unlimited",10^15,INDEX(Management!$C$3:$C$50,MATCH(K83,Management!$B$3:$B$50,0))),"Valid Approval","Limit Exceeded"),"Check Management Name")))</f>
        <v/>
      </c>
      <c r="N83" s="43"/>
      <c r="O83" s="43"/>
      <c r="P83" s="46"/>
      <c r="Q83" s="46"/>
    </row>
    <row r="84" spans="1:17" ht="15">
      <c r="A84" s="5" t="str">
        <f t="shared" si="1"/>
        <v/>
      </c>
      <c r="B84" s="43"/>
      <c r="C84" s="45"/>
      <c r="D84" s="45"/>
      <c r="E84" s="45"/>
      <c r="F84" s="43"/>
      <c r="G84" s="43"/>
      <c r="H84" s="43"/>
      <c r="I84" s="43"/>
      <c r="J84" s="43"/>
      <c r="K84" s="43"/>
      <c r="L84" s="44" t="str">
        <f>IF(K84="","",IFERROR(INDEX(Management!$A$3:$A$50,MATCH(K84,Management!$B$3:$B$50,0)),""))</f>
        <v/>
      </c>
      <c r="M84" s="42" t="str">
        <f>IF(I84="","",IF(K84="","Select Approval Name",IFERROR(IF(I84&lt;=IF(INDEX(Management!$C$3:$C$50,MATCH(K84,Management!$B$3:$B$50,0))="Unlimited",10^15,INDEX(Management!$C$3:$C$50,MATCH(K84,Management!$B$3:$B$50,0))),"Valid Approval","Limit Exceeded"),"Check Management Name")))</f>
        <v/>
      </c>
      <c r="N84" s="43"/>
      <c r="O84" s="43"/>
      <c r="P84" s="46"/>
      <c r="Q84" s="46"/>
    </row>
    <row r="85" spans="1:17" ht="15">
      <c r="A85" s="5" t="str">
        <f t="shared" si="1"/>
        <v/>
      </c>
      <c r="B85" s="43"/>
      <c r="C85" s="45"/>
      <c r="D85" s="45"/>
      <c r="E85" s="45"/>
      <c r="F85" s="43"/>
      <c r="G85" s="43"/>
      <c r="H85" s="43"/>
      <c r="I85" s="43"/>
      <c r="J85" s="43"/>
      <c r="K85" s="43"/>
      <c r="L85" s="44" t="str">
        <f>IF(K85="","",IFERROR(INDEX(Management!$A$3:$A$50,MATCH(K85,Management!$B$3:$B$50,0)),""))</f>
        <v/>
      </c>
      <c r="M85" s="42" t="str">
        <f>IF(I85="","",IF(K85="","Select Approval Name",IFERROR(IF(I85&lt;=IF(INDEX(Management!$C$3:$C$50,MATCH(K85,Management!$B$3:$B$50,0))="Unlimited",10^15,INDEX(Management!$C$3:$C$50,MATCH(K85,Management!$B$3:$B$50,0))),"Valid Approval","Limit Exceeded"),"Check Management Name")))</f>
        <v/>
      </c>
      <c r="N85" s="43"/>
      <c r="O85" s="43"/>
      <c r="P85" s="46"/>
      <c r="Q85" s="46"/>
    </row>
    <row r="86" spans="1:17" ht="15">
      <c r="A86" s="5" t="str">
        <f t="shared" si="1"/>
        <v/>
      </c>
      <c r="B86" s="43"/>
      <c r="C86" s="45"/>
      <c r="D86" s="45"/>
      <c r="E86" s="45"/>
      <c r="F86" s="43"/>
      <c r="G86" s="43"/>
      <c r="H86" s="43"/>
      <c r="I86" s="43"/>
      <c r="J86" s="43"/>
      <c r="K86" s="43"/>
      <c r="L86" s="44" t="str">
        <f>IF(K86="","",IFERROR(INDEX(Management!$A$3:$A$50,MATCH(K86,Management!$B$3:$B$50,0)),""))</f>
        <v/>
      </c>
      <c r="M86" s="42" t="str">
        <f>IF(I86="","",IF(K86="","Select Approval Name",IFERROR(IF(I86&lt;=IF(INDEX(Management!$C$3:$C$50,MATCH(K86,Management!$B$3:$B$50,0))="Unlimited",10^15,INDEX(Management!$C$3:$C$50,MATCH(K86,Management!$B$3:$B$50,0))),"Valid Approval","Limit Exceeded"),"Check Management Name")))</f>
        <v/>
      </c>
      <c r="N86" s="43"/>
      <c r="O86" s="43"/>
      <c r="P86" s="46"/>
      <c r="Q86" s="46"/>
    </row>
    <row r="87" spans="1:17" ht="15">
      <c r="A87" s="5" t="str">
        <f t="shared" si="1"/>
        <v/>
      </c>
      <c r="B87" s="43"/>
      <c r="C87" s="45"/>
      <c r="D87" s="45"/>
      <c r="E87" s="45"/>
      <c r="F87" s="43"/>
      <c r="G87" s="43"/>
      <c r="H87" s="43"/>
      <c r="I87" s="43"/>
      <c r="J87" s="43"/>
      <c r="K87" s="43"/>
      <c r="L87" s="44" t="str">
        <f>IF(K87="","",IFERROR(INDEX(Management!$A$3:$A$50,MATCH(K87,Management!$B$3:$B$50,0)),""))</f>
        <v/>
      </c>
      <c r="M87" s="42" t="str">
        <f>IF(I87="","",IF(K87="","Select Approval Name",IFERROR(IF(I87&lt;=IF(INDEX(Management!$C$3:$C$50,MATCH(K87,Management!$B$3:$B$50,0))="Unlimited",10^15,INDEX(Management!$C$3:$C$50,MATCH(K87,Management!$B$3:$B$50,0))),"Valid Approval","Limit Exceeded"),"Check Management Name")))</f>
        <v/>
      </c>
      <c r="N87" s="43"/>
      <c r="O87" s="43"/>
      <c r="P87" s="46"/>
      <c r="Q87" s="46"/>
    </row>
    <row r="88" spans="1:17" ht="15">
      <c r="A88" s="5" t="str">
        <f t="shared" si="1"/>
        <v/>
      </c>
      <c r="B88" s="43"/>
      <c r="C88" s="45"/>
      <c r="D88" s="45"/>
      <c r="E88" s="45"/>
      <c r="F88" s="43"/>
      <c r="G88" s="43"/>
      <c r="H88" s="43"/>
      <c r="I88" s="43"/>
      <c r="J88" s="43"/>
      <c r="K88" s="43"/>
      <c r="L88" s="44" t="str">
        <f>IF(K88="","",IFERROR(INDEX(Management!$A$3:$A$50,MATCH(K88,Management!$B$3:$B$50,0)),""))</f>
        <v/>
      </c>
      <c r="M88" s="42" t="str">
        <f>IF(I88="","",IF(K88="","Select Approval Name",IFERROR(IF(I88&lt;=IF(INDEX(Management!$C$3:$C$50,MATCH(K88,Management!$B$3:$B$50,0))="Unlimited",10^15,INDEX(Management!$C$3:$C$50,MATCH(K88,Management!$B$3:$B$50,0))),"Valid Approval","Limit Exceeded"),"Check Management Name")))</f>
        <v/>
      </c>
      <c r="N88" s="43"/>
      <c r="O88" s="43"/>
      <c r="P88" s="46"/>
      <c r="Q88" s="46"/>
    </row>
    <row r="89" spans="1:17" ht="15">
      <c r="A89" s="5" t="str">
        <f t="shared" si="1"/>
        <v/>
      </c>
      <c r="B89" s="43"/>
      <c r="C89" s="45"/>
      <c r="D89" s="45"/>
      <c r="E89" s="45"/>
      <c r="F89" s="43"/>
      <c r="G89" s="43"/>
      <c r="H89" s="43"/>
      <c r="I89" s="43"/>
      <c r="J89" s="43"/>
      <c r="K89" s="43"/>
      <c r="L89" s="44" t="str">
        <f>IF(K89="","",IFERROR(INDEX(Management!$A$3:$A$50,MATCH(K89,Management!$B$3:$B$50,0)),""))</f>
        <v/>
      </c>
      <c r="M89" s="42" t="str">
        <f>IF(I89="","",IF(K89="","Select Approval Name",IFERROR(IF(I89&lt;=IF(INDEX(Management!$C$3:$C$50,MATCH(K89,Management!$B$3:$B$50,0))="Unlimited",10^15,INDEX(Management!$C$3:$C$50,MATCH(K89,Management!$B$3:$B$50,0))),"Valid Approval","Limit Exceeded"),"Check Management Name")))</f>
        <v/>
      </c>
      <c r="N89" s="43"/>
      <c r="O89" s="43"/>
      <c r="P89" s="46"/>
      <c r="Q89" s="46"/>
    </row>
    <row r="90" spans="1:17" ht="15">
      <c r="A90" s="5" t="str">
        <f t="shared" si="1"/>
        <v/>
      </c>
      <c r="B90" s="43"/>
      <c r="C90" s="45"/>
      <c r="D90" s="45"/>
      <c r="E90" s="45"/>
      <c r="F90" s="43"/>
      <c r="G90" s="43"/>
      <c r="H90" s="43"/>
      <c r="I90" s="43"/>
      <c r="J90" s="43"/>
      <c r="K90" s="43"/>
      <c r="L90" s="44" t="str">
        <f>IF(K90="","",IFERROR(INDEX(Management!$A$3:$A$50,MATCH(K90,Management!$B$3:$B$50,0)),""))</f>
        <v/>
      </c>
      <c r="M90" s="42" t="str">
        <f>IF(I90="","",IF(K90="","Select Approval Name",IFERROR(IF(I90&lt;=IF(INDEX(Management!$C$3:$C$50,MATCH(K90,Management!$B$3:$B$50,0))="Unlimited",10^15,INDEX(Management!$C$3:$C$50,MATCH(K90,Management!$B$3:$B$50,0))),"Valid Approval","Limit Exceeded"),"Check Management Name")))</f>
        <v/>
      </c>
      <c r="N90" s="43"/>
      <c r="O90" s="43"/>
      <c r="P90" s="46"/>
      <c r="Q90" s="46"/>
    </row>
    <row r="91" spans="1:17" ht="15">
      <c r="A91" s="5" t="str">
        <f t="shared" si="1"/>
        <v/>
      </c>
      <c r="B91" s="43"/>
      <c r="C91" s="45"/>
      <c r="D91" s="45"/>
      <c r="E91" s="45"/>
      <c r="F91" s="43"/>
      <c r="G91" s="43"/>
      <c r="H91" s="43"/>
      <c r="I91" s="43"/>
      <c r="J91" s="43"/>
      <c r="K91" s="43"/>
      <c r="L91" s="44" t="str">
        <f>IF(K91="","",IFERROR(INDEX(Management!$A$3:$A$50,MATCH(K91,Management!$B$3:$B$50,0)),""))</f>
        <v/>
      </c>
      <c r="M91" s="42" t="str">
        <f>IF(I91="","",IF(K91="","Select Approval Name",IFERROR(IF(I91&lt;=IF(INDEX(Management!$C$3:$C$50,MATCH(K91,Management!$B$3:$B$50,0))="Unlimited",10^15,INDEX(Management!$C$3:$C$50,MATCH(K91,Management!$B$3:$B$50,0))),"Valid Approval","Limit Exceeded"),"Check Management Name")))</f>
        <v/>
      </c>
      <c r="N91" s="43"/>
      <c r="O91" s="43"/>
      <c r="P91" s="46"/>
      <c r="Q91" s="46"/>
    </row>
    <row r="92" spans="1:17" ht="15">
      <c r="A92" s="5" t="str">
        <f t="shared" si="1"/>
        <v/>
      </c>
      <c r="B92" s="43"/>
      <c r="C92" s="45"/>
      <c r="D92" s="45"/>
      <c r="E92" s="45"/>
      <c r="F92" s="43"/>
      <c r="G92" s="43"/>
      <c r="H92" s="43"/>
      <c r="I92" s="43"/>
      <c r="J92" s="43"/>
      <c r="K92" s="43"/>
      <c r="L92" s="44" t="str">
        <f>IF(K92="","",IFERROR(INDEX(Management!$A$3:$A$50,MATCH(K92,Management!$B$3:$B$50,0)),""))</f>
        <v/>
      </c>
      <c r="M92" s="42" t="str">
        <f>IF(I92="","",IF(K92="","Select Approval Name",IFERROR(IF(I92&lt;=IF(INDEX(Management!$C$3:$C$50,MATCH(K92,Management!$B$3:$B$50,0))="Unlimited",10^15,INDEX(Management!$C$3:$C$50,MATCH(K92,Management!$B$3:$B$50,0))),"Valid Approval","Limit Exceeded"),"Check Management Name")))</f>
        <v/>
      </c>
      <c r="N92" s="43"/>
      <c r="O92" s="43"/>
      <c r="P92" s="46"/>
      <c r="Q92" s="46"/>
    </row>
    <row r="93" spans="1:17" ht="15">
      <c r="A93" s="5" t="str">
        <f t="shared" si="1"/>
        <v/>
      </c>
      <c r="B93" s="43"/>
      <c r="C93" s="45"/>
      <c r="D93" s="45"/>
      <c r="E93" s="45"/>
      <c r="F93" s="43"/>
      <c r="G93" s="43"/>
      <c r="H93" s="43"/>
      <c r="I93" s="43"/>
      <c r="J93" s="43"/>
      <c r="K93" s="43"/>
      <c r="L93" s="44" t="str">
        <f>IF(K93="","",IFERROR(INDEX(Management!$A$3:$A$50,MATCH(K93,Management!$B$3:$B$50,0)),""))</f>
        <v/>
      </c>
      <c r="M93" s="42" t="str">
        <f>IF(I93="","",IF(K93="","Select Approval Name",IFERROR(IF(I93&lt;=IF(INDEX(Management!$C$3:$C$50,MATCH(K93,Management!$B$3:$B$50,0))="Unlimited",10^15,INDEX(Management!$C$3:$C$50,MATCH(K93,Management!$B$3:$B$50,0))),"Valid Approval","Limit Exceeded"),"Check Management Name")))</f>
        <v/>
      </c>
      <c r="N93" s="43"/>
      <c r="O93" s="43"/>
      <c r="P93" s="46"/>
      <c r="Q93" s="46"/>
    </row>
    <row r="94" spans="1:17" ht="15">
      <c r="A94" s="5" t="str">
        <f t="shared" si="1"/>
        <v/>
      </c>
      <c r="B94" s="43"/>
      <c r="C94" s="45"/>
      <c r="D94" s="45"/>
      <c r="E94" s="45"/>
      <c r="F94" s="43"/>
      <c r="G94" s="43"/>
      <c r="H94" s="43"/>
      <c r="I94" s="43"/>
      <c r="J94" s="43"/>
      <c r="K94" s="43"/>
      <c r="L94" s="44" t="str">
        <f>IF(K94="","",IFERROR(INDEX(Management!$A$3:$A$50,MATCH(K94,Management!$B$3:$B$50,0)),""))</f>
        <v/>
      </c>
      <c r="M94" s="42" t="str">
        <f>IF(I94="","",IF(K94="","Select Approval Name",IFERROR(IF(I94&lt;=IF(INDEX(Management!$C$3:$C$50,MATCH(K94,Management!$B$3:$B$50,0))="Unlimited",10^15,INDEX(Management!$C$3:$C$50,MATCH(K94,Management!$B$3:$B$50,0))),"Valid Approval","Limit Exceeded"),"Check Management Name")))</f>
        <v/>
      </c>
      <c r="N94" s="43"/>
      <c r="O94" s="43"/>
      <c r="P94" s="46"/>
      <c r="Q94" s="46"/>
    </row>
    <row r="95" spans="1:17" ht="15">
      <c r="A95" s="5" t="str">
        <f t="shared" si="1"/>
        <v/>
      </c>
      <c r="B95" s="43"/>
      <c r="C95" s="45"/>
      <c r="D95" s="45"/>
      <c r="E95" s="45"/>
      <c r="F95" s="43"/>
      <c r="G95" s="43"/>
      <c r="H95" s="43"/>
      <c r="I95" s="43"/>
      <c r="J95" s="43"/>
      <c r="K95" s="43"/>
      <c r="L95" s="44" t="str">
        <f>IF(K95="","",IFERROR(INDEX(Management!$A$3:$A$50,MATCH(K95,Management!$B$3:$B$50,0)),""))</f>
        <v/>
      </c>
      <c r="M95" s="42" t="str">
        <f>IF(I95="","",IF(K95="","Select Approval Name",IFERROR(IF(I95&lt;=IF(INDEX(Management!$C$3:$C$50,MATCH(K95,Management!$B$3:$B$50,0))="Unlimited",10^15,INDEX(Management!$C$3:$C$50,MATCH(K95,Management!$B$3:$B$50,0))),"Valid Approval","Limit Exceeded"),"Check Management Name")))</f>
        <v/>
      </c>
      <c r="N95" s="43"/>
      <c r="O95" s="43"/>
      <c r="P95" s="46"/>
      <c r="Q95" s="46"/>
    </row>
    <row r="96" spans="1:17" ht="15">
      <c r="A96" s="5" t="str">
        <f t="shared" si="1"/>
        <v/>
      </c>
      <c r="B96" s="43"/>
      <c r="C96" s="45"/>
      <c r="D96" s="45"/>
      <c r="E96" s="45"/>
      <c r="F96" s="43"/>
      <c r="G96" s="43"/>
      <c r="H96" s="43"/>
      <c r="I96" s="43"/>
      <c r="J96" s="43"/>
      <c r="K96" s="43"/>
      <c r="L96" s="44" t="str">
        <f>IF(K96="","",IFERROR(INDEX(Management!$A$3:$A$50,MATCH(K96,Management!$B$3:$B$50,0)),""))</f>
        <v/>
      </c>
      <c r="M96" s="42" t="str">
        <f>IF(I96="","",IF(K96="","Select Approval Name",IFERROR(IF(I96&lt;=IF(INDEX(Management!$C$3:$C$50,MATCH(K96,Management!$B$3:$B$50,0))="Unlimited",10^15,INDEX(Management!$C$3:$C$50,MATCH(K96,Management!$B$3:$B$50,0))),"Valid Approval","Limit Exceeded"),"Check Management Name")))</f>
        <v/>
      </c>
      <c r="N96" s="43"/>
      <c r="O96" s="43"/>
      <c r="P96" s="46"/>
      <c r="Q96" s="46"/>
    </row>
    <row r="97" spans="1:17" ht="15">
      <c r="A97" s="5" t="str">
        <f t="shared" si="1"/>
        <v/>
      </c>
      <c r="B97" s="43"/>
      <c r="C97" s="45"/>
      <c r="D97" s="45"/>
      <c r="E97" s="45"/>
      <c r="F97" s="43"/>
      <c r="G97" s="43"/>
      <c r="H97" s="43"/>
      <c r="I97" s="43"/>
      <c r="J97" s="43"/>
      <c r="K97" s="43"/>
      <c r="L97" s="44" t="str">
        <f>IF(K97="","",IFERROR(INDEX(Management!$A$3:$A$50,MATCH(K97,Management!$B$3:$B$50,0)),""))</f>
        <v/>
      </c>
      <c r="M97" s="42" t="str">
        <f>IF(I97="","",IF(K97="","Select Approval Name",IFERROR(IF(I97&lt;=IF(INDEX(Management!$C$3:$C$50,MATCH(K97,Management!$B$3:$B$50,0))="Unlimited",10^15,INDEX(Management!$C$3:$C$50,MATCH(K97,Management!$B$3:$B$50,0))),"Valid Approval","Limit Exceeded"),"Check Management Name")))</f>
        <v/>
      </c>
      <c r="N97" s="43"/>
      <c r="O97" s="43"/>
      <c r="P97" s="46"/>
      <c r="Q97" s="46"/>
    </row>
    <row r="98" spans="1:17" ht="15">
      <c r="A98" s="5" t="str">
        <f t="shared" si="1"/>
        <v/>
      </c>
      <c r="B98" s="43"/>
      <c r="C98" s="45"/>
      <c r="D98" s="45"/>
      <c r="E98" s="45"/>
      <c r="F98" s="43"/>
      <c r="G98" s="43"/>
      <c r="H98" s="43"/>
      <c r="I98" s="43"/>
      <c r="J98" s="43"/>
      <c r="K98" s="43"/>
      <c r="L98" s="44" t="str">
        <f>IF(K98="","",IFERROR(INDEX(Management!$A$3:$A$50,MATCH(K98,Management!$B$3:$B$50,0)),""))</f>
        <v/>
      </c>
      <c r="M98" s="42" t="str">
        <f>IF(I98="","",IF(K98="","Select Approval Name",IFERROR(IF(I98&lt;=IF(INDEX(Management!$C$3:$C$50,MATCH(K98,Management!$B$3:$B$50,0))="Unlimited",10^15,INDEX(Management!$C$3:$C$50,MATCH(K98,Management!$B$3:$B$50,0))),"Valid Approval","Limit Exceeded"),"Check Management Name")))</f>
        <v/>
      </c>
      <c r="N98" s="43"/>
      <c r="O98" s="43"/>
      <c r="P98" s="46"/>
      <c r="Q98" s="46"/>
    </row>
    <row r="99" spans="1:17" ht="15">
      <c r="A99" s="5" t="str">
        <f t="shared" si="1"/>
        <v/>
      </c>
      <c r="B99" s="43"/>
      <c r="C99" s="45"/>
      <c r="D99" s="45"/>
      <c r="E99" s="45"/>
      <c r="F99" s="43"/>
      <c r="G99" s="43"/>
      <c r="H99" s="43"/>
      <c r="I99" s="43"/>
      <c r="J99" s="43"/>
      <c r="K99" s="43"/>
      <c r="L99" s="44" t="str">
        <f>IF(K99="","",IFERROR(INDEX(Management!$A$3:$A$50,MATCH(K99,Management!$B$3:$B$50,0)),""))</f>
        <v/>
      </c>
      <c r="M99" s="42" t="str">
        <f>IF(I99="","",IF(K99="","Select Approval Name",IFERROR(IF(I99&lt;=IF(INDEX(Management!$C$3:$C$50,MATCH(K99,Management!$B$3:$B$50,0))="Unlimited",10^15,INDEX(Management!$C$3:$C$50,MATCH(K99,Management!$B$3:$B$50,0))),"Valid Approval","Limit Exceeded"),"Check Management Name")))</f>
        <v/>
      </c>
      <c r="N99" s="43"/>
      <c r="O99" s="43"/>
      <c r="P99" s="46"/>
      <c r="Q99" s="46"/>
    </row>
    <row r="100" spans="1:17" ht="15">
      <c r="A100" s="5" t="str">
        <f t="shared" si="1"/>
        <v/>
      </c>
      <c r="B100" s="43"/>
      <c r="C100" s="45"/>
      <c r="D100" s="45"/>
      <c r="E100" s="45"/>
      <c r="F100" s="43"/>
      <c r="G100" s="43"/>
      <c r="H100" s="43"/>
      <c r="I100" s="43"/>
      <c r="J100" s="43"/>
      <c r="K100" s="43"/>
      <c r="L100" s="44" t="str">
        <f>IF(K100="","",IFERROR(INDEX(Management!$A$3:$A$50,MATCH(K100,Management!$B$3:$B$50,0)),""))</f>
        <v/>
      </c>
      <c r="M100" s="42" t="str">
        <f>IF(I100="","",IF(K100="","Select Approval Name",IFERROR(IF(I100&lt;=IF(INDEX(Management!$C$3:$C$50,MATCH(K100,Management!$B$3:$B$50,0))="Unlimited",10^15,INDEX(Management!$C$3:$C$50,MATCH(K100,Management!$B$3:$B$50,0))),"Valid Approval","Limit Exceeded"),"Check Management Name")))</f>
        <v/>
      </c>
      <c r="N100" s="43"/>
      <c r="O100" s="43"/>
      <c r="P100" s="46"/>
      <c r="Q100" s="46"/>
    </row>
    <row r="101" spans="1:17" ht="15">
      <c r="A101" s="5" t="str">
        <f t="shared" si="1"/>
        <v/>
      </c>
      <c r="B101" s="43"/>
      <c r="C101" s="45"/>
      <c r="D101" s="45"/>
      <c r="E101" s="45"/>
      <c r="F101" s="43"/>
      <c r="G101" s="43"/>
      <c r="H101" s="43"/>
      <c r="I101" s="43"/>
      <c r="J101" s="43"/>
      <c r="K101" s="43"/>
      <c r="L101" s="44" t="str">
        <f>IF(K101="","",IFERROR(INDEX(Management!$A$3:$A$50,MATCH(K101,Management!$B$3:$B$50,0)),""))</f>
        <v/>
      </c>
      <c r="M101" s="42" t="str">
        <f>IF(I101="","",IF(K101="","Select Approval Name",IFERROR(IF(I101&lt;=IF(INDEX(Management!$C$3:$C$50,MATCH(K101,Management!$B$3:$B$50,0))="Unlimited",10^15,INDEX(Management!$C$3:$C$50,MATCH(K101,Management!$B$3:$B$50,0))),"Valid Approval","Limit Exceeded"),"Check Management Name")))</f>
        <v/>
      </c>
      <c r="N101" s="43"/>
      <c r="O101" s="43"/>
      <c r="P101" s="46"/>
      <c r="Q101" s="46"/>
    </row>
    <row r="102" spans="1:17" ht="15">
      <c r="A102" s="5" t="str">
        <f t="shared" si="1"/>
        <v/>
      </c>
      <c r="B102" s="43"/>
      <c r="C102" s="45"/>
      <c r="D102" s="45"/>
      <c r="E102" s="45"/>
      <c r="F102" s="43"/>
      <c r="G102" s="43"/>
      <c r="H102" s="43"/>
      <c r="I102" s="43"/>
      <c r="J102" s="43"/>
      <c r="K102" s="43"/>
      <c r="L102" s="44" t="str">
        <f>IF(K102="","",IFERROR(INDEX(Management!$A$3:$A$50,MATCH(K102,Management!$B$3:$B$50,0)),""))</f>
        <v/>
      </c>
      <c r="M102" s="42" t="str">
        <f>IF(I102="","",IF(K102="","Select Approval Name",IFERROR(IF(I102&lt;=IF(INDEX(Management!$C$3:$C$50,MATCH(K102,Management!$B$3:$B$50,0))="Unlimited",10^15,INDEX(Management!$C$3:$C$50,MATCH(K102,Management!$B$3:$B$50,0))),"Valid Approval","Limit Exceeded"),"Check Management Name")))</f>
        <v/>
      </c>
      <c r="N102" s="43"/>
      <c r="O102" s="43"/>
      <c r="P102" s="46"/>
      <c r="Q102" s="46"/>
    </row>
    <row r="103" spans="1:17" ht="15">
      <c r="A103" s="5" t="str">
        <f t="shared" si="1"/>
        <v/>
      </c>
      <c r="B103" s="43"/>
      <c r="C103" s="45"/>
      <c r="D103" s="45"/>
      <c r="E103" s="45"/>
      <c r="F103" s="43"/>
      <c r="G103" s="43"/>
      <c r="H103" s="43"/>
      <c r="I103" s="43"/>
      <c r="J103" s="43"/>
      <c r="K103" s="43"/>
      <c r="L103" s="44" t="str">
        <f>IF(K103="","",IFERROR(INDEX(Management!$A$3:$A$50,MATCH(K103,Management!$B$3:$B$50,0)),""))</f>
        <v/>
      </c>
      <c r="M103" s="42" t="str">
        <f>IF(I103="","",IF(K103="","Select Approval Name",IFERROR(IF(I103&lt;=IF(INDEX(Management!$C$3:$C$50,MATCH(K103,Management!$B$3:$B$50,0))="Unlimited",10^15,INDEX(Management!$C$3:$C$50,MATCH(K103,Management!$B$3:$B$50,0))),"Valid Approval","Limit Exceeded"),"Check Management Name")))</f>
        <v/>
      </c>
      <c r="N103" s="43"/>
      <c r="O103" s="43"/>
      <c r="P103" s="46"/>
      <c r="Q103" s="46"/>
    </row>
    <row r="104" spans="1:17" ht="15">
      <c r="A104" s="5" t="str">
        <f t="shared" si="1"/>
        <v/>
      </c>
      <c r="B104" s="43"/>
      <c r="C104" s="45"/>
      <c r="D104" s="45"/>
      <c r="E104" s="45"/>
      <c r="F104" s="43"/>
      <c r="G104" s="43"/>
      <c r="H104" s="43"/>
      <c r="I104" s="43"/>
      <c r="J104" s="43"/>
      <c r="K104" s="43"/>
      <c r="L104" s="44" t="str">
        <f>IF(K104="","",IFERROR(INDEX(Management!$A$3:$A$50,MATCH(K104,Management!$B$3:$B$50,0)),""))</f>
        <v/>
      </c>
      <c r="M104" s="42" t="str">
        <f>IF(I104="","",IF(K104="","Select Approval Name",IFERROR(IF(I104&lt;=IF(INDEX(Management!$C$3:$C$50,MATCH(K104,Management!$B$3:$B$50,0))="Unlimited",10^15,INDEX(Management!$C$3:$C$50,MATCH(K104,Management!$B$3:$B$50,0))),"Valid Approval","Limit Exceeded"),"Check Management Name")))</f>
        <v/>
      </c>
      <c r="N104" s="43"/>
      <c r="O104" s="43"/>
      <c r="P104" s="46"/>
      <c r="Q104" s="46"/>
    </row>
    <row r="105" spans="1:17" ht="15">
      <c r="A105" s="5" t="str">
        <f t="shared" si="1"/>
        <v/>
      </c>
      <c r="B105" s="43"/>
      <c r="C105" s="45"/>
      <c r="D105" s="45"/>
      <c r="E105" s="45"/>
      <c r="F105" s="43"/>
      <c r="G105" s="43"/>
      <c r="H105" s="43"/>
      <c r="I105" s="43"/>
      <c r="J105" s="43"/>
      <c r="K105" s="43"/>
      <c r="L105" s="44" t="str">
        <f>IF(K105="","",IFERROR(INDEX(Management!$A$3:$A$50,MATCH(K105,Management!$B$3:$B$50,0)),""))</f>
        <v/>
      </c>
      <c r="M105" s="42" t="str">
        <f>IF(I105="","",IF(K105="","Select Approval Name",IFERROR(IF(I105&lt;=IF(INDEX(Management!$C$3:$C$50,MATCH(K105,Management!$B$3:$B$50,0))="Unlimited",10^15,INDEX(Management!$C$3:$C$50,MATCH(K105,Management!$B$3:$B$50,0))),"Valid Approval","Limit Exceeded"),"Check Management Name")))</f>
        <v/>
      </c>
      <c r="N105" s="43"/>
      <c r="O105" s="43"/>
      <c r="P105" s="46"/>
      <c r="Q105" s="46"/>
    </row>
    <row r="106" spans="1:17" ht="15">
      <c r="A106" s="5" t="str">
        <f t="shared" si="1"/>
        <v/>
      </c>
      <c r="B106" s="43"/>
      <c r="C106" s="45"/>
      <c r="D106" s="45"/>
      <c r="E106" s="45"/>
      <c r="F106" s="43"/>
      <c r="G106" s="43"/>
      <c r="H106" s="43"/>
      <c r="I106" s="43"/>
      <c r="J106" s="43"/>
      <c r="K106" s="43"/>
      <c r="L106" s="44" t="str">
        <f>IF(K106="","",IFERROR(INDEX(Management!$A$3:$A$50,MATCH(K106,Management!$B$3:$B$50,0)),""))</f>
        <v/>
      </c>
      <c r="M106" s="42" t="str">
        <f>IF(I106="","",IF(K106="","Select Approval Name",IFERROR(IF(I106&lt;=IF(INDEX(Management!$C$3:$C$50,MATCH(K106,Management!$B$3:$B$50,0))="Unlimited",10^15,INDEX(Management!$C$3:$C$50,MATCH(K106,Management!$B$3:$B$50,0))),"Valid Approval","Limit Exceeded"),"Check Management Name")))</f>
        <v/>
      </c>
      <c r="N106" s="43"/>
      <c r="O106" s="43"/>
      <c r="P106" s="46"/>
      <c r="Q106" s="46"/>
    </row>
    <row r="107" spans="1:17" ht="15">
      <c r="A107" s="5" t="str">
        <f t="shared" si="1"/>
        <v/>
      </c>
      <c r="B107" s="43"/>
      <c r="C107" s="45"/>
      <c r="D107" s="45"/>
      <c r="E107" s="45"/>
      <c r="F107" s="43"/>
      <c r="G107" s="43"/>
      <c r="H107" s="43"/>
      <c r="I107" s="43"/>
      <c r="J107" s="43"/>
      <c r="K107" s="43"/>
      <c r="L107" s="44" t="str">
        <f>IF(K107="","",IFERROR(INDEX(Management!$A$3:$A$50,MATCH(K107,Management!$B$3:$B$50,0)),""))</f>
        <v/>
      </c>
      <c r="M107" s="42" t="str">
        <f>IF(I107="","",IF(K107="","Select Approval Name",IFERROR(IF(I107&lt;=IF(INDEX(Management!$C$3:$C$50,MATCH(K107,Management!$B$3:$B$50,0))="Unlimited",10^15,INDEX(Management!$C$3:$C$50,MATCH(K107,Management!$B$3:$B$50,0))),"Valid Approval","Limit Exceeded"),"Check Management Name")))</f>
        <v/>
      </c>
      <c r="N107" s="43"/>
      <c r="O107" s="43"/>
      <c r="P107" s="46"/>
      <c r="Q107" s="46"/>
    </row>
    <row r="108" spans="1:17" ht="15">
      <c r="A108" s="5" t="str">
        <f t="shared" si="1"/>
        <v/>
      </c>
      <c r="B108" s="43"/>
      <c r="C108" s="45"/>
      <c r="D108" s="45"/>
      <c r="E108" s="45"/>
      <c r="F108" s="43"/>
      <c r="G108" s="43"/>
      <c r="H108" s="43"/>
      <c r="I108" s="43"/>
      <c r="J108" s="43"/>
      <c r="K108" s="43"/>
      <c r="L108" s="44" t="str">
        <f>IF(K108="","",IFERROR(INDEX(Management!$A$3:$A$50,MATCH(K108,Management!$B$3:$B$50,0)),""))</f>
        <v/>
      </c>
      <c r="M108" s="42" t="str">
        <f>IF(I108="","",IF(K108="","Select Approval Name",IFERROR(IF(I108&lt;=IF(INDEX(Management!$C$3:$C$50,MATCH(K108,Management!$B$3:$B$50,0))="Unlimited",10^15,INDEX(Management!$C$3:$C$50,MATCH(K108,Management!$B$3:$B$50,0))),"Valid Approval","Limit Exceeded"),"Check Management Name")))</f>
        <v/>
      </c>
      <c r="N108" s="43"/>
      <c r="O108" s="43"/>
      <c r="P108" s="46"/>
      <c r="Q108" s="46"/>
    </row>
    <row r="109" spans="1:17" ht="15">
      <c r="A109" s="5" t="str">
        <f t="shared" si="1"/>
        <v/>
      </c>
      <c r="B109" s="43"/>
      <c r="C109" s="45"/>
      <c r="D109" s="45"/>
      <c r="E109" s="45"/>
      <c r="F109" s="43"/>
      <c r="G109" s="43"/>
      <c r="H109" s="43"/>
      <c r="I109" s="43"/>
      <c r="J109" s="43"/>
      <c r="K109" s="43"/>
      <c r="L109" s="44" t="str">
        <f>IF(K109="","",IFERROR(INDEX(Management!$A$3:$A$50,MATCH(K109,Management!$B$3:$B$50,0)),""))</f>
        <v/>
      </c>
      <c r="M109" s="42" t="str">
        <f>IF(I109="","",IF(K109="","Select Approval Name",IFERROR(IF(I109&lt;=IF(INDEX(Management!$C$3:$C$50,MATCH(K109,Management!$B$3:$B$50,0))="Unlimited",10^15,INDEX(Management!$C$3:$C$50,MATCH(K109,Management!$B$3:$B$50,0))),"Valid Approval","Limit Exceeded"),"Check Management Name")))</f>
        <v/>
      </c>
      <c r="N109" s="43"/>
      <c r="O109" s="43"/>
      <c r="P109" s="46"/>
      <c r="Q109" s="46"/>
    </row>
    <row r="110" spans="1:17" ht="15">
      <c r="A110" s="5" t="str">
        <f t="shared" si="1"/>
        <v/>
      </c>
      <c r="B110" s="43"/>
      <c r="C110" s="45"/>
      <c r="D110" s="45"/>
      <c r="E110" s="45"/>
      <c r="F110" s="43"/>
      <c r="G110" s="43"/>
      <c r="H110" s="43"/>
      <c r="I110" s="43"/>
      <c r="J110" s="43"/>
      <c r="K110" s="43"/>
      <c r="L110" s="44" t="str">
        <f>IF(K110="","",IFERROR(INDEX(Management!$A$3:$A$50,MATCH(K110,Management!$B$3:$B$50,0)),""))</f>
        <v/>
      </c>
      <c r="M110" s="42" t="str">
        <f>IF(I110="","",IF(K110="","Select Approval Name",IFERROR(IF(I110&lt;=IF(INDEX(Management!$C$3:$C$50,MATCH(K110,Management!$B$3:$B$50,0))="Unlimited",10^15,INDEX(Management!$C$3:$C$50,MATCH(K110,Management!$B$3:$B$50,0))),"Valid Approval","Limit Exceeded"),"Check Management Name")))</f>
        <v/>
      </c>
      <c r="N110" s="43"/>
      <c r="O110" s="43"/>
      <c r="P110" s="46"/>
      <c r="Q110" s="46"/>
    </row>
    <row r="111" spans="1:17" ht="15">
      <c r="A111" s="5" t="str">
        <f t="shared" si="1"/>
        <v/>
      </c>
      <c r="B111" s="43"/>
      <c r="C111" s="45"/>
      <c r="D111" s="45"/>
      <c r="E111" s="45"/>
      <c r="F111" s="43"/>
      <c r="G111" s="43"/>
      <c r="H111" s="43"/>
      <c r="I111" s="43"/>
      <c r="J111" s="43"/>
      <c r="K111" s="43"/>
      <c r="L111" s="44" t="str">
        <f>IF(K111="","",IFERROR(INDEX(Management!$A$3:$A$50,MATCH(K111,Management!$B$3:$B$50,0)),""))</f>
        <v/>
      </c>
      <c r="M111" s="42" t="str">
        <f>IF(I111="","",IF(K111="","Select Approval Name",IFERROR(IF(I111&lt;=IF(INDEX(Management!$C$3:$C$50,MATCH(K111,Management!$B$3:$B$50,0))="Unlimited",10^15,INDEX(Management!$C$3:$C$50,MATCH(K111,Management!$B$3:$B$50,0))),"Valid Approval","Limit Exceeded"),"Check Management Name")))</f>
        <v/>
      </c>
      <c r="N111" s="43"/>
      <c r="O111" s="43"/>
      <c r="P111" s="46"/>
      <c r="Q111" s="46"/>
    </row>
    <row r="112" spans="1:17" ht="15">
      <c r="A112" s="5" t="str">
        <f t="shared" si="1"/>
        <v/>
      </c>
      <c r="B112" s="43"/>
      <c r="C112" s="45"/>
      <c r="D112" s="45"/>
      <c r="E112" s="45"/>
      <c r="F112" s="43"/>
      <c r="G112" s="43"/>
      <c r="H112" s="43"/>
      <c r="I112" s="43"/>
      <c r="J112" s="43"/>
      <c r="K112" s="43"/>
      <c r="L112" s="44" t="str">
        <f>IF(K112="","",IFERROR(INDEX(Management!$A$3:$A$50,MATCH(K112,Management!$B$3:$B$50,0)),""))</f>
        <v/>
      </c>
      <c r="M112" s="42" t="str">
        <f>IF(I112="","",IF(K112="","Select Approval Name",IFERROR(IF(I112&lt;=IF(INDEX(Management!$C$3:$C$50,MATCH(K112,Management!$B$3:$B$50,0))="Unlimited",10^15,INDEX(Management!$C$3:$C$50,MATCH(K112,Management!$B$3:$B$50,0))),"Valid Approval","Limit Exceeded"),"Check Management Name")))</f>
        <v/>
      </c>
      <c r="N112" s="43"/>
      <c r="O112" s="43"/>
      <c r="P112" s="46"/>
      <c r="Q112" s="46"/>
    </row>
    <row r="113" spans="1:17" ht="15">
      <c r="A113" s="5" t="str">
        <f t="shared" si="1"/>
        <v/>
      </c>
      <c r="B113" s="43"/>
      <c r="C113" s="45"/>
      <c r="D113" s="45"/>
      <c r="E113" s="45"/>
      <c r="F113" s="43"/>
      <c r="G113" s="43"/>
      <c r="H113" s="43"/>
      <c r="I113" s="43"/>
      <c r="J113" s="43"/>
      <c r="K113" s="43"/>
      <c r="L113" s="44" t="str">
        <f>IF(K113="","",IFERROR(INDEX(Management!$A$3:$A$50,MATCH(K113,Management!$B$3:$B$50,0)),""))</f>
        <v/>
      </c>
      <c r="M113" s="42" t="str">
        <f>IF(I113="","",IF(K113="","Select Approval Name",IFERROR(IF(I113&lt;=IF(INDEX(Management!$C$3:$C$50,MATCH(K113,Management!$B$3:$B$50,0))="Unlimited",10^15,INDEX(Management!$C$3:$C$50,MATCH(K113,Management!$B$3:$B$50,0))),"Valid Approval","Limit Exceeded"),"Check Management Name")))</f>
        <v/>
      </c>
      <c r="N113" s="43"/>
      <c r="O113" s="43"/>
      <c r="P113" s="46"/>
      <c r="Q113" s="46"/>
    </row>
    <row r="114" spans="1:17" ht="15">
      <c r="A114" s="5" t="str">
        <f t="shared" si="1"/>
        <v/>
      </c>
      <c r="B114" s="43"/>
      <c r="C114" s="45"/>
      <c r="D114" s="45"/>
      <c r="E114" s="45"/>
      <c r="F114" s="43"/>
      <c r="G114" s="43"/>
      <c r="H114" s="43"/>
      <c r="I114" s="43"/>
      <c r="J114" s="43"/>
      <c r="K114" s="43"/>
      <c r="L114" s="44" t="str">
        <f>IF(K114="","",IFERROR(INDEX(Management!$A$3:$A$50,MATCH(K114,Management!$B$3:$B$50,0)),""))</f>
        <v/>
      </c>
      <c r="M114" s="42" t="str">
        <f>IF(I114="","",IF(K114="","Select Approval Name",IFERROR(IF(I114&lt;=IF(INDEX(Management!$C$3:$C$50,MATCH(K114,Management!$B$3:$B$50,0))="Unlimited",10^15,INDEX(Management!$C$3:$C$50,MATCH(K114,Management!$B$3:$B$50,0))),"Valid Approval","Limit Exceeded"),"Check Management Name")))</f>
        <v/>
      </c>
      <c r="N114" s="43"/>
      <c r="O114" s="43"/>
      <c r="P114" s="46"/>
      <c r="Q114" s="46"/>
    </row>
    <row r="115" spans="1:17" ht="15">
      <c r="A115" s="5" t="str">
        <f t="shared" si="1"/>
        <v/>
      </c>
      <c r="B115" s="43"/>
      <c r="C115" s="45"/>
      <c r="D115" s="45"/>
      <c r="E115" s="45"/>
      <c r="F115" s="43"/>
      <c r="G115" s="43"/>
      <c r="H115" s="43"/>
      <c r="I115" s="43"/>
      <c r="J115" s="43"/>
      <c r="K115" s="43"/>
      <c r="L115" s="44" t="str">
        <f>IF(K115="","",IFERROR(INDEX(Management!$A$3:$A$50,MATCH(K115,Management!$B$3:$B$50,0)),""))</f>
        <v/>
      </c>
      <c r="M115" s="42" t="str">
        <f>IF(I115="","",IF(K115="","Select Approval Name",IFERROR(IF(I115&lt;=IF(INDEX(Management!$C$3:$C$50,MATCH(K115,Management!$B$3:$B$50,0))="Unlimited",10^15,INDEX(Management!$C$3:$C$50,MATCH(K115,Management!$B$3:$B$50,0))),"Valid Approval","Limit Exceeded"),"Check Management Name")))</f>
        <v/>
      </c>
      <c r="N115" s="43"/>
      <c r="O115" s="43"/>
      <c r="P115" s="46"/>
      <c r="Q115" s="46"/>
    </row>
    <row r="116" spans="1:17" ht="15">
      <c r="A116" s="5" t="str">
        <f t="shared" si="1"/>
        <v/>
      </c>
      <c r="B116" s="43"/>
      <c r="C116" s="45"/>
      <c r="D116" s="45"/>
      <c r="E116" s="45"/>
      <c r="F116" s="43"/>
      <c r="G116" s="43"/>
      <c r="H116" s="43"/>
      <c r="I116" s="43"/>
      <c r="J116" s="43"/>
      <c r="K116" s="43"/>
      <c r="L116" s="44" t="str">
        <f>IF(K116="","",IFERROR(INDEX(Management!$A$3:$A$50,MATCH(K116,Management!$B$3:$B$50,0)),""))</f>
        <v/>
      </c>
      <c r="M116" s="42" t="str">
        <f>IF(I116="","",IF(K116="","Select Approval Name",IFERROR(IF(I116&lt;=IF(INDEX(Management!$C$3:$C$50,MATCH(K116,Management!$B$3:$B$50,0))="Unlimited",10^15,INDEX(Management!$C$3:$C$50,MATCH(K116,Management!$B$3:$B$50,0))),"Valid Approval","Limit Exceeded"),"Check Management Name")))</f>
        <v/>
      </c>
      <c r="N116" s="43"/>
      <c r="O116" s="43"/>
      <c r="P116" s="46"/>
      <c r="Q116" s="46"/>
    </row>
    <row r="117" spans="1:17" ht="15">
      <c r="A117" s="5" t="str">
        <f t="shared" si="1"/>
        <v/>
      </c>
      <c r="B117" s="43"/>
      <c r="C117" s="45"/>
      <c r="D117" s="45"/>
      <c r="E117" s="45"/>
      <c r="F117" s="43"/>
      <c r="G117" s="43"/>
      <c r="H117" s="43"/>
      <c r="I117" s="43"/>
      <c r="J117" s="43"/>
      <c r="K117" s="43"/>
      <c r="L117" s="44" t="str">
        <f>IF(K117="","",IFERROR(INDEX(Management!$A$3:$A$50,MATCH(K117,Management!$B$3:$B$50,0)),""))</f>
        <v/>
      </c>
      <c r="M117" s="42" t="str">
        <f>IF(I117="","",IF(K117="","Select Approval Name",IFERROR(IF(I117&lt;=IF(INDEX(Management!$C$3:$C$50,MATCH(K117,Management!$B$3:$B$50,0))="Unlimited",10^15,INDEX(Management!$C$3:$C$50,MATCH(K117,Management!$B$3:$B$50,0))),"Valid Approval","Limit Exceeded"),"Check Management Name")))</f>
        <v/>
      </c>
      <c r="N117" s="43"/>
      <c r="O117" s="43"/>
      <c r="P117" s="46"/>
      <c r="Q117" s="46"/>
    </row>
    <row r="118" spans="1:17" ht="15">
      <c r="A118" s="5" t="str">
        <f t="shared" si="1"/>
        <v/>
      </c>
      <c r="B118" s="43"/>
      <c r="C118" s="45"/>
      <c r="D118" s="45"/>
      <c r="E118" s="45"/>
      <c r="F118" s="43"/>
      <c r="G118" s="43"/>
      <c r="H118" s="43"/>
      <c r="I118" s="43"/>
      <c r="J118" s="43"/>
      <c r="K118" s="43"/>
      <c r="L118" s="44" t="str">
        <f>IF(K118="","",IFERROR(INDEX(Management!$A$3:$A$50,MATCH(K118,Management!$B$3:$B$50,0)),""))</f>
        <v/>
      </c>
      <c r="M118" s="42" t="str">
        <f>IF(I118="","",IF(K118="","Select Approval Name",IFERROR(IF(I118&lt;=IF(INDEX(Management!$C$3:$C$50,MATCH(K118,Management!$B$3:$B$50,0))="Unlimited",10^15,INDEX(Management!$C$3:$C$50,MATCH(K118,Management!$B$3:$B$50,0))),"Valid Approval","Limit Exceeded"),"Check Management Name")))</f>
        <v/>
      </c>
      <c r="N118" s="43"/>
      <c r="O118" s="43"/>
      <c r="P118" s="46"/>
      <c r="Q118" s="46"/>
    </row>
    <row r="119" spans="1:17" ht="15">
      <c r="A119" s="5" t="str">
        <f t="shared" si="1"/>
        <v/>
      </c>
      <c r="B119" s="43"/>
      <c r="C119" s="45"/>
      <c r="D119" s="45"/>
      <c r="E119" s="45"/>
      <c r="F119" s="43"/>
      <c r="G119" s="43"/>
      <c r="H119" s="43"/>
      <c r="I119" s="43"/>
      <c r="J119" s="43"/>
      <c r="K119" s="43"/>
      <c r="L119" s="44" t="str">
        <f>IF(K119="","",IFERROR(INDEX(Management!$A$3:$A$50,MATCH(K119,Management!$B$3:$B$50,0)),""))</f>
        <v/>
      </c>
      <c r="M119" s="42" t="str">
        <f>IF(I119="","",IF(K119="","Select Approval Name",IFERROR(IF(I119&lt;=IF(INDEX(Management!$C$3:$C$50,MATCH(K119,Management!$B$3:$B$50,0))="Unlimited",10^15,INDEX(Management!$C$3:$C$50,MATCH(K119,Management!$B$3:$B$50,0))),"Valid Approval","Limit Exceeded"),"Check Management Name")))</f>
        <v/>
      </c>
      <c r="N119" s="43"/>
      <c r="O119" s="43"/>
      <c r="P119" s="46"/>
      <c r="Q119" s="46"/>
    </row>
    <row r="120" spans="1:17" ht="15">
      <c r="A120" s="5" t="str">
        <f t="shared" si="1"/>
        <v/>
      </c>
      <c r="B120" s="43"/>
      <c r="C120" s="45"/>
      <c r="D120" s="45"/>
      <c r="E120" s="45"/>
      <c r="F120" s="43"/>
      <c r="G120" s="43"/>
      <c r="H120" s="43"/>
      <c r="I120" s="43"/>
      <c r="J120" s="43"/>
      <c r="K120" s="43"/>
      <c r="L120" s="44" t="str">
        <f>IF(K120="","",IFERROR(INDEX(Management!$A$3:$A$50,MATCH(K120,Management!$B$3:$B$50,0)),""))</f>
        <v/>
      </c>
      <c r="M120" s="42" t="str">
        <f>IF(I120="","",IF(K120="","Select Approval Name",IFERROR(IF(I120&lt;=IF(INDEX(Management!$C$3:$C$50,MATCH(K120,Management!$B$3:$B$50,0))="Unlimited",10^15,INDEX(Management!$C$3:$C$50,MATCH(K120,Management!$B$3:$B$50,0))),"Valid Approval","Limit Exceeded"),"Check Management Name")))</f>
        <v/>
      </c>
      <c r="N120" s="43"/>
      <c r="O120" s="43"/>
      <c r="P120" s="46"/>
      <c r="Q120" s="46"/>
    </row>
    <row r="121" spans="1:17" ht="15">
      <c r="A121" s="5" t="str">
        <f t="shared" si="1"/>
        <v/>
      </c>
      <c r="B121" s="43"/>
      <c r="C121" s="45"/>
      <c r="D121" s="45"/>
      <c r="E121" s="45"/>
      <c r="F121" s="43"/>
      <c r="G121" s="43"/>
      <c r="H121" s="43"/>
      <c r="I121" s="43"/>
      <c r="J121" s="43"/>
      <c r="K121" s="43"/>
      <c r="L121" s="44" t="str">
        <f>IF(K121="","",IFERROR(INDEX(Management!$A$3:$A$50,MATCH(K121,Management!$B$3:$B$50,0)),""))</f>
        <v/>
      </c>
      <c r="M121" s="42" t="str">
        <f>IF(I121="","",IF(K121="","Select Approval Name",IFERROR(IF(I121&lt;=IF(INDEX(Management!$C$3:$C$50,MATCH(K121,Management!$B$3:$B$50,0))="Unlimited",10^15,INDEX(Management!$C$3:$C$50,MATCH(K121,Management!$B$3:$B$50,0))),"Valid Approval","Limit Exceeded"),"Check Management Name")))</f>
        <v/>
      </c>
      <c r="N121" s="43"/>
      <c r="O121" s="43"/>
      <c r="P121" s="46"/>
      <c r="Q121" s="46"/>
    </row>
    <row r="122" spans="1:17" ht="15">
      <c r="A122" s="5" t="str">
        <f t="shared" si="1"/>
        <v/>
      </c>
      <c r="B122" s="43"/>
      <c r="C122" s="45"/>
      <c r="D122" s="45"/>
      <c r="E122" s="45"/>
      <c r="F122" s="43"/>
      <c r="G122" s="43"/>
      <c r="H122" s="43"/>
      <c r="I122" s="43"/>
      <c r="J122" s="43"/>
      <c r="K122" s="43"/>
      <c r="L122" s="44" t="str">
        <f>IF(K122="","",IFERROR(INDEX(Management!$A$3:$A$50,MATCH(K122,Management!$B$3:$B$50,0)),""))</f>
        <v/>
      </c>
      <c r="M122" s="42" t="str">
        <f>IF(I122="","",IF(K122="","Select Approval Name",IFERROR(IF(I122&lt;=IF(INDEX(Management!$C$3:$C$50,MATCH(K122,Management!$B$3:$B$50,0))="Unlimited",10^15,INDEX(Management!$C$3:$C$50,MATCH(K122,Management!$B$3:$B$50,0))),"Valid Approval","Limit Exceeded"),"Check Management Name")))</f>
        <v/>
      </c>
      <c r="N122" s="43"/>
      <c r="O122" s="43"/>
      <c r="P122" s="46"/>
      <c r="Q122" s="46"/>
    </row>
    <row r="123" spans="1:17" ht="15">
      <c r="A123" s="5" t="str">
        <f t="shared" si="1"/>
        <v/>
      </c>
      <c r="B123" s="43"/>
      <c r="C123" s="45"/>
      <c r="D123" s="45"/>
      <c r="E123" s="45"/>
      <c r="F123" s="43"/>
      <c r="G123" s="43"/>
      <c r="H123" s="43"/>
      <c r="I123" s="43"/>
      <c r="J123" s="43"/>
      <c r="K123" s="43"/>
      <c r="L123" s="44" t="str">
        <f>IF(K123="","",IFERROR(INDEX(Management!$A$3:$A$50,MATCH(K123,Management!$B$3:$B$50,0)),""))</f>
        <v/>
      </c>
      <c r="M123" s="42" t="str">
        <f>IF(I123="","",IF(K123="","Select Approval Name",IFERROR(IF(I123&lt;=IF(INDEX(Management!$C$3:$C$50,MATCH(K123,Management!$B$3:$B$50,0))="Unlimited",10^15,INDEX(Management!$C$3:$C$50,MATCH(K123,Management!$B$3:$B$50,0))),"Valid Approval","Limit Exceeded"),"Check Management Name")))</f>
        <v/>
      </c>
      <c r="N123" s="43"/>
      <c r="O123" s="43"/>
      <c r="P123" s="46"/>
      <c r="Q123" s="46"/>
    </row>
    <row r="124" spans="1:17" ht="15">
      <c r="A124" s="5" t="str">
        <f t="shared" si="1"/>
        <v/>
      </c>
      <c r="B124" s="43"/>
      <c r="C124" s="45"/>
      <c r="D124" s="45"/>
      <c r="E124" s="45"/>
      <c r="F124" s="43"/>
      <c r="G124" s="43"/>
      <c r="H124" s="43"/>
      <c r="I124" s="43"/>
      <c r="J124" s="43"/>
      <c r="K124" s="43"/>
      <c r="L124" s="44" t="str">
        <f>IF(K124="","",IFERROR(INDEX(Management!$A$3:$A$50,MATCH(K124,Management!$B$3:$B$50,0)),""))</f>
        <v/>
      </c>
      <c r="M124" s="42" t="str">
        <f>IF(I124="","",IF(K124="","Select Approval Name",IFERROR(IF(I124&lt;=IF(INDEX(Management!$C$3:$C$50,MATCH(K124,Management!$B$3:$B$50,0))="Unlimited",10^15,INDEX(Management!$C$3:$C$50,MATCH(K124,Management!$B$3:$B$50,0))),"Valid Approval","Limit Exceeded"),"Check Management Name")))</f>
        <v/>
      </c>
      <c r="N124" s="43"/>
      <c r="O124" s="43"/>
      <c r="P124" s="46"/>
      <c r="Q124" s="46"/>
    </row>
    <row r="125" spans="1:17" ht="15">
      <c r="A125" s="5" t="str">
        <f t="shared" si="1"/>
        <v/>
      </c>
      <c r="B125" s="43"/>
      <c r="C125" s="45"/>
      <c r="D125" s="45"/>
      <c r="E125" s="45"/>
      <c r="F125" s="43"/>
      <c r="G125" s="43"/>
      <c r="H125" s="43"/>
      <c r="I125" s="43"/>
      <c r="J125" s="43"/>
      <c r="K125" s="43"/>
      <c r="L125" s="44" t="str">
        <f>IF(K125="","",IFERROR(INDEX(Management!$A$3:$A$50,MATCH(K125,Management!$B$3:$B$50,0)),""))</f>
        <v/>
      </c>
      <c r="M125" s="42" t="str">
        <f>IF(I125="","",IF(K125="","Select Approval Name",IFERROR(IF(I125&lt;=IF(INDEX(Management!$C$3:$C$50,MATCH(K125,Management!$B$3:$B$50,0))="Unlimited",10^15,INDEX(Management!$C$3:$C$50,MATCH(K125,Management!$B$3:$B$50,0))),"Valid Approval","Limit Exceeded"),"Check Management Name")))</f>
        <v/>
      </c>
      <c r="N125" s="43"/>
      <c r="O125" s="43"/>
      <c r="P125" s="46"/>
      <c r="Q125" s="46"/>
    </row>
    <row r="126" spans="1:17" ht="15">
      <c r="A126" s="5" t="str">
        <f t="shared" si="1"/>
        <v/>
      </c>
      <c r="B126" s="43"/>
      <c r="C126" s="45"/>
      <c r="D126" s="45"/>
      <c r="E126" s="45"/>
      <c r="F126" s="43"/>
      <c r="G126" s="43"/>
      <c r="H126" s="43"/>
      <c r="I126" s="43"/>
      <c r="J126" s="43"/>
      <c r="K126" s="43"/>
      <c r="L126" s="44" t="str">
        <f>IF(K126="","",IFERROR(INDEX(Management!$A$3:$A$50,MATCH(K126,Management!$B$3:$B$50,0)),""))</f>
        <v/>
      </c>
      <c r="M126" s="42" t="str">
        <f>IF(I126="","",IF(K126="","Select Approval Name",IFERROR(IF(I126&lt;=IF(INDEX(Management!$C$3:$C$50,MATCH(K126,Management!$B$3:$B$50,0))="Unlimited",10^15,INDEX(Management!$C$3:$C$50,MATCH(K126,Management!$B$3:$B$50,0))),"Valid Approval","Limit Exceeded"),"Check Management Name")))</f>
        <v/>
      </c>
      <c r="N126" s="43"/>
      <c r="O126" s="43"/>
      <c r="P126" s="46"/>
      <c r="Q126" s="46"/>
    </row>
    <row r="127" spans="1:17" ht="15">
      <c r="A127" s="5" t="str">
        <f t="shared" si="1"/>
        <v/>
      </c>
      <c r="B127" s="43"/>
      <c r="C127" s="45"/>
      <c r="D127" s="45"/>
      <c r="E127" s="45"/>
      <c r="F127" s="43"/>
      <c r="G127" s="43"/>
      <c r="H127" s="43"/>
      <c r="I127" s="43"/>
      <c r="J127" s="43"/>
      <c r="K127" s="43"/>
      <c r="L127" s="44" t="str">
        <f>IF(K127="","",IFERROR(INDEX(Management!$A$3:$A$50,MATCH(K127,Management!$B$3:$B$50,0)),""))</f>
        <v/>
      </c>
      <c r="M127" s="42" t="str">
        <f>IF(I127="","",IF(K127="","Select Approval Name",IFERROR(IF(I127&lt;=IF(INDEX(Management!$C$3:$C$50,MATCH(K127,Management!$B$3:$B$50,0))="Unlimited",10^15,INDEX(Management!$C$3:$C$50,MATCH(K127,Management!$B$3:$B$50,0))),"Valid Approval","Limit Exceeded"),"Check Management Name")))</f>
        <v/>
      </c>
      <c r="N127" s="43"/>
      <c r="O127" s="43"/>
      <c r="P127" s="46"/>
      <c r="Q127" s="46"/>
    </row>
    <row r="128" spans="1:17" ht="15">
      <c r="A128" s="5" t="str">
        <f t="shared" si="1"/>
        <v/>
      </c>
      <c r="B128" s="43"/>
      <c r="C128" s="45"/>
      <c r="D128" s="45"/>
      <c r="E128" s="45"/>
      <c r="F128" s="43"/>
      <c r="G128" s="43"/>
      <c r="H128" s="43"/>
      <c r="I128" s="43"/>
      <c r="J128" s="43"/>
      <c r="K128" s="43"/>
      <c r="L128" s="44" t="str">
        <f>IF(K128="","",IFERROR(INDEX(Management!$A$3:$A$50,MATCH(K128,Management!$B$3:$B$50,0)),""))</f>
        <v/>
      </c>
      <c r="M128" s="42" t="str">
        <f>IF(I128="","",IF(K128="","Select Approval Name",IFERROR(IF(I128&lt;=IF(INDEX(Management!$C$3:$C$50,MATCH(K128,Management!$B$3:$B$50,0))="Unlimited",10^15,INDEX(Management!$C$3:$C$50,MATCH(K128,Management!$B$3:$B$50,0))),"Valid Approval","Limit Exceeded"),"Check Management Name")))</f>
        <v/>
      </c>
      <c r="N128" s="43"/>
      <c r="O128" s="43"/>
      <c r="P128" s="46"/>
      <c r="Q128" s="46"/>
    </row>
    <row r="129" spans="1:17" ht="15">
      <c r="A129" s="5" t="str">
        <f t="shared" si="1"/>
        <v/>
      </c>
      <c r="B129" s="43"/>
      <c r="C129" s="45"/>
      <c r="D129" s="45"/>
      <c r="E129" s="45"/>
      <c r="F129" s="43"/>
      <c r="G129" s="43"/>
      <c r="H129" s="43"/>
      <c r="I129" s="43"/>
      <c r="J129" s="43"/>
      <c r="K129" s="43"/>
      <c r="L129" s="44" t="str">
        <f>IF(K129="","",IFERROR(INDEX(Management!$A$3:$A$50,MATCH(K129,Management!$B$3:$B$50,0)),""))</f>
        <v/>
      </c>
      <c r="M129" s="42" t="str">
        <f>IF(I129="","",IF(K129="","Select Approval Name",IFERROR(IF(I129&lt;=IF(INDEX(Management!$C$3:$C$50,MATCH(K129,Management!$B$3:$B$50,0))="Unlimited",10^15,INDEX(Management!$C$3:$C$50,MATCH(K129,Management!$B$3:$B$50,0))),"Valid Approval","Limit Exceeded"),"Check Management Name")))</f>
        <v/>
      </c>
      <c r="N129" s="43"/>
      <c r="O129" s="43"/>
      <c r="P129" s="46"/>
      <c r="Q129" s="46"/>
    </row>
    <row r="130" spans="1:17" ht="15">
      <c r="A130" s="5" t="str">
        <f t="shared" ref="A130:A193" si="2">IF(D130="","",ROW()-1)</f>
        <v/>
      </c>
      <c r="B130" s="43"/>
      <c r="C130" s="45"/>
      <c r="D130" s="45"/>
      <c r="E130" s="45"/>
      <c r="F130" s="43"/>
      <c r="G130" s="43"/>
      <c r="H130" s="43"/>
      <c r="I130" s="43"/>
      <c r="J130" s="43"/>
      <c r="K130" s="43"/>
      <c r="L130" s="44" t="str">
        <f>IF(K130="","",IFERROR(INDEX(Management!$A$3:$A$50,MATCH(K130,Management!$B$3:$B$50,0)),""))</f>
        <v/>
      </c>
      <c r="M130" s="42" t="str">
        <f>IF(I130="","",IF(K130="","Select Approval Name",IFERROR(IF(I130&lt;=IF(INDEX(Management!$C$3:$C$50,MATCH(K130,Management!$B$3:$B$50,0))="Unlimited",10^15,INDEX(Management!$C$3:$C$50,MATCH(K130,Management!$B$3:$B$50,0))),"Valid Approval","Limit Exceeded"),"Check Management Name")))</f>
        <v/>
      </c>
      <c r="N130" s="43"/>
      <c r="O130" s="43"/>
      <c r="P130" s="46"/>
      <c r="Q130" s="46"/>
    </row>
    <row r="131" spans="1:17" ht="15">
      <c r="A131" s="5" t="str">
        <f t="shared" si="2"/>
        <v/>
      </c>
      <c r="B131" s="43"/>
      <c r="C131" s="45"/>
      <c r="D131" s="45"/>
      <c r="E131" s="45"/>
      <c r="F131" s="43"/>
      <c r="G131" s="43"/>
      <c r="H131" s="43"/>
      <c r="I131" s="43"/>
      <c r="J131" s="43"/>
      <c r="K131" s="43"/>
      <c r="L131" s="44" t="str">
        <f>IF(K131="","",IFERROR(INDEX(Management!$A$3:$A$50,MATCH(K131,Management!$B$3:$B$50,0)),""))</f>
        <v/>
      </c>
      <c r="M131" s="42" t="str">
        <f>IF(I131="","",IF(K131="","Select Approval Name",IFERROR(IF(I131&lt;=IF(INDEX(Management!$C$3:$C$50,MATCH(K131,Management!$B$3:$B$50,0))="Unlimited",10^15,INDEX(Management!$C$3:$C$50,MATCH(K131,Management!$B$3:$B$50,0))),"Valid Approval","Limit Exceeded"),"Check Management Name")))</f>
        <v/>
      </c>
      <c r="N131" s="43"/>
      <c r="O131" s="43"/>
      <c r="P131" s="46"/>
      <c r="Q131" s="46"/>
    </row>
    <row r="132" spans="1:17" ht="15">
      <c r="A132" s="5" t="str">
        <f t="shared" si="2"/>
        <v/>
      </c>
      <c r="B132" s="43"/>
      <c r="C132" s="45"/>
      <c r="D132" s="45"/>
      <c r="E132" s="45"/>
      <c r="F132" s="43"/>
      <c r="G132" s="43"/>
      <c r="H132" s="43"/>
      <c r="I132" s="43"/>
      <c r="J132" s="43"/>
      <c r="K132" s="43"/>
      <c r="L132" s="44" t="str">
        <f>IF(K132="","",IFERROR(INDEX(Management!$A$3:$A$50,MATCH(K132,Management!$B$3:$B$50,0)),""))</f>
        <v/>
      </c>
      <c r="M132" s="42" t="str">
        <f>IF(I132="","",IF(K132="","Select Approval Name",IFERROR(IF(I132&lt;=IF(INDEX(Management!$C$3:$C$50,MATCH(K132,Management!$B$3:$B$50,0))="Unlimited",10^15,INDEX(Management!$C$3:$C$50,MATCH(K132,Management!$B$3:$B$50,0))),"Valid Approval","Limit Exceeded"),"Check Management Name")))</f>
        <v/>
      </c>
      <c r="N132" s="43"/>
      <c r="O132" s="43"/>
      <c r="P132" s="46"/>
      <c r="Q132" s="46"/>
    </row>
    <row r="133" spans="1:17" ht="15">
      <c r="A133" s="5" t="str">
        <f t="shared" si="2"/>
        <v/>
      </c>
      <c r="B133" s="43"/>
      <c r="C133" s="45"/>
      <c r="D133" s="45"/>
      <c r="E133" s="45"/>
      <c r="F133" s="43"/>
      <c r="G133" s="43"/>
      <c r="H133" s="43"/>
      <c r="I133" s="43"/>
      <c r="J133" s="43"/>
      <c r="K133" s="43"/>
      <c r="L133" s="44" t="str">
        <f>IF(K133="","",IFERROR(INDEX(Management!$A$3:$A$50,MATCH(K133,Management!$B$3:$B$50,0)),""))</f>
        <v/>
      </c>
      <c r="M133" s="42" t="str">
        <f>IF(I133="","",IF(K133="","Select Approval Name",IFERROR(IF(I133&lt;=IF(INDEX(Management!$C$3:$C$50,MATCH(K133,Management!$B$3:$B$50,0))="Unlimited",10^15,INDEX(Management!$C$3:$C$50,MATCH(K133,Management!$B$3:$B$50,0))),"Valid Approval","Limit Exceeded"),"Check Management Name")))</f>
        <v/>
      </c>
      <c r="N133" s="43"/>
      <c r="O133" s="43"/>
      <c r="P133" s="46"/>
      <c r="Q133" s="46"/>
    </row>
    <row r="134" spans="1:17" ht="15">
      <c r="A134" s="5" t="str">
        <f t="shared" si="2"/>
        <v/>
      </c>
      <c r="B134" s="43"/>
      <c r="C134" s="45"/>
      <c r="D134" s="45"/>
      <c r="E134" s="45"/>
      <c r="F134" s="43"/>
      <c r="G134" s="43"/>
      <c r="H134" s="43"/>
      <c r="I134" s="43"/>
      <c r="J134" s="43"/>
      <c r="K134" s="43"/>
      <c r="L134" s="44" t="str">
        <f>IF(K134="","",IFERROR(INDEX(Management!$A$3:$A$50,MATCH(K134,Management!$B$3:$B$50,0)),""))</f>
        <v/>
      </c>
      <c r="M134" s="42" t="str">
        <f>IF(I134="","",IF(K134="","Select Approval Name",IFERROR(IF(I134&lt;=IF(INDEX(Management!$C$3:$C$50,MATCH(K134,Management!$B$3:$B$50,0))="Unlimited",10^15,INDEX(Management!$C$3:$C$50,MATCH(K134,Management!$B$3:$B$50,0))),"Valid Approval","Limit Exceeded"),"Check Management Name")))</f>
        <v/>
      </c>
      <c r="N134" s="43"/>
      <c r="O134" s="43"/>
      <c r="P134" s="46"/>
      <c r="Q134" s="46"/>
    </row>
    <row r="135" spans="1:17" ht="15">
      <c r="A135" s="5" t="str">
        <f t="shared" si="2"/>
        <v/>
      </c>
      <c r="B135" s="43"/>
      <c r="C135" s="45"/>
      <c r="D135" s="45"/>
      <c r="E135" s="45"/>
      <c r="F135" s="43"/>
      <c r="G135" s="43"/>
      <c r="H135" s="43"/>
      <c r="I135" s="43"/>
      <c r="J135" s="43"/>
      <c r="K135" s="43"/>
      <c r="L135" s="44" t="str">
        <f>IF(K135="","",IFERROR(INDEX(Management!$A$3:$A$50,MATCH(K135,Management!$B$3:$B$50,0)),""))</f>
        <v/>
      </c>
      <c r="M135" s="42" t="str">
        <f>IF(I135="","",IF(K135="","Select Approval Name",IFERROR(IF(I135&lt;=IF(INDEX(Management!$C$3:$C$50,MATCH(K135,Management!$B$3:$B$50,0))="Unlimited",10^15,INDEX(Management!$C$3:$C$50,MATCH(K135,Management!$B$3:$B$50,0))),"Valid Approval","Limit Exceeded"),"Check Management Name")))</f>
        <v/>
      </c>
      <c r="N135" s="43"/>
      <c r="O135" s="43"/>
      <c r="P135" s="46"/>
      <c r="Q135" s="46"/>
    </row>
    <row r="136" spans="1:17" ht="15">
      <c r="A136" s="5" t="str">
        <f t="shared" si="2"/>
        <v/>
      </c>
      <c r="B136" s="43"/>
      <c r="C136" s="45"/>
      <c r="D136" s="45"/>
      <c r="E136" s="45"/>
      <c r="F136" s="43"/>
      <c r="G136" s="43"/>
      <c r="H136" s="43"/>
      <c r="I136" s="43"/>
      <c r="J136" s="43"/>
      <c r="K136" s="43"/>
      <c r="L136" s="44" t="str">
        <f>IF(K136="","",IFERROR(INDEX(Management!$A$3:$A$50,MATCH(K136,Management!$B$3:$B$50,0)),""))</f>
        <v/>
      </c>
      <c r="M136" s="42" t="str">
        <f>IF(I136="","",IF(K136="","Select Approval Name",IFERROR(IF(I136&lt;=IF(INDEX(Management!$C$3:$C$50,MATCH(K136,Management!$B$3:$B$50,0))="Unlimited",10^15,INDEX(Management!$C$3:$C$50,MATCH(K136,Management!$B$3:$B$50,0))),"Valid Approval","Limit Exceeded"),"Check Management Name")))</f>
        <v/>
      </c>
      <c r="N136" s="43"/>
      <c r="O136" s="43"/>
      <c r="P136" s="46"/>
      <c r="Q136" s="46"/>
    </row>
    <row r="137" spans="1:17" ht="15">
      <c r="A137" s="5" t="str">
        <f t="shared" si="2"/>
        <v/>
      </c>
      <c r="B137" s="43"/>
      <c r="C137" s="45"/>
      <c r="D137" s="45"/>
      <c r="E137" s="45"/>
      <c r="F137" s="43"/>
      <c r="G137" s="43"/>
      <c r="H137" s="43"/>
      <c r="I137" s="43"/>
      <c r="J137" s="43"/>
      <c r="K137" s="43"/>
      <c r="L137" s="44" t="str">
        <f>IF(K137="","",IFERROR(INDEX(Management!$A$3:$A$50,MATCH(K137,Management!$B$3:$B$50,0)),""))</f>
        <v/>
      </c>
      <c r="M137" s="42" t="str">
        <f>IF(I137="","",IF(K137="","Select Approval Name",IFERROR(IF(I137&lt;=IF(INDEX(Management!$C$3:$C$50,MATCH(K137,Management!$B$3:$B$50,0))="Unlimited",10^15,INDEX(Management!$C$3:$C$50,MATCH(K137,Management!$B$3:$B$50,0))),"Valid Approval","Limit Exceeded"),"Check Management Name")))</f>
        <v/>
      </c>
      <c r="N137" s="43"/>
      <c r="O137" s="43"/>
      <c r="P137" s="46"/>
      <c r="Q137" s="46"/>
    </row>
    <row r="138" spans="1:17" ht="15">
      <c r="A138" s="5" t="str">
        <f t="shared" si="2"/>
        <v/>
      </c>
      <c r="B138" s="43"/>
      <c r="C138" s="45"/>
      <c r="D138" s="45"/>
      <c r="E138" s="45"/>
      <c r="F138" s="43"/>
      <c r="G138" s="43"/>
      <c r="H138" s="43"/>
      <c r="I138" s="43"/>
      <c r="J138" s="43"/>
      <c r="K138" s="43"/>
      <c r="L138" s="44" t="str">
        <f>IF(K138="","",IFERROR(INDEX(Management!$A$3:$A$50,MATCH(K138,Management!$B$3:$B$50,0)),""))</f>
        <v/>
      </c>
      <c r="M138" s="42" t="str">
        <f>IF(I138="","",IF(K138="","Select Approval Name",IFERROR(IF(I138&lt;=IF(INDEX(Management!$C$3:$C$50,MATCH(K138,Management!$B$3:$B$50,0))="Unlimited",10^15,INDEX(Management!$C$3:$C$50,MATCH(K138,Management!$B$3:$B$50,0))),"Valid Approval","Limit Exceeded"),"Check Management Name")))</f>
        <v/>
      </c>
      <c r="N138" s="43"/>
      <c r="O138" s="43"/>
      <c r="P138" s="46"/>
      <c r="Q138" s="46"/>
    </row>
    <row r="139" spans="1:17" ht="15">
      <c r="A139" s="5" t="str">
        <f t="shared" si="2"/>
        <v/>
      </c>
      <c r="B139" s="43"/>
      <c r="C139" s="45"/>
      <c r="D139" s="45"/>
      <c r="E139" s="45"/>
      <c r="F139" s="43"/>
      <c r="G139" s="43"/>
      <c r="H139" s="43"/>
      <c r="I139" s="43"/>
      <c r="J139" s="43"/>
      <c r="K139" s="43"/>
      <c r="L139" s="44" t="str">
        <f>IF(K139="","",IFERROR(INDEX(Management!$A$3:$A$50,MATCH(K139,Management!$B$3:$B$50,0)),""))</f>
        <v/>
      </c>
      <c r="M139" s="42" t="str">
        <f>IF(I139="","",IF(K139="","Select Approval Name",IFERROR(IF(I139&lt;=IF(INDEX(Management!$C$3:$C$50,MATCH(K139,Management!$B$3:$B$50,0))="Unlimited",10^15,INDEX(Management!$C$3:$C$50,MATCH(K139,Management!$B$3:$B$50,0))),"Valid Approval","Limit Exceeded"),"Check Management Name")))</f>
        <v/>
      </c>
      <c r="N139" s="43"/>
      <c r="O139" s="43"/>
      <c r="P139" s="46"/>
      <c r="Q139" s="46"/>
    </row>
    <row r="140" spans="1:17" ht="15">
      <c r="A140" s="5" t="str">
        <f t="shared" si="2"/>
        <v/>
      </c>
      <c r="B140" s="43"/>
      <c r="C140" s="45"/>
      <c r="D140" s="45"/>
      <c r="E140" s="45"/>
      <c r="F140" s="43"/>
      <c r="G140" s="43"/>
      <c r="H140" s="43"/>
      <c r="I140" s="43"/>
      <c r="J140" s="43"/>
      <c r="K140" s="43"/>
      <c r="L140" s="44" t="str">
        <f>IF(K140="","",IFERROR(INDEX(Management!$A$3:$A$50,MATCH(K140,Management!$B$3:$B$50,0)),""))</f>
        <v/>
      </c>
      <c r="M140" s="42" t="str">
        <f>IF(I140="","",IF(K140="","Select Approval Name",IFERROR(IF(I140&lt;=IF(INDEX(Management!$C$3:$C$50,MATCH(K140,Management!$B$3:$B$50,0))="Unlimited",10^15,INDEX(Management!$C$3:$C$50,MATCH(K140,Management!$B$3:$B$50,0))),"Valid Approval","Limit Exceeded"),"Check Management Name")))</f>
        <v/>
      </c>
      <c r="N140" s="43"/>
      <c r="O140" s="43"/>
      <c r="P140" s="46"/>
      <c r="Q140" s="46"/>
    </row>
    <row r="141" spans="1:17" ht="15">
      <c r="A141" s="5" t="str">
        <f t="shared" si="2"/>
        <v/>
      </c>
      <c r="B141" s="43"/>
      <c r="C141" s="45"/>
      <c r="D141" s="45"/>
      <c r="E141" s="45"/>
      <c r="F141" s="43"/>
      <c r="G141" s="43"/>
      <c r="H141" s="43"/>
      <c r="I141" s="43"/>
      <c r="J141" s="43"/>
      <c r="K141" s="43"/>
      <c r="L141" s="44" t="str">
        <f>IF(K141="","",IFERROR(INDEX(Management!$A$3:$A$50,MATCH(K141,Management!$B$3:$B$50,0)),""))</f>
        <v/>
      </c>
      <c r="M141" s="42" t="str">
        <f>IF(I141="","",IF(K141="","Select Approval Name",IFERROR(IF(I141&lt;=IF(INDEX(Management!$C$3:$C$50,MATCH(K141,Management!$B$3:$B$50,0))="Unlimited",10^15,INDEX(Management!$C$3:$C$50,MATCH(K141,Management!$B$3:$B$50,0))),"Valid Approval","Limit Exceeded"),"Check Management Name")))</f>
        <v/>
      </c>
      <c r="N141" s="43"/>
      <c r="O141" s="43"/>
      <c r="P141" s="46"/>
      <c r="Q141" s="46"/>
    </row>
    <row r="142" spans="1:17" ht="15">
      <c r="A142" s="5" t="str">
        <f t="shared" si="2"/>
        <v/>
      </c>
      <c r="B142" s="43"/>
      <c r="C142" s="45"/>
      <c r="D142" s="45"/>
      <c r="E142" s="45"/>
      <c r="F142" s="43"/>
      <c r="G142" s="43"/>
      <c r="H142" s="43"/>
      <c r="I142" s="43"/>
      <c r="J142" s="43"/>
      <c r="K142" s="43"/>
      <c r="L142" s="44" t="str">
        <f>IF(K142="","",IFERROR(INDEX(Management!$A$3:$A$50,MATCH(K142,Management!$B$3:$B$50,0)),""))</f>
        <v/>
      </c>
      <c r="M142" s="42" t="str">
        <f>IF(I142="","",IF(K142="","Select Approval Name",IFERROR(IF(I142&lt;=IF(INDEX(Management!$C$3:$C$50,MATCH(K142,Management!$B$3:$B$50,0))="Unlimited",10^15,INDEX(Management!$C$3:$C$50,MATCH(K142,Management!$B$3:$B$50,0))),"Valid Approval","Limit Exceeded"),"Check Management Name")))</f>
        <v/>
      </c>
      <c r="N142" s="43"/>
      <c r="O142" s="43"/>
      <c r="P142" s="46"/>
      <c r="Q142" s="46"/>
    </row>
    <row r="143" spans="1:17" ht="15">
      <c r="A143" s="5" t="str">
        <f t="shared" si="2"/>
        <v/>
      </c>
      <c r="B143" s="43"/>
      <c r="C143" s="45"/>
      <c r="D143" s="45"/>
      <c r="E143" s="45"/>
      <c r="F143" s="43"/>
      <c r="G143" s="43"/>
      <c r="H143" s="43"/>
      <c r="I143" s="43"/>
      <c r="J143" s="43"/>
      <c r="K143" s="43"/>
      <c r="L143" s="44" t="str">
        <f>IF(K143="","",IFERROR(INDEX(Management!$A$3:$A$50,MATCH(K143,Management!$B$3:$B$50,0)),""))</f>
        <v/>
      </c>
      <c r="M143" s="42" t="str">
        <f>IF(I143="","",IF(K143="","Select Approval Name",IFERROR(IF(I143&lt;=IF(INDEX(Management!$C$3:$C$50,MATCH(K143,Management!$B$3:$B$50,0))="Unlimited",10^15,INDEX(Management!$C$3:$C$50,MATCH(K143,Management!$B$3:$B$50,0))),"Valid Approval","Limit Exceeded"),"Check Management Name")))</f>
        <v/>
      </c>
      <c r="N143" s="43"/>
      <c r="O143" s="43"/>
      <c r="P143" s="46"/>
      <c r="Q143" s="46"/>
    </row>
    <row r="144" spans="1:17" ht="15">
      <c r="A144" s="5" t="str">
        <f t="shared" si="2"/>
        <v/>
      </c>
      <c r="B144" s="43"/>
      <c r="C144" s="45"/>
      <c r="D144" s="45"/>
      <c r="E144" s="45"/>
      <c r="F144" s="43"/>
      <c r="G144" s="43"/>
      <c r="H144" s="43"/>
      <c r="I144" s="43"/>
      <c r="J144" s="43"/>
      <c r="K144" s="43"/>
      <c r="L144" s="44" t="str">
        <f>IF(K144="","",IFERROR(INDEX(Management!$A$3:$A$50,MATCH(K144,Management!$B$3:$B$50,0)),""))</f>
        <v/>
      </c>
      <c r="M144" s="42" t="str">
        <f>IF(I144="","",IF(K144="","Select Approval Name",IFERROR(IF(I144&lt;=IF(INDEX(Management!$C$3:$C$50,MATCH(K144,Management!$B$3:$B$50,0))="Unlimited",10^15,INDEX(Management!$C$3:$C$50,MATCH(K144,Management!$B$3:$B$50,0))),"Valid Approval","Limit Exceeded"),"Check Management Name")))</f>
        <v/>
      </c>
      <c r="N144" s="43"/>
      <c r="O144" s="43"/>
      <c r="P144" s="46"/>
      <c r="Q144" s="46"/>
    </row>
    <row r="145" spans="1:17" ht="15">
      <c r="A145" s="5" t="str">
        <f t="shared" si="2"/>
        <v/>
      </c>
      <c r="B145" s="43"/>
      <c r="C145" s="45"/>
      <c r="D145" s="45"/>
      <c r="E145" s="45"/>
      <c r="F145" s="43"/>
      <c r="G145" s="43"/>
      <c r="H145" s="43"/>
      <c r="I145" s="43"/>
      <c r="J145" s="43"/>
      <c r="K145" s="43"/>
      <c r="L145" s="44" t="str">
        <f>IF(K145="","",IFERROR(INDEX(Management!$A$3:$A$50,MATCH(K145,Management!$B$3:$B$50,0)),""))</f>
        <v/>
      </c>
      <c r="M145" s="42" t="str">
        <f>IF(I145="","",IF(K145="","Select Approval Name",IFERROR(IF(I145&lt;=IF(INDEX(Management!$C$3:$C$50,MATCH(K145,Management!$B$3:$B$50,0))="Unlimited",10^15,INDEX(Management!$C$3:$C$50,MATCH(K145,Management!$B$3:$B$50,0))),"Valid Approval","Limit Exceeded"),"Check Management Name")))</f>
        <v/>
      </c>
      <c r="N145" s="43"/>
      <c r="O145" s="43"/>
      <c r="P145" s="46"/>
      <c r="Q145" s="46"/>
    </row>
    <row r="146" spans="1:17" ht="15">
      <c r="A146" s="5" t="str">
        <f t="shared" si="2"/>
        <v/>
      </c>
      <c r="B146" s="43"/>
      <c r="C146" s="45"/>
      <c r="D146" s="45"/>
      <c r="E146" s="45"/>
      <c r="F146" s="43"/>
      <c r="G146" s="43"/>
      <c r="H146" s="43"/>
      <c r="I146" s="43"/>
      <c r="J146" s="43"/>
      <c r="K146" s="43"/>
      <c r="L146" s="44" t="str">
        <f>IF(K146="","",IFERROR(INDEX(Management!$A$3:$A$50,MATCH(K146,Management!$B$3:$B$50,0)),""))</f>
        <v/>
      </c>
      <c r="M146" s="42" t="str">
        <f>IF(I146="","",IF(K146="","Select Approval Name",IFERROR(IF(I146&lt;=IF(INDEX(Management!$C$3:$C$50,MATCH(K146,Management!$B$3:$B$50,0))="Unlimited",10^15,INDEX(Management!$C$3:$C$50,MATCH(K146,Management!$B$3:$B$50,0))),"Valid Approval","Limit Exceeded"),"Check Management Name")))</f>
        <v/>
      </c>
      <c r="N146" s="43"/>
      <c r="O146" s="43"/>
      <c r="P146" s="46"/>
      <c r="Q146" s="46"/>
    </row>
    <row r="147" spans="1:17" ht="15">
      <c r="A147" s="5" t="str">
        <f t="shared" si="2"/>
        <v/>
      </c>
      <c r="B147" s="43"/>
      <c r="C147" s="45"/>
      <c r="D147" s="45"/>
      <c r="E147" s="45"/>
      <c r="F147" s="43"/>
      <c r="G147" s="43"/>
      <c r="H147" s="43"/>
      <c r="I147" s="43"/>
      <c r="J147" s="43"/>
      <c r="K147" s="43"/>
      <c r="L147" s="44" t="str">
        <f>IF(K147="","",IFERROR(INDEX(Management!$A$3:$A$50,MATCH(K147,Management!$B$3:$B$50,0)),""))</f>
        <v/>
      </c>
      <c r="M147" s="42" t="str">
        <f>IF(I147="","",IF(K147="","Select Approval Name",IFERROR(IF(I147&lt;=IF(INDEX(Management!$C$3:$C$50,MATCH(K147,Management!$B$3:$B$50,0))="Unlimited",10^15,INDEX(Management!$C$3:$C$50,MATCH(K147,Management!$B$3:$B$50,0))),"Valid Approval","Limit Exceeded"),"Check Management Name")))</f>
        <v/>
      </c>
      <c r="N147" s="43"/>
      <c r="O147" s="43"/>
      <c r="P147" s="46"/>
      <c r="Q147" s="46"/>
    </row>
    <row r="148" spans="1:17" ht="15">
      <c r="A148" s="5" t="str">
        <f t="shared" si="2"/>
        <v/>
      </c>
      <c r="B148" s="43"/>
      <c r="C148" s="45"/>
      <c r="D148" s="45"/>
      <c r="E148" s="45"/>
      <c r="F148" s="43"/>
      <c r="G148" s="43"/>
      <c r="H148" s="43"/>
      <c r="I148" s="43"/>
      <c r="J148" s="43"/>
      <c r="K148" s="43"/>
      <c r="L148" s="44" t="str">
        <f>IF(K148="","",IFERROR(INDEX(Management!$A$3:$A$50,MATCH(K148,Management!$B$3:$B$50,0)),""))</f>
        <v/>
      </c>
      <c r="M148" s="42" t="str">
        <f>IF(I148="","",IF(K148="","Select Approval Name",IFERROR(IF(I148&lt;=IF(INDEX(Management!$C$3:$C$50,MATCH(K148,Management!$B$3:$B$50,0))="Unlimited",10^15,INDEX(Management!$C$3:$C$50,MATCH(K148,Management!$B$3:$B$50,0))),"Valid Approval","Limit Exceeded"),"Check Management Name")))</f>
        <v/>
      </c>
      <c r="N148" s="43"/>
      <c r="O148" s="43"/>
      <c r="P148" s="46"/>
      <c r="Q148" s="46"/>
    </row>
    <row r="149" spans="1:17" ht="15">
      <c r="A149" s="5" t="str">
        <f t="shared" si="2"/>
        <v/>
      </c>
      <c r="B149" s="43"/>
      <c r="C149" s="45"/>
      <c r="D149" s="45"/>
      <c r="E149" s="45"/>
      <c r="F149" s="43"/>
      <c r="G149" s="43"/>
      <c r="H149" s="43"/>
      <c r="I149" s="43"/>
      <c r="J149" s="43"/>
      <c r="K149" s="43"/>
      <c r="L149" s="44" t="str">
        <f>IF(K149="","",IFERROR(INDEX(Management!$A$3:$A$50,MATCH(K149,Management!$B$3:$B$50,0)),""))</f>
        <v/>
      </c>
      <c r="M149" s="42" t="str">
        <f>IF(I149="","",IF(K149="","Select Approval Name",IFERROR(IF(I149&lt;=IF(INDEX(Management!$C$3:$C$50,MATCH(K149,Management!$B$3:$B$50,0))="Unlimited",10^15,INDEX(Management!$C$3:$C$50,MATCH(K149,Management!$B$3:$B$50,0))),"Valid Approval","Limit Exceeded"),"Check Management Name")))</f>
        <v/>
      </c>
      <c r="N149" s="43"/>
      <c r="O149" s="43"/>
      <c r="P149" s="46"/>
      <c r="Q149" s="46"/>
    </row>
    <row r="150" spans="1:17" ht="15">
      <c r="A150" s="5" t="str">
        <f t="shared" si="2"/>
        <v/>
      </c>
      <c r="B150" s="43"/>
      <c r="C150" s="45"/>
      <c r="D150" s="45"/>
      <c r="E150" s="45"/>
      <c r="F150" s="43"/>
      <c r="G150" s="43"/>
      <c r="H150" s="43"/>
      <c r="I150" s="43"/>
      <c r="J150" s="43"/>
      <c r="K150" s="43"/>
      <c r="L150" s="44" t="str">
        <f>IF(K150="","",IFERROR(INDEX(Management!$A$3:$A$50,MATCH(K150,Management!$B$3:$B$50,0)),""))</f>
        <v/>
      </c>
      <c r="M150" s="42" t="str">
        <f>IF(I150="","",IF(K150="","Select Approval Name",IFERROR(IF(I150&lt;=IF(INDEX(Management!$C$3:$C$50,MATCH(K150,Management!$B$3:$B$50,0))="Unlimited",10^15,INDEX(Management!$C$3:$C$50,MATCH(K150,Management!$B$3:$B$50,0))),"Valid Approval","Limit Exceeded"),"Check Management Name")))</f>
        <v/>
      </c>
      <c r="N150" s="43"/>
      <c r="O150" s="43"/>
      <c r="P150" s="46"/>
      <c r="Q150" s="46"/>
    </row>
    <row r="151" spans="1:17" ht="15">
      <c r="A151" s="5" t="str">
        <f t="shared" si="2"/>
        <v/>
      </c>
      <c r="B151" s="43"/>
      <c r="C151" s="45"/>
      <c r="D151" s="45"/>
      <c r="E151" s="45"/>
      <c r="F151" s="43"/>
      <c r="G151" s="43"/>
      <c r="H151" s="43"/>
      <c r="I151" s="43"/>
      <c r="J151" s="43"/>
      <c r="K151" s="43"/>
      <c r="L151" s="44" t="str">
        <f>IF(K151="","",IFERROR(INDEX(Management!$A$3:$A$50,MATCH(K151,Management!$B$3:$B$50,0)),""))</f>
        <v/>
      </c>
      <c r="M151" s="42" t="str">
        <f>IF(I151="","",IF(K151="","Select Approval Name",IFERROR(IF(I151&lt;=IF(INDEX(Management!$C$3:$C$50,MATCH(K151,Management!$B$3:$B$50,0))="Unlimited",10^15,INDEX(Management!$C$3:$C$50,MATCH(K151,Management!$B$3:$B$50,0))),"Valid Approval","Limit Exceeded"),"Check Management Name")))</f>
        <v/>
      </c>
      <c r="N151" s="43"/>
      <c r="O151" s="43"/>
      <c r="P151" s="46"/>
      <c r="Q151" s="46"/>
    </row>
    <row r="152" spans="1:17" ht="15">
      <c r="A152" s="5" t="str">
        <f t="shared" si="2"/>
        <v/>
      </c>
      <c r="B152" s="43"/>
      <c r="C152" s="45"/>
      <c r="D152" s="45"/>
      <c r="E152" s="45"/>
      <c r="F152" s="43"/>
      <c r="G152" s="43"/>
      <c r="H152" s="43"/>
      <c r="I152" s="43"/>
      <c r="J152" s="43"/>
      <c r="K152" s="43"/>
      <c r="L152" s="44" t="str">
        <f>IF(K152="","",IFERROR(INDEX(Management!$A$3:$A$50,MATCH(K152,Management!$B$3:$B$50,0)),""))</f>
        <v/>
      </c>
      <c r="M152" s="42" t="str">
        <f>IF(I152="","",IF(K152="","Select Approval Name",IFERROR(IF(I152&lt;=IF(INDEX(Management!$C$3:$C$50,MATCH(K152,Management!$B$3:$B$50,0))="Unlimited",10^15,INDEX(Management!$C$3:$C$50,MATCH(K152,Management!$B$3:$B$50,0))),"Valid Approval","Limit Exceeded"),"Check Management Name")))</f>
        <v/>
      </c>
      <c r="N152" s="43"/>
      <c r="O152" s="43"/>
      <c r="P152" s="46"/>
      <c r="Q152" s="46"/>
    </row>
    <row r="153" spans="1:17" ht="15">
      <c r="A153" s="5" t="str">
        <f t="shared" si="2"/>
        <v/>
      </c>
      <c r="B153" s="43"/>
      <c r="C153" s="45"/>
      <c r="D153" s="45"/>
      <c r="E153" s="45"/>
      <c r="F153" s="43"/>
      <c r="G153" s="43"/>
      <c r="H153" s="43"/>
      <c r="I153" s="43"/>
      <c r="J153" s="43"/>
      <c r="K153" s="43"/>
      <c r="L153" s="44" t="str">
        <f>IF(K153="","",IFERROR(INDEX(Management!$A$3:$A$50,MATCH(K153,Management!$B$3:$B$50,0)),""))</f>
        <v/>
      </c>
      <c r="M153" s="42" t="str">
        <f>IF(I153="","",IF(K153="","Select Approval Name",IFERROR(IF(I153&lt;=IF(INDEX(Management!$C$3:$C$50,MATCH(K153,Management!$B$3:$B$50,0))="Unlimited",10^15,INDEX(Management!$C$3:$C$50,MATCH(K153,Management!$B$3:$B$50,0))),"Valid Approval","Limit Exceeded"),"Check Management Name")))</f>
        <v/>
      </c>
      <c r="N153" s="43"/>
      <c r="O153" s="43"/>
      <c r="P153" s="46"/>
      <c r="Q153" s="46"/>
    </row>
    <row r="154" spans="1:17" ht="15">
      <c r="A154" s="5" t="str">
        <f t="shared" si="2"/>
        <v/>
      </c>
      <c r="B154" s="43"/>
      <c r="C154" s="45"/>
      <c r="D154" s="45"/>
      <c r="E154" s="45"/>
      <c r="F154" s="43"/>
      <c r="G154" s="43"/>
      <c r="H154" s="43"/>
      <c r="I154" s="43"/>
      <c r="J154" s="43"/>
      <c r="K154" s="43"/>
      <c r="L154" s="44" t="str">
        <f>IF(K154="","",IFERROR(INDEX(Management!$A$3:$A$50,MATCH(K154,Management!$B$3:$B$50,0)),""))</f>
        <v/>
      </c>
      <c r="M154" s="42" t="str">
        <f>IF(I154="","",IF(K154="","Select Approval Name",IFERROR(IF(I154&lt;=IF(INDEX(Management!$C$3:$C$50,MATCH(K154,Management!$B$3:$B$50,0))="Unlimited",10^15,INDEX(Management!$C$3:$C$50,MATCH(K154,Management!$B$3:$B$50,0))),"Valid Approval","Limit Exceeded"),"Check Management Name")))</f>
        <v/>
      </c>
      <c r="N154" s="43"/>
      <c r="O154" s="43"/>
      <c r="P154" s="46"/>
      <c r="Q154" s="46"/>
    </row>
    <row r="155" spans="1:17" ht="15">
      <c r="A155" s="5" t="str">
        <f t="shared" si="2"/>
        <v/>
      </c>
      <c r="B155" s="43"/>
      <c r="C155" s="45"/>
      <c r="D155" s="45"/>
      <c r="E155" s="45"/>
      <c r="F155" s="43"/>
      <c r="G155" s="43"/>
      <c r="H155" s="43"/>
      <c r="I155" s="43"/>
      <c r="J155" s="43"/>
      <c r="K155" s="43"/>
      <c r="L155" s="44" t="str">
        <f>IF(K155="","",IFERROR(INDEX(Management!$A$3:$A$50,MATCH(K155,Management!$B$3:$B$50,0)),""))</f>
        <v/>
      </c>
      <c r="M155" s="42" t="str">
        <f>IF(I155="","",IF(K155="","Select Approval Name",IFERROR(IF(I155&lt;=IF(INDEX(Management!$C$3:$C$50,MATCH(K155,Management!$B$3:$B$50,0))="Unlimited",10^15,INDEX(Management!$C$3:$C$50,MATCH(K155,Management!$B$3:$B$50,0))),"Valid Approval","Limit Exceeded"),"Check Management Name")))</f>
        <v/>
      </c>
      <c r="N155" s="43"/>
      <c r="O155" s="43"/>
      <c r="P155" s="46"/>
      <c r="Q155" s="46"/>
    </row>
    <row r="156" spans="1:17" ht="15">
      <c r="A156" s="5" t="str">
        <f t="shared" si="2"/>
        <v/>
      </c>
      <c r="B156" s="43"/>
      <c r="C156" s="45"/>
      <c r="D156" s="45"/>
      <c r="E156" s="45"/>
      <c r="F156" s="43"/>
      <c r="G156" s="43"/>
      <c r="H156" s="43"/>
      <c r="I156" s="43"/>
      <c r="J156" s="43"/>
      <c r="K156" s="43"/>
      <c r="L156" s="44" t="str">
        <f>IF(K156="","",IFERROR(INDEX(Management!$A$3:$A$50,MATCH(K156,Management!$B$3:$B$50,0)),""))</f>
        <v/>
      </c>
      <c r="M156" s="42" t="str">
        <f>IF(I156="","",IF(K156="","Select Approval Name",IFERROR(IF(I156&lt;=IF(INDEX(Management!$C$3:$C$50,MATCH(K156,Management!$B$3:$B$50,0))="Unlimited",10^15,INDEX(Management!$C$3:$C$50,MATCH(K156,Management!$B$3:$B$50,0))),"Valid Approval","Limit Exceeded"),"Check Management Name")))</f>
        <v/>
      </c>
      <c r="N156" s="43"/>
      <c r="O156" s="43"/>
      <c r="P156" s="46"/>
      <c r="Q156" s="46"/>
    </row>
    <row r="157" spans="1:17" ht="15">
      <c r="A157" s="5" t="str">
        <f t="shared" si="2"/>
        <v/>
      </c>
      <c r="B157" s="43"/>
      <c r="C157" s="45"/>
      <c r="D157" s="45"/>
      <c r="E157" s="45"/>
      <c r="F157" s="43"/>
      <c r="G157" s="43"/>
      <c r="H157" s="43"/>
      <c r="I157" s="43"/>
      <c r="J157" s="43"/>
      <c r="K157" s="43"/>
      <c r="L157" s="44" t="str">
        <f>IF(K157="","",IFERROR(INDEX(Management!$A$3:$A$50,MATCH(K157,Management!$B$3:$B$50,0)),""))</f>
        <v/>
      </c>
      <c r="M157" s="42" t="str">
        <f>IF(I157="","",IF(K157="","Select Approval Name",IFERROR(IF(I157&lt;=IF(INDEX(Management!$C$3:$C$50,MATCH(K157,Management!$B$3:$B$50,0))="Unlimited",10^15,INDEX(Management!$C$3:$C$50,MATCH(K157,Management!$B$3:$B$50,0))),"Valid Approval","Limit Exceeded"),"Check Management Name")))</f>
        <v/>
      </c>
      <c r="N157" s="43"/>
      <c r="O157" s="43"/>
      <c r="P157" s="46"/>
      <c r="Q157" s="46"/>
    </row>
    <row r="158" spans="1:17" ht="15">
      <c r="A158" s="5" t="str">
        <f t="shared" si="2"/>
        <v/>
      </c>
      <c r="B158" s="43"/>
      <c r="C158" s="45"/>
      <c r="D158" s="45"/>
      <c r="E158" s="45"/>
      <c r="F158" s="43"/>
      <c r="G158" s="43"/>
      <c r="H158" s="43"/>
      <c r="I158" s="43"/>
      <c r="J158" s="43"/>
      <c r="K158" s="43"/>
      <c r="L158" s="44" t="str">
        <f>IF(K158="","",IFERROR(INDEX(Management!$A$3:$A$50,MATCH(K158,Management!$B$3:$B$50,0)),""))</f>
        <v/>
      </c>
      <c r="M158" s="42" t="str">
        <f>IF(I158="","",IF(K158="","Select Approval Name",IFERROR(IF(I158&lt;=IF(INDEX(Management!$C$3:$C$50,MATCH(K158,Management!$B$3:$B$50,0))="Unlimited",10^15,INDEX(Management!$C$3:$C$50,MATCH(K158,Management!$B$3:$B$50,0))),"Valid Approval","Limit Exceeded"),"Check Management Name")))</f>
        <v/>
      </c>
      <c r="N158" s="43"/>
      <c r="O158" s="43"/>
      <c r="P158" s="46"/>
      <c r="Q158" s="46"/>
    </row>
    <row r="159" spans="1:17" ht="15">
      <c r="A159" s="5" t="str">
        <f t="shared" si="2"/>
        <v/>
      </c>
      <c r="B159" s="43"/>
      <c r="C159" s="45"/>
      <c r="D159" s="45"/>
      <c r="E159" s="45"/>
      <c r="F159" s="43"/>
      <c r="G159" s="43"/>
      <c r="H159" s="43"/>
      <c r="I159" s="43"/>
      <c r="J159" s="43"/>
      <c r="K159" s="43"/>
      <c r="L159" s="44" t="str">
        <f>IF(K159="","",IFERROR(INDEX(Management!$A$3:$A$50,MATCH(K159,Management!$B$3:$B$50,0)),""))</f>
        <v/>
      </c>
      <c r="M159" s="42" t="str">
        <f>IF(I159="","",IF(K159="","Select Approval Name",IFERROR(IF(I159&lt;=IF(INDEX(Management!$C$3:$C$50,MATCH(K159,Management!$B$3:$B$50,0))="Unlimited",10^15,INDEX(Management!$C$3:$C$50,MATCH(K159,Management!$B$3:$B$50,0))),"Valid Approval","Limit Exceeded"),"Check Management Name")))</f>
        <v/>
      </c>
      <c r="N159" s="43"/>
      <c r="O159" s="43"/>
      <c r="P159" s="46"/>
      <c r="Q159" s="46"/>
    </row>
    <row r="160" spans="1:17" ht="15">
      <c r="A160" s="5" t="str">
        <f t="shared" si="2"/>
        <v/>
      </c>
      <c r="B160" s="43"/>
      <c r="C160" s="45"/>
      <c r="D160" s="45"/>
      <c r="E160" s="45"/>
      <c r="F160" s="43"/>
      <c r="G160" s="43"/>
      <c r="H160" s="43"/>
      <c r="I160" s="43"/>
      <c r="J160" s="43"/>
      <c r="K160" s="43"/>
      <c r="L160" s="44" t="str">
        <f>IF(K160="","",IFERROR(INDEX(Management!$A$3:$A$50,MATCH(K160,Management!$B$3:$B$50,0)),""))</f>
        <v/>
      </c>
      <c r="M160" s="42" t="str">
        <f>IF(I160="","",IF(K160="","Select Approval Name",IFERROR(IF(I160&lt;=IF(INDEX(Management!$C$3:$C$50,MATCH(K160,Management!$B$3:$B$50,0))="Unlimited",10^15,INDEX(Management!$C$3:$C$50,MATCH(K160,Management!$B$3:$B$50,0))),"Valid Approval","Limit Exceeded"),"Check Management Name")))</f>
        <v/>
      </c>
      <c r="N160" s="43"/>
      <c r="O160" s="43"/>
      <c r="P160" s="46"/>
      <c r="Q160" s="46"/>
    </row>
    <row r="161" spans="1:17" ht="15">
      <c r="A161" s="5" t="str">
        <f t="shared" si="2"/>
        <v/>
      </c>
      <c r="B161" s="43"/>
      <c r="C161" s="45"/>
      <c r="D161" s="45"/>
      <c r="E161" s="45"/>
      <c r="F161" s="43"/>
      <c r="G161" s="43"/>
      <c r="H161" s="43"/>
      <c r="I161" s="43"/>
      <c r="J161" s="43"/>
      <c r="K161" s="43"/>
      <c r="L161" s="44" t="str">
        <f>IF(K161="","",IFERROR(INDEX(Management!$A$3:$A$50,MATCH(K161,Management!$B$3:$B$50,0)),""))</f>
        <v/>
      </c>
      <c r="M161" s="42" t="str">
        <f>IF(I161="","",IF(K161="","Select Approval Name",IFERROR(IF(I161&lt;=IF(INDEX(Management!$C$3:$C$50,MATCH(K161,Management!$B$3:$B$50,0))="Unlimited",10^15,INDEX(Management!$C$3:$C$50,MATCH(K161,Management!$B$3:$B$50,0))),"Valid Approval","Limit Exceeded"),"Check Management Name")))</f>
        <v/>
      </c>
      <c r="N161" s="43"/>
      <c r="O161" s="43"/>
      <c r="P161" s="46"/>
      <c r="Q161" s="46"/>
    </row>
    <row r="162" spans="1:17" ht="15">
      <c r="A162" s="5" t="str">
        <f t="shared" si="2"/>
        <v/>
      </c>
      <c r="B162" s="43"/>
      <c r="C162" s="45"/>
      <c r="D162" s="45"/>
      <c r="E162" s="45"/>
      <c r="F162" s="43"/>
      <c r="G162" s="43"/>
      <c r="H162" s="43"/>
      <c r="I162" s="43"/>
      <c r="J162" s="43"/>
      <c r="K162" s="43"/>
      <c r="L162" s="44" t="str">
        <f>IF(K162="","",IFERROR(INDEX(Management!$A$3:$A$50,MATCH(K162,Management!$B$3:$B$50,0)),""))</f>
        <v/>
      </c>
      <c r="M162" s="42" t="str">
        <f>IF(I162="","",IF(K162="","Select Approval Name",IFERROR(IF(I162&lt;=IF(INDEX(Management!$C$3:$C$50,MATCH(K162,Management!$B$3:$B$50,0))="Unlimited",10^15,INDEX(Management!$C$3:$C$50,MATCH(K162,Management!$B$3:$B$50,0))),"Valid Approval","Limit Exceeded"),"Check Management Name")))</f>
        <v/>
      </c>
      <c r="N162" s="43"/>
      <c r="O162" s="43"/>
      <c r="P162" s="46"/>
      <c r="Q162" s="46"/>
    </row>
    <row r="163" spans="1:17" ht="15">
      <c r="A163" s="5" t="str">
        <f t="shared" si="2"/>
        <v/>
      </c>
      <c r="B163" s="43"/>
      <c r="C163" s="45"/>
      <c r="D163" s="45"/>
      <c r="E163" s="45"/>
      <c r="F163" s="43"/>
      <c r="G163" s="43"/>
      <c r="H163" s="43"/>
      <c r="I163" s="43"/>
      <c r="J163" s="43"/>
      <c r="K163" s="43"/>
      <c r="L163" s="44" t="str">
        <f>IF(K163="","",IFERROR(INDEX(Management!$A$3:$A$50,MATCH(K163,Management!$B$3:$B$50,0)),""))</f>
        <v/>
      </c>
      <c r="M163" s="42" t="str">
        <f>IF(I163="","",IF(K163="","Select Approval Name",IFERROR(IF(I163&lt;=IF(INDEX(Management!$C$3:$C$50,MATCH(K163,Management!$B$3:$B$50,0))="Unlimited",10^15,INDEX(Management!$C$3:$C$50,MATCH(K163,Management!$B$3:$B$50,0))),"Valid Approval","Limit Exceeded"),"Check Management Name")))</f>
        <v/>
      </c>
      <c r="N163" s="43"/>
      <c r="O163" s="43"/>
      <c r="P163" s="46"/>
      <c r="Q163" s="46"/>
    </row>
    <row r="164" spans="1:17" ht="15">
      <c r="A164" s="5" t="str">
        <f t="shared" si="2"/>
        <v/>
      </c>
      <c r="B164" s="43"/>
      <c r="C164" s="45"/>
      <c r="D164" s="45"/>
      <c r="E164" s="45"/>
      <c r="F164" s="43"/>
      <c r="G164" s="43"/>
      <c r="H164" s="43"/>
      <c r="I164" s="43"/>
      <c r="J164" s="43"/>
      <c r="K164" s="43"/>
      <c r="L164" s="44" t="str">
        <f>IF(K164="","",IFERROR(INDEX(Management!$A$3:$A$50,MATCH(K164,Management!$B$3:$B$50,0)),""))</f>
        <v/>
      </c>
      <c r="M164" s="42" t="str">
        <f>IF(I164="","",IF(K164="","Select Approval Name",IFERROR(IF(I164&lt;=IF(INDEX(Management!$C$3:$C$50,MATCH(K164,Management!$B$3:$B$50,0))="Unlimited",10^15,INDEX(Management!$C$3:$C$50,MATCH(K164,Management!$B$3:$B$50,0))),"Valid Approval","Limit Exceeded"),"Check Management Name")))</f>
        <v/>
      </c>
      <c r="N164" s="43"/>
      <c r="O164" s="43"/>
      <c r="P164" s="46"/>
      <c r="Q164" s="46"/>
    </row>
    <row r="165" spans="1:17" ht="15">
      <c r="A165" s="5" t="str">
        <f t="shared" si="2"/>
        <v/>
      </c>
      <c r="B165" s="43"/>
      <c r="C165" s="45"/>
      <c r="D165" s="45"/>
      <c r="E165" s="45"/>
      <c r="F165" s="43"/>
      <c r="G165" s="43"/>
      <c r="H165" s="43"/>
      <c r="I165" s="43"/>
      <c r="J165" s="43"/>
      <c r="K165" s="43"/>
      <c r="L165" s="44" t="str">
        <f>IF(K165="","",IFERROR(INDEX(Management!$A$3:$A$50,MATCH(K165,Management!$B$3:$B$50,0)),""))</f>
        <v/>
      </c>
      <c r="M165" s="42" t="str">
        <f>IF(I165="","",IF(K165="","Select Approval Name",IFERROR(IF(I165&lt;=IF(INDEX(Management!$C$3:$C$50,MATCH(K165,Management!$B$3:$B$50,0))="Unlimited",10^15,INDEX(Management!$C$3:$C$50,MATCH(K165,Management!$B$3:$B$50,0))),"Valid Approval","Limit Exceeded"),"Check Management Name")))</f>
        <v/>
      </c>
      <c r="N165" s="43"/>
      <c r="O165" s="43"/>
      <c r="P165" s="46"/>
      <c r="Q165" s="46"/>
    </row>
    <row r="166" spans="1:17" ht="15">
      <c r="A166" s="5" t="str">
        <f t="shared" si="2"/>
        <v/>
      </c>
      <c r="B166" s="43"/>
      <c r="C166" s="45"/>
      <c r="D166" s="45"/>
      <c r="E166" s="45"/>
      <c r="F166" s="43"/>
      <c r="G166" s="43"/>
      <c r="H166" s="43"/>
      <c r="I166" s="43"/>
      <c r="J166" s="43"/>
      <c r="K166" s="43"/>
      <c r="L166" s="44" t="str">
        <f>IF(K166="","",IFERROR(INDEX(Management!$A$3:$A$50,MATCH(K166,Management!$B$3:$B$50,0)),""))</f>
        <v/>
      </c>
      <c r="M166" s="42" t="str">
        <f>IF(I166="","",IF(K166="","Select Approval Name",IFERROR(IF(I166&lt;=IF(INDEX(Management!$C$3:$C$50,MATCH(K166,Management!$B$3:$B$50,0))="Unlimited",10^15,INDEX(Management!$C$3:$C$50,MATCH(K166,Management!$B$3:$B$50,0))),"Valid Approval","Limit Exceeded"),"Check Management Name")))</f>
        <v/>
      </c>
      <c r="N166" s="43"/>
      <c r="O166" s="43"/>
      <c r="P166" s="46"/>
      <c r="Q166" s="46"/>
    </row>
    <row r="167" spans="1:17" ht="15">
      <c r="A167" s="5" t="str">
        <f t="shared" si="2"/>
        <v/>
      </c>
      <c r="B167" s="43"/>
      <c r="C167" s="45"/>
      <c r="D167" s="45"/>
      <c r="E167" s="45"/>
      <c r="F167" s="43"/>
      <c r="G167" s="43"/>
      <c r="H167" s="43"/>
      <c r="I167" s="43"/>
      <c r="J167" s="43"/>
      <c r="K167" s="43"/>
      <c r="L167" s="44" t="str">
        <f>IF(K167="","",IFERROR(INDEX(Management!$A$3:$A$50,MATCH(K167,Management!$B$3:$B$50,0)),""))</f>
        <v/>
      </c>
      <c r="M167" s="42" t="str">
        <f>IF(I167="","",IF(K167="","Select Approval Name",IFERROR(IF(I167&lt;=IF(INDEX(Management!$C$3:$C$50,MATCH(K167,Management!$B$3:$B$50,0))="Unlimited",10^15,INDEX(Management!$C$3:$C$50,MATCH(K167,Management!$B$3:$B$50,0))),"Valid Approval","Limit Exceeded"),"Check Management Name")))</f>
        <v/>
      </c>
      <c r="N167" s="43"/>
      <c r="O167" s="43"/>
      <c r="P167" s="46"/>
      <c r="Q167" s="46"/>
    </row>
    <row r="168" spans="1:17" ht="15">
      <c r="A168" s="5" t="str">
        <f t="shared" si="2"/>
        <v/>
      </c>
      <c r="B168" s="43"/>
      <c r="C168" s="45"/>
      <c r="D168" s="45"/>
      <c r="E168" s="45"/>
      <c r="F168" s="43"/>
      <c r="G168" s="43"/>
      <c r="H168" s="43"/>
      <c r="I168" s="43"/>
      <c r="J168" s="43"/>
      <c r="K168" s="43"/>
      <c r="L168" s="44" t="str">
        <f>IF(K168="","",IFERROR(INDEX(Management!$A$3:$A$50,MATCH(K168,Management!$B$3:$B$50,0)),""))</f>
        <v/>
      </c>
      <c r="M168" s="42" t="str">
        <f>IF(I168="","",IF(K168="","Select Approval Name",IFERROR(IF(I168&lt;=IF(INDEX(Management!$C$3:$C$50,MATCH(K168,Management!$B$3:$B$50,0))="Unlimited",10^15,INDEX(Management!$C$3:$C$50,MATCH(K168,Management!$B$3:$B$50,0))),"Valid Approval","Limit Exceeded"),"Check Management Name")))</f>
        <v/>
      </c>
      <c r="N168" s="43"/>
      <c r="O168" s="43"/>
      <c r="P168" s="46"/>
      <c r="Q168" s="46"/>
    </row>
    <row r="169" spans="1:17" ht="15">
      <c r="A169" s="5" t="str">
        <f t="shared" si="2"/>
        <v/>
      </c>
      <c r="B169" s="43"/>
      <c r="C169" s="45"/>
      <c r="D169" s="45"/>
      <c r="E169" s="45"/>
      <c r="F169" s="43"/>
      <c r="G169" s="43"/>
      <c r="H169" s="43"/>
      <c r="I169" s="43"/>
      <c r="J169" s="43"/>
      <c r="K169" s="43"/>
      <c r="L169" s="44" t="str">
        <f>IF(K169="","",IFERROR(INDEX(Management!$A$3:$A$50,MATCH(K169,Management!$B$3:$B$50,0)),""))</f>
        <v/>
      </c>
      <c r="M169" s="42" t="str">
        <f>IF(I169="","",IF(K169="","Select Approval Name",IFERROR(IF(I169&lt;=IF(INDEX(Management!$C$3:$C$50,MATCH(K169,Management!$B$3:$B$50,0))="Unlimited",10^15,INDEX(Management!$C$3:$C$50,MATCH(K169,Management!$B$3:$B$50,0))),"Valid Approval","Limit Exceeded"),"Check Management Name")))</f>
        <v/>
      </c>
      <c r="N169" s="43"/>
      <c r="O169" s="43"/>
      <c r="P169" s="46"/>
      <c r="Q169" s="46"/>
    </row>
    <row r="170" spans="1:17" ht="15">
      <c r="A170" s="5" t="str">
        <f t="shared" si="2"/>
        <v/>
      </c>
      <c r="B170" s="43"/>
      <c r="C170" s="45"/>
      <c r="D170" s="45"/>
      <c r="E170" s="45"/>
      <c r="F170" s="43"/>
      <c r="G170" s="43"/>
      <c r="H170" s="43"/>
      <c r="I170" s="43"/>
      <c r="J170" s="43"/>
      <c r="K170" s="43"/>
      <c r="L170" s="44" t="str">
        <f>IF(K170="","",IFERROR(INDEX(Management!$A$3:$A$50,MATCH(K170,Management!$B$3:$B$50,0)),""))</f>
        <v/>
      </c>
      <c r="M170" s="42" t="str">
        <f>IF(I170="","",IF(K170="","Select Approval Name",IFERROR(IF(I170&lt;=IF(INDEX(Management!$C$3:$C$50,MATCH(K170,Management!$B$3:$B$50,0))="Unlimited",10^15,INDEX(Management!$C$3:$C$50,MATCH(K170,Management!$B$3:$B$50,0))),"Valid Approval","Limit Exceeded"),"Check Management Name")))</f>
        <v/>
      </c>
      <c r="N170" s="43"/>
      <c r="O170" s="43"/>
      <c r="P170" s="46"/>
      <c r="Q170" s="46"/>
    </row>
    <row r="171" spans="1:17" ht="15">
      <c r="A171" s="5" t="str">
        <f t="shared" si="2"/>
        <v/>
      </c>
      <c r="B171" s="43"/>
      <c r="C171" s="45"/>
      <c r="D171" s="45"/>
      <c r="E171" s="45"/>
      <c r="F171" s="43"/>
      <c r="G171" s="43"/>
      <c r="H171" s="43"/>
      <c r="I171" s="43"/>
      <c r="J171" s="43"/>
      <c r="K171" s="43"/>
      <c r="L171" s="44" t="str">
        <f>IF(K171="","",IFERROR(INDEX(Management!$A$3:$A$50,MATCH(K171,Management!$B$3:$B$50,0)),""))</f>
        <v/>
      </c>
      <c r="M171" s="42" t="str">
        <f>IF(I171="","",IF(K171="","Select Approval Name",IFERROR(IF(I171&lt;=IF(INDEX(Management!$C$3:$C$50,MATCH(K171,Management!$B$3:$B$50,0))="Unlimited",10^15,INDEX(Management!$C$3:$C$50,MATCH(K171,Management!$B$3:$B$50,0))),"Valid Approval","Limit Exceeded"),"Check Management Name")))</f>
        <v/>
      </c>
      <c r="N171" s="43"/>
      <c r="O171" s="43"/>
      <c r="P171" s="46"/>
      <c r="Q171" s="46"/>
    </row>
    <row r="172" spans="1:17" ht="15">
      <c r="A172" s="5" t="str">
        <f t="shared" si="2"/>
        <v/>
      </c>
      <c r="B172" s="43"/>
      <c r="C172" s="45"/>
      <c r="D172" s="45"/>
      <c r="E172" s="45"/>
      <c r="F172" s="43"/>
      <c r="G172" s="43"/>
      <c r="H172" s="43"/>
      <c r="I172" s="43"/>
      <c r="J172" s="43"/>
      <c r="K172" s="43"/>
      <c r="L172" s="44" t="str">
        <f>IF(K172="","",IFERROR(INDEX(Management!$A$3:$A$50,MATCH(K172,Management!$B$3:$B$50,0)),""))</f>
        <v/>
      </c>
      <c r="M172" s="42" t="str">
        <f>IF(I172="","",IF(K172="","Select Approval Name",IFERROR(IF(I172&lt;=IF(INDEX(Management!$C$3:$C$50,MATCH(K172,Management!$B$3:$B$50,0))="Unlimited",10^15,INDEX(Management!$C$3:$C$50,MATCH(K172,Management!$B$3:$B$50,0))),"Valid Approval","Limit Exceeded"),"Check Management Name")))</f>
        <v/>
      </c>
      <c r="N172" s="43"/>
      <c r="O172" s="43"/>
      <c r="P172" s="46"/>
      <c r="Q172" s="46"/>
    </row>
    <row r="173" spans="1:17" ht="15">
      <c r="A173" s="5" t="str">
        <f t="shared" si="2"/>
        <v/>
      </c>
      <c r="B173" s="43"/>
      <c r="C173" s="45"/>
      <c r="D173" s="45"/>
      <c r="E173" s="45"/>
      <c r="F173" s="43"/>
      <c r="G173" s="43"/>
      <c r="H173" s="43"/>
      <c r="I173" s="43"/>
      <c r="J173" s="43"/>
      <c r="K173" s="43"/>
      <c r="L173" s="44" t="str">
        <f>IF(K173="","",IFERROR(INDEX(Management!$A$3:$A$50,MATCH(K173,Management!$B$3:$B$50,0)),""))</f>
        <v/>
      </c>
      <c r="M173" s="42" t="str">
        <f>IF(I173="","",IF(K173="","Select Approval Name",IFERROR(IF(I173&lt;=IF(INDEX(Management!$C$3:$C$50,MATCH(K173,Management!$B$3:$B$50,0))="Unlimited",10^15,INDEX(Management!$C$3:$C$50,MATCH(K173,Management!$B$3:$B$50,0))),"Valid Approval","Limit Exceeded"),"Check Management Name")))</f>
        <v/>
      </c>
      <c r="N173" s="43"/>
      <c r="O173" s="43"/>
      <c r="P173" s="46"/>
      <c r="Q173" s="46"/>
    </row>
    <row r="174" spans="1:17" ht="15">
      <c r="A174" s="5" t="str">
        <f t="shared" si="2"/>
        <v/>
      </c>
      <c r="B174" s="43"/>
      <c r="C174" s="45"/>
      <c r="D174" s="45"/>
      <c r="E174" s="45"/>
      <c r="F174" s="43"/>
      <c r="G174" s="43"/>
      <c r="H174" s="43"/>
      <c r="I174" s="43"/>
      <c r="J174" s="43"/>
      <c r="K174" s="43"/>
      <c r="L174" s="44" t="str">
        <f>IF(K174="","",IFERROR(INDEX(Management!$A$3:$A$50,MATCH(K174,Management!$B$3:$B$50,0)),""))</f>
        <v/>
      </c>
      <c r="M174" s="42" t="str">
        <f>IF(I174="","",IF(K174="","Select Approval Name",IFERROR(IF(I174&lt;=IF(INDEX(Management!$C$3:$C$50,MATCH(K174,Management!$B$3:$B$50,0))="Unlimited",10^15,INDEX(Management!$C$3:$C$50,MATCH(K174,Management!$B$3:$B$50,0))),"Valid Approval","Limit Exceeded"),"Check Management Name")))</f>
        <v/>
      </c>
      <c r="N174" s="43"/>
      <c r="O174" s="43"/>
      <c r="P174" s="46"/>
      <c r="Q174" s="46"/>
    </row>
    <row r="175" spans="1:17" ht="15">
      <c r="A175" s="5" t="str">
        <f t="shared" si="2"/>
        <v/>
      </c>
      <c r="B175" s="43"/>
      <c r="C175" s="45"/>
      <c r="D175" s="45"/>
      <c r="E175" s="45"/>
      <c r="F175" s="43"/>
      <c r="G175" s="43"/>
      <c r="H175" s="43"/>
      <c r="I175" s="43"/>
      <c r="J175" s="43"/>
      <c r="K175" s="43"/>
      <c r="L175" s="44" t="str">
        <f>IF(K175="","",IFERROR(INDEX(Management!$A$3:$A$50,MATCH(K175,Management!$B$3:$B$50,0)),""))</f>
        <v/>
      </c>
      <c r="M175" s="42" t="str">
        <f>IF(I175="","",IF(K175="","Select Approval Name",IFERROR(IF(I175&lt;=IF(INDEX(Management!$C$3:$C$50,MATCH(K175,Management!$B$3:$B$50,0))="Unlimited",10^15,INDEX(Management!$C$3:$C$50,MATCH(K175,Management!$B$3:$B$50,0))),"Valid Approval","Limit Exceeded"),"Check Management Name")))</f>
        <v/>
      </c>
      <c r="N175" s="43"/>
      <c r="O175" s="43"/>
      <c r="P175" s="46"/>
      <c r="Q175" s="46"/>
    </row>
    <row r="176" spans="1:17" ht="15">
      <c r="A176" s="5" t="str">
        <f t="shared" si="2"/>
        <v/>
      </c>
      <c r="B176" s="43"/>
      <c r="C176" s="45"/>
      <c r="D176" s="45"/>
      <c r="E176" s="45"/>
      <c r="F176" s="43"/>
      <c r="G176" s="43"/>
      <c r="H176" s="43"/>
      <c r="I176" s="43"/>
      <c r="J176" s="43"/>
      <c r="K176" s="43"/>
      <c r="L176" s="44" t="str">
        <f>IF(K176="","",IFERROR(INDEX(Management!$A$3:$A$50,MATCH(K176,Management!$B$3:$B$50,0)),""))</f>
        <v/>
      </c>
      <c r="M176" s="42" t="str">
        <f>IF(I176="","",IF(K176="","Select Approval Name",IFERROR(IF(I176&lt;=IF(INDEX(Management!$C$3:$C$50,MATCH(K176,Management!$B$3:$B$50,0))="Unlimited",10^15,INDEX(Management!$C$3:$C$50,MATCH(K176,Management!$B$3:$B$50,0))),"Valid Approval","Limit Exceeded"),"Check Management Name")))</f>
        <v/>
      </c>
      <c r="N176" s="43"/>
      <c r="O176" s="43"/>
      <c r="P176" s="46"/>
      <c r="Q176" s="46"/>
    </row>
    <row r="177" spans="1:17" ht="15">
      <c r="A177" s="5" t="str">
        <f t="shared" si="2"/>
        <v/>
      </c>
      <c r="B177" s="43"/>
      <c r="C177" s="45"/>
      <c r="D177" s="45"/>
      <c r="E177" s="45"/>
      <c r="F177" s="43"/>
      <c r="G177" s="43"/>
      <c r="H177" s="43"/>
      <c r="I177" s="43"/>
      <c r="J177" s="43"/>
      <c r="K177" s="43"/>
      <c r="L177" s="44" t="str">
        <f>IF(K177="","",IFERROR(INDEX(Management!$A$3:$A$50,MATCH(K177,Management!$B$3:$B$50,0)),""))</f>
        <v/>
      </c>
      <c r="M177" s="42" t="str">
        <f>IF(I177="","",IF(K177="","Select Approval Name",IFERROR(IF(I177&lt;=IF(INDEX(Management!$C$3:$C$50,MATCH(K177,Management!$B$3:$B$50,0))="Unlimited",10^15,INDEX(Management!$C$3:$C$50,MATCH(K177,Management!$B$3:$B$50,0))),"Valid Approval","Limit Exceeded"),"Check Management Name")))</f>
        <v/>
      </c>
      <c r="N177" s="43"/>
      <c r="O177" s="43"/>
      <c r="P177" s="46"/>
      <c r="Q177" s="46"/>
    </row>
    <row r="178" spans="1:17" ht="15">
      <c r="A178" s="5" t="str">
        <f t="shared" si="2"/>
        <v/>
      </c>
      <c r="B178" s="43"/>
      <c r="C178" s="45"/>
      <c r="D178" s="45"/>
      <c r="E178" s="45"/>
      <c r="F178" s="43"/>
      <c r="G178" s="43"/>
      <c r="H178" s="43"/>
      <c r="I178" s="43"/>
      <c r="J178" s="43"/>
      <c r="K178" s="43"/>
      <c r="L178" s="44" t="str">
        <f>IF(K178="","",IFERROR(INDEX(Management!$A$3:$A$50,MATCH(K178,Management!$B$3:$B$50,0)),""))</f>
        <v/>
      </c>
      <c r="M178" s="42" t="str">
        <f>IF(I178="","",IF(K178="","Select Approval Name",IFERROR(IF(I178&lt;=IF(INDEX(Management!$C$3:$C$50,MATCH(K178,Management!$B$3:$B$50,0))="Unlimited",10^15,INDEX(Management!$C$3:$C$50,MATCH(K178,Management!$B$3:$B$50,0))),"Valid Approval","Limit Exceeded"),"Check Management Name")))</f>
        <v/>
      </c>
      <c r="N178" s="43"/>
      <c r="O178" s="43"/>
      <c r="P178" s="46"/>
      <c r="Q178" s="46"/>
    </row>
    <row r="179" spans="1:17" ht="15">
      <c r="A179" s="5" t="str">
        <f t="shared" si="2"/>
        <v/>
      </c>
      <c r="B179" s="43"/>
      <c r="C179" s="45"/>
      <c r="D179" s="45"/>
      <c r="E179" s="45"/>
      <c r="F179" s="43"/>
      <c r="G179" s="43"/>
      <c r="H179" s="43"/>
      <c r="I179" s="43"/>
      <c r="J179" s="43"/>
      <c r="K179" s="43"/>
      <c r="L179" s="44" t="str">
        <f>IF(K179="","",IFERROR(INDEX(Management!$A$3:$A$50,MATCH(K179,Management!$B$3:$B$50,0)),""))</f>
        <v/>
      </c>
      <c r="M179" s="42" t="str">
        <f>IF(I179="","",IF(K179="","Select Approval Name",IFERROR(IF(I179&lt;=IF(INDEX(Management!$C$3:$C$50,MATCH(K179,Management!$B$3:$B$50,0))="Unlimited",10^15,INDEX(Management!$C$3:$C$50,MATCH(K179,Management!$B$3:$B$50,0))),"Valid Approval","Limit Exceeded"),"Check Management Name")))</f>
        <v/>
      </c>
      <c r="N179" s="43"/>
      <c r="O179" s="43"/>
      <c r="P179" s="46"/>
      <c r="Q179" s="46"/>
    </row>
    <row r="180" spans="1:17" ht="15">
      <c r="A180" s="5" t="str">
        <f t="shared" si="2"/>
        <v/>
      </c>
      <c r="B180" s="43"/>
      <c r="C180" s="45"/>
      <c r="D180" s="45"/>
      <c r="E180" s="45"/>
      <c r="F180" s="43"/>
      <c r="G180" s="43"/>
      <c r="H180" s="43"/>
      <c r="I180" s="43"/>
      <c r="J180" s="43"/>
      <c r="K180" s="43"/>
      <c r="L180" s="44" t="str">
        <f>IF(K180="","",IFERROR(INDEX(Management!$A$3:$A$50,MATCH(K180,Management!$B$3:$B$50,0)),""))</f>
        <v/>
      </c>
      <c r="M180" s="42" t="str">
        <f>IF(I180="","",IF(K180="","Select Approval Name",IFERROR(IF(I180&lt;=IF(INDEX(Management!$C$3:$C$50,MATCH(K180,Management!$B$3:$B$50,0))="Unlimited",10^15,INDEX(Management!$C$3:$C$50,MATCH(K180,Management!$B$3:$B$50,0))),"Valid Approval","Limit Exceeded"),"Check Management Name")))</f>
        <v/>
      </c>
      <c r="N180" s="43"/>
      <c r="O180" s="43"/>
      <c r="P180" s="46"/>
      <c r="Q180" s="46"/>
    </row>
    <row r="181" spans="1:17" ht="15">
      <c r="A181" s="5" t="str">
        <f t="shared" si="2"/>
        <v/>
      </c>
      <c r="B181" s="43"/>
      <c r="C181" s="45"/>
      <c r="D181" s="45"/>
      <c r="E181" s="45"/>
      <c r="F181" s="43"/>
      <c r="G181" s="43"/>
      <c r="H181" s="43"/>
      <c r="I181" s="43"/>
      <c r="J181" s="43"/>
      <c r="K181" s="43"/>
      <c r="L181" s="44" t="str">
        <f>IF(K181="","",IFERROR(INDEX(Management!$A$3:$A$50,MATCH(K181,Management!$B$3:$B$50,0)),""))</f>
        <v/>
      </c>
      <c r="M181" s="42" t="str">
        <f>IF(I181="","",IF(K181="","Select Approval Name",IFERROR(IF(I181&lt;=IF(INDEX(Management!$C$3:$C$50,MATCH(K181,Management!$B$3:$B$50,0))="Unlimited",10^15,INDEX(Management!$C$3:$C$50,MATCH(K181,Management!$B$3:$B$50,0))),"Valid Approval","Limit Exceeded"),"Check Management Name")))</f>
        <v/>
      </c>
      <c r="N181" s="43"/>
      <c r="O181" s="43"/>
      <c r="P181" s="46"/>
      <c r="Q181" s="46"/>
    </row>
    <row r="182" spans="1:17" ht="15">
      <c r="A182" s="5" t="str">
        <f t="shared" si="2"/>
        <v/>
      </c>
      <c r="B182" s="43"/>
      <c r="C182" s="45"/>
      <c r="D182" s="45"/>
      <c r="E182" s="45"/>
      <c r="F182" s="43"/>
      <c r="G182" s="43"/>
      <c r="H182" s="43"/>
      <c r="I182" s="43"/>
      <c r="J182" s="43"/>
      <c r="K182" s="43"/>
      <c r="L182" s="44" t="str">
        <f>IF(K182="","",IFERROR(INDEX(Management!$A$3:$A$50,MATCH(K182,Management!$B$3:$B$50,0)),""))</f>
        <v/>
      </c>
      <c r="M182" s="42" t="str">
        <f>IF(I182="","",IF(K182="","Select Approval Name",IFERROR(IF(I182&lt;=IF(INDEX(Management!$C$3:$C$50,MATCH(K182,Management!$B$3:$B$50,0))="Unlimited",10^15,INDEX(Management!$C$3:$C$50,MATCH(K182,Management!$B$3:$B$50,0))),"Valid Approval","Limit Exceeded"),"Check Management Name")))</f>
        <v/>
      </c>
      <c r="N182" s="43"/>
      <c r="O182" s="43"/>
      <c r="P182" s="46"/>
      <c r="Q182" s="46"/>
    </row>
    <row r="183" spans="1:17" ht="15">
      <c r="A183" s="5" t="str">
        <f t="shared" si="2"/>
        <v/>
      </c>
      <c r="B183" s="43"/>
      <c r="C183" s="45"/>
      <c r="D183" s="45"/>
      <c r="E183" s="45"/>
      <c r="F183" s="43"/>
      <c r="G183" s="43"/>
      <c r="H183" s="43"/>
      <c r="I183" s="43"/>
      <c r="J183" s="43"/>
      <c r="K183" s="43"/>
      <c r="L183" s="44" t="str">
        <f>IF(K183="","",IFERROR(INDEX(Management!$A$3:$A$50,MATCH(K183,Management!$B$3:$B$50,0)),""))</f>
        <v/>
      </c>
      <c r="M183" s="42" t="str">
        <f>IF(I183="","",IF(K183="","Select Approval Name",IFERROR(IF(I183&lt;=IF(INDEX(Management!$C$3:$C$50,MATCH(K183,Management!$B$3:$B$50,0))="Unlimited",10^15,INDEX(Management!$C$3:$C$50,MATCH(K183,Management!$B$3:$B$50,0))),"Valid Approval","Limit Exceeded"),"Check Management Name")))</f>
        <v/>
      </c>
      <c r="N183" s="43"/>
      <c r="O183" s="43"/>
      <c r="P183" s="46"/>
      <c r="Q183" s="46"/>
    </row>
    <row r="184" spans="1:17" ht="15">
      <c r="A184" s="5" t="str">
        <f t="shared" si="2"/>
        <v/>
      </c>
      <c r="B184" s="43"/>
      <c r="C184" s="45"/>
      <c r="D184" s="45"/>
      <c r="E184" s="45"/>
      <c r="F184" s="43"/>
      <c r="G184" s="43"/>
      <c r="H184" s="43"/>
      <c r="I184" s="43"/>
      <c r="J184" s="43"/>
      <c r="K184" s="43"/>
      <c r="L184" s="44" t="str">
        <f>IF(K184="","",IFERROR(INDEX(Management!$A$3:$A$50,MATCH(K184,Management!$B$3:$B$50,0)),""))</f>
        <v/>
      </c>
      <c r="M184" s="42" t="str">
        <f>IF(I184="","",IF(K184="","Select Approval Name",IFERROR(IF(I184&lt;=IF(INDEX(Management!$C$3:$C$50,MATCH(K184,Management!$B$3:$B$50,0))="Unlimited",10^15,INDEX(Management!$C$3:$C$50,MATCH(K184,Management!$B$3:$B$50,0))),"Valid Approval","Limit Exceeded"),"Check Management Name")))</f>
        <v/>
      </c>
      <c r="N184" s="43"/>
      <c r="O184" s="43"/>
      <c r="P184" s="46"/>
      <c r="Q184" s="46"/>
    </row>
    <row r="185" spans="1:17" ht="15">
      <c r="A185" s="5" t="str">
        <f t="shared" si="2"/>
        <v/>
      </c>
      <c r="B185" s="43"/>
      <c r="C185" s="45"/>
      <c r="D185" s="45"/>
      <c r="E185" s="45"/>
      <c r="F185" s="43"/>
      <c r="G185" s="43"/>
      <c r="H185" s="43"/>
      <c r="I185" s="43"/>
      <c r="J185" s="43"/>
      <c r="K185" s="43"/>
      <c r="L185" s="44" t="str">
        <f>IF(K185="","",IFERROR(INDEX(Management!$A$3:$A$50,MATCH(K185,Management!$B$3:$B$50,0)),""))</f>
        <v/>
      </c>
      <c r="M185" s="42" t="str">
        <f>IF(I185="","",IF(K185="","Select Approval Name",IFERROR(IF(I185&lt;=IF(INDEX(Management!$C$3:$C$50,MATCH(K185,Management!$B$3:$B$50,0))="Unlimited",10^15,INDEX(Management!$C$3:$C$50,MATCH(K185,Management!$B$3:$B$50,0))),"Valid Approval","Limit Exceeded"),"Check Management Name")))</f>
        <v/>
      </c>
      <c r="N185" s="43"/>
      <c r="O185" s="43"/>
      <c r="P185" s="46"/>
      <c r="Q185" s="46"/>
    </row>
    <row r="186" spans="1:17" ht="15">
      <c r="A186" s="5" t="str">
        <f t="shared" si="2"/>
        <v/>
      </c>
      <c r="B186" s="43"/>
      <c r="C186" s="45"/>
      <c r="D186" s="45"/>
      <c r="E186" s="45"/>
      <c r="F186" s="43"/>
      <c r="G186" s="43"/>
      <c r="H186" s="43"/>
      <c r="I186" s="43"/>
      <c r="J186" s="43"/>
      <c r="K186" s="43"/>
      <c r="L186" s="44" t="str">
        <f>IF(K186="","",IFERROR(INDEX(Management!$A$3:$A$50,MATCH(K186,Management!$B$3:$B$50,0)),""))</f>
        <v/>
      </c>
      <c r="M186" s="42" t="str">
        <f>IF(I186="","",IF(K186="","Select Approval Name",IFERROR(IF(I186&lt;=IF(INDEX(Management!$C$3:$C$50,MATCH(K186,Management!$B$3:$B$50,0))="Unlimited",10^15,INDEX(Management!$C$3:$C$50,MATCH(K186,Management!$B$3:$B$50,0))),"Valid Approval","Limit Exceeded"),"Check Management Name")))</f>
        <v/>
      </c>
      <c r="N186" s="43"/>
      <c r="O186" s="43"/>
      <c r="P186" s="46"/>
      <c r="Q186" s="46"/>
    </row>
    <row r="187" spans="1:17" ht="15">
      <c r="A187" s="5" t="str">
        <f t="shared" si="2"/>
        <v/>
      </c>
      <c r="B187" s="43"/>
      <c r="C187" s="45"/>
      <c r="D187" s="45"/>
      <c r="E187" s="45"/>
      <c r="F187" s="43"/>
      <c r="G187" s="43"/>
      <c r="H187" s="43"/>
      <c r="I187" s="43"/>
      <c r="J187" s="43"/>
      <c r="K187" s="43"/>
      <c r="L187" s="44" t="str">
        <f>IF(K187="","",IFERROR(INDEX(Management!$A$3:$A$50,MATCH(K187,Management!$B$3:$B$50,0)),""))</f>
        <v/>
      </c>
      <c r="M187" s="42" t="str">
        <f>IF(I187="","",IF(K187="","Select Approval Name",IFERROR(IF(I187&lt;=IF(INDEX(Management!$C$3:$C$50,MATCH(K187,Management!$B$3:$B$50,0))="Unlimited",10^15,INDEX(Management!$C$3:$C$50,MATCH(K187,Management!$B$3:$B$50,0))),"Valid Approval","Limit Exceeded"),"Check Management Name")))</f>
        <v/>
      </c>
      <c r="N187" s="43"/>
      <c r="O187" s="43"/>
      <c r="P187" s="46"/>
      <c r="Q187" s="46"/>
    </row>
    <row r="188" spans="1:17" ht="15">
      <c r="A188" s="5" t="str">
        <f t="shared" si="2"/>
        <v/>
      </c>
      <c r="B188" s="43"/>
      <c r="C188" s="45"/>
      <c r="D188" s="45"/>
      <c r="E188" s="45"/>
      <c r="F188" s="43"/>
      <c r="G188" s="43"/>
      <c r="H188" s="43"/>
      <c r="I188" s="43"/>
      <c r="J188" s="43"/>
      <c r="K188" s="43"/>
      <c r="L188" s="44" t="str">
        <f>IF(K188="","",IFERROR(INDEX(Management!$A$3:$A$50,MATCH(K188,Management!$B$3:$B$50,0)),""))</f>
        <v/>
      </c>
      <c r="M188" s="42" t="str">
        <f>IF(I188="","",IF(K188="","Select Approval Name",IFERROR(IF(I188&lt;=IF(INDEX(Management!$C$3:$C$50,MATCH(K188,Management!$B$3:$B$50,0))="Unlimited",10^15,INDEX(Management!$C$3:$C$50,MATCH(K188,Management!$B$3:$B$50,0))),"Valid Approval","Limit Exceeded"),"Check Management Name")))</f>
        <v/>
      </c>
      <c r="N188" s="43"/>
      <c r="O188" s="43"/>
      <c r="P188" s="46"/>
      <c r="Q188" s="46"/>
    </row>
    <row r="189" spans="1:17" ht="15">
      <c r="A189" s="5" t="str">
        <f t="shared" si="2"/>
        <v/>
      </c>
      <c r="B189" s="43"/>
      <c r="C189" s="45"/>
      <c r="D189" s="45"/>
      <c r="E189" s="45"/>
      <c r="F189" s="43"/>
      <c r="G189" s="43"/>
      <c r="H189" s="43"/>
      <c r="I189" s="43"/>
      <c r="J189" s="43"/>
      <c r="K189" s="43"/>
      <c r="L189" s="44" t="str">
        <f>IF(K189="","",IFERROR(INDEX(Management!$A$3:$A$50,MATCH(K189,Management!$B$3:$B$50,0)),""))</f>
        <v/>
      </c>
      <c r="M189" s="42" t="str">
        <f>IF(I189="","",IF(K189="","Select Approval Name",IFERROR(IF(I189&lt;=IF(INDEX(Management!$C$3:$C$50,MATCH(K189,Management!$B$3:$B$50,0))="Unlimited",10^15,INDEX(Management!$C$3:$C$50,MATCH(K189,Management!$B$3:$B$50,0))),"Valid Approval","Limit Exceeded"),"Check Management Name")))</f>
        <v/>
      </c>
      <c r="N189" s="43"/>
      <c r="O189" s="43"/>
      <c r="P189" s="46"/>
      <c r="Q189" s="46"/>
    </row>
    <row r="190" spans="1:17" ht="15">
      <c r="A190" s="5" t="str">
        <f t="shared" si="2"/>
        <v/>
      </c>
      <c r="B190" s="43"/>
      <c r="C190" s="45"/>
      <c r="D190" s="45"/>
      <c r="E190" s="45"/>
      <c r="F190" s="43"/>
      <c r="G190" s="43"/>
      <c r="H190" s="43"/>
      <c r="I190" s="43"/>
      <c r="J190" s="43"/>
      <c r="K190" s="43"/>
      <c r="L190" s="44" t="str">
        <f>IF(K190="","",IFERROR(INDEX(Management!$A$3:$A$50,MATCH(K190,Management!$B$3:$B$50,0)),""))</f>
        <v/>
      </c>
      <c r="M190" s="42" t="str">
        <f>IF(I190="","",IF(K190="","Select Approval Name",IFERROR(IF(I190&lt;=IF(INDEX(Management!$C$3:$C$50,MATCH(K190,Management!$B$3:$B$50,0))="Unlimited",10^15,INDEX(Management!$C$3:$C$50,MATCH(K190,Management!$B$3:$B$50,0))),"Valid Approval","Limit Exceeded"),"Check Management Name")))</f>
        <v/>
      </c>
      <c r="N190" s="43"/>
      <c r="O190" s="43"/>
      <c r="P190" s="46"/>
      <c r="Q190" s="46"/>
    </row>
    <row r="191" spans="1:17" ht="15">
      <c r="A191" s="5" t="str">
        <f t="shared" si="2"/>
        <v/>
      </c>
      <c r="B191" s="43"/>
      <c r="C191" s="45"/>
      <c r="D191" s="45"/>
      <c r="E191" s="45"/>
      <c r="F191" s="43"/>
      <c r="G191" s="43"/>
      <c r="H191" s="43"/>
      <c r="I191" s="43"/>
      <c r="J191" s="43"/>
      <c r="K191" s="43"/>
      <c r="L191" s="44" t="str">
        <f>IF(K191="","",IFERROR(INDEX(Management!$A$3:$A$50,MATCH(K191,Management!$B$3:$B$50,0)),""))</f>
        <v/>
      </c>
      <c r="M191" s="42" t="str">
        <f>IF(I191="","",IF(K191="","Select Approval Name",IFERROR(IF(I191&lt;=IF(INDEX(Management!$C$3:$C$50,MATCH(K191,Management!$B$3:$B$50,0))="Unlimited",10^15,INDEX(Management!$C$3:$C$50,MATCH(K191,Management!$B$3:$B$50,0))),"Valid Approval","Limit Exceeded"),"Check Management Name")))</f>
        <v/>
      </c>
      <c r="N191" s="43"/>
      <c r="O191" s="43"/>
      <c r="P191" s="46"/>
      <c r="Q191" s="46"/>
    </row>
    <row r="192" spans="1:17" ht="15">
      <c r="A192" s="5" t="str">
        <f t="shared" si="2"/>
        <v/>
      </c>
      <c r="B192" s="43"/>
      <c r="C192" s="45"/>
      <c r="D192" s="45"/>
      <c r="E192" s="45"/>
      <c r="F192" s="43"/>
      <c r="G192" s="43"/>
      <c r="H192" s="43"/>
      <c r="I192" s="43"/>
      <c r="J192" s="43"/>
      <c r="K192" s="43"/>
      <c r="L192" s="44" t="str">
        <f>IF(K192="","",IFERROR(INDEX(Management!$A$3:$A$50,MATCH(K192,Management!$B$3:$B$50,0)),""))</f>
        <v/>
      </c>
      <c r="M192" s="42" t="str">
        <f>IF(I192="","",IF(K192="","Select Approval Name",IFERROR(IF(I192&lt;=IF(INDEX(Management!$C$3:$C$50,MATCH(K192,Management!$B$3:$B$50,0))="Unlimited",10^15,INDEX(Management!$C$3:$C$50,MATCH(K192,Management!$B$3:$B$50,0))),"Valid Approval","Limit Exceeded"),"Check Management Name")))</f>
        <v/>
      </c>
      <c r="N192" s="43"/>
      <c r="O192" s="43"/>
      <c r="P192" s="46"/>
      <c r="Q192" s="46"/>
    </row>
    <row r="193" spans="1:17" ht="15">
      <c r="A193" s="5" t="str">
        <f t="shared" si="2"/>
        <v/>
      </c>
      <c r="B193" s="43"/>
      <c r="C193" s="45"/>
      <c r="D193" s="45"/>
      <c r="E193" s="45"/>
      <c r="F193" s="43"/>
      <c r="G193" s="43"/>
      <c r="H193" s="43"/>
      <c r="I193" s="43"/>
      <c r="J193" s="43"/>
      <c r="K193" s="43"/>
      <c r="L193" s="44" t="str">
        <f>IF(K193="","",IFERROR(INDEX(Management!$A$3:$A$50,MATCH(K193,Management!$B$3:$B$50,0)),""))</f>
        <v/>
      </c>
      <c r="M193" s="42" t="str">
        <f>IF(I193="","",IF(K193="","Select Approval Name",IFERROR(IF(I193&lt;=IF(INDEX(Management!$C$3:$C$50,MATCH(K193,Management!$B$3:$B$50,0))="Unlimited",10^15,INDEX(Management!$C$3:$C$50,MATCH(K193,Management!$B$3:$B$50,0))),"Valid Approval","Limit Exceeded"),"Check Management Name")))</f>
        <v/>
      </c>
      <c r="N193" s="43"/>
      <c r="O193" s="43"/>
      <c r="P193" s="46"/>
      <c r="Q193" s="46"/>
    </row>
    <row r="194" spans="1:17" ht="15">
      <c r="A194" s="5" t="str">
        <f t="shared" ref="A194:A201" si="3">IF(D194="","",ROW()-1)</f>
        <v/>
      </c>
      <c r="B194" s="43"/>
      <c r="C194" s="45"/>
      <c r="D194" s="45"/>
      <c r="E194" s="45"/>
      <c r="F194" s="43"/>
      <c r="G194" s="43"/>
      <c r="H194" s="43"/>
      <c r="I194" s="43"/>
      <c r="J194" s="43"/>
      <c r="K194" s="43"/>
      <c r="L194" s="44" t="str">
        <f>IF(K194="","",IFERROR(INDEX(Management!$A$3:$A$50,MATCH(K194,Management!$B$3:$B$50,0)),""))</f>
        <v/>
      </c>
      <c r="M194" s="42" t="str">
        <f>IF(I194="","",IF(K194="","Select Approval Name",IFERROR(IF(I194&lt;=IF(INDEX(Management!$C$3:$C$50,MATCH(K194,Management!$B$3:$B$50,0))="Unlimited",10^15,INDEX(Management!$C$3:$C$50,MATCH(K194,Management!$B$3:$B$50,0))),"Valid Approval","Limit Exceeded"),"Check Management Name")))</f>
        <v/>
      </c>
      <c r="N194" s="43"/>
      <c r="O194" s="43"/>
      <c r="P194" s="46"/>
      <c r="Q194" s="46"/>
    </row>
    <row r="195" spans="1:17" ht="15">
      <c r="A195" s="5" t="str">
        <f t="shared" si="3"/>
        <v/>
      </c>
      <c r="B195" s="43"/>
      <c r="C195" s="45"/>
      <c r="D195" s="45"/>
      <c r="E195" s="45"/>
      <c r="F195" s="43"/>
      <c r="G195" s="43"/>
      <c r="H195" s="43"/>
      <c r="I195" s="43"/>
      <c r="J195" s="43"/>
      <c r="K195" s="43"/>
      <c r="L195" s="44" t="str">
        <f>IF(K195="","",IFERROR(INDEX(Management!$A$3:$A$50,MATCH(K195,Management!$B$3:$B$50,0)),""))</f>
        <v/>
      </c>
      <c r="M195" s="42" t="str">
        <f>IF(I195="","",IF(K195="","Select Approval Name",IFERROR(IF(I195&lt;=IF(INDEX(Management!$C$3:$C$50,MATCH(K195,Management!$B$3:$B$50,0))="Unlimited",10^15,INDEX(Management!$C$3:$C$50,MATCH(K195,Management!$B$3:$B$50,0))),"Valid Approval","Limit Exceeded"),"Check Management Name")))</f>
        <v/>
      </c>
      <c r="N195" s="43"/>
      <c r="O195" s="43"/>
      <c r="P195" s="46"/>
      <c r="Q195" s="46"/>
    </row>
    <row r="196" spans="1:17" ht="15">
      <c r="A196" s="5" t="str">
        <f t="shared" si="3"/>
        <v/>
      </c>
      <c r="B196" s="43"/>
      <c r="C196" s="45"/>
      <c r="D196" s="45"/>
      <c r="E196" s="45"/>
      <c r="F196" s="43"/>
      <c r="G196" s="43"/>
      <c r="H196" s="43"/>
      <c r="I196" s="43"/>
      <c r="J196" s="43"/>
      <c r="K196" s="43"/>
      <c r="L196" s="44" t="str">
        <f>IF(K196="","",IFERROR(INDEX(Management!$A$3:$A$50,MATCH(K196,Management!$B$3:$B$50,0)),""))</f>
        <v/>
      </c>
      <c r="M196" s="42" t="str">
        <f>IF(I196="","",IF(K196="","Select Approval Name",IFERROR(IF(I196&lt;=IF(INDEX(Management!$C$3:$C$50,MATCH(K196,Management!$B$3:$B$50,0))="Unlimited",10^15,INDEX(Management!$C$3:$C$50,MATCH(K196,Management!$B$3:$B$50,0))),"Valid Approval","Limit Exceeded"),"Check Management Name")))</f>
        <v/>
      </c>
      <c r="N196" s="43"/>
      <c r="O196" s="43"/>
      <c r="P196" s="46"/>
      <c r="Q196" s="46"/>
    </row>
    <row r="197" spans="1:17" ht="15">
      <c r="A197" s="5" t="str">
        <f t="shared" si="3"/>
        <v/>
      </c>
      <c r="B197" s="43"/>
      <c r="C197" s="45"/>
      <c r="D197" s="45"/>
      <c r="E197" s="45"/>
      <c r="F197" s="43"/>
      <c r="G197" s="43"/>
      <c r="H197" s="43"/>
      <c r="I197" s="43"/>
      <c r="J197" s="43"/>
      <c r="K197" s="43"/>
      <c r="L197" s="44" t="str">
        <f>IF(K197="","",IFERROR(INDEX(Management!$A$3:$A$50,MATCH(K197,Management!$B$3:$B$50,0)),""))</f>
        <v/>
      </c>
      <c r="M197" s="42" t="str">
        <f>IF(I197="","",IF(K197="","Select Approval Name",IFERROR(IF(I197&lt;=IF(INDEX(Management!$C$3:$C$50,MATCH(K197,Management!$B$3:$B$50,0))="Unlimited",10^15,INDEX(Management!$C$3:$C$50,MATCH(K197,Management!$B$3:$B$50,0))),"Valid Approval","Limit Exceeded"),"Check Management Name")))</f>
        <v/>
      </c>
      <c r="N197" s="43"/>
      <c r="O197" s="43"/>
      <c r="P197" s="46"/>
      <c r="Q197" s="46"/>
    </row>
    <row r="198" spans="1:17" ht="15">
      <c r="A198" s="5" t="str">
        <f t="shared" si="3"/>
        <v/>
      </c>
      <c r="B198" s="43"/>
      <c r="C198" s="45"/>
      <c r="D198" s="45"/>
      <c r="E198" s="45"/>
      <c r="F198" s="43"/>
      <c r="G198" s="43"/>
      <c r="H198" s="43"/>
      <c r="I198" s="43"/>
      <c r="J198" s="43"/>
      <c r="K198" s="43"/>
      <c r="L198" s="44" t="str">
        <f>IF(K198="","",IFERROR(INDEX(Management!$A$3:$A$50,MATCH(K198,Management!$B$3:$B$50,0)),""))</f>
        <v/>
      </c>
      <c r="M198" s="42" t="str">
        <f>IF(I198="","",IF(K198="","Select Approval Name",IFERROR(IF(I198&lt;=IF(INDEX(Management!$C$3:$C$50,MATCH(K198,Management!$B$3:$B$50,0))="Unlimited",10^15,INDEX(Management!$C$3:$C$50,MATCH(K198,Management!$B$3:$B$50,0))),"Valid Approval","Limit Exceeded"),"Check Management Name")))</f>
        <v/>
      </c>
      <c r="N198" s="43"/>
      <c r="O198" s="43"/>
      <c r="P198" s="46"/>
      <c r="Q198" s="46"/>
    </row>
    <row r="199" spans="1:17" ht="15">
      <c r="A199" s="5" t="str">
        <f t="shared" si="3"/>
        <v/>
      </c>
      <c r="B199" s="43"/>
      <c r="C199" s="45"/>
      <c r="D199" s="45"/>
      <c r="E199" s="45"/>
      <c r="F199" s="43"/>
      <c r="G199" s="43"/>
      <c r="H199" s="43"/>
      <c r="I199" s="43"/>
      <c r="J199" s="43"/>
      <c r="K199" s="43"/>
      <c r="L199" s="44" t="str">
        <f>IF(K199="","",IFERROR(INDEX(Management!$A$3:$A$50,MATCH(K199,Management!$B$3:$B$50,0)),""))</f>
        <v/>
      </c>
      <c r="M199" s="42" t="str">
        <f>IF(I199="","",IF(K199="","Select Approval Name",IFERROR(IF(I199&lt;=IF(INDEX(Management!$C$3:$C$50,MATCH(K199,Management!$B$3:$B$50,0))="Unlimited",10^15,INDEX(Management!$C$3:$C$50,MATCH(K199,Management!$B$3:$B$50,0))),"Valid Approval","Limit Exceeded"),"Check Management Name")))</f>
        <v/>
      </c>
      <c r="N199" s="43"/>
      <c r="O199" s="43"/>
      <c r="P199" s="46"/>
      <c r="Q199" s="46"/>
    </row>
    <row r="200" spans="1:17" ht="15">
      <c r="A200" s="5" t="str">
        <f t="shared" si="3"/>
        <v/>
      </c>
      <c r="B200" s="43"/>
      <c r="C200" s="45"/>
      <c r="D200" s="45"/>
      <c r="E200" s="45"/>
      <c r="F200" s="43"/>
      <c r="G200" s="43"/>
      <c r="H200" s="43"/>
      <c r="I200" s="43"/>
      <c r="J200" s="43"/>
      <c r="K200" s="43"/>
      <c r="L200" s="44" t="str">
        <f>IF(K200="","",IFERROR(INDEX(Management!$A$3:$A$50,MATCH(K200,Management!$B$3:$B$50,0)),""))</f>
        <v/>
      </c>
      <c r="M200" s="42" t="str">
        <f>IF(I200="","",IF(K200="","Select Approval Name",IFERROR(IF(I200&lt;=IF(INDEX(Management!$C$3:$C$50,MATCH(K200,Management!$B$3:$B$50,0))="Unlimited",10^15,INDEX(Management!$C$3:$C$50,MATCH(K200,Management!$B$3:$B$50,0))),"Valid Approval","Limit Exceeded"),"Check Management Name")))</f>
        <v/>
      </c>
      <c r="N200" s="43"/>
      <c r="O200" s="43"/>
      <c r="P200" s="46"/>
      <c r="Q200" s="46"/>
    </row>
    <row r="201" spans="1:17">
      <c r="A201" s="5" t="str">
        <f t="shared" si="3"/>
        <v/>
      </c>
      <c r="B201" s="6"/>
      <c r="C201" s="5"/>
      <c r="D201" s="5"/>
      <c r="E201" s="5"/>
      <c r="F201" s="6"/>
      <c r="G201" s="5"/>
      <c r="H201" s="7"/>
      <c r="I201" s="8"/>
      <c r="J201" s="6"/>
      <c r="K201" s="9"/>
      <c r="L201" s="9" t="str">
        <f>IF(K201="","",IFERROR(INDEX(Management!$A$3:$A$50,MATCH(K201,Management!$B$3:$B$50,0)),""))</f>
        <v/>
      </c>
      <c r="M201" s="9" t="str">
        <f>IF(I201="","",IF(K201="","Select Approval Name",IFERROR(IF(I201&lt;=IF(INDEX(Management!$C$3:$C$50,MATCH(K201,Management!$B$3:$B$50,0))="Unlimited",10^15,INDEX(Management!$C$3:$C$50,MATCH(K201,Management!$B$3:$B$50,0))),"Valid Approval","Limit Exceeded"),"Check Management Name")))</f>
        <v/>
      </c>
      <c r="N201" s="5"/>
      <c r="O201" s="5"/>
      <c r="P201" s="5"/>
      <c r="Q201" s="5"/>
    </row>
  </sheetData>
  <sheetProtection algorithmName="SHA-512" hashValue="8tHM3LkhCL52cr0v2SGcjupVJabGCn0Gmna6IyihQYDpGUZUf1a4FRlzPk3O6Qlki9r0UaDPDq8P3ChuGvrfTw==" saltValue="RZkUON6onrLr0UKwK7pEtw==" spinCount="100000" sheet="1" objects="1" scenarios="1"/>
  <conditionalFormatting sqref="M201">
    <cfRule type="expression" dxfId="95" priority="4">
      <formula>M201="Valid Approval"</formula>
    </cfRule>
    <cfRule type="expression" dxfId="94" priority="5">
      <formula>M201="Limit Exceeded"</formula>
    </cfRule>
    <cfRule type="expression" dxfId="93" priority="6">
      <formula>M201="Select Approval Name"</formula>
    </cfRule>
  </conditionalFormatting>
  <conditionalFormatting sqref="M2:M200">
    <cfRule type="expression" dxfId="89" priority="1">
      <formula>M2="Valid Approval"</formula>
    </cfRule>
    <cfRule type="expression" dxfId="88" priority="2">
      <formula>M2="Limit Exceeded"</formula>
    </cfRule>
    <cfRule type="expression" dxfId="87" priority="3">
      <formula>M2="Select Approval Name"</formula>
    </cfRule>
  </conditionalFormatting>
  <dataValidations count="7">
    <dataValidation type="list" showErrorMessage="1" errorTitle="Cash/Voucher" error="Sirf CASH ya VOUCHER select karein." sqref="N201" xr:uid="{00000000-0002-0000-1E00-000000000000}">
      <formula1>"CASH,VOUCHER"</formula1>
    </dataValidation>
    <dataValidation type="custom" showErrorMessage="1" errorTitle="System Controlled Column" error="Yeh column amount ke mutabiq automatic update hota hai. Manual entry allowed nahi hai." sqref="L201:M201 M2:M200" xr:uid="{00000000-0002-0000-1E00-000001000000}">
      <formula1>FALSE</formula1>
    </dataValidation>
    <dataValidation type="custom" showErrorMessage="1" errorTitle="Duplicate Return Trx" error="This Return Trx already exists on this day sheet." sqref="D201" xr:uid="{00000000-0002-0000-1E00-000002000000}">
      <formula1>OR(D201="",COUNTIF($D$2:$D$201,D201)=1)</formula1>
    </dataValidation>
    <dataValidation type="custom" showErrorMessage="1" errorTitle="Duplicate Trx No" error="This Trx No already exists on this day sheet." sqref="E201" xr:uid="{00000000-0002-0000-1E00-000003000000}">
      <formula1>OR(E201="",COUNTIF($E$2:$E$201,E201)=1)</formula1>
    </dataValidation>
    <dataValidation type="list" allowBlank="1" showInputMessage="1" showErrorMessage="1" sqref="O2:O200" xr:uid="{DEA76794-D4B6-4E8C-AF4F-DED0ED611972}">
      <formula1>"70243 - Riffat Fatima,68470 - Kamran,58112 - Shama,HOF Respctive Person"</formula1>
    </dataValidation>
    <dataValidation type="list" allowBlank="1" showInputMessage="1" showErrorMessage="1" sqref="J2:J200" xr:uid="{BF6F4B87-F70A-4A58-AAFC-AAE260A47BC6}">
      <formula1>"Mind_Change,BarcodeIssue,Size Issue,Cashier Mistake,Quality Issue,Wrong Charge,Wronge Tag,Over Charge,Price Issue,Other Reason"</formula1>
    </dataValidation>
    <dataValidation type="list" allowBlank="1" showInputMessage="1" showErrorMessage="1" sqref="N2:N200" xr:uid="{A5265971-C9FA-4853-AEA9-7B8CFBF9141A}">
      <formula1>"Cash,Voucher"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E00-000004000000}">
            <xm:f>AND(D201&lt;&gt;"",(COUNTIF('1'!$D$2:$D$201,D201)+COUNTIF('2'!$D$2:$D$201,D201)+COUNTIF('3'!$D$2:$D$201,D201)+COUNTIF('4'!$D$2:$D$201,D201)+COUNTIF('5'!$D$2:$D$201,D201)+COUNTIF('6'!$D$2:$D$201,D201)+COUNTIF('7'!$D$2:$D$201,D201)+COUNTIF('8'!$D$2:$D$201,D201)+COUNTIF('9'!$D$2:$D$201,D201)+COUNTIF('10'!$D$2:$D$201,D201)+COUNTIF('11'!$D$2:$D$201,D201)+COUNTIF('12'!$D$2:$D$201,D201)+COUNTIF('13'!$D$2:$D$201,D201)+COUNTIF('14'!$D$2:$D$201,D201)+COUNTIF('15'!$D$2:$D$201,D201)+COUNTIF('16'!$D$2:$D$201,D201)+COUNTIF('17'!$D$2:$D$201,D201)+COUNTIF('18'!$D$2:$D$201,D201)+COUNTIF('19'!$D$2:$D$201,D201)+COUNTIF('20'!$D$2:$D$201,D201)+COUNTIF('21'!$D$2:$D$201,D201)+COUNTIF('22'!$D$2:$D$201,D201)+COUNTIF('23'!$D$2:$D$201,D201)+COUNTIF('24'!$D$2:$D$201,D201)+COUNTIF('25'!$D$2:$D$201,D201)+COUNTIF('26'!$D$2:$D$201,D201)+COUNTIF('27'!$D$2:$D$201,D201)+COUNTIF('28'!$D$2:$D$201,D201)+COUNTIF('29'!$D$2:$D$201,D201)+COUNTIF('30'!$D$2:$D$201,D201)+COUNTIF($D$2:$D$201,D201))&gt;1)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8" id="{00000000-000E-0000-1E00-000005000000}">
            <xm:f>AND(E201&lt;&gt;"",(COUNTIF('1'!$E$2:$E$201,E201)+COUNTIF('2'!$E$2:$E$201,E201)+COUNTIF('3'!$E$2:$E$201,E201)+COUNTIF('4'!$E$2:$E$201,E201)+COUNTIF('5'!$E$2:$E$201,E201)+COUNTIF('6'!$E$2:$E$201,E201)+COUNTIF('7'!$E$2:$E$201,E201)+COUNTIF('8'!$E$2:$E$201,E201)+COUNTIF('9'!$E$2:$E$201,E201)+COUNTIF('10'!$E$2:$E$201,E201)+COUNTIF('11'!$E$2:$E$201,E201)+COUNTIF('12'!$E$2:$E$201,E201)+COUNTIF('13'!$E$2:$E$201,E201)+COUNTIF('14'!$E$2:$E$201,E201)+COUNTIF('15'!$E$2:$E$201,E201)+COUNTIF('16'!$E$2:$E$201,E201)+COUNTIF('17'!$E$2:$E$201,E201)+COUNTIF('18'!$E$2:$E$201,E201)+COUNTIF('19'!$E$2:$E$201,E201)+COUNTIF('20'!$E$2:$E$201,E201)+COUNTIF('21'!$E$2:$E$201,E201)+COUNTIF('22'!$E$2:$E$201,E201)+COUNTIF('23'!$E$2:$E$201,E201)+COUNTIF('24'!$E$2:$E$201,E201)+COUNTIF('25'!$E$2:$E$201,E201)+COUNTIF('26'!$E$2:$E$201,E201)+COUNTIF('27'!$E$2:$E$201,E201)+COUNTIF('28'!$E$2:$E$201,E201)+COUNTIF('29'!$E$2:$E$201,E201)+COUNTIF('30'!$E$2:$E$201,E201)+COUNTIF($E$2:$E$201,E201))&gt;1)</xm:f>
            <x14:dxf>
              <font>
                <b/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8D4D0E-FE51-474E-9BF1-8DDC9AC32106}">
          <x14:formula1>
            <xm:f>Management!$B$3:$B$28</xm:f>
          </x14:formula1>
          <xm:sqref>K2:K200</xm:sqref>
        </x14:dataValidation>
        <x14:dataValidation type="list" showErrorMessage="1" errorTitle="System Controlled Column" error="Yeh column amount ke mutabiq automatic update hota hai. Manual entry allowed nahi hai." xr:uid="{8C12D902-ED31-4AD7-8866-C637BE1BC268}">
          <x14:formula1>
            <xm:f>Management!$B$3:$B$26</xm:f>
          </x14:formula1>
          <xm:sqref>L2:L200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201"/>
  <sheetViews>
    <sheetView workbookViewId="0">
      <selection sqref="A1:F1"/>
    </sheetView>
  </sheetViews>
  <sheetFormatPr defaultRowHeight="14.25"/>
  <cols>
    <col min="1" max="6" width="22" customWidth="1"/>
  </cols>
  <sheetData>
    <row r="1" spans="1:20" ht="15">
      <c r="A1" s="32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</row>
    <row r="2" spans="1:20">
      <c r="A2" t="str">
        <f>IFERROR(INDEX(Management!$B$3:$B$50,_xlfn.AGGREGATE(15,6,(ROW(Management!$B$3:$B$50)-ROW(Management!$B$3)+1)/((IF(Management!$C$3:$C$50="Unlimited",10^15,Management!$C$3:$C$50))&gt;='1'!$I2),COLUMN(A1))),"")</f>
        <v/>
      </c>
      <c r="B2" t="str">
        <f>IFERROR(INDEX(Management!$B$3:$B$50,_xlfn.AGGREGATE(15,6,(ROW(Management!$B$3:$B$50)-ROW(Management!$B$3)+1)/((IF(Management!$C$3:$C$50="Unlimited",10^15,Management!$C$3:$C$50))&gt;='1'!$I2),COLUMN(B1))),"")</f>
        <v/>
      </c>
      <c r="C2" t="str">
        <f>IFERROR(INDEX(Management!$B$3:$B$50,_xlfn.AGGREGATE(15,6,(ROW(Management!$B$3:$B$50)-ROW(Management!$B$3)+1)/((IF(Management!$C$3:$C$50="Unlimited",10^15,Management!$C$3:$C$50))&gt;='1'!$I2),COLUMN(C1))),"")</f>
        <v/>
      </c>
      <c r="D2" t="str">
        <f>IFERROR(INDEX(Management!$B$3:$B$50,_xlfn.AGGREGATE(15,6,(ROW(Management!$B$3:$B$50)-ROW(Management!$B$3)+1)/((IF(Management!$C$3:$C$50="Unlimited",10^15,Management!$C$3:$C$50))&gt;='1'!$I2),COLUMN(D1))),"")</f>
        <v/>
      </c>
      <c r="E2" t="str">
        <f>IFERROR(INDEX(Management!$B$3:$B$50,_xlfn.AGGREGATE(15,6,(ROW(Management!$B$3:$B$50)-ROW(Management!$B$3)+1)/((IF(Management!$C$3:$C$50="Unlimited",10^15,Management!$C$3:$C$50))&gt;='1'!$I2),COLUMN(E1))),"")</f>
        <v/>
      </c>
      <c r="F2" t="str">
        <f>IFERROR(INDEX(Management!$B$3:$B$50,_xlfn.AGGREGATE(15,6,(ROW(Management!$B$3:$B$50)-ROW(Management!$B$3)+1)/((IF(Management!$C$3:$C$50="Unlimited",10^15,Management!$C$3:$C$50))&gt;='1'!$I2),COLUMN(F1))),"")</f>
        <v/>
      </c>
      <c r="G2" t="str">
        <f>IFERROR(INDEX(Management!$B$3:$B$50,_xlfn.AGGREGATE(15,6,(ROW(Management!$B$3:$B$50)-ROW(Management!$B$3)+1)/((IF(Management!$C$3:$C$50="Unlimited",10^15,Management!$C$3:$C$50))&gt;='1'!$I2),COLUMN(G1))),"")</f>
        <v/>
      </c>
      <c r="H2" t="str">
        <f>IFERROR(INDEX(Management!$B$3:$B$50,_xlfn.AGGREGATE(15,6,(ROW(Management!$B$3:$B$50)-ROW(Management!$B$3)+1)/((IF(Management!$C$3:$C$50="Unlimited",10^15,Management!$C$3:$C$50))&gt;='1'!$I2),COLUMN(H1))),"")</f>
        <v/>
      </c>
      <c r="I2" t="str">
        <f>IFERROR(INDEX(Management!$B$3:$B$50,_xlfn.AGGREGATE(15,6,(ROW(Management!$B$3:$B$50)-ROW(Management!$B$3)+1)/((IF(Management!$C$3:$C$50="Unlimited",10^15,Management!$C$3:$C$50))&gt;='1'!$I2),COLUMN(I1))),"")</f>
        <v/>
      </c>
      <c r="J2" t="str">
        <f>IFERROR(INDEX(Management!$B$3:$B$50,_xlfn.AGGREGATE(15,6,(ROW(Management!$B$3:$B$50)-ROW(Management!$B$3)+1)/((IF(Management!$C$3:$C$50="Unlimited",10^15,Management!$C$3:$C$50))&gt;='1'!$I2),COLUMN(J1))),"")</f>
        <v/>
      </c>
      <c r="K2" t="str">
        <f>IFERROR(INDEX(Management!$B$3:$B$50,_xlfn.AGGREGATE(15,6,(ROW(Management!$B$3:$B$50)-ROW(Management!$B$3)+1)/((IF(Management!$C$3:$C$50="Unlimited",10^15,Management!$C$3:$C$50))&gt;='1'!$I2),COLUMN(K1))),"")</f>
        <v/>
      </c>
      <c r="L2" t="str">
        <f>IFERROR(INDEX(Management!$B$3:$B$50,_xlfn.AGGREGATE(15,6,(ROW(Management!$B$3:$B$50)-ROW(Management!$B$3)+1)/((IF(Management!$C$3:$C$50="Unlimited",10^15,Management!$C$3:$C$50))&gt;='1'!$I2),COLUMN(L1))),"")</f>
        <v/>
      </c>
      <c r="M2" t="str">
        <f>IFERROR(INDEX(Management!$B$3:$B$50,_xlfn.AGGREGATE(15,6,(ROW(Management!$B$3:$B$50)-ROW(Management!$B$3)+1)/((IF(Management!$C$3:$C$50="Unlimited",10^15,Management!$C$3:$C$50))&gt;='1'!$I2),COLUMN(M1))),"")</f>
        <v/>
      </c>
      <c r="N2" t="str">
        <f>IFERROR(INDEX(Management!$B$3:$B$50,_xlfn.AGGREGATE(15,6,(ROW(Management!$B$3:$B$50)-ROW(Management!$B$3)+1)/((IF(Management!$C$3:$C$50="Unlimited",10^15,Management!$C$3:$C$50))&gt;='1'!$I2),COLUMN(N1))),"")</f>
        <v/>
      </c>
      <c r="O2" t="str">
        <f>IFERROR(INDEX(Management!$B$3:$B$50,_xlfn.AGGREGATE(15,6,(ROW(Management!$B$3:$B$50)-ROW(Management!$B$3)+1)/((IF(Management!$C$3:$C$50="Unlimited",10^15,Management!$C$3:$C$50))&gt;='1'!$I2),COLUMN(O1))),"")</f>
        <v/>
      </c>
      <c r="P2" t="str">
        <f>IFERROR(INDEX(Management!$B$3:$B$50,_xlfn.AGGREGATE(15,6,(ROW(Management!$B$3:$B$50)-ROW(Management!$B$3)+1)/((IF(Management!$C$3:$C$50="Unlimited",10^15,Management!$C$3:$C$50))&gt;='1'!$I2),COLUMN(P1))),"")</f>
        <v/>
      </c>
      <c r="Q2" t="str">
        <f>IFERROR(INDEX(Management!$B$3:$B$50,_xlfn.AGGREGATE(15,6,(ROW(Management!$B$3:$B$50)-ROW(Management!$B$3)+1)/((IF(Management!$C$3:$C$50="Unlimited",10^15,Management!$C$3:$C$50))&gt;='1'!$I2),COLUMN(Q1))),"")</f>
        <v/>
      </c>
      <c r="R2" t="str">
        <f>IFERROR(INDEX(Management!$B$3:$B$50,_xlfn.AGGREGATE(15,6,(ROW(Management!$B$3:$B$50)-ROW(Management!$B$3)+1)/((IF(Management!$C$3:$C$50="Unlimited",10^15,Management!$C$3:$C$50))&gt;='1'!$I2),COLUMN(R1))),"")</f>
        <v/>
      </c>
      <c r="S2" t="str">
        <f>IFERROR(INDEX(Management!$B$3:$B$50,_xlfn.AGGREGATE(15,6,(ROW(Management!$B$3:$B$50)-ROW(Management!$B$3)+1)/((IF(Management!$C$3:$C$50="Unlimited",10^15,Management!$C$3:$C$50))&gt;='1'!$I2),COLUMN(S1))),"")</f>
        <v/>
      </c>
      <c r="T2" t="str">
        <f>IFERROR(INDEX(Management!$B$3:$B$50,_xlfn.AGGREGATE(15,6,(ROW(Management!$B$3:$B$50)-ROW(Management!$B$3)+1)/((IF(Management!$C$3:$C$50="Unlimited",10^15,Management!$C$3:$C$50))&gt;='1'!$I2),COLUMN(T1))),"")</f>
        <v/>
      </c>
    </row>
    <row r="3" spans="1:20">
      <c r="A3" t="str">
        <f>IFERROR(INDEX(Management!$B$3:$B$50,_xlfn.AGGREGATE(15,6,(ROW(Management!$B$3:$B$50)-ROW(Management!$B$3)+1)/((IF(Management!$C$3:$C$50="Unlimited",10^15,Management!$C$3:$C$50))&gt;='1'!$I3),COLUMN(A2))),"")</f>
        <v>Muhammad Usman</v>
      </c>
      <c r="B3" t="str">
        <f>IFERROR(INDEX(Management!$B$3:$B$50,_xlfn.AGGREGATE(15,6,(ROW(Management!$B$3:$B$50)-ROW(Management!$B$3)+1)/((IF(Management!$C$3:$C$50="Unlimited",10^15,Management!$C$3:$C$50))&gt;='1'!$I3),COLUMN(B2))),"")</f>
        <v>Nadeem Hussain</v>
      </c>
      <c r="C3" t="str">
        <f>IFERROR(INDEX(Management!$B$3:$B$50,_xlfn.AGGREGATE(15,6,(ROW(Management!$B$3:$B$50)-ROW(Management!$B$3)+1)/((IF(Management!$C$3:$C$50="Unlimited",10^15,Management!$C$3:$C$50))&gt;='1'!$I3),COLUMN(C2))),"")</f>
        <v>Allah Ditta</v>
      </c>
      <c r="D3" t="str">
        <f>IFERROR(INDEX(Management!$B$3:$B$50,_xlfn.AGGREGATE(15,6,(ROW(Management!$B$3:$B$50)-ROW(Management!$B$3)+1)/((IF(Management!$C$3:$C$50="Unlimited",10^15,Management!$C$3:$C$50))&gt;='1'!$I3),COLUMN(D2))),"")</f>
        <v>Mehmood Ahmed</v>
      </c>
      <c r="E3" t="str">
        <f>IFERROR(INDEX(Management!$B$3:$B$50,_xlfn.AGGREGATE(15,6,(ROW(Management!$B$3:$B$50)-ROW(Management!$B$3)+1)/((IF(Management!$C$3:$C$50="Unlimited",10^15,Management!$C$3:$C$50))&gt;='1'!$I3),COLUMN(E2))),"")</f>
        <v>Tasawar Abbas</v>
      </c>
      <c r="F3" t="str">
        <f>IFERROR(INDEX(Management!$B$3:$B$50,_xlfn.AGGREGATE(15,6,(ROW(Management!$B$3:$B$50)-ROW(Management!$B$3)+1)/((IF(Management!$C$3:$C$50="Unlimited",10^15,Management!$C$3:$C$50))&gt;='1'!$I3),COLUMN(F2))),"")</f>
        <v>Muhammad Farhan</v>
      </c>
      <c r="G3" t="str">
        <f>IFERROR(INDEX(Management!$B$3:$B$50,_xlfn.AGGREGATE(15,6,(ROW(Management!$B$3:$B$50)-ROW(Management!$B$3)+1)/((IF(Management!$C$3:$C$50="Unlimited",10^15,Management!$C$3:$C$50))&gt;='1'!$I3),COLUMN(G2))),"")</f>
        <v>Shahzaib Ali</v>
      </c>
      <c r="H3" t="str">
        <f>IFERROR(INDEX(Management!$B$3:$B$50,_xlfn.AGGREGATE(15,6,(ROW(Management!$B$3:$B$50)-ROW(Management!$B$3)+1)/((IF(Management!$C$3:$C$50="Unlimited",10^15,Management!$C$3:$C$50))&gt;='1'!$I3),COLUMN(H2))),"")</f>
        <v>Waseem Raza</v>
      </c>
      <c r="I3" t="str">
        <f>IFERROR(INDEX(Management!$B$3:$B$50,_xlfn.AGGREGATE(15,6,(ROW(Management!$B$3:$B$50)-ROW(Management!$B$3)+1)/((IF(Management!$C$3:$C$50="Unlimited",10^15,Management!$C$3:$C$50))&gt;='1'!$I3),COLUMN(I2))),"")</f>
        <v>Muhammad Majeed</v>
      </c>
      <c r="J3" t="str">
        <f>IFERROR(INDEX(Management!$B$3:$B$50,_xlfn.AGGREGATE(15,6,(ROW(Management!$B$3:$B$50)-ROW(Management!$B$3)+1)/((IF(Management!$C$3:$C$50="Unlimited",10^15,Management!$C$3:$C$50))&gt;='1'!$I3),COLUMN(J2))),"")</f>
        <v>Shoukat Mahmood</v>
      </c>
      <c r="K3" t="str">
        <f>IFERROR(INDEX(Management!$B$3:$B$50,_xlfn.AGGREGATE(15,6,(ROW(Management!$B$3:$B$50)-ROW(Management!$B$3)+1)/((IF(Management!$C$3:$C$50="Unlimited",10^15,Management!$C$3:$C$50))&gt;='1'!$I3),COLUMN(K2))),"")</f>
        <v>Naveed Kamal</v>
      </c>
      <c r="L3" t="str">
        <f>IFERROR(INDEX(Management!$B$3:$B$50,_xlfn.AGGREGATE(15,6,(ROW(Management!$B$3:$B$50)-ROW(Management!$B$3)+1)/((IF(Management!$C$3:$C$50="Unlimited",10^15,Management!$C$3:$C$50))&gt;='1'!$I3),COLUMN(L2))),"")</f>
        <v>Raza Ali</v>
      </c>
      <c r="M3" t="str">
        <f>IFERROR(INDEX(Management!$B$3:$B$50,_xlfn.AGGREGATE(15,6,(ROW(Management!$B$3:$B$50)-ROW(Management!$B$3)+1)/((IF(Management!$C$3:$C$50="Unlimited",10^15,Management!$C$3:$C$50))&gt;='1'!$I3),COLUMN(M2))),"")</f>
        <v>Alfqar</v>
      </c>
      <c r="N3" t="str">
        <f>IFERROR(INDEX(Management!$B$3:$B$50,_xlfn.AGGREGATE(15,6,(ROW(Management!$B$3:$B$50)-ROW(Management!$B$3)+1)/((IF(Management!$C$3:$C$50="Unlimited",10^15,Management!$C$3:$C$50))&gt;='1'!$I3),COLUMN(N2))),"")</f>
        <v>Sheraz Ahmed</v>
      </c>
      <c r="O3" t="str">
        <f>IFERROR(INDEX(Management!$B$3:$B$50,_xlfn.AGGREGATE(15,6,(ROW(Management!$B$3:$B$50)-ROW(Management!$B$3)+1)/((IF(Management!$C$3:$C$50="Unlimited",10^15,Management!$C$3:$C$50))&gt;='1'!$I3),COLUMN(O2))),"")</f>
        <v>Faisal Kausar</v>
      </c>
      <c r="P3" t="str">
        <f>IFERROR(INDEX(Management!$B$3:$B$50,_xlfn.AGGREGATE(15,6,(ROW(Management!$B$3:$B$50)-ROW(Management!$B$3)+1)/((IF(Management!$C$3:$C$50="Unlimited",10^15,Management!$C$3:$C$50))&gt;='1'!$I3),COLUMN(P2))),"")</f>
        <v>Muhammad Faisal</v>
      </c>
      <c r="Q3" t="str">
        <f>IFERROR(INDEX(Management!$B$3:$B$50,_xlfn.AGGREGATE(15,6,(ROW(Management!$B$3:$B$50)-ROW(Management!$B$3)+1)/((IF(Management!$C$3:$C$50="Unlimited",10^15,Management!$C$3:$C$50))&gt;='1'!$I3),COLUMN(Q2))),"")</f>
        <v>Sumair Hamza</v>
      </c>
      <c r="R3" t="str">
        <f>IFERROR(INDEX(Management!$B$3:$B$50,_xlfn.AGGREGATE(15,6,(ROW(Management!$B$3:$B$50)-ROW(Management!$B$3)+1)/((IF(Management!$C$3:$C$50="Unlimited",10^15,Management!$C$3:$C$50))&gt;='1'!$I3),COLUMN(R2))),"")</f>
        <v>Muhammad Ali</v>
      </c>
      <c r="S3" t="str">
        <f>IFERROR(INDEX(Management!$B$3:$B$50,_xlfn.AGGREGATE(15,6,(ROW(Management!$B$3:$B$50)-ROW(Management!$B$3)+1)/((IF(Management!$C$3:$C$50="Unlimited",10^15,Management!$C$3:$C$50))&gt;='1'!$I3),COLUMN(S2))),"")</f>
        <v>Muhammad Ali</v>
      </c>
      <c r="T3" t="str">
        <f>IFERROR(INDEX(Management!$B$3:$B$50,_xlfn.AGGREGATE(15,6,(ROW(Management!$B$3:$B$50)-ROW(Management!$B$3)+1)/((IF(Management!$C$3:$C$50="Unlimited",10^15,Management!$C$3:$C$50))&gt;='1'!$I3),COLUMN(T2))),"")</f>
        <v>Jawad Aziz</v>
      </c>
    </row>
    <row r="4" spans="1:20">
      <c r="A4" t="str">
        <f>IFERROR(INDEX(Management!$B$3:$B$50,_xlfn.AGGREGATE(15,6,(ROW(Management!$B$3:$B$50)-ROW(Management!$B$3)+1)/((IF(Management!$C$3:$C$50="Unlimited",10^15,Management!$C$3:$C$50))&gt;='1'!$I4),COLUMN(A3))),"")</f>
        <v>Muhammad Usman</v>
      </c>
      <c r="B4" t="str">
        <f>IFERROR(INDEX(Management!$B$3:$B$50,_xlfn.AGGREGATE(15,6,(ROW(Management!$B$3:$B$50)-ROW(Management!$B$3)+1)/((IF(Management!$C$3:$C$50="Unlimited",10^15,Management!$C$3:$C$50))&gt;='1'!$I4),COLUMN(B3))),"")</f>
        <v>Nadeem Hussain</v>
      </c>
      <c r="C4" t="str">
        <f>IFERROR(INDEX(Management!$B$3:$B$50,_xlfn.AGGREGATE(15,6,(ROW(Management!$B$3:$B$50)-ROW(Management!$B$3)+1)/((IF(Management!$C$3:$C$50="Unlimited",10^15,Management!$C$3:$C$50))&gt;='1'!$I4),COLUMN(C3))),"")</f>
        <v>Allah Ditta</v>
      </c>
      <c r="D4" t="str">
        <f>IFERROR(INDEX(Management!$B$3:$B$50,_xlfn.AGGREGATE(15,6,(ROW(Management!$B$3:$B$50)-ROW(Management!$B$3)+1)/((IF(Management!$C$3:$C$50="Unlimited",10^15,Management!$C$3:$C$50))&gt;='1'!$I4),COLUMN(D3))),"")</f>
        <v>Mehmood Ahmed</v>
      </c>
      <c r="E4" t="str">
        <f>IFERROR(INDEX(Management!$B$3:$B$50,_xlfn.AGGREGATE(15,6,(ROW(Management!$B$3:$B$50)-ROW(Management!$B$3)+1)/((IF(Management!$C$3:$C$50="Unlimited",10^15,Management!$C$3:$C$50))&gt;='1'!$I4),COLUMN(E3))),"")</f>
        <v>Tasawar Abbas</v>
      </c>
      <c r="F4" t="str">
        <f>IFERROR(INDEX(Management!$B$3:$B$50,_xlfn.AGGREGATE(15,6,(ROW(Management!$B$3:$B$50)-ROW(Management!$B$3)+1)/((IF(Management!$C$3:$C$50="Unlimited",10^15,Management!$C$3:$C$50))&gt;='1'!$I4),COLUMN(F3))),"")</f>
        <v>Muhammad Farhan</v>
      </c>
      <c r="G4" t="str">
        <f>IFERROR(INDEX(Management!$B$3:$B$50,_xlfn.AGGREGATE(15,6,(ROW(Management!$B$3:$B$50)-ROW(Management!$B$3)+1)/((IF(Management!$C$3:$C$50="Unlimited",10^15,Management!$C$3:$C$50))&gt;='1'!$I4),COLUMN(G3))),"")</f>
        <v>Shahzaib Ali</v>
      </c>
      <c r="H4" t="str">
        <f>IFERROR(INDEX(Management!$B$3:$B$50,_xlfn.AGGREGATE(15,6,(ROW(Management!$B$3:$B$50)-ROW(Management!$B$3)+1)/((IF(Management!$C$3:$C$50="Unlimited",10^15,Management!$C$3:$C$50))&gt;='1'!$I4),COLUMN(H3))),"")</f>
        <v>Waseem Raza</v>
      </c>
      <c r="I4" t="str">
        <f>IFERROR(INDEX(Management!$B$3:$B$50,_xlfn.AGGREGATE(15,6,(ROW(Management!$B$3:$B$50)-ROW(Management!$B$3)+1)/((IF(Management!$C$3:$C$50="Unlimited",10^15,Management!$C$3:$C$50))&gt;='1'!$I4),COLUMN(I3))),"")</f>
        <v>Muhammad Majeed</v>
      </c>
      <c r="J4" t="str">
        <f>IFERROR(INDEX(Management!$B$3:$B$50,_xlfn.AGGREGATE(15,6,(ROW(Management!$B$3:$B$50)-ROW(Management!$B$3)+1)/((IF(Management!$C$3:$C$50="Unlimited",10^15,Management!$C$3:$C$50))&gt;='1'!$I4),COLUMN(J3))),"")</f>
        <v>Shoukat Mahmood</v>
      </c>
      <c r="K4" t="str">
        <f>IFERROR(INDEX(Management!$B$3:$B$50,_xlfn.AGGREGATE(15,6,(ROW(Management!$B$3:$B$50)-ROW(Management!$B$3)+1)/((IF(Management!$C$3:$C$50="Unlimited",10^15,Management!$C$3:$C$50))&gt;='1'!$I4),COLUMN(K3))),"")</f>
        <v>Naveed Kamal</v>
      </c>
      <c r="L4" t="str">
        <f>IFERROR(INDEX(Management!$B$3:$B$50,_xlfn.AGGREGATE(15,6,(ROW(Management!$B$3:$B$50)-ROW(Management!$B$3)+1)/((IF(Management!$C$3:$C$50="Unlimited",10^15,Management!$C$3:$C$50))&gt;='1'!$I4),COLUMN(L3))),"")</f>
        <v>Raza Ali</v>
      </c>
      <c r="M4" t="str">
        <f>IFERROR(INDEX(Management!$B$3:$B$50,_xlfn.AGGREGATE(15,6,(ROW(Management!$B$3:$B$50)-ROW(Management!$B$3)+1)/((IF(Management!$C$3:$C$50="Unlimited",10^15,Management!$C$3:$C$50))&gt;='1'!$I4),COLUMN(M3))),"")</f>
        <v>Alfqar</v>
      </c>
      <c r="N4" t="str">
        <f>IFERROR(INDEX(Management!$B$3:$B$50,_xlfn.AGGREGATE(15,6,(ROW(Management!$B$3:$B$50)-ROW(Management!$B$3)+1)/((IF(Management!$C$3:$C$50="Unlimited",10^15,Management!$C$3:$C$50))&gt;='1'!$I4),COLUMN(N3))),"")</f>
        <v>Sheraz Ahmed</v>
      </c>
      <c r="O4" t="str">
        <f>IFERROR(INDEX(Management!$B$3:$B$50,_xlfn.AGGREGATE(15,6,(ROW(Management!$B$3:$B$50)-ROW(Management!$B$3)+1)/((IF(Management!$C$3:$C$50="Unlimited",10^15,Management!$C$3:$C$50))&gt;='1'!$I4),COLUMN(O3))),"")</f>
        <v>Faisal Kausar</v>
      </c>
      <c r="P4" t="str">
        <f>IFERROR(INDEX(Management!$B$3:$B$50,_xlfn.AGGREGATE(15,6,(ROW(Management!$B$3:$B$50)-ROW(Management!$B$3)+1)/((IF(Management!$C$3:$C$50="Unlimited",10^15,Management!$C$3:$C$50))&gt;='1'!$I4),COLUMN(P3))),"")</f>
        <v>Muhammad Faisal</v>
      </c>
      <c r="Q4" t="str">
        <f>IFERROR(INDEX(Management!$B$3:$B$50,_xlfn.AGGREGATE(15,6,(ROW(Management!$B$3:$B$50)-ROW(Management!$B$3)+1)/((IF(Management!$C$3:$C$50="Unlimited",10^15,Management!$C$3:$C$50))&gt;='1'!$I4),COLUMN(Q3))),"")</f>
        <v>Sumair Hamza</v>
      </c>
      <c r="R4" t="str">
        <f>IFERROR(INDEX(Management!$B$3:$B$50,_xlfn.AGGREGATE(15,6,(ROW(Management!$B$3:$B$50)-ROW(Management!$B$3)+1)/((IF(Management!$C$3:$C$50="Unlimited",10^15,Management!$C$3:$C$50))&gt;='1'!$I4),COLUMN(R3))),"")</f>
        <v>Muhammad Ali</v>
      </c>
      <c r="S4" t="str">
        <f>IFERROR(INDEX(Management!$B$3:$B$50,_xlfn.AGGREGATE(15,6,(ROW(Management!$B$3:$B$50)-ROW(Management!$B$3)+1)/((IF(Management!$C$3:$C$50="Unlimited",10^15,Management!$C$3:$C$50))&gt;='1'!$I4),COLUMN(S3))),"")</f>
        <v>Muhammad Ali</v>
      </c>
      <c r="T4" t="str">
        <f>IFERROR(INDEX(Management!$B$3:$B$50,_xlfn.AGGREGATE(15,6,(ROW(Management!$B$3:$B$50)-ROW(Management!$B$3)+1)/((IF(Management!$C$3:$C$50="Unlimited",10^15,Management!$C$3:$C$50))&gt;='1'!$I4),COLUMN(T3))),"")</f>
        <v>Jawad Aziz</v>
      </c>
    </row>
    <row r="5" spans="1:20">
      <c r="A5" t="str">
        <f>IFERROR(INDEX(Management!$B$3:$B$50,_xlfn.AGGREGATE(15,6,(ROW(Management!$B$3:$B$50)-ROW(Management!$B$3)+1)/((IF(Management!$C$3:$C$50="Unlimited",10^15,Management!$C$3:$C$50))&gt;='1'!$I5),COLUMN(A4))),"")</f>
        <v>Muhammad Usman</v>
      </c>
      <c r="B5" t="str">
        <f>IFERROR(INDEX(Management!$B$3:$B$50,_xlfn.AGGREGATE(15,6,(ROW(Management!$B$3:$B$50)-ROW(Management!$B$3)+1)/((IF(Management!$C$3:$C$50="Unlimited",10^15,Management!$C$3:$C$50))&gt;='1'!$I5),COLUMN(B4))),"")</f>
        <v>Nadeem Hussain</v>
      </c>
      <c r="C5" t="str">
        <f>IFERROR(INDEX(Management!$B$3:$B$50,_xlfn.AGGREGATE(15,6,(ROW(Management!$B$3:$B$50)-ROW(Management!$B$3)+1)/((IF(Management!$C$3:$C$50="Unlimited",10^15,Management!$C$3:$C$50))&gt;='1'!$I5),COLUMN(C4))),"")</f>
        <v>Allah Ditta</v>
      </c>
      <c r="D5" t="str">
        <f>IFERROR(INDEX(Management!$B$3:$B$50,_xlfn.AGGREGATE(15,6,(ROW(Management!$B$3:$B$50)-ROW(Management!$B$3)+1)/((IF(Management!$C$3:$C$50="Unlimited",10^15,Management!$C$3:$C$50))&gt;='1'!$I5),COLUMN(D4))),"")</f>
        <v>Mehmood Ahmed</v>
      </c>
      <c r="E5" t="str">
        <f>IFERROR(INDEX(Management!$B$3:$B$50,_xlfn.AGGREGATE(15,6,(ROW(Management!$B$3:$B$50)-ROW(Management!$B$3)+1)/((IF(Management!$C$3:$C$50="Unlimited",10^15,Management!$C$3:$C$50))&gt;='1'!$I5),COLUMN(E4))),"")</f>
        <v>Tasawar Abbas</v>
      </c>
      <c r="F5" t="str">
        <f>IFERROR(INDEX(Management!$B$3:$B$50,_xlfn.AGGREGATE(15,6,(ROW(Management!$B$3:$B$50)-ROW(Management!$B$3)+1)/((IF(Management!$C$3:$C$50="Unlimited",10^15,Management!$C$3:$C$50))&gt;='1'!$I5),COLUMN(F4))),"")</f>
        <v>Muhammad Farhan</v>
      </c>
      <c r="G5" t="str">
        <f>IFERROR(INDEX(Management!$B$3:$B$50,_xlfn.AGGREGATE(15,6,(ROW(Management!$B$3:$B$50)-ROW(Management!$B$3)+1)/((IF(Management!$C$3:$C$50="Unlimited",10^15,Management!$C$3:$C$50))&gt;='1'!$I5),COLUMN(G4))),"")</f>
        <v>Shahzaib Ali</v>
      </c>
      <c r="H5" t="str">
        <f>IFERROR(INDEX(Management!$B$3:$B$50,_xlfn.AGGREGATE(15,6,(ROW(Management!$B$3:$B$50)-ROW(Management!$B$3)+1)/((IF(Management!$C$3:$C$50="Unlimited",10^15,Management!$C$3:$C$50))&gt;='1'!$I5),COLUMN(H4))),"")</f>
        <v>Waseem Raza</v>
      </c>
      <c r="I5" t="str">
        <f>IFERROR(INDEX(Management!$B$3:$B$50,_xlfn.AGGREGATE(15,6,(ROW(Management!$B$3:$B$50)-ROW(Management!$B$3)+1)/((IF(Management!$C$3:$C$50="Unlimited",10^15,Management!$C$3:$C$50))&gt;='1'!$I5),COLUMN(I4))),"")</f>
        <v>Muhammad Majeed</v>
      </c>
      <c r="J5" t="str">
        <f>IFERROR(INDEX(Management!$B$3:$B$50,_xlfn.AGGREGATE(15,6,(ROW(Management!$B$3:$B$50)-ROW(Management!$B$3)+1)/((IF(Management!$C$3:$C$50="Unlimited",10^15,Management!$C$3:$C$50))&gt;='1'!$I5),COLUMN(J4))),"")</f>
        <v>Shoukat Mahmood</v>
      </c>
      <c r="K5" t="str">
        <f>IFERROR(INDEX(Management!$B$3:$B$50,_xlfn.AGGREGATE(15,6,(ROW(Management!$B$3:$B$50)-ROW(Management!$B$3)+1)/((IF(Management!$C$3:$C$50="Unlimited",10^15,Management!$C$3:$C$50))&gt;='1'!$I5),COLUMN(K4))),"")</f>
        <v>Naveed Kamal</v>
      </c>
      <c r="L5" t="str">
        <f>IFERROR(INDEX(Management!$B$3:$B$50,_xlfn.AGGREGATE(15,6,(ROW(Management!$B$3:$B$50)-ROW(Management!$B$3)+1)/((IF(Management!$C$3:$C$50="Unlimited",10^15,Management!$C$3:$C$50))&gt;='1'!$I5),COLUMN(L4))),"")</f>
        <v>Raza Ali</v>
      </c>
      <c r="M5" t="str">
        <f>IFERROR(INDEX(Management!$B$3:$B$50,_xlfn.AGGREGATE(15,6,(ROW(Management!$B$3:$B$50)-ROW(Management!$B$3)+1)/((IF(Management!$C$3:$C$50="Unlimited",10^15,Management!$C$3:$C$50))&gt;='1'!$I5),COLUMN(M4))),"")</f>
        <v>Alfqar</v>
      </c>
      <c r="N5" t="str">
        <f>IFERROR(INDEX(Management!$B$3:$B$50,_xlfn.AGGREGATE(15,6,(ROW(Management!$B$3:$B$50)-ROW(Management!$B$3)+1)/((IF(Management!$C$3:$C$50="Unlimited",10^15,Management!$C$3:$C$50))&gt;='1'!$I5),COLUMN(N4))),"")</f>
        <v>Sheraz Ahmed</v>
      </c>
      <c r="O5" t="str">
        <f>IFERROR(INDEX(Management!$B$3:$B$50,_xlfn.AGGREGATE(15,6,(ROW(Management!$B$3:$B$50)-ROW(Management!$B$3)+1)/((IF(Management!$C$3:$C$50="Unlimited",10^15,Management!$C$3:$C$50))&gt;='1'!$I5),COLUMN(O4))),"")</f>
        <v>Faisal Kausar</v>
      </c>
      <c r="P5" t="str">
        <f>IFERROR(INDEX(Management!$B$3:$B$50,_xlfn.AGGREGATE(15,6,(ROW(Management!$B$3:$B$50)-ROW(Management!$B$3)+1)/((IF(Management!$C$3:$C$50="Unlimited",10^15,Management!$C$3:$C$50))&gt;='1'!$I5),COLUMN(P4))),"")</f>
        <v>Muhammad Faisal</v>
      </c>
      <c r="Q5" t="str">
        <f>IFERROR(INDEX(Management!$B$3:$B$50,_xlfn.AGGREGATE(15,6,(ROW(Management!$B$3:$B$50)-ROW(Management!$B$3)+1)/((IF(Management!$C$3:$C$50="Unlimited",10^15,Management!$C$3:$C$50))&gt;='1'!$I5),COLUMN(Q4))),"")</f>
        <v>Sumair Hamza</v>
      </c>
      <c r="R5" t="str">
        <f>IFERROR(INDEX(Management!$B$3:$B$50,_xlfn.AGGREGATE(15,6,(ROW(Management!$B$3:$B$50)-ROW(Management!$B$3)+1)/((IF(Management!$C$3:$C$50="Unlimited",10^15,Management!$C$3:$C$50))&gt;='1'!$I5),COLUMN(R4))),"")</f>
        <v>Muhammad Ali</v>
      </c>
      <c r="S5" t="str">
        <f>IFERROR(INDEX(Management!$B$3:$B$50,_xlfn.AGGREGATE(15,6,(ROW(Management!$B$3:$B$50)-ROW(Management!$B$3)+1)/((IF(Management!$C$3:$C$50="Unlimited",10^15,Management!$C$3:$C$50))&gt;='1'!$I5),COLUMN(S4))),"")</f>
        <v>Muhammad Ali</v>
      </c>
      <c r="T5" t="str">
        <f>IFERROR(INDEX(Management!$B$3:$B$50,_xlfn.AGGREGATE(15,6,(ROW(Management!$B$3:$B$50)-ROW(Management!$B$3)+1)/((IF(Management!$C$3:$C$50="Unlimited",10^15,Management!$C$3:$C$50))&gt;='1'!$I5),COLUMN(T4))),"")</f>
        <v>Jawad Aziz</v>
      </c>
    </row>
    <row r="6" spans="1:20">
      <c r="A6" t="str">
        <f>IFERROR(INDEX(Management!$B$3:$B$50,_xlfn.AGGREGATE(15,6,(ROW(Management!$B$3:$B$50)-ROW(Management!$B$3)+1)/((IF(Management!$C$3:$C$50="Unlimited",10^15,Management!$C$3:$C$50))&gt;='1'!$I6),COLUMN(A5))),"")</f>
        <v>Muhammad Usman</v>
      </c>
      <c r="B6" t="str">
        <f>IFERROR(INDEX(Management!$B$3:$B$50,_xlfn.AGGREGATE(15,6,(ROW(Management!$B$3:$B$50)-ROW(Management!$B$3)+1)/((IF(Management!$C$3:$C$50="Unlimited",10^15,Management!$C$3:$C$50))&gt;='1'!$I6),COLUMN(B5))),"")</f>
        <v>Nadeem Hussain</v>
      </c>
      <c r="C6" t="str">
        <f>IFERROR(INDEX(Management!$B$3:$B$50,_xlfn.AGGREGATE(15,6,(ROW(Management!$B$3:$B$50)-ROW(Management!$B$3)+1)/((IF(Management!$C$3:$C$50="Unlimited",10^15,Management!$C$3:$C$50))&gt;='1'!$I6),COLUMN(C5))),"")</f>
        <v>Allah Ditta</v>
      </c>
      <c r="D6" t="str">
        <f>IFERROR(INDEX(Management!$B$3:$B$50,_xlfn.AGGREGATE(15,6,(ROW(Management!$B$3:$B$50)-ROW(Management!$B$3)+1)/((IF(Management!$C$3:$C$50="Unlimited",10^15,Management!$C$3:$C$50))&gt;='1'!$I6),COLUMN(D5))),"")</f>
        <v>Mehmood Ahmed</v>
      </c>
      <c r="E6" t="str">
        <f>IFERROR(INDEX(Management!$B$3:$B$50,_xlfn.AGGREGATE(15,6,(ROW(Management!$B$3:$B$50)-ROW(Management!$B$3)+1)/((IF(Management!$C$3:$C$50="Unlimited",10^15,Management!$C$3:$C$50))&gt;='1'!$I6),COLUMN(E5))),"")</f>
        <v>Tasawar Abbas</v>
      </c>
      <c r="F6" t="str">
        <f>IFERROR(INDEX(Management!$B$3:$B$50,_xlfn.AGGREGATE(15,6,(ROW(Management!$B$3:$B$50)-ROW(Management!$B$3)+1)/((IF(Management!$C$3:$C$50="Unlimited",10^15,Management!$C$3:$C$50))&gt;='1'!$I6),COLUMN(F5))),"")</f>
        <v>Muhammad Farhan</v>
      </c>
      <c r="G6" t="str">
        <f>IFERROR(INDEX(Management!$B$3:$B$50,_xlfn.AGGREGATE(15,6,(ROW(Management!$B$3:$B$50)-ROW(Management!$B$3)+1)/((IF(Management!$C$3:$C$50="Unlimited",10^15,Management!$C$3:$C$50))&gt;='1'!$I6),COLUMN(G5))),"")</f>
        <v>Shahzaib Ali</v>
      </c>
      <c r="H6" t="str">
        <f>IFERROR(INDEX(Management!$B$3:$B$50,_xlfn.AGGREGATE(15,6,(ROW(Management!$B$3:$B$50)-ROW(Management!$B$3)+1)/((IF(Management!$C$3:$C$50="Unlimited",10^15,Management!$C$3:$C$50))&gt;='1'!$I6),COLUMN(H5))),"")</f>
        <v>Waseem Raza</v>
      </c>
      <c r="I6" t="str">
        <f>IFERROR(INDEX(Management!$B$3:$B$50,_xlfn.AGGREGATE(15,6,(ROW(Management!$B$3:$B$50)-ROW(Management!$B$3)+1)/((IF(Management!$C$3:$C$50="Unlimited",10^15,Management!$C$3:$C$50))&gt;='1'!$I6),COLUMN(I5))),"")</f>
        <v>Muhammad Majeed</v>
      </c>
      <c r="J6" t="str">
        <f>IFERROR(INDEX(Management!$B$3:$B$50,_xlfn.AGGREGATE(15,6,(ROW(Management!$B$3:$B$50)-ROW(Management!$B$3)+1)/((IF(Management!$C$3:$C$50="Unlimited",10^15,Management!$C$3:$C$50))&gt;='1'!$I6),COLUMN(J5))),"")</f>
        <v>Shoukat Mahmood</v>
      </c>
      <c r="K6" t="str">
        <f>IFERROR(INDEX(Management!$B$3:$B$50,_xlfn.AGGREGATE(15,6,(ROW(Management!$B$3:$B$50)-ROW(Management!$B$3)+1)/((IF(Management!$C$3:$C$50="Unlimited",10^15,Management!$C$3:$C$50))&gt;='1'!$I6),COLUMN(K5))),"")</f>
        <v>Naveed Kamal</v>
      </c>
      <c r="L6" t="str">
        <f>IFERROR(INDEX(Management!$B$3:$B$50,_xlfn.AGGREGATE(15,6,(ROW(Management!$B$3:$B$50)-ROW(Management!$B$3)+1)/((IF(Management!$C$3:$C$50="Unlimited",10^15,Management!$C$3:$C$50))&gt;='1'!$I6),COLUMN(L5))),"")</f>
        <v>Raza Ali</v>
      </c>
      <c r="M6" t="str">
        <f>IFERROR(INDEX(Management!$B$3:$B$50,_xlfn.AGGREGATE(15,6,(ROW(Management!$B$3:$B$50)-ROW(Management!$B$3)+1)/((IF(Management!$C$3:$C$50="Unlimited",10^15,Management!$C$3:$C$50))&gt;='1'!$I6),COLUMN(M5))),"")</f>
        <v>Alfqar</v>
      </c>
      <c r="N6" t="str">
        <f>IFERROR(INDEX(Management!$B$3:$B$50,_xlfn.AGGREGATE(15,6,(ROW(Management!$B$3:$B$50)-ROW(Management!$B$3)+1)/((IF(Management!$C$3:$C$50="Unlimited",10^15,Management!$C$3:$C$50))&gt;='1'!$I6),COLUMN(N5))),"")</f>
        <v>Sheraz Ahmed</v>
      </c>
      <c r="O6" t="str">
        <f>IFERROR(INDEX(Management!$B$3:$B$50,_xlfn.AGGREGATE(15,6,(ROW(Management!$B$3:$B$50)-ROW(Management!$B$3)+1)/((IF(Management!$C$3:$C$50="Unlimited",10^15,Management!$C$3:$C$50))&gt;='1'!$I6),COLUMN(O5))),"")</f>
        <v>Faisal Kausar</v>
      </c>
      <c r="P6" t="str">
        <f>IFERROR(INDEX(Management!$B$3:$B$50,_xlfn.AGGREGATE(15,6,(ROW(Management!$B$3:$B$50)-ROW(Management!$B$3)+1)/((IF(Management!$C$3:$C$50="Unlimited",10^15,Management!$C$3:$C$50))&gt;='1'!$I6),COLUMN(P5))),"")</f>
        <v>Muhammad Faisal</v>
      </c>
      <c r="Q6" t="str">
        <f>IFERROR(INDEX(Management!$B$3:$B$50,_xlfn.AGGREGATE(15,6,(ROW(Management!$B$3:$B$50)-ROW(Management!$B$3)+1)/((IF(Management!$C$3:$C$50="Unlimited",10^15,Management!$C$3:$C$50))&gt;='1'!$I6),COLUMN(Q5))),"")</f>
        <v>Sumair Hamza</v>
      </c>
      <c r="R6" t="str">
        <f>IFERROR(INDEX(Management!$B$3:$B$50,_xlfn.AGGREGATE(15,6,(ROW(Management!$B$3:$B$50)-ROW(Management!$B$3)+1)/((IF(Management!$C$3:$C$50="Unlimited",10^15,Management!$C$3:$C$50))&gt;='1'!$I6),COLUMN(R5))),"")</f>
        <v>Muhammad Ali</v>
      </c>
      <c r="S6" t="str">
        <f>IFERROR(INDEX(Management!$B$3:$B$50,_xlfn.AGGREGATE(15,6,(ROW(Management!$B$3:$B$50)-ROW(Management!$B$3)+1)/((IF(Management!$C$3:$C$50="Unlimited",10^15,Management!$C$3:$C$50))&gt;='1'!$I6),COLUMN(S5))),"")</f>
        <v>Muhammad Ali</v>
      </c>
      <c r="T6" t="str">
        <f>IFERROR(INDEX(Management!$B$3:$B$50,_xlfn.AGGREGATE(15,6,(ROW(Management!$B$3:$B$50)-ROW(Management!$B$3)+1)/((IF(Management!$C$3:$C$50="Unlimited",10^15,Management!$C$3:$C$50))&gt;='1'!$I6),COLUMN(T5))),"")</f>
        <v>Jawad Aziz</v>
      </c>
    </row>
    <row r="7" spans="1:20">
      <c r="A7" t="str">
        <f>IFERROR(INDEX(Management!$B$3:$B$50,_xlfn.AGGREGATE(15,6,(ROW(Management!$B$3:$B$50)-ROW(Management!$B$3)+1)/((IF(Management!$C$3:$C$50="Unlimited",10^15,Management!$C$3:$C$50))&gt;='1'!$I7),COLUMN(A6))),"")</f>
        <v>Muhammad Usman</v>
      </c>
      <c r="B7" t="str">
        <f>IFERROR(INDEX(Management!$B$3:$B$50,_xlfn.AGGREGATE(15,6,(ROW(Management!$B$3:$B$50)-ROW(Management!$B$3)+1)/((IF(Management!$C$3:$C$50="Unlimited",10^15,Management!$C$3:$C$50))&gt;='1'!$I7),COLUMN(B6))),"")</f>
        <v>Nadeem Hussain</v>
      </c>
      <c r="C7" t="str">
        <f>IFERROR(INDEX(Management!$B$3:$B$50,_xlfn.AGGREGATE(15,6,(ROW(Management!$B$3:$B$50)-ROW(Management!$B$3)+1)/((IF(Management!$C$3:$C$50="Unlimited",10^15,Management!$C$3:$C$50))&gt;='1'!$I7),COLUMN(C6))),"")</f>
        <v>Allah Ditta</v>
      </c>
      <c r="D7" t="str">
        <f>IFERROR(INDEX(Management!$B$3:$B$50,_xlfn.AGGREGATE(15,6,(ROW(Management!$B$3:$B$50)-ROW(Management!$B$3)+1)/((IF(Management!$C$3:$C$50="Unlimited",10^15,Management!$C$3:$C$50))&gt;='1'!$I7),COLUMN(D6))),"")</f>
        <v>Mehmood Ahmed</v>
      </c>
      <c r="E7" t="str">
        <f>IFERROR(INDEX(Management!$B$3:$B$50,_xlfn.AGGREGATE(15,6,(ROW(Management!$B$3:$B$50)-ROW(Management!$B$3)+1)/((IF(Management!$C$3:$C$50="Unlimited",10^15,Management!$C$3:$C$50))&gt;='1'!$I7),COLUMN(E6))),"")</f>
        <v>Tasawar Abbas</v>
      </c>
      <c r="F7" t="str">
        <f>IFERROR(INDEX(Management!$B$3:$B$50,_xlfn.AGGREGATE(15,6,(ROW(Management!$B$3:$B$50)-ROW(Management!$B$3)+1)/((IF(Management!$C$3:$C$50="Unlimited",10^15,Management!$C$3:$C$50))&gt;='1'!$I7),COLUMN(F6))),"")</f>
        <v>Muhammad Farhan</v>
      </c>
      <c r="G7" t="str">
        <f>IFERROR(INDEX(Management!$B$3:$B$50,_xlfn.AGGREGATE(15,6,(ROW(Management!$B$3:$B$50)-ROW(Management!$B$3)+1)/((IF(Management!$C$3:$C$50="Unlimited",10^15,Management!$C$3:$C$50))&gt;='1'!$I7),COLUMN(G6))),"")</f>
        <v>Shahzaib Ali</v>
      </c>
      <c r="H7" t="str">
        <f>IFERROR(INDEX(Management!$B$3:$B$50,_xlfn.AGGREGATE(15,6,(ROW(Management!$B$3:$B$50)-ROW(Management!$B$3)+1)/((IF(Management!$C$3:$C$50="Unlimited",10^15,Management!$C$3:$C$50))&gt;='1'!$I7),COLUMN(H6))),"")</f>
        <v>Waseem Raza</v>
      </c>
      <c r="I7" t="str">
        <f>IFERROR(INDEX(Management!$B$3:$B$50,_xlfn.AGGREGATE(15,6,(ROW(Management!$B$3:$B$50)-ROW(Management!$B$3)+1)/((IF(Management!$C$3:$C$50="Unlimited",10^15,Management!$C$3:$C$50))&gt;='1'!$I7),COLUMN(I6))),"")</f>
        <v>Muhammad Majeed</v>
      </c>
      <c r="J7" t="str">
        <f>IFERROR(INDEX(Management!$B$3:$B$50,_xlfn.AGGREGATE(15,6,(ROW(Management!$B$3:$B$50)-ROW(Management!$B$3)+1)/((IF(Management!$C$3:$C$50="Unlimited",10^15,Management!$C$3:$C$50))&gt;='1'!$I7),COLUMN(J6))),"")</f>
        <v>Shoukat Mahmood</v>
      </c>
      <c r="K7" t="str">
        <f>IFERROR(INDEX(Management!$B$3:$B$50,_xlfn.AGGREGATE(15,6,(ROW(Management!$B$3:$B$50)-ROW(Management!$B$3)+1)/((IF(Management!$C$3:$C$50="Unlimited",10^15,Management!$C$3:$C$50))&gt;='1'!$I7),COLUMN(K6))),"")</f>
        <v>Naveed Kamal</v>
      </c>
      <c r="L7" t="str">
        <f>IFERROR(INDEX(Management!$B$3:$B$50,_xlfn.AGGREGATE(15,6,(ROW(Management!$B$3:$B$50)-ROW(Management!$B$3)+1)/((IF(Management!$C$3:$C$50="Unlimited",10^15,Management!$C$3:$C$50))&gt;='1'!$I7),COLUMN(L6))),"")</f>
        <v>Raza Ali</v>
      </c>
      <c r="M7" t="str">
        <f>IFERROR(INDEX(Management!$B$3:$B$50,_xlfn.AGGREGATE(15,6,(ROW(Management!$B$3:$B$50)-ROW(Management!$B$3)+1)/((IF(Management!$C$3:$C$50="Unlimited",10^15,Management!$C$3:$C$50))&gt;='1'!$I7),COLUMN(M6))),"")</f>
        <v>Alfqar</v>
      </c>
      <c r="N7" t="str">
        <f>IFERROR(INDEX(Management!$B$3:$B$50,_xlfn.AGGREGATE(15,6,(ROW(Management!$B$3:$B$50)-ROW(Management!$B$3)+1)/((IF(Management!$C$3:$C$50="Unlimited",10^15,Management!$C$3:$C$50))&gt;='1'!$I7),COLUMN(N6))),"")</f>
        <v>Sheraz Ahmed</v>
      </c>
      <c r="O7" t="str">
        <f>IFERROR(INDEX(Management!$B$3:$B$50,_xlfn.AGGREGATE(15,6,(ROW(Management!$B$3:$B$50)-ROW(Management!$B$3)+1)/((IF(Management!$C$3:$C$50="Unlimited",10^15,Management!$C$3:$C$50))&gt;='1'!$I7),COLUMN(O6))),"")</f>
        <v>Faisal Kausar</v>
      </c>
      <c r="P7" t="str">
        <f>IFERROR(INDEX(Management!$B$3:$B$50,_xlfn.AGGREGATE(15,6,(ROW(Management!$B$3:$B$50)-ROW(Management!$B$3)+1)/((IF(Management!$C$3:$C$50="Unlimited",10^15,Management!$C$3:$C$50))&gt;='1'!$I7),COLUMN(P6))),"")</f>
        <v>Muhammad Faisal</v>
      </c>
      <c r="Q7" t="str">
        <f>IFERROR(INDEX(Management!$B$3:$B$50,_xlfn.AGGREGATE(15,6,(ROW(Management!$B$3:$B$50)-ROW(Management!$B$3)+1)/((IF(Management!$C$3:$C$50="Unlimited",10^15,Management!$C$3:$C$50))&gt;='1'!$I7),COLUMN(Q6))),"")</f>
        <v>Sumair Hamza</v>
      </c>
      <c r="R7" t="str">
        <f>IFERROR(INDEX(Management!$B$3:$B$50,_xlfn.AGGREGATE(15,6,(ROW(Management!$B$3:$B$50)-ROW(Management!$B$3)+1)/((IF(Management!$C$3:$C$50="Unlimited",10^15,Management!$C$3:$C$50))&gt;='1'!$I7),COLUMN(R6))),"")</f>
        <v>Muhammad Ali</v>
      </c>
      <c r="S7" t="str">
        <f>IFERROR(INDEX(Management!$B$3:$B$50,_xlfn.AGGREGATE(15,6,(ROW(Management!$B$3:$B$50)-ROW(Management!$B$3)+1)/((IF(Management!$C$3:$C$50="Unlimited",10^15,Management!$C$3:$C$50))&gt;='1'!$I7),COLUMN(S6))),"")</f>
        <v>Muhammad Ali</v>
      </c>
      <c r="T7" t="str">
        <f>IFERROR(INDEX(Management!$B$3:$B$50,_xlfn.AGGREGATE(15,6,(ROW(Management!$B$3:$B$50)-ROW(Management!$B$3)+1)/((IF(Management!$C$3:$C$50="Unlimited",10^15,Management!$C$3:$C$50))&gt;='1'!$I7),COLUMN(T6))),"")</f>
        <v>Jawad Aziz</v>
      </c>
    </row>
    <row r="8" spans="1:20">
      <c r="A8" t="str">
        <f>IFERROR(INDEX(Management!$B$3:$B$50,_xlfn.AGGREGATE(15,6,(ROW(Management!$B$3:$B$50)-ROW(Management!$B$3)+1)/((IF(Management!$C$3:$C$50="Unlimited",10^15,Management!$C$3:$C$50))&gt;='1'!$I8),COLUMN(A7))),"")</f>
        <v>Muhammad Usman</v>
      </c>
      <c r="B8" t="str">
        <f>IFERROR(INDEX(Management!$B$3:$B$50,_xlfn.AGGREGATE(15,6,(ROW(Management!$B$3:$B$50)-ROW(Management!$B$3)+1)/((IF(Management!$C$3:$C$50="Unlimited",10^15,Management!$C$3:$C$50))&gt;='1'!$I8),COLUMN(B7))),"")</f>
        <v>Nadeem Hussain</v>
      </c>
      <c r="C8" t="str">
        <f>IFERROR(INDEX(Management!$B$3:$B$50,_xlfn.AGGREGATE(15,6,(ROW(Management!$B$3:$B$50)-ROW(Management!$B$3)+1)/((IF(Management!$C$3:$C$50="Unlimited",10^15,Management!$C$3:$C$50))&gt;='1'!$I8),COLUMN(C7))),"")</f>
        <v>Allah Ditta</v>
      </c>
      <c r="D8" t="str">
        <f>IFERROR(INDEX(Management!$B$3:$B$50,_xlfn.AGGREGATE(15,6,(ROW(Management!$B$3:$B$50)-ROW(Management!$B$3)+1)/((IF(Management!$C$3:$C$50="Unlimited",10^15,Management!$C$3:$C$50))&gt;='1'!$I8),COLUMN(D7))),"")</f>
        <v>Mehmood Ahmed</v>
      </c>
      <c r="E8" t="str">
        <f>IFERROR(INDEX(Management!$B$3:$B$50,_xlfn.AGGREGATE(15,6,(ROW(Management!$B$3:$B$50)-ROW(Management!$B$3)+1)/((IF(Management!$C$3:$C$50="Unlimited",10^15,Management!$C$3:$C$50))&gt;='1'!$I8),COLUMN(E7))),"")</f>
        <v>Tasawar Abbas</v>
      </c>
      <c r="F8" t="str">
        <f>IFERROR(INDEX(Management!$B$3:$B$50,_xlfn.AGGREGATE(15,6,(ROW(Management!$B$3:$B$50)-ROW(Management!$B$3)+1)/((IF(Management!$C$3:$C$50="Unlimited",10^15,Management!$C$3:$C$50))&gt;='1'!$I8),COLUMN(F7))),"")</f>
        <v>Muhammad Farhan</v>
      </c>
      <c r="G8" t="str">
        <f>IFERROR(INDEX(Management!$B$3:$B$50,_xlfn.AGGREGATE(15,6,(ROW(Management!$B$3:$B$50)-ROW(Management!$B$3)+1)/((IF(Management!$C$3:$C$50="Unlimited",10^15,Management!$C$3:$C$50))&gt;='1'!$I8),COLUMN(G7))),"")</f>
        <v>Shahzaib Ali</v>
      </c>
      <c r="H8" t="str">
        <f>IFERROR(INDEX(Management!$B$3:$B$50,_xlfn.AGGREGATE(15,6,(ROW(Management!$B$3:$B$50)-ROW(Management!$B$3)+1)/((IF(Management!$C$3:$C$50="Unlimited",10^15,Management!$C$3:$C$50))&gt;='1'!$I8),COLUMN(H7))),"")</f>
        <v>Waseem Raza</v>
      </c>
      <c r="I8" t="str">
        <f>IFERROR(INDEX(Management!$B$3:$B$50,_xlfn.AGGREGATE(15,6,(ROW(Management!$B$3:$B$50)-ROW(Management!$B$3)+1)/((IF(Management!$C$3:$C$50="Unlimited",10^15,Management!$C$3:$C$50))&gt;='1'!$I8),COLUMN(I7))),"")</f>
        <v>Muhammad Majeed</v>
      </c>
      <c r="J8" t="str">
        <f>IFERROR(INDEX(Management!$B$3:$B$50,_xlfn.AGGREGATE(15,6,(ROW(Management!$B$3:$B$50)-ROW(Management!$B$3)+1)/((IF(Management!$C$3:$C$50="Unlimited",10^15,Management!$C$3:$C$50))&gt;='1'!$I8),COLUMN(J7))),"")</f>
        <v>Shoukat Mahmood</v>
      </c>
      <c r="K8" t="str">
        <f>IFERROR(INDEX(Management!$B$3:$B$50,_xlfn.AGGREGATE(15,6,(ROW(Management!$B$3:$B$50)-ROW(Management!$B$3)+1)/((IF(Management!$C$3:$C$50="Unlimited",10^15,Management!$C$3:$C$50))&gt;='1'!$I8),COLUMN(K7))),"")</f>
        <v>Naveed Kamal</v>
      </c>
      <c r="L8" t="str">
        <f>IFERROR(INDEX(Management!$B$3:$B$50,_xlfn.AGGREGATE(15,6,(ROW(Management!$B$3:$B$50)-ROW(Management!$B$3)+1)/((IF(Management!$C$3:$C$50="Unlimited",10^15,Management!$C$3:$C$50))&gt;='1'!$I8),COLUMN(L7))),"")</f>
        <v>Raza Ali</v>
      </c>
      <c r="M8" t="str">
        <f>IFERROR(INDEX(Management!$B$3:$B$50,_xlfn.AGGREGATE(15,6,(ROW(Management!$B$3:$B$50)-ROW(Management!$B$3)+1)/((IF(Management!$C$3:$C$50="Unlimited",10^15,Management!$C$3:$C$50))&gt;='1'!$I8),COLUMN(M7))),"")</f>
        <v>Alfqar</v>
      </c>
      <c r="N8" t="str">
        <f>IFERROR(INDEX(Management!$B$3:$B$50,_xlfn.AGGREGATE(15,6,(ROW(Management!$B$3:$B$50)-ROW(Management!$B$3)+1)/((IF(Management!$C$3:$C$50="Unlimited",10^15,Management!$C$3:$C$50))&gt;='1'!$I8),COLUMN(N7))),"")</f>
        <v>Sheraz Ahmed</v>
      </c>
      <c r="O8" t="str">
        <f>IFERROR(INDEX(Management!$B$3:$B$50,_xlfn.AGGREGATE(15,6,(ROW(Management!$B$3:$B$50)-ROW(Management!$B$3)+1)/((IF(Management!$C$3:$C$50="Unlimited",10^15,Management!$C$3:$C$50))&gt;='1'!$I8),COLUMN(O7))),"")</f>
        <v>Faisal Kausar</v>
      </c>
      <c r="P8" t="str">
        <f>IFERROR(INDEX(Management!$B$3:$B$50,_xlfn.AGGREGATE(15,6,(ROW(Management!$B$3:$B$50)-ROW(Management!$B$3)+1)/((IF(Management!$C$3:$C$50="Unlimited",10^15,Management!$C$3:$C$50))&gt;='1'!$I8),COLUMN(P7))),"")</f>
        <v>Muhammad Faisal</v>
      </c>
      <c r="Q8" t="str">
        <f>IFERROR(INDEX(Management!$B$3:$B$50,_xlfn.AGGREGATE(15,6,(ROW(Management!$B$3:$B$50)-ROW(Management!$B$3)+1)/((IF(Management!$C$3:$C$50="Unlimited",10^15,Management!$C$3:$C$50))&gt;='1'!$I8),COLUMN(Q7))),"")</f>
        <v>Sumair Hamza</v>
      </c>
      <c r="R8" t="str">
        <f>IFERROR(INDEX(Management!$B$3:$B$50,_xlfn.AGGREGATE(15,6,(ROW(Management!$B$3:$B$50)-ROW(Management!$B$3)+1)/((IF(Management!$C$3:$C$50="Unlimited",10^15,Management!$C$3:$C$50))&gt;='1'!$I8),COLUMN(R7))),"")</f>
        <v>Muhammad Ali</v>
      </c>
      <c r="S8" t="str">
        <f>IFERROR(INDEX(Management!$B$3:$B$50,_xlfn.AGGREGATE(15,6,(ROW(Management!$B$3:$B$50)-ROW(Management!$B$3)+1)/((IF(Management!$C$3:$C$50="Unlimited",10^15,Management!$C$3:$C$50))&gt;='1'!$I8),COLUMN(S7))),"")</f>
        <v>Muhammad Ali</v>
      </c>
      <c r="T8" t="str">
        <f>IFERROR(INDEX(Management!$B$3:$B$50,_xlfn.AGGREGATE(15,6,(ROW(Management!$B$3:$B$50)-ROW(Management!$B$3)+1)/((IF(Management!$C$3:$C$50="Unlimited",10^15,Management!$C$3:$C$50))&gt;='1'!$I8),COLUMN(T7))),"")</f>
        <v>Jawad Aziz</v>
      </c>
    </row>
    <row r="9" spans="1:20">
      <c r="A9" t="str">
        <f>IFERROR(INDEX(Management!$B$3:$B$50,_xlfn.AGGREGATE(15,6,(ROW(Management!$B$3:$B$50)-ROW(Management!$B$3)+1)/((IF(Management!$C$3:$C$50="Unlimited",10^15,Management!$C$3:$C$50))&gt;='1'!$I9),COLUMN(A8))),"")</f>
        <v>Muhammad Usman</v>
      </c>
      <c r="B9" t="str">
        <f>IFERROR(INDEX(Management!$B$3:$B$50,_xlfn.AGGREGATE(15,6,(ROW(Management!$B$3:$B$50)-ROW(Management!$B$3)+1)/((IF(Management!$C$3:$C$50="Unlimited",10^15,Management!$C$3:$C$50))&gt;='1'!$I9),COLUMN(B8))),"")</f>
        <v>Nadeem Hussain</v>
      </c>
      <c r="C9" t="str">
        <f>IFERROR(INDEX(Management!$B$3:$B$50,_xlfn.AGGREGATE(15,6,(ROW(Management!$B$3:$B$50)-ROW(Management!$B$3)+1)/((IF(Management!$C$3:$C$50="Unlimited",10^15,Management!$C$3:$C$50))&gt;='1'!$I9),COLUMN(C8))),"")</f>
        <v>Allah Ditta</v>
      </c>
      <c r="D9" t="str">
        <f>IFERROR(INDEX(Management!$B$3:$B$50,_xlfn.AGGREGATE(15,6,(ROW(Management!$B$3:$B$50)-ROW(Management!$B$3)+1)/((IF(Management!$C$3:$C$50="Unlimited",10^15,Management!$C$3:$C$50))&gt;='1'!$I9),COLUMN(D8))),"")</f>
        <v>Mehmood Ahmed</v>
      </c>
      <c r="E9" t="str">
        <f>IFERROR(INDEX(Management!$B$3:$B$50,_xlfn.AGGREGATE(15,6,(ROW(Management!$B$3:$B$50)-ROW(Management!$B$3)+1)/((IF(Management!$C$3:$C$50="Unlimited",10^15,Management!$C$3:$C$50))&gt;='1'!$I9),COLUMN(E8))),"")</f>
        <v>Tasawar Abbas</v>
      </c>
      <c r="F9" t="str">
        <f>IFERROR(INDEX(Management!$B$3:$B$50,_xlfn.AGGREGATE(15,6,(ROW(Management!$B$3:$B$50)-ROW(Management!$B$3)+1)/((IF(Management!$C$3:$C$50="Unlimited",10^15,Management!$C$3:$C$50))&gt;='1'!$I9),COLUMN(F8))),"")</f>
        <v>Muhammad Farhan</v>
      </c>
      <c r="G9" t="str">
        <f>IFERROR(INDEX(Management!$B$3:$B$50,_xlfn.AGGREGATE(15,6,(ROW(Management!$B$3:$B$50)-ROW(Management!$B$3)+1)/((IF(Management!$C$3:$C$50="Unlimited",10^15,Management!$C$3:$C$50))&gt;='1'!$I9),COLUMN(G8))),"")</f>
        <v>Shahzaib Ali</v>
      </c>
      <c r="H9" t="str">
        <f>IFERROR(INDEX(Management!$B$3:$B$50,_xlfn.AGGREGATE(15,6,(ROW(Management!$B$3:$B$50)-ROW(Management!$B$3)+1)/((IF(Management!$C$3:$C$50="Unlimited",10^15,Management!$C$3:$C$50))&gt;='1'!$I9),COLUMN(H8))),"")</f>
        <v>Waseem Raza</v>
      </c>
      <c r="I9" t="str">
        <f>IFERROR(INDEX(Management!$B$3:$B$50,_xlfn.AGGREGATE(15,6,(ROW(Management!$B$3:$B$50)-ROW(Management!$B$3)+1)/((IF(Management!$C$3:$C$50="Unlimited",10^15,Management!$C$3:$C$50))&gt;='1'!$I9),COLUMN(I8))),"")</f>
        <v>Muhammad Majeed</v>
      </c>
      <c r="J9" t="str">
        <f>IFERROR(INDEX(Management!$B$3:$B$50,_xlfn.AGGREGATE(15,6,(ROW(Management!$B$3:$B$50)-ROW(Management!$B$3)+1)/((IF(Management!$C$3:$C$50="Unlimited",10^15,Management!$C$3:$C$50))&gt;='1'!$I9),COLUMN(J8))),"")</f>
        <v>Shoukat Mahmood</v>
      </c>
      <c r="K9" t="str">
        <f>IFERROR(INDEX(Management!$B$3:$B$50,_xlfn.AGGREGATE(15,6,(ROW(Management!$B$3:$B$50)-ROW(Management!$B$3)+1)/((IF(Management!$C$3:$C$50="Unlimited",10^15,Management!$C$3:$C$50))&gt;='1'!$I9),COLUMN(K8))),"")</f>
        <v>Naveed Kamal</v>
      </c>
      <c r="L9" t="str">
        <f>IFERROR(INDEX(Management!$B$3:$B$50,_xlfn.AGGREGATE(15,6,(ROW(Management!$B$3:$B$50)-ROW(Management!$B$3)+1)/((IF(Management!$C$3:$C$50="Unlimited",10^15,Management!$C$3:$C$50))&gt;='1'!$I9),COLUMN(L8))),"")</f>
        <v>Raza Ali</v>
      </c>
      <c r="M9" t="str">
        <f>IFERROR(INDEX(Management!$B$3:$B$50,_xlfn.AGGREGATE(15,6,(ROW(Management!$B$3:$B$50)-ROW(Management!$B$3)+1)/((IF(Management!$C$3:$C$50="Unlimited",10^15,Management!$C$3:$C$50))&gt;='1'!$I9),COLUMN(M8))),"")</f>
        <v>Alfqar</v>
      </c>
      <c r="N9" t="str">
        <f>IFERROR(INDEX(Management!$B$3:$B$50,_xlfn.AGGREGATE(15,6,(ROW(Management!$B$3:$B$50)-ROW(Management!$B$3)+1)/((IF(Management!$C$3:$C$50="Unlimited",10^15,Management!$C$3:$C$50))&gt;='1'!$I9),COLUMN(N8))),"")</f>
        <v>Sheraz Ahmed</v>
      </c>
      <c r="O9" t="str">
        <f>IFERROR(INDEX(Management!$B$3:$B$50,_xlfn.AGGREGATE(15,6,(ROW(Management!$B$3:$B$50)-ROW(Management!$B$3)+1)/((IF(Management!$C$3:$C$50="Unlimited",10^15,Management!$C$3:$C$50))&gt;='1'!$I9),COLUMN(O8))),"")</f>
        <v>Faisal Kausar</v>
      </c>
      <c r="P9" t="str">
        <f>IFERROR(INDEX(Management!$B$3:$B$50,_xlfn.AGGREGATE(15,6,(ROW(Management!$B$3:$B$50)-ROW(Management!$B$3)+1)/((IF(Management!$C$3:$C$50="Unlimited",10^15,Management!$C$3:$C$50))&gt;='1'!$I9),COLUMN(P8))),"")</f>
        <v>Muhammad Faisal</v>
      </c>
      <c r="Q9" t="str">
        <f>IFERROR(INDEX(Management!$B$3:$B$50,_xlfn.AGGREGATE(15,6,(ROW(Management!$B$3:$B$50)-ROW(Management!$B$3)+1)/((IF(Management!$C$3:$C$50="Unlimited",10^15,Management!$C$3:$C$50))&gt;='1'!$I9),COLUMN(Q8))),"")</f>
        <v>Sumair Hamza</v>
      </c>
      <c r="R9" t="str">
        <f>IFERROR(INDEX(Management!$B$3:$B$50,_xlfn.AGGREGATE(15,6,(ROW(Management!$B$3:$B$50)-ROW(Management!$B$3)+1)/((IF(Management!$C$3:$C$50="Unlimited",10^15,Management!$C$3:$C$50))&gt;='1'!$I9),COLUMN(R8))),"")</f>
        <v>Muhammad Ali</v>
      </c>
      <c r="S9" t="str">
        <f>IFERROR(INDEX(Management!$B$3:$B$50,_xlfn.AGGREGATE(15,6,(ROW(Management!$B$3:$B$50)-ROW(Management!$B$3)+1)/((IF(Management!$C$3:$C$50="Unlimited",10^15,Management!$C$3:$C$50))&gt;='1'!$I9),COLUMN(S8))),"")</f>
        <v>Muhammad Ali</v>
      </c>
      <c r="T9" t="str">
        <f>IFERROR(INDEX(Management!$B$3:$B$50,_xlfn.AGGREGATE(15,6,(ROW(Management!$B$3:$B$50)-ROW(Management!$B$3)+1)/((IF(Management!$C$3:$C$50="Unlimited",10^15,Management!$C$3:$C$50))&gt;='1'!$I9),COLUMN(T8))),"")</f>
        <v>Jawad Aziz</v>
      </c>
    </row>
    <row r="10" spans="1:20">
      <c r="A10" t="str">
        <f>IFERROR(INDEX(Management!$B$3:$B$50,_xlfn.AGGREGATE(15,6,(ROW(Management!$B$3:$B$50)-ROW(Management!$B$3)+1)/((IF(Management!$C$3:$C$50="Unlimited",10^15,Management!$C$3:$C$50))&gt;='1'!$I10),COLUMN(A9))),"")</f>
        <v>Muhammad Usman</v>
      </c>
      <c r="B10" t="str">
        <f>IFERROR(INDEX(Management!$B$3:$B$50,_xlfn.AGGREGATE(15,6,(ROW(Management!$B$3:$B$50)-ROW(Management!$B$3)+1)/((IF(Management!$C$3:$C$50="Unlimited",10^15,Management!$C$3:$C$50))&gt;='1'!$I10),COLUMN(B9))),"")</f>
        <v>Nadeem Hussain</v>
      </c>
      <c r="C10" t="str">
        <f>IFERROR(INDEX(Management!$B$3:$B$50,_xlfn.AGGREGATE(15,6,(ROW(Management!$B$3:$B$50)-ROW(Management!$B$3)+1)/((IF(Management!$C$3:$C$50="Unlimited",10^15,Management!$C$3:$C$50))&gt;='1'!$I10),COLUMN(C9))),"")</f>
        <v>Allah Ditta</v>
      </c>
      <c r="D10" t="str">
        <f>IFERROR(INDEX(Management!$B$3:$B$50,_xlfn.AGGREGATE(15,6,(ROW(Management!$B$3:$B$50)-ROW(Management!$B$3)+1)/((IF(Management!$C$3:$C$50="Unlimited",10^15,Management!$C$3:$C$50))&gt;='1'!$I10),COLUMN(D9))),"")</f>
        <v>Mehmood Ahmed</v>
      </c>
      <c r="E10" t="str">
        <f>IFERROR(INDEX(Management!$B$3:$B$50,_xlfn.AGGREGATE(15,6,(ROW(Management!$B$3:$B$50)-ROW(Management!$B$3)+1)/((IF(Management!$C$3:$C$50="Unlimited",10^15,Management!$C$3:$C$50))&gt;='1'!$I10),COLUMN(E9))),"")</f>
        <v>Tasawar Abbas</v>
      </c>
      <c r="F10" t="str">
        <f>IFERROR(INDEX(Management!$B$3:$B$50,_xlfn.AGGREGATE(15,6,(ROW(Management!$B$3:$B$50)-ROW(Management!$B$3)+1)/((IF(Management!$C$3:$C$50="Unlimited",10^15,Management!$C$3:$C$50))&gt;='1'!$I10),COLUMN(F9))),"")</f>
        <v>Muhammad Farhan</v>
      </c>
      <c r="G10" t="str">
        <f>IFERROR(INDEX(Management!$B$3:$B$50,_xlfn.AGGREGATE(15,6,(ROW(Management!$B$3:$B$50)-ROW(Management!$B$3)+1)/((IF(Management!$C$3:$C$50="Unlimited",10^15,Management!$C$3:$C$50))&gt;='1'!$I10),COLUMN(G9))),"")</f>
        <v>Shahzaib Ali</v>
      </c>
      <c r="H10" t="str">
        <f>IFERROR(INDEX(Management!$B$3:$B$50,_xlfn.AGGREGATE(15,6,(ROW(Management!$B$3:$B$50)-ROW(Management!$B$3)+1)/((IF(Management!$C$3:$C$50="Unlimited",10^15,Management!$C$3:$C$50))&gt;='1'!$I10),COLUMN(H9))),"")</f>
        <v>Waseem Raza</v>
      </c>
      <c r="I10" t="str">
        <f>IFERROR(INDEX(Management!$B$3:$B$50,_xlfn.AGGREGATE(15,6,(ROW(Management!$B$3:$B$50)-ROW(Management!$B$3)+1)/((IF(Management!$C$3:$C$50="Unlimited",10^15,Management!$C$3:$C$50))&gt;='1'!$I10),COLUMN(I9))),"")</f>
        <v>Muhammad Majeed</v>
      </c>
      <c r="J10" t="str">
        <f>IFERROR(INDEX(Management!$B$3:$B$50,_xlfn.AGGREGATE(15,6,(ROW(Management!$B$3:$B$50)-ROW(Management!$B$3)+1)/((IF(Management!$C$3:$C$50="Unlimited",10^15,Management!$C$3:$C$50))&gt;='1'!$I10),COLUMN(J9))),"")</f>
        <v>Shoukat Mahmood</v>
      </c>
      <c r="K10" t="str">
        <f>IFERROR(INDEX(Management!$B$3:$B$50,_xlfn.AGGREGATE(15,6,(ROW(Management!$B$3:$B$50)-ROW(Management!$B$3)+1)/((IF(Management!$C$3:$C$50="Unlimited",10^15,Management!$C$3:$C$50))&gt;='1'!$I10),COLUMN(K9))),"")</f>
        <v>Naveed Kamal</v>
      </c>
      <c r="L10" t="str">
        <f>IFERROR(INDEX(Management!$B$3:$B$50,_xlfn.AGGREGATE(15,6,(ROW(Management!$B$3:$B$50)-ROW(Management!$B$3)+1)/((IF(Management!$C$3:$C$50="Unlimited",10^15,Management!$C$3:$C$50))&gt;='1'!$I10),COLUMN(L9))),"")</f>
        <v>Raza Ali</v>
      </c>
      <c r="M10" t="str">
        <f>IFERROR(INDEX(Management!$B$3:$B$50,_xlfn.AGGREGATE(15,6,(ROW(Management!$B$3:$B$50)-ROW(Management!$B$3)+1)/((IF(Management!$C$3:$C$50="Unlimited",10^15,Management!$C$3:$C$50))&gt;='1'!$I10),COLUMN(M9))),"")</f>
        <v>Alfqar</v>
      </c>
      <c r="N10" t="str">
        <f>IFERROR(INDEX(Management!$B$3:$B$50,_xlfn.AGGREGATE(15,6,(ROW(Management!$B$3:$B$50)-ROW(Management!$B$3)+1)/((IF(Management!$C$3:$C$50="Unlimited",10^15,Management!$C$3:$C$50))&gt;='1'!$I10),COLUMN(N9))),"")</f>
        <v>Sheraz Ahmed</v>
      </c>
      <c r="O10" t="str">
        <f>IFERROR(INDEX(Management!$B$3:$B$50,_xlfn.AGGREGATE(15,6,(ROW(Management!$B$3:$B$50)-ROW(Management!$B$3)+1)/((IF(Management!$C$3:$C$50="Unlimited",10^15,Management!$C$3:$C$50))&gt;='1'!$I10),COLUMN(O9))),"")</f>
        <v>Faisal Kausar</v>
      </c>
      <c r="P10" t="str">
        <f>IFERROR(INDEX(Management!$B$3:$B$50,_xlfn.AGGREGATE(15,6,(ROW(Management!$B$3:$B$50)-ROW(Management!$B$3)+1)/((IF(Management!$C$3:$C$50="Unlimited",10^15,Management!$C$3:$C$50))&gt;='1'!$I10),COLUMN(P9))),"")</f>
        <v>Muhammad Faisal</v>
      </c>
      <c r="Q10" t="str">
        <f>IFERROR(INDEX(Management!$B$3:$B$50,_xlfn.AGGREGATE(15,6,(ROW(Management!$B$3:$B$50)-ROW(Management!$B$3)+1)/((IF(Management!$C$3:$C$50="Unlimited",10^15,Management!$C$3:$C$50))&gt;='1'!$I10),COLUMN(Q9))),"")</f>
        <v>Sumair Hamza</v>
      </c>
      <c r="R10" t="str">
        <f>IFERROR(INDEX(Management!$B$3:$B$50,_xlfn.AGGREGATE(15,6,(ROW(Management!$B$3:$B$50)-ROW(Management!$B$3)+1)/((IF(Management!$C$3:$C$50="Unlimited",10^15,Management!$C$3:$C$50))&gt;='1'!$I10),COLUMN(R9))),"")</f>
        <v>Muhammad Ali</v>
      </c>
      <c r="S10" t="str">
        <f>IFERROR(INDEX(Management!$B$3:$B$50,_xlfn.AGGREGATE(15,6,(ROW(Management!$B$3:$B$50)-ROW(Management!$B$3)+1)/((IF(Management!$C$3:$C$50="Unlimited",10^15,Management!$C$3:$C$50))&gt;='1'!$I10),COLUMN(S9))),"")</f>
        <v>Muhammad Ali</v>
      </c>
      <c r="T10" t="str">
        <f>IFERROR(INDEX(Management!$B$3:$B$50,_xlfn.AGGREGATE(15,6,(ROW(Management!$B$3:$B$50)-ROW(Management!$B$3)+1)/((IF(Management!$C$3:$C$50="Unlimited",10^15,Management!$C$3:$C$50))&gt;='1'!$I10),COLUMN(T9))),"")</f>
        <v>Jawad Aziz</v>
      </c>
    </row>
    <row r="11" spans="1:20">
      <c r="A11" t="str">
        <f>IFERROR(INDEX(Management!$B$3:$B$50,_xlfn.AGGREGATE(15,6,(ROW(Management!$B$3:$B$50)-ROW(Management!$B$3)+1)/((IF(Management!$C$3:$C$50="Unlimited",10^15,Management!$C$3:$C$50))&gt;='1'!$I11),COLUMN(A10))),"")</f>
        <v>Muhammad Usman</v>
      </c>
      <c r="B11" t="str">
        <f>IFERROR(INDEX(Management!$B$3:$B$50,_xlfn.AGGREGATE(15,6,(ROW(Management!$B$3:$B$50)-ROW(Management!$B$3)+1)/((IF(Management!$C$3:$C$50="Unlimited",10^15,Management!$C$3:$C$50))&gt;='1'!$I11),COLUMN(B10))),"")</f>
        <v>Nadeem Hussain</v>
      </c>
      <c r="C11" t="str">
        <f>IFERROR(INDEX(Management!$B$3:$B$50,_xlfn.AGGREGATE(15,6,(ROW(Management!$B$3:$B$50)-ROW(Management!$B$3)+1)/((IF(Management!$C$3:$C$50="Unlimited",10^15,Management!$C$3:$C$50))&gt;='1'!$I11),COLUMN(C10))),"")</f>
        <v>Allah Ditta</v>
      </c>
      <c r="D11" t="str">
        <f>IFERROR(INDEX(Management!$B$3:$B$50,_xlfn.AGGREGATE(15,6,(ROW(Management!$B$3:$B$50)-ROW(Management!$B$3)+1)/((IF(Management!$C$3:$C$50="Unlimited",10^15,Management!$C$3:$C$50))&gt;='1'!$I11),COLUMN(D10))),"")</f>
        <v>Mehmood Ahmed</v>
      </c>
      <c r="E11" t="str">
        <f>IFERROR(INDEX(Management!$B$3:$B$50,_xlfn.AGGREGATE(15,6,(ROW(Management!$B$3:$B$50)-ROW(Management!$B$3)+1)/((IF(Management!$C$3:$C$50="Unlimited",10^15,Management!$C$3:$C$50))&gt;='1'!$I11),COLUMN(E10))),"")</f>
        <v>Tasawar Abbas</v>
      </c>
      <c r="F11" t="str">
        <f>IFERROR(INDEX(Management!$B$3:$B$50,_xlfn.AGGREGATE(15,6,(ROW(Management!$B$3:$B$50)-ROW(Management!$B$3)+1)/((IF(Management!$C$3:$C$50="Unlimited",10^15,Management!$C$3:$C$50))&gt;='1'!$I11),COLUMN(F10))),"")</f>
        <v>Muhammad Farhan</v>
      </c>
      <c r="G11" t="str">
        <f>IFERROR(INDEX(Management!$B$3:$B$50,_xlfn.AGGREGATE(15,6,(ROW(Management!$B$3:$B$50)-ROW(Management!$B$3)+1)/((IF(Management!$C$3:$C$50="Unlimited",10^15,Management!$C$3:$C$50))&gt;='1'!$I11),COLUMN(G10))),"")</f>
        <v>Shahzaib Ali</v>
      </c>
      <c r="H11" t="str">
        <f>IFERROR(INDEX(Management!$B$3:$B$50,_xlfn.AGGREGATE(15,6,(ROW(Management!$B$3:$B$50)-ROW(Management!$B$3)+1)/((IF(Management!$C$3:$C$50="Unlimited",10^15,Management!$C$3:$C$50))&gt;='1'!$I11),COLUMN(H10))),"")</f>
        <v>Waseem Raza</v>
      </c>
      <c r="I11" t="str">
        <f>IFERROR(INDEX(Management!$B$3:$B$50,_xlfn.AGGREGATE(15,6,(ROW(Management!$B$3:$B$50)-ROW(Management!$B$3)+1)/((IF(Management!$C$3:$C$50="Unlimited",10^15,Management!$C$3:$C$50))&gt;='1'!$I11),COLUMN(I10))),"")</f>
        <v>Muhammad Majeed</v>
      </c>
      <c r="J11" t="str">
        <f>IFERROR(INDEX(Management!$B$3:$B$50,_xlfn.AGGREGATE(15,6,(ROW(Management!$B$3:$B$50)-ROW(Management!$B$3)+1)/((IF(Management!$C$3:$C$50="Unlimited",10^15,Management!$C$3:$C$50))&gt;='1'!$I11),COLUMN(J10))),"")</f>
        <v>Shoukat Mahmood</v>
      </c>
      <c r="K11" t="str">
        <f>IFERROR(INDEX(Management!$B$3:$B$50,_xlfn.AGGREGATE(15,6,(ROW(Management!$B$3:$B$50)-ROW(Management!$B$3)+1)/((IF(Management!$C$3:$C$50="Unlimited",10^15,Management!$C$3:$C$50))&gt;='1'!$I11),COLUMN(K10))),"")</f>
        <v>Naveed Kamal</v>
      </c>
      <c r="L11" t="str">
        <f>IFERROR(INDEX(Management!$B$3:$B$50,_xlfn.AGGREGATE(15,6,(ROW(Management!$B$3:$B$50)-ROW(Management!$B$3)+1)/((IF(Management!$C$3:$C$50="Unlimited",10^15,Management!$C$3:$C$50))&gt;='1'!$I11),COLUMN(L10))),"")</f>
        <v>Raza Ali</v>
      </c>
      <c r="M11" t="str">
        <f>IFERROR(INDEX(Management!$B$3:$B$50,_xlfn.AGGREGATE(15,6,(ROW(Management!$B$3:$B$50)-ROW(Management!$B$3)+1)/((IF(Management!$C$3:$C$50="Unlimited",10^15,Management!$C$3:$C$50))&gt;='1'!$I11),COLUMN(M10))),"")</f>
        <v>Alfqar</v>
      </c>
      <c r="N11" t="str">
        <f>IFERROR(INDEX(Management!$B$3:$B$50,_xlfn.AGGREGATE(15,6,(ROW(Management!$B$3:$B$50)-ROW(Management!$B$3)+1)/((IF(Management!$C$3:$C$50="Unlimited",10^15,Management!$C$3:$C$50))&gt;='1'!$I11),COLUMN(N10))),"")</f>
        <v>Sheraz Ahmed</v>
      </c>
      <c r="O11" t="str">
        <f>IFERROR(INDEX(Management!$B$3:$B$50,_xlfn.AGGREGATE(15,6,(ROW(Management!$B$3:$B$50)-ROW(Management!$B$3)+1)/((IF(Management!$C$3:$C$50="Unlimited",10^15,Management!$C$3:$C$50))&gt;='1'!$I11),COLUMN(O10))),"")</f>
        <v>Faisal Kausar</v>
      </c>
      <c r="P11" t="str">
        <f>IFERROR(INDEX(Management!$B$3:$B$50,_xlfn.AGGREGATE(15,6,(ROW(Management!$B$3:$B$50)-ROW(Management!$B$3)+1)/((IF(Management!$C$3:$C$50="Unlimited",10^15,Management!$C$3:$C$50))&gt;='1'!$I11),COLUMN(P10))),"")</f>
        <v>Muhammad Faisal</v>
      </c>
      <c r="Q11" t="str">
        <f>IFERROR(INDEX(Management!$B$3:$B$50,_xlfn.AGGREGATE(15,6,(ROW(Management!$B$3:$B$50)-ROW(Management!$B$3)+1)/((IF(Management!$C$3:$C$50="Unlimited",10^15,Management!$C$3:$C$50))&gt;='1'!$I11),COLUMN(Q10))),"")</f>
        <v>Sumair Hamza</v>
      </c>
      <c r="R11" t="str">
        <f>IFERROR(INDEX(Management!$B$3:$B$50,_xlfn.AGGREGATE(15,6,(ROW(Management!$B$3:$B$50)-ROW(Management!$B$3)+1)/((IF(Management!$C$3:$C$50="Unlimited",10^15,Management!$C$3:$C$50))&gt;='1'!$I11),COLUMN(R10))),"")</f>
        <v>Muhammad Ali</v>
      </c>
      <c r="S11" t="str">
        <f>IFERROR(INDEX(Management!$B$3:$B$50,_xlfn.AGGREGATE(15,6,(ROW(Management!$B$3:$B$50)-ROW(Management!$B$3)+1)/((IF(Management!$C$3:$C$50="Unlimited",10^15,Management!$C$3:$C$50))&gt;='1'!$I11),COLUMN(S10))),"")</f>
        <v>Muhammad Ali</v>
      </c>
      <c r="T11" t="str">
        <f>IFERROR(INDEX(Management!$B$3:$B$50,_xlfn.AGGREGATE(15,6,(ROW(Management!$B$3:$B$50)-ROW(Management!$B$3)+1)/((IF(Management!$C$3:$C$50="Unlimited",10^15,Management!$C$3:$C$50))&gt;='1'!$I11),COLUMN(T10))),"")</f>
        <v>Jawad Aziz</v>
      </c>
    </row>
    <row r="12" spans="1:20">
      <c r="A12" t="str">
        <f>IFERROR(INDEX(Management!$B$3:$B$50,_xlfn.AGGREGATE(15,6,(ROW(Management!$B$3:$B$50)-ROW(Management!$B$3)+1)/((IF(Management!$C$3:$C$50="Unlimited",10^15,Management!$C$3:$C$50))&gt;='1'!$I12),COLUMN(A11))),"")</f>
        <v>Muhammad Usman</v>
      </c>
      <c r="B12" t="str">
        <f>IFERROR(INDEX(Management!$B$3:$B$50,_xlfn.AGGREGATE(15,6,(ROW(Management!$B$3:$B$50)-ROW(Management!$B$3)+1)/((IF(Management!$C$3:$C$50="Unlimited",10^15,Management!$C$3:$C$50))&gt;='1'!$I12),COLUMN(B11))),"")</f>
        <v>Nadeem Hussain</v>
      </c>
      <c r="C12" t="str">
        <f>IFERROR(INDEX(Management!$B$3:$B$50,_xlfn.AGGREGATE(15,6,(ROW(Management!$B$3:$B$50)-ROW(Management!$B$3)+1)/((IF(Management!$C$3:$C$50="Unlimited",10^15,Management!$C$3:$C$50))&gt;='1'!$I12),COLUMN(C11))),"")</f>
        <v>Allah Ditta</v>
      </c>
      <c r="D12" t="str">
        <f>IFERROR(INDEX(Management!$B$3:$B$50,_xlfn.AGGREGATE(15,6,(ROW(Management!$B$3:$B$50)-ROW(Management!$B$3)+1)/((IF(Management!$C$3:$C$50="Unlimited",10^15,Management!$C$3:$C$50))&gt;='1'!$I12),COLUMN(D11))),"")</f>
        <v>Mehmood Ahmed</v>
      </c>
      <c r="E12" t="str">
        <f>IFERROR(INDEX(Management!$B$3:$B$50,_xlfn.AGGREGATE(15,6,(ROW(Management!$B$3:$B$50)-ROW(Management!$B$3)+1)/((IF(Management!$C$3:$C$50="Unlimited",10^15,Management!$C$3:$C$50))&gt;='1'!$I12),COLUMN(E11))),"")</f>
        <v>Tasawar Abbas</v>
      </c>
      <c r="F12" t="str">
        <f>IFERROR(INDEX(Management!$B$3:$B$50,_xlfn.AGGREGATE(15,6,(ROW(Management!$B$3:$B$50)-ROW(Management!$B$3)+1)/((IF(Management!$C$3:$C$50="Unlimited",10^15,Management!$C$3:$C$50))&gt;='1'!$I12),COLUMN(F11))),"")</f>
        <v>Muhammad Farhan</v>
      </c>
      <c r="G12" t="str">
        <f>IFERROR(INDEX(Management!$B$3:$B$50,_xlfn.AGGREGATE(15,6,(ROW(Management!$B$3:$B$50)-ROW(Management!$B$3)+1)/((IF(Management!$C$3:$C$50="Unlimited",10^15,Management!$C$3:$C$50))&gt;='1'!$I12),COLUMN(G11))),"")</f>
        <v>Shahzaib Ali</v>
      </c>
      <c r="H12" t="str">
        <f>IFERROR(INDEX(Management!$B$3:$B$50,_xlfn.AGGREGATE(15,6,(ROW(Management!$B$3:$B$50)-ROW(Management!$B$3)+1)/((IF(Management!$C$3:$C$50="Unlimited",10^15,Management!$C$3:$C$50))&gt;='1'!$I12),COLUMN(H11))),"")</f>
        <v>Waseem Raza</v>
      </c>
      <c r="I12" t="str">
        <f>IFERROR(INDEX(Management!$B$3:$B$50,_xlfn.AGGREGATE(15,6,(ROW(Management!$B$3:$B$50)-ROW(Management!$B$3)+1)/((IF(Management!$C$3:$C$50="Unlimited",10^15,Management!$C$3:$C$50))&gt;='1'!$I12),COLUMN(I11))),"")</f>
        <v>Muhammad Majeed</v>
      </c>
      <c r="J12" t="str">
        <f>IFERROR(INDEX(Management!$B$3:$B$50,_xlfn.AGGREGATE(15,6,(ROW(Management!$B$3:$B$50)-ROW(Management!$B$3)+1)/((IF(Management!$C$3:$C$50="Unlimited",10^15,Management!$C$3:$C$50))&gt;='1'!$I12),COLUMN(J11))),"")</f>
        <v>Shoukat Mahmood</v>
      </c>
      <c r="K12" t="str">
        <f>IFERROR(INDEX(Management!$B$3:$B$50,_xlfn.AGGREGATE(15,6,(ROW(Management!$B$3:$B$50)-ROW(Management!$B$3)+1)/((IF(Management!$C$3:$C$50="Unlimited",10^15,Management!$C$3:$C$50))&gt;='1'!$I12),COLUMN(K11))),"")</f>
        <v>Naveed Kamal</v>
      </c>
      <c r="L12" t="str">
        <f>IFERROR(INDEX(Management!$B$3:$B$50,_xlfn.AGGREGATE(15,6,(ROW(Management!$B$3:$B$50)-ROW(Management!$B$3)+1)/((IF(Management!$C$3:$C$50="Unlimited",10^15,Management!$C$3:$C$50))&gt;='1'!$I12),COLUMN(L11))),"")</f>
        <v>Raza Ali</v>
      </c>
      <c r="M12" t="str">
        <f>IFERROR(INDEX(Management!$B$3:$B$50,_xlfn.AGGREGATE(15,6,(ROW(Management!$B$3:$B$50)-ROW(Management!$B$3)+1)/((IF(Management!$C$3:$C$50="Unlimited",10^15,Management!$C$3:$C$50))&gt;='1'!$I12),COLUMN(M11))),"")</f>
        <v>Alfqar</v>
      </c>
      <c r="N12" t="str">
        <f>IFERROR(INDEX(Management!$B$3:$B$50,_xlfn.AGGREGATE(15,6,(ROW(Management!$B$3:$B$50)-ROW(Management!$B$3)+1)/((IF(Management!$C$3:$C$50="Unlimited",10^15,Management!$C$3:$C$50))&gt;='1'!$I12),COLUMN(N11))),"")</f>
        <v>Sheraz Ahmed</v>
      </c>
      <c r="O12" t="str">
        <f>IFERROR(INDEX(Management!$B$3:$B$50,_xlfn.AGGREGATE(15,6,(ROW(Management!$B$3:$B$50)-ROW(Management!$B$3)+1)/((IF(Management!$C$3:$C$50="Unlimited",10^15,Management!$C$3:$C$50))&gt;='1'!$I12),COLUMN(O11))),"")</f>
        <v>Faisal Kausar</v>
      </c>
      <c r="P12" t="str">
        <f>IFERROR(INDEX(Management!$B$3:$B$50,_xlfn.AGGREGATE(15,6,(ROW(Management!$B$3:$B$50)-ROW(Management!$B$3)+1)/((IF(Management!$C$3:$C$50="Unlimited",10^15,Management!$C$3:$C$50))&gt;='1'!$I12),COLUMN(P11))),"")</f>
        <v>Muhammad Faisal</v>
      </c>
      <c r="Q12" t="str">
        <f>IFERROR(INDEX(Management!$B$3:$B$50,_xlfn.AGGREGATE(15,6,(ROW(Management!$B$3:$B$50)-ROW(Management!$B$3)+1)/((IF(Management!$C$3:$C$50="Unlimited",10^15,Management!$C$3:$C$50))&gt;='1'!$I12),COLUMN(Q11))),"")</f>
        <v>Sumair Hamza</v>
      </c>
      <c r="R12" t="str">
        <f>IFERROR(INDEX(Management!$B$3:$B$50,_xlfn.AGGREGATE(15,6,(ROW(Management!$B$3:$B$50)-ROW(Management!$B$3)+1)/((IF(Management!$C$3:$C$50="Unlimited",10^15,Management!$C$3:$C$50))&gt;='1'!$I12),COLUMN(R11))),"")</f>
        <v>Muhammad Ali</v>
      </c>
      <c r="S12" t="str">
        <f>IFERROR(INDEX(Management!$B$3:$B$50,_xlfn.AGGREGATE(15,6,(ROW(Management!$B$3:$B$50)-ROW(Management!$B$3)+1)/((IF(Management!$C$3:$C$50="Unlimited",10^15,Management!$C$3:$C$50))&gt;='1'!$I12),COLUMN(S11))),"")</f>
        <v>Muhammad Ali</v>
      </c>
      <c r="T12" t="str">
        <f>IFERROR(INDEX(Management!$B$3:$B$50,_xlfn.AGGREGATE(15,6,(ROW(Management!$B$3:$B$50)-ROW(Management!$B$3)+1)/((IF(Management!$C$3:$C$50="Unlimited",10^15,Management!$C$3:$C$50))&gt;='1'!$I12),COLUMN(T11))),"")</f>
        <v>Jawad Aziz</v>
      </c>
    </row>
    <row r="13" spans="1:20">
      <c r="A13" t="str">
        <f>IFERROR(INDEX(Management!$B$3:$B$50,_xlfn.AGGREGATE(15,6,(ROW(Management!$B$3:$B$50)-ROW(Management!$B$3)+1)/((IF(Management!$C$3:$C$50="Unlimited",10^15,Management!$C$3:$C$50))&gt;='1'!$I13),COLUMN(A12))),"")</f>
        <v>Muhammad Usman</v>
      </c>
      <c r="B13" t="str">
        <f>IFERROR(INDEX(Management!$B$3:$B$50,_xlfn.AGGREGATE(15,6,(ROW(Management!$B$3:$B$50)-ROW(Management!$B$3)+1)/((IF(Management!$C$3:$C$50="Unlimited",10^15,Management!$C$3:$C$50))&gt;='1'!$I13),COLUMN(B12))),"")</f>
        <v>Nadeem Hussain</v>
      </c>
      <c r="C13" t="str">
        <f>IFERROR(INDEX(Management!$B$3:$B$50,_xlfn.AGGREGATE(15,6,(ROW(Management!$B$3:$B$50)-ROW(Management!$B$3)+1)/((IF(Management!$C$3:$C$50="Unlimited",10^15,Management!$C$3:$C$50))&gt;='1'!$I13),COLUMN(C12))),"")</f>
        <v>Allah Ditta</v>
      </c>
      <c r="D13" t="str">
        <f>IFERROR(INDEX(Management!$B$3:$B$50,_xlfn.AGGREGATE(15,6,(ROW(Management!$B$3:$B$50)-ROW(Management!$B$3)+1)/((IF(Management!$C$3:$C$50="Unlimited",10^15,Management!$C$3:$C$50))&gt;='1'!$I13),COLUMN(D12))),"")</f>
        <v>Mehmood Ahmed</v>
      </c>
      <c r="E13" t="str">
        <f>IFERROR(INDEX(Management!$B$3:$B$50,_xlfn.AGGREGATE(15,6,(ROW(Management!$B$3:$B$50)-ROW(Management!$B$3)+1)/((IF(Management!$C$3:$C$50="Unlimited",10^15,Management!$C$3:$C$50))&gt;='1'!$I13),COLUMN(E12))),"")</f>
        <v>Tasawar Abbas</v>
      </c>
      <c r="F13" t="str">
        <f>IFERROR(INDEX(Management!$B$3:$B$50,_xlfn.AGGREGATE(15,6,(ROW(Management!$B$3:$B$50)-ROW(Management!$B$3)+1)/((IF(Management!$C$3:$C$50="Unlimited",10^15,Management!$C$3:$C$50))&gt;='1'!$I13),COLUMN(F12))),"")</f>
        <v>Muhammad Farhan</v>
      </c>
      <c r="G13" t="str">
        <f>IFERROR(INDEX(Management!$B$3:$B$50,_xlfn.AGGREGATE(15,6,(ROW(Management!$B$3:$B$50)-ROW(Management!$B$3)+1)/((IF(Management!$C$3:$C$50="Unlimited",10^15,Management!$C$3:$C$50))&gt;='1'!$I13),COLUMN(G12))),"")</f>
        <v>Shahzaib Ali</v>
      </c>
      <c r="H13" t="str">
        <f>IFERROR(INDEX(Management!$B$3:$B$50,_xlfn.AGGREGATE(15,6,(ROW(Management!$B$3:$B$50)-ROW(Management!$B$3)+1)/((IF(Management!$C$3:$C$50="Unlimited",10^15,Management!$C$3:$C$50))&gt;='1'!$I13),COLUMN(H12))),"")</f>
        <v>Waseem Raza</v>
      </c>
      <c r="I13" t="str">
        <f>IFERROR(INDEX(Management!$B$3:$B$50,_xlfn.AGGREGATE(15,6,(ROW(Management!$B$3:$B$50)-ROW(Management!$B$3)+1)/((IF(Management!$C$3:$C$50="Unlimited",10^15,Management!$C$3:$C$50))&gt;='1'!$I13),COLUMN(I12))),"")</f>
        <v>Muhammad Majeed</v>
      </c>
      <c r="J13" t="str">
        <f>IFERROR(INDEX(Management!$B$3:$B$50,_xlfn.AGGREGATE(15,6,(ROW(Management!$B$3:$B$50)-ROW(Management!$B$3)+1)/((IF(Management!$C$3:$C$50="Unlimited",10^15,Management!$C$3:$C$50))&gt;='1'!$I13),COLUMN(J12))),"")</f>
        <v>Shoukat Mahmood</v>
      </c>
      <c r="K13" t="str">
        <f>IFERROR(INDEX(Management!$B$3:$B$50,_xlfn.AGGREGATE(15,6,(ROW(Management!$B$3:$B$50)-ROW(Management!$B$3)+1)/((IF(Management!$C$3:$C$50="Unlimited",10^15,Management!$C$3:$C$50))&gt;='1'!$I13),COLUMN(K12))),"")</f>
        <v>Naveed Kamal</v>
      </c>
      <c r="L13" t="str">
        <f>IFERROR(INDEX(Management!$B$3:$B$50,_xlfn.AGGREGATE(15,6,(ROW(Management!$B$3:$B$50)-ROW(Management!$B$3)+1)/((IF(Management!$C$3:$C$50="Unlimited",10^15,Management!$C$3:$C$50))&gt;='1'!$I13),COLUMN(L12))),"")</f>
        <v>Raza Ali</v>
      </c>
      <c r="M13" t="str">
        <f>IFERROR(INDEX(Management!$B$3:$B$50,_xlfn.AGGREGATE(15,6,(ROW(Management!$B$3:$B$50)-ROW(Management!$B$3)+1)/((IF(Management!$C$3:$C$50="Unlimited",10^15,Management!$C$3:$C$50))&gt;='1'!$I13),COLUMN(M12))),"")</f>
        <v>Alfqar</v>
      </c>
      <c r="N13" t="str">
        <f>IFERROR(INDEX(Management!$B$3:$B$50,_xlfn.AGGREGATE(15,6,(ROW(Management!$B$3:$B$50)-ROW(Management!$B$3)+1)/((IF(Management!$C$3:$C$50="Unlimited",10^15,Management!$C$3:$C$50))&gt;='1'!$I13),COLUMN(N12))),"")</f>
        <v>Sheraz Ahmed</v>
      </c>
      <c r="O13" t="str">
        <f>IFERROR(INDEX(Management!$B$3:$B$50,_xlfn.AGGREGATE(15,6,(ROW(Management!$B$3:$B$50)-ROW(Management!$B$3)+1)/((IF(Management!$C$3:$C$50="Unlimited",10^15,Management!$C$3:$C$50))&gt;='1'!$I13),COLUMN(O12))),"")</f>
        <v>Faisal Kausar</v>
      </c>
      <c r="P13" t="str">
        <f>IFERROR(INDEX(Management!$B$3:$B$50,_xlfn.AGGREGATE(15,6,(ROW(Management!$B$3:$B$50)-ROW(Management!$B$3)+1)/((IF(Management!$C$3:$C$50="Unlimited",10^15,Management!$C$3:$C$50))&gt;='1'!$I13),COLUMN(P12))),"")</f>
        <v>Muhammad Faisal</v>
      </c>
      <c r="Q13" t="str">
        <f>IFERROR(INDEX(Management!$B$3:$B$50,_xlfn.AGGREGATE(15,6,(ROW(Management!$B$3:$B$50)-ROW(Management!$B$3)+1)/((IF(Management!$C$3:$C$50="Unlimited",10^15,Management!$C$3:$C$50))&gt;='1'!$I13),COLUMN(Q12))),"")</f>
        <v>Sumair Hamza</v>
      </c>
      <c r="R13" t="str">
        <f>IFERROR(INDEX(Management!$B$3:$B$50,_xlfn.AGGREGATE(15,6,(ROW(Management!$B$3:$B$50)-ROW(Management!$B$3)+1)/((IF(Management!$C$3:$C$50="Unlimited",10^15,Management!$C$3:$C$50))&gt;='1'!$I13),COLUMN(R12))),"")</f>
        <v>Muhammad Ali</v>
      </c>
      <c r="S13" t="str">
        <f>IFERROR(INDEX(Management!$B$3:$B$50,_xlfn.AGGREGATE(15,6,(ROW(Management!$B$3:$B$50)-ROW(Management!$B$3)+1)/((IF(Management!$C$3:$C$50="Unlimited",10^15,Management!$C$3:$C$50))&gt;='1'!$I13),COLUMN(S12))),"")</f>
        <v>Muhammad Ali</v>
      </c>
      <c r="T13" t="str">
        <f>IFERROR(INDEX(Management!$B$3:$B$50,_xlfn.AGGREGATE(15,6,(ROW(Management!$B$3:$B$50)-ROW(Management!$B$3)+1)/((IF(Management!$C$3:$C$50="Unlimited",10^15,Management!$C$3:$C$50))&gt;='1'!$I13),COLUMN(T12))),"")</f>
        <v>Jawad Aziz</v>
      </c>
    </row>
    <row r="14" spans="1:20">
      <c r="A14" t="str">
        <f>IFERROR(INDEX(Management!$B$3:$B$50,_xlfn.AGGREGATE(15,6,(ROW(Management!$B$3:$B$50)-ROW(Management!$B$3)+1)/((IF(Management!$C$3:$C$50="Unlimited",10^15,Management!$C$3:$C$50))&gt;='1'!$I14),COLUMN(A13))),"")</f>
        <v>Muhammad Usman</v>
      </c>
      <c r="B14" t="str">
        <f>IFERROR(INDEX(Management!$B$3:$B$50,_xlfn.AGGREGATE(15,6,(ROW(Management!$B$3:$B$50)-ROW(Management!$B$3)+1)/((IF(Management!$C$3:$C$50="Unlimited",10^15,Management!$C$3:$C$50))&gt;='1'!$I14),COLUMN(B13))),"")</f>
        <v>Nadeem Hussain</v>
      </c>
      <c r="C14" t="str">
        <f>IFERROR(INDEX(Management!$B$3:$B$50,_xlfn.AGGREGATE(15,6,(ROW(Management!$B$3:$B$50)-ROW(Management!$B$3)+1)/((IF(Management!$C$3:$C$50="Unlimited",10^15,Management!$C$3:$C$50))&gt;='1'!$I14),COLUMN(C13))),"")</f>
        <v>Allah Ditta</v>
      </c>
      <c r="D14" t="str">
        <f>IFERROR(INDEX(Management!$B$3:$B$50,_xlfn.AGGREGATE(15,6,(ROW(Management!$B$3:$B$50)-ROW(Management!$B$3)+1)/((IF(Management!$C$3:$C$50="Unlimited",10^15,Management!$C$3:$C$50))&gt;='1'!$I14),COLUMN(D13))),"")</f>
        <v>Mehmood Ahmed</v>
      </c>
      <c r="E14" t="str">
        <f>IFERROR(INDEX(Management!$B$3:$B$50,_xlfn.AGGREGATE(15,6,(ROW(Management!$B$3:$B$50)-ROW(Management!$B$3)+1)/((IF(Management!$C$3:$C$50="Unlimited",10^15,Management!$C$3:$C$50))&gt;='1'!$I14),COLUMN(E13))),"")</f>
        <v>Tasawar Abbas</v>
      </c>
      <c r="F14" t="str">
        <f>IFERROR(INDEX(Management!$B$3:$B$50,_xlfn.AGGREGATE(15,6,(ROW(Management!$B$3:$B$50)-ROW(Management!$B$3)+1)/((IF(Management!$C$3:$C$50="Unlimited",10^15,Management!$C$3:$C$50))&gt;='1'!$I14),COLUMN(F13))),"")</f>
        <v>Muhammad Farhan</v>
      </c>
      <c r="G14" t="str">
        <f>IFERROR(INDEX(Management!$B$3:$B$50,_xlfn.AGGREGATE(15,6,(ROW(Management!$B$3:$B$50)-ROW(Management!$B$3)+1)/((IF(Management!$C$3:$C$50="Unlimited",10^15,Management!$C$3:$C$50))&gt;='1'!$I14),COLUMN(G13))),"")</f>
        <v>Shahzaib Ali</v>
      </c>
      <c r="H14" t="str">
        <f>IFERROR(INDEX(Management!$B$3:$B$50,_xlfn.AGGREGATE(15,6,(ROW(Management!$B$3:$B$50)-ROW(Management!$B$3)+1)/((IF(Management!$C$3:$C$50="Unlimited",10^15,Management!$C$3:$C$50))&gt;='1'!$I14),COLUMN(H13))),"")</f>
        <v>Waseem Raza</v>
      </c>
      <c r="I14" t="str">
        <f>IFERROR(INDEX(Management!$B$3:$B$50,_xlfn.AGGREGATE(15,6,(ROW(Management!$B$3:$B$50)-ROW(Management!$B$3)+1)/((IF(Management!$C$3:$C$50="Unlimited",10^15,Management!$C$3:$C$50))&gt;='1'!$I14),COLUMN(I13))),"")</f>
        <v>Muhammad Majeed</v>
      </c>
      <c r="J14" t="str">
        <f>IFERROR(INDEX(Management!$B$3:$B$50,_xlfn.AGGREGATE(15,6,(ROW(Management!$B$3:$B$50)-ROW(Management!$B$3)+1)/((IF(Management!$C$3:$C$50="Unlimited",10^15,Management!$C$3:$C$50))&gt;='1'!$I14),COLUMN(J13))),"")</f>
        <v>Shoukat Mahmood</v>
      </c>
      <c r="K14" t="str">
        <f>IFERROR(INDEX(Management!$B$3:$B$50,_xlfn.AGGREGATE(15,6,(ROW(Management!$B$3:$B$50)-ROW(Management!$B$3)+1)/((IF(Management!$C$3:$C$50="Unlimited",10^15,Management!$C$3:$C$50))&gt;='1'!$I14),COLUMN(K13))),"")</f>
        <v>Naveed Kamal</v>
      </c>
      <c r="L14" t="str">
        <f>IFERROR(INDEX(Management!$B$3:$B$50,_xlfn.AGGREGATE(15,6,(ROW(Management!$B$3:$B$50)-ROW(Management!$B$3)+1)/((IF(Management!$C$3:$C$50="Unlimited",10^15,Management!$C$3:$C$50))&gt;='1'!$I14),COLUMN(L13))),"")</f>
        <v>Raza Ali</v>
      </c>
      <c r="M14" t="str">
        <f>IFERROR(INDEX(Management!$B$3:$B$50,_xlfn.AGGREGATE(15,6,(ROW(Management!$B$3:$B$50)-ROW(Management!$B$3)+1)/((IF(Management!$C$3:$C$50="Unlimited",10^15,Management!$C$3:$C$50))&gt;='1'!$I14),COLUMN(M13))),"")</f>
        <v>Alfqar</v>
      </c>
      <c r="N14" t="str">
        <f>IFERROR(INDEX(Management!$B$3:$B$50,_xlfn.AGGREGATE(15,6,(ROW(Management!$B$3:$B$50)-ROW(Management!$B$3)+1)/((IF(Management!$C$3:$C$50="Unlimited",10^15,Management!$C$3:$C$50))&gt;='1'!$I14),COLUMN(N13))),"")</f>
        <v>Sheraz Ahmed</v>
      </c>
      <c r="O14" t="str">
        <f>IFERROR(INDEX(Management!$B$3:$B$50,_xlfn.AGGREGATE(15,6,(ROW(Management!$B$3:$B$50)-ROW(Management!$B$3)+1)/((IF(Management!$C$3:$C$50="Unlimited",10^15,Management!$C$3:$C$50))&gt;='1'!$I14),COLUMN(O13))),"")</f>
        <v>Faisal Kausar</v>
      </c>
      <c r="P14" t="str">
        <f>IFERROR(INDEX(Management!$B$3:$B$50,_xlfn.AGGREGATE(15,6,(ROW(Management!$B$3:$B$50)-ROW(Management!$B$3)+1)/((IF(Management!$C$3:$C$50="Unlimited",10^15,Management!$C$3:$C$50))&gt;='1'!$I14),COLUMN(P13))),"")</f>
        <v>Muhammad Faisal</v>
      </c>
      <c r="Q14" t="str">
        <f>IFERROR(INDEX(Management!$B$3:$B$50,_xlfn.AGGREGATE(15,6,(ROW(Management!$B$3:$B$50)-ROW(Management!$B$3)+1)/((IF(Management!$C$3:$C$50="Unlimited",10^15,Management!$C$3:$C$50))&gt;='1'!$I14),COLUMN(Q13))),"")</f>
        <v>Sumair Hamza</v>
      </c>
      <c r="R14" t="str">
        <f>IFERROR(INDEX(Management!$B$3:$B$50,_xlfn.AGGREGATE(15,6,(ROW(Management!$B$3:$B$50)-ROW(Management!$B$3)+1)/((IF(Management!$C$3:$C$50="Unlimited",10^15,Management!$C$3:$C$50))&gt;='1'!$I14),COLUMN(R13))),"")</f>
        <v>Muhammad Ali</v>
      </c>
      <c r="S14" t="str">
        <f>IFERROR(INDEX(Management!$B$3:$B$50,_xlfn.AGGREGATE(15,6,(ROW(Management!$B$3:$B$50)-ROW(Management!$B$3)+1)/((IF(Management!$C$3:$C$50="Unlimited",10^15,Management!$C$3:$C$50))&gt;='1'!$I14),COLUMN(S13))),"")</f>
        <v>Muhammad Ali</v>
      </c>
      <c r="T14" t="str">
        <f>IFERROR(INDEX(Management!$B$3:$B$50,_xlfn.AGGREGATE(15,6,(ROW(Management!$B$3:$B$50)-ROW(Management!$B$3)+1)/((IF(Management!$C$3:$C$50="Unlimited",10^15,Management!$C$3:$C$50))&gt;='1'!$I14),COLUMN(T13))),"")</f>
        <v>Jawad Aziz</v>
      </c>
    </row>
    <row r="15" spans="1:20">
      <c r="A15" t="str">
        <f>IFERROR(INDEX(Management!$B$3:$B$50,_xlfn.AGGREGATE(15,6,(ROW(Management!$B$3:$B$50)-ROW(Management!$B$3)+1)/((IF(Management!$C$3:$C$50="Unlimited",10^15,Management!$C$3:$C$50))&gt;='1'!$I15),COLUMN(A14))),"")</f>
        <v>Muhammad Usman</v>
      </c>
      <c r="B15" t="str">
        <f>IFERROR(INDEX(Management!$B$3:$B$50,_xlfn.AGGREGATE(15,6,(ROW(Management!$B$3:$B$50)-ROW(Management!$B$3)+1)/((IF(Management!$C$3:$C$50="Unlimited",10^15,Management!$C$3:$C$50))&gt;='1'!$I15),COLUMN(B14))),"")</f>
        <v>Nadeem Hussain</v>
      </c>
      <c r="C15" t="str">
        <f>IFERROR(INDEX(Management!$B$3:$B$50,_xlfn.AGGREGATE(15,6,(ROW(Management!$B$3:$B$50)-ROW(Management!$B$3)+1)/((IF(Management!$C$3:$C$50="Unlimited",10^15,Management!$C$3:$C$50))&gt;='1'!$I15),COLUMN(C14))),"")</f>
        <v>Allah Ditta</v>
      </c>
      <c r="D15" t="str">
        <f>IFERROR(INDEX(Management!$B$3:$B$50,_xlfn.AGGREGATE(15,6,(ROW(Management!$B$3:$B$50)-ROW(Management!$B$3)+1)/((IF(Management!$C$3:$C$50="Unlimited",10^15,Management!$C$3:$C$50))&gt;='1'!$I15),COLUMN(D14))),"")</f>
        <v>Mehmood Ahmed</v>
      </c>
      <c r="E15" t="str">
        <f>IFERROR(INDEX(Management!$B$3:$B$50,_xlfn.AGGREGATE(15,6,(ROW(Management!$B$3:$B$50)-ROW(Management!$B$3)+1)/((IF(Management!$C$3:$C$50="Unlimited",10^15,Management!$C$3:$C$50))&gt;='1'!$I15),COLUMN(E14))),"")</f>
        <v>Tasawar Abbas</v>
      </c>
      <c r="F15" t="str">
        <f>IFERROR(INDEX(Management!$B$3:$B$50,_xlfn.AGGREGATE(15,6,(ROW(Management!$B$3:$B$50)-ROW(Management!$B$3)+1)/((IF(Management!$C$3:$C$50="Unlimited",10^15,Management!$C$3:$C$50))&gt;='1'!$I15),COLUMN(F14))),"")</f>
        <v>Muhammad Farhan</v>
      </c>
      <c r="G15" t="str">
        <f>IFERROR(INDEX(Management!$B$3:$B$50,_xlfn.AGGREGATE(15,6,(ROW(Management!$B$3:$B$50)-ROW(Management!$B$3)+1)/((IF(Management!$C$3:$C$50="Unlimited",10^15,Management!$C$3:$C$50))&gt;='1'!$I15),COLUMN(G14))),"")</f>
        <v>Shahzaib Ali</v>
      </c>
      <c r="H15" t="str">
        <f>IFERROR(INDEX(Management!$B$3:$B$50,_xlfn.AGGREGATE(15,6,(ROW(Management!$B$3:$B$50)-ROW(Management!$B$3)+1)/((IF(Management!$C$3:$C$50="Unlimited",10^15,Management!$C$3:$C$50))&gt;='1'!$I15),COLUMN(H14))),"")</f>
        <v>Waseem Raza</v>
      </c>
      <c r="I15" t="str">
        <f>IFERROR(INDEX(Management!$B$3:$B$50,_xlfn.AGGREGATE(15,6,(ROW(Management!$B$3:$B$50)-ROW(Management!$B$3)+1)/((IF(Management!$C$3:$C$50="Unlimited",10^15,Management!$C$3:$C$50))&gt;='1'!$I15),COLUMN(I14))),"")</f>
        <v>Muhammad Majeed</v>
      </c>
      <c r="J15" t="str">
        <f>IFERROR(INDEX(Management!$B$3:$B$50,_xlfn.AGGREGATE(15,6,(ROW(Management!$B$3:$B$50)-ROW(Management!$B$3)+1)/((IF(Management!$C$3:$C$50="Unlimited",10^15,Management!$C$3:$C$50))&gt;='1'!$I15),COLUMN(J14))),"")</f>
        <v>Shoukat Mahmood</v>
      </c>
      <c r="K15" t="str">
        <f>IFERROR(INDEX(Management!$B$3:$B$50,_xlfn.AGGREGATE(15,6,(ROW(Management!$B$3:$B$50)-ROW(Management!$B$3)+1)/((IF(Management!$C$3:$C$50="Unlimited",10^15,Management!$C$3:$C$50))&gt;='1'!$I15),COLUMN(K14))),"")</f>
        <v>Naveed Kamal</v>
      </c>
      <c r="L15" t="str">
        <f>IFERROR(INDEX(Management!$B$3:$B$50,_xlfn.AGGREGATE(15,6,(ROW(Management!$B$3:$B$50)-ROW(Management!$B$3)+1)/((IF(Management!$C$3:$C$50="Unlimited",10^15,Management!$C$3:$C$50))&gt;='1'!$I15),COLUMN(L14))),"")</f>
        <v>Raza Ali</v>
      </c>
      <c r="M15" t="str">
        <f>IFERROR(INDEX(Management!$B$3:$B$50,_xlfn.AGGREGATE(15,6,(ROW(Management!$B$3:$B$50)-ROW(Management!$B$3)+1)/((IF(Management!$C$3:$C$50="Unlimited",10^15,Management!$C$3:$C$50))&gt;='1'!$I15),COLUMN(M14))),"")</f>
        <v>Alfqar</v>
      </c>
      <c r="N15" t="str">
        <f>IFERROR(INDEX(Management!$B$3:$B$50,_xlfn.AGGREGATE(15,6,(ROW(Management!$B$3:$B$50)-ROW(Management!$B$3)+1)/((IF(Management!$C$3:$C$50="Unlimited",10^15,Management!$C$3:$C$50))&gt;='1'!$I15),COLUMN(N14))),"")</f>
        <v>Sheraz Ahmed</v>
      </c>
      <c r="O15" t="str">
        <f>IFERROR(INDEX(Management!$B$3:$B$50,_xlfn.AGGREGATE(15,6,(ROW(Management!$B$3:$B$50)-ROW(Management!$B$3)+1)/((IF(Management!$C$3:$C$50="Unlimited",10^15,Management!$C$3:$C$50))&gt;='1'!$I15),COLUMN(O14))),"")</f>
        <v>Faisal Kausar</v>
      </c>
      <c r="P15" t="str">
        <f>IFERROR(INDEX(Management!$B$3:$B$50,_xlfn.AGGREGATE(15,6,(ROW(Management!$B$3:$B$50)-ROW(Management!$B$3)+1)/((IF(Management!$C$3:$C$50="Unlimited",10^15,Management!$C$3:$C$50))&gt;='1'!$I15),COLUMN(P14))),"")</f>
        <v>Muhammad Faisal</v>
      </c>
      <c r="Q15" t="str">
        <f>IFERROR(INDEX(Management!$B$3:$B$50,_xlfn.AGGREGATE(15,6,(ROW(Management!$B$3:$B$50)-ROW(Management!$B$3)+1)/((IF(Management!$C$3:$C$50="Unlimited",10^15,Management!$C$3:$C$50))&gt;='1'!$I15),COLUMN(Q14))),"")</f>
        <v>Sumair Hamza</v>
      </c>
      <c r="R15" t="str">
        <f>IFERROR(INDEX(Management!$B$3:$B$50,_xlfn.AGGREGATE(15,6,(ROW(Management!$B$3:$B$50)-ROW(Management!$B$3)+1)/((IF(Management!$C$3:$C$50="Unlimited",10^15,Management!$C$3:$C$50))&gt;='1'!$I15),COLUMN(R14))),"")</f>
        <v>Muhammad Ali</v>
      </c>
      <c r="S15" t="str">
        <f>IFERROR(INDEX(Management!$B$3:$B$50,_xlfn.AGGREGATE(15,6,(ROW(Management!$B$3:$B$50)-ROW(Management!$B$3)+1)/((IF(Management!$C$3:$C$50="Unlimited",10^15,Management!$C$3:$C$50))&gt;='1'!$I15),COLUMN(S14))),"")</f>
        <v>Muhammad Ali</v>
      </c>
      <c r="T15" t="str">
        <f>IFERROR(INDEX(Management!$B$3:$B$50,_xlfn.AGGREGATE(15,6,(ROW(Management!$B$3:$B$50)-ROW(Management!$B$3)+1)/((IF(Management!$C$3:$C$50="Unlimited",10^15,Management!$C$3:$C$50))&gt;='1'!$I15),COLUMN(T14))),"")</f>
        <v>Jawad Aziz</v>
      </c>
    </row>
    <row r="16" spans="1:20">
      <c r="A16" t="str">
        <f>IFERROR(INDEX(Management!$B$3:$B$50,_xlfn.AGGREGATE(15,6,(ROW(Management!$B$3:$B$50)-ROW(Management!$B$3)+1)/((IF(Management!$C$3:$C$50="Unlimited",10^15,Management!$C$3:$C$50))&gt;='1'!$I16),COLUMN(A15))),"")</f>
        <v>Muhammad Usman</v>
      </c>
      <c r="B16" t="str">
        <f>IFERROR(INDEX(Management!$B$3:$B$50,_xlfn.AGGREGATE(15,6,(ROW(Management!$B$3:$B$50)-ROW(Management!$B$3)+1)/((IF(Management!$C$3:$C$50="Unlimited",10^15,Management!$C$3:$C$50))&gt;='1'!$I16),COLUMN(B15))),"")</f>
        <v>Nadeem Hussain</v>
      </c>
      <c r="C16" t="str">
        <f>IFERROR(INDEX(Management!$B$3:$B$50,_xlfn.AGGREGATE(15,6,(ROW(Management!$B$3:$B$50)-ROW(Management!$B$3)+1)/((IF(Management!$C$3:$C$50="Unlimited",10^15,Management!$C$3:$C$50))&gt;='1'!$I16),COLUMN(C15))),"")</f>
        <v>Allah Ditta</v>
      </c>
      <c r="D16" t="str">
        <f>IFERROR(INDEX(Management!$B$3:$B$50,_xlfn.AGGREGATE(15,6,(ROW(Management!$B$3:$B$50)-ROW(Management!$B$3)+1)/((IF(Management!$C$3:$C$50="Unlimited",10^15,Management!$C$3:$C$50))&gt;='1'!$I16),COLUMN(D15))),"")</f>
        <v>Mehmood Ahmed</v>
      </c>
      <c r="E16" t="str">
        <f>IFERROR(INDEX(Management!$B$3:$B$50,_xlfn.AGGREGATE(15,6,(ROW(Management!$B$3:$B$50)-ROW(Management!$B$3)+1)/((IF(Management!$C$3:$C$50="Unlimited",10^15,Management!$C$3:$C$50))&gt;='1'!$I16),COLUMN(E15))),"")</f>
        <v>Tasawar Abbas</v>
      </c>
      <c r="F16" t="str">
        <f>IFERROR(INDEX(Management!$B$3:$B$50,_xlfn.AGGREGATE(15,6,(ROW(Management!$B$3:$B$50)-ROW(Management!$B$3)+1)/((IF(Management!$C$3:$C$50="Unlimited",10^15,Management!$C$3:$C$50))&gt;='1'!$I16),COLUMN(F15))),"")</f>
        <v>Muhammad Farhan</v>
      </c>
      <c r="G16" t="str">
        <f>IFERROR(INDEX(Management!$B$3:$B$50,_xlfn.AGGREGATE(15,6,(ROW(Management!$B$3:$B$50)-ROW(Management!$B$3)+1)/((IF(Management!$C$3:$C$50="Unlimited",10^15,Management!$C$3:$C$50))&gt;='1'!$I16),COLUMN(G15))),"")</f>
        <v>Shahzaib Ali</v>
      </c>
      <c r="H16" t="str">
        <f>IFERROR(INDEX(Management!$B$3:$B$50,_xlfn.AGGREGATE(15,6,(ROW(Management!$B$3:$B$50)-ROW(Management!$B$3)+1)/((IF(Management!$C$3:$C$50="Unlimited",10^15,Management!$C$3:$C$50))&gt;='1'!$I16),COLUMN(H15))),"")</f>
        <v>Waseem Raza</v>
      </c>
      <c r="I16" t="str">
        <f>IFERROR(INDEX(Management!$B$3:$B$50,_xlfn.AGGREGATE(15,6,(ROW(Management!$B$3:$B$50)-ROW(Management!$B$3)+1)/((IF(Management!$C$3:$C$50="Unlimited",10^15,Management!$C$3:$C$50))&gt;='1'!$I16),COLUMN(I15))),"")</f>
        <v>Muhammad Majeed</v>
      </c>
      <c r="J16" t="str">
        <f>IFERROR(INDEX(Management!$B$3:$B$50,_xlfn.AGGREGATE(15,6,(ROW(Management!$B$3:$B$50)-ROW(Management!$B$3)+1)/((IF(Management!$C$3:$C$50="Unlimited",10^15,Management!$C$3:$C$50))&gt;='1'!$I16),COLUMN(J15))),"")</f>
        <v>Shoukat Mahmood</v>
      </c>
      <c r="K16" t="str">
        <f>IFERROR(INDEX(Management!$B$3:$B$50,_xlfn.AGGREGATE(15,6,(ROW(Management!$B$3:$B$50)-ROW(Management!$B$3)+1)/((IF(Management!$C$3:$C$50="Unlimited",10^15,Management!$C$3:$C$50))&gt;='1'!$I16),COLUMN(K15))),"")</f>
        <v>Naveed Kamal</v>
      </c>
      <c r="L16" t="str">
        <f>IFERROR(INDEX(Management!$B$3:$B$50,_xlfn.AGGREGATE(15,6,(ROW(Management!$B$3:$B$50)-ROW(Management!$B$3)+1)/((IF(Management!$C$3:$C$50="Unlimited",10^15,Management!$C$3:$C$50))&gt;='1'!$I16),COLUMN(L15))),"")</f>
        <v>Raza Ali</v>
      </c>
      <c r="M16" t="str">
        <f>IFERROR(INDEX(Management!$B$3:$B$50,_xlfn.AGGREGATE(15,6,(ROW(Management!$B$3:$B$50)-ROW(Management!$B$3)+1)/((IF(Management!$C$3:$C$50="Unlimited",10^15,Management!$C$3:$C$50))&gt;='1'!$I16),COLUMN(M15))),"")</f>
        <v>Alfqar</v>
      </c>
      <c r="N16" t="str">
        <f>IFERROR(INDEX(Management!$B$3:$B$50,_xlfn.AGGREGATE(15,6,(ROW(Management!$B$3:$B$50)-ROW(Management!$B$3)+1)/((IF(Management!$C$3:$C$50="Unlimited",10^15,Management!$C$3:$C$50))&gt;='1'!$I16),COLUMN(N15))),"")</f>
        <v>Sheraz Ahmed</v>
      </c>
      <c r="O16" t="str">
        <f>IFERROR(INDEX(Management!$B$3:$B$50,_xlfn.AGGREGATE(15,6,(ROW(Management!$B$3:$B$50)-ROW(Management!$B$3)+1)/((IF(Management!$C$3:$C$50="Unlimited",10^15,Management!$C$3:$C$50))&gt;='1'!$I16),COLUMN(O15))),"")</f>
        <v>Faisal Kausar</v>
      </c>
      <c r="P16" t="str">
        <f>IFERROR(INDEX(Management!$B$3:$B$50,_xlfn.AGGREGATE(15,6,(ROW(Management!$B$3:$B$50)-ROW(Management!$B$3)+1)/((IF(Management!$C$3:$C$50="Unlimited",10^15,Management!$C$3:$C$50))&gt;='1'!$I16),COLUMN(P15))),"")</f>
        <v>Muhammad Faisal</v>
      </c>
      <c r="Q16" t="str">
        <f>IFERROR(INDEX(Management!$B$3:$B$50,_xlfn.AGGREGATE(15,6,(ROW(Management!$B$3:$B$50)-ROW(Management!$B$3)+1)/((IF(Management!$C$3:$C$50="Unlimited",10^15,Management!$C$3:$C$50))&gt;='1'!$I16),COLUMN(Q15))),"")</f>
        <v>Sumair Hamza</v>
      </c>
      <c r="R16" t="str">
        <f>IFERROR(INDEX(Management!$B$3:$B$50,_xlfn.AGGREGATE(15,6,(ROW(Management!$B$3:$B$50)-ROW(Management!$B$3)+1)/((IF(Management!$C$3:$C$50="Unlimited",10^15,Management!$C$3:$C$50))&gt;='1'!$I16),COLUMN(R15))),"")</f>
        <v>Muhammad Ali</v>
      </c>
      <c r="S16" t="str">
        <f>IFERROR(INDEX(Management!$B$3:$B$50,_xlfn.AGGREGATE(15,6,(ROW(Management!$B$3:$B$50)-ROW(Management!$B$3)+1)/((IF(Management!$C$3:$C$50="Unlimited",10^15,Management!$C$3:$C$50))&gt;='1'!$I16),COLUMN(S15))),"")</f>
        <v>Muhammad Ali</v>
      </c>
      <c r="T16" t="str">
        <f>IFERROR(INDEX(Management!$B$3:$B$50,_xlfn.AGGREGATE(15,6,(ROW(Management!$B$3:$B$50)-ROW(Management!$B$3)+1)/((IF(Management!$C$3:$C$50="Unlimited",10^15,Management!$C$3:$C$50))&gt;='1'!$I16),COLUMN(T15))),"")</f>
        <v>Jawad Aziz</v>
      </c>
    </row>
    <row r="17" spans="1:20">
      <c r="A17" t="str">
        <f>IFERROR(INDEX(Management!$B$3:$B$50,_xlfn.AGGREGATE(15,6,(ROW(Management!$B$3:$B$50)-ROW(Management!$B$3)+1)/((IF(Management!$C$3:$C$50="Unlimited",10^15,Management!$C$3:$C$50))&gt;='1'!$I17),COLUMN(A16))),"")</f>
        <v>Muhammad Usman</v>
      </c>
      <c r="B17" t="str">
        <f>IFERROR(INDEX(Management!$B$3:$B$50,_xlfn.AGGREGATE(15,6,(ROW(Management!$B$3:$B$50)-ROW(Management!$B$3)+1)/((IF(Management!$C$3:$C$50="Unlimited",10^15,Management!$C$3:$C$50))&gt;='1'!$I17),COLUMN(B16))),"")</f>
        <v>Nadeem Hussain</v>
      </c>
      <c r="C17" t="str">
        <f>IFERROR(INDEX(Management!$B$3:$B$50,_xlfn.AGGREGATE(15,6,(ROW(Management!$B$3:$B$50)-ROW(Management!$B$3)+1)/((IF(Management!$C$3:$C$50="Unlimited",10^15,Management!$C$3:$C$50))&gt;='1'!$I17),COLUMN(C16))),"")</f>
        <v>Allah Ditta</v>
      </c>
      <c r="D17" t="str">
        <f>IFERROR(INDEX(Management!$B$3:$B$50,_xlfn.AGGREGATE(15,6,(ROW(Management!$B$3:$B$50)-ROW(Management!$B$3)+1)/((IF(Management!$C$3:$C$50="Unlimited",10^15,Management!$C$3:$C$50))&gt;='1'!$I17),COLUMN(D16))),"")</f>
        <v>Mehmood Ahmed</v>
      </c>
      <c r="E17" t="str">
        <f>IFERROR(INDEX(Management!$B$3:$B$50,_xlfn.AGGREGATE(15,6,(ROW(Management!$B$3:$B$50)-ROW(Management!$B$3)+1)/((IF(Management!$C$3:$C$50="Unlimited",10^15,Management!$C$3:$C$50))&gt;='1'!$I17),COLUMN(E16))),"")</f>
        <v>Tasawar Abbas</v>
      </c>
      <c r="F17" t="str">
        <f>IFERROR(INDEX(Management!$B$3:$B$50,_xlfn.AGGREGATE(15,6,(ROW(Management!$B$3:$B$50)-ROW(Management!$B$3)+1)/((IF(Management!$C$3:$C$50="Unlimited",10^15,Management!$C$3:$C$50))&gt;='1'!$I17),COLUMN(F16))),"")</f>
        <v>Muhammad Farhan</v>
      </c>
      <c r="G17" t="str">
        <f>IFERROR(INDEX(Management!$B$3:$B$50,_xlfn.AGGREGATE(15,6,(ROW(Management!$B$3:$B$50)-ROW(Management!$B$3)+1)/((IF(Management!$C$3:$C$50="Unlimited",10^15,Management!$C$3:$C$50))&gt;='1'!$I17),COLUMN(G16))),"")</f>
        <v>Shahzaib Ali</v>
      </c>
      <c r="H17" t="str">
        <f>IFERROR(INDEX(Management!$B$3:$B$50,_xlfn.AGGREGATE(15,6,(ROW(Management!$B$3:$B$50)-ROW(Management!$B$3)+1)/((IF(Management!$C$3:$C$50="Unlimited",10^15,Management!$C$3:$C$50))&gt;='1'!$I17),COLUMN(H16))),"")</f>
        <v>Waseem Raza</v>
      </c>
      <c r="I17" t="str">
        <f>IFERROR(INDEX(Management!$B$3:$B$50,_xlfn.AGGREGATE(15,6,(ROW(Management!$B$3:$B$50)-ROW(Management!$B$3)+1)/((IF(Management!$C$3:$C$50="Unlimited",10^15,Management!$C$3:$C$50))&gt;='1'!$I17),COLUMN(I16))),"")</f>
        <v>Muhammad Majeed</v>
      </c>
      <c r="J17" t="str">
        <f>IFERROR(INDEX(Management!$B$3:$B$50,_xlfn.AGGREGATE(15,6,(ROW(Management!$B$3:$B$50)-ROW(Management!$B$3)+1)/((IF(Management!$C$3:$C$50="Unlimited",10^15,Management!$C$3:$C$50))&gt;='1'!$I17),COLUMN(J16))),"")</f>
        <v>Shoukat Mahmood</v>
      </c>
      <c r="K17" t="str">
        <f>IFERROR(INDEX(Management!$B$3:$B$50,_xlfn.AGGREGATE(15,6,(ROW(Management!$B$3:$B$50)-ROW(Management!$B$3)+1)/((IF(Management!$C$3:$C$50="Unlimited",10^15,Management!$C$3:$C$50))&gt;='1'!$I17),COLUMN(K16))),"")</f>
        <v>Naveed Kamal</v>
      </c>
      <c r="L17" t="str">
        <f>IFERROR(INDEX(Management!$B$3:$B$50,_xlfn.AGGREGATE(15,6,(ROW(Management!$B$3:$B$50)-ROW(Management!$B$3)+1)/((IF(Management!$C$3:$C$50="Unlimited",10^15,Management!$C$3:$C$50))&gt;='1'!$I17),COLUMN(L16))),"")</f>
        <v>Raza Ali</v>
      </c>
      <c r="M17" t="str">
        <f>IFERROR(INDEX(Management!$B$3:$B$50,_xlfn.AGGREGATE(15,6,(ROW(Management!$B$3:$B$50)-ROW(Management!$B$3)+1)/((IF(Management!$C$3:$C$50="Unlimited",10^15,Management!$C$3:$C$50))&gt;='1'!$I17),COLUMN(M16))),"")</f>
        <v>Alfqar</v>
      </c>
      <c r="N17" t="str">
        <f>IFERROR(INDEX(Management!$B$3:$B$50,_xlfn.AGGREGATE(15,6,(ROW(Management!$B$3:$B$50)-ROW(Management!$B$3)+1)/((IF(Management!$C$3:$C$50="Unlimited",10^15,Management!$C$3:$C$50))&gt;='1'!$I17),COLUMN(N16))),"")</f>
        <v>Sheraz Ahmed</v>
      </c>
      <c r="O17" t="str">
        <f>IFERROR(INDEX(Management!$B$3:$B$50,_xlfn.AGGREGATE(15,6,(ROW(Management!$B$3:$B$50)-ROW(Management!$B$3)+1)/((IF(Management!$C$3:$C$50="Unlimited",10^15,Management!$C$3:$C$50))&gt;='1'!$I17),COLUMN(O16))),"")</f>
        <v>Faisal Kausar</v>
      </c>
      <c r="P17" t="str">
        <f>IFERROR(INDEX(Management!$B$3:$B$50,_xlfn.AGGREGATE(15,6,(ROW(Management!$B$3:$B$50)-ROW(Management!$B$3)+1)/((IF(Management!$C$3:$C$50="Unlimited",10^15,Management!$C$3:$C$50))&gt;='1'!$I17),COLUMN(P16))),"")</f>
        <v>Muhammad Faisal</v>
      </c>
      <c r="Q17" t="str">
        <f>IFERROR(INDEX(Management!$B$3:$B$50,_xlfn.AGGREGATE(15,6,(ROW(Management!$B$3:$B$50)-ROW(Management!$B$3)+1)/((IF(Management!$C$3:$C$50="Unlimited",10^15,Management!$C$3:$C$50))&gt;='1'!$I17),COLUMN(Q16))),"")</f>
        <v>Sumair Hamza</v>
      </c>
      <c r="R17" t="str">
        <f>IFERROR(INDEX(Management!$B$3:$B$50,_xlfn.AGGREGATE(15,6,(ROW(Management!$B$3:$B$50)-ROW(Management!$B$3)+1)/((IF(Management!$C$3:$C$50="Unlimited",10^15,Management!$C$3:$C$50))&gt;='1'!$I17),COLUMN(R16))),"")</f>
        <v>Muhammad Ali</v>
      </c>
      <c r="S17" t="str">
        <f>IFERROR(INDEX(Management!$B$3:$B$50,_xlfn.AGGREGATE(15,6,(ROW(Management!$B$3:$B$50)-ROW(Management!$B$3)+1)/((IF(Management!$C$3:$C$50="Unlimited",10^15,Management!$C$3:$C$50))&gt;='1'!$I17),COLUMN(S16))),"")</f>
        <v>Muhammad Ali</v>
      </c>
      <c r="T17" t="str">
        <f>IFERROR(INDEX(Management!$B$3:$B$50,_xlfn.AGGREGATE(15,6,(ROW(Management!$B$3:$B$50)-ROW(Management!$B$3)+1)/((IF(Management!$C$3:$C$50="Unlimited",10^15,Management!$C$3:$C$50))&gt;='1'!$I17),COLUMN(T16))),"")</f>
        <v>Jawad Aziz</v>
      </c>
    </row>
    <row r="18" spans="1:20">
      <c r="A18" t="str">
        <f>IFERROR(INDEX(Management!$B$3:$B$50,_xlfn.AGGREGATE(15,6,(ROW(Management!$B$3:$B$50)-ROW(Management!$B$3)+1)/((IF(Management!$C$3:$C$50="Unlimited",10^15,Management!$C$3:$C$50))&gt;='1'!$I18),COLUMN(A17))),"")</f>
        <v>Muhammad Usman</v>
      </c>
      <c r="B18" t="str">
        <f>IFERROR(INDEX(Management!$B$3:$B$50,_xlfn.AGGREGATE(15,6,(ROW(Management!$B$3:$B$50)-ROW(Management!$B$3)+1)/((IF(Management!$C$3:$C$50="Unlimited",10^15,Management!$C$3:$C$50))&gt;='1'!$I18),COLUMN(B17))),"")</f>
        <v>Nadeem Hussain</v>
      </c>
      <c r="C18" t="str">
        <f>IFERROR(INDEX(Management!$B$3:$B$50,_xlfn.AGGREGATE(15,6,(ROW(Management!$B$3:$B$50)-ROW(Management!$B$3)+1)/((IF(Management!$C$3:$C$50="Unlimited",10^15,Management!$C$3:$C$50))&gt;='1'!$I18),COLUMN(C17))),"")</f>
        <v>Allah Ditta</v>
      </c>
      <c r="D18" t="str">
        <f>IFERROR(INDEX(Management!$B$3:$B$50,_xlfn.AGGREGATE(15,6,(ROW(Management!$B$3:$B$50)-ROW(Management!$B$3)+1)/((IF(Management!$C$3:$C$50="Unlimited",10^15,Management!$C$3:$C$50))&gt;='1'!$I18),COLUMN(D17))),"")</f>
        <v>Mehmood Ahmed</v>
      </c>
      <c r="E18" t="str">
        <f>IFERROR(INDEX(Management!$B$3:$B$50,_xlfn.AGGREGATE(15,6,(ROW(Management!$B$3:$B$50)-ROW(Management!$B$3)+1)/((IF(Management!$C$3:$C$50="Unlimited",10^15,Management!$C$3:$C$50))&gt;='1'!$I18),COLUMN(E17))),"")</f>
        <v>Tasawar Abbas</v>
      </c>
      <c r="F18" t="str">
        <f>IFERROR(INDEX(Management!$B$3:$B$50,_xlfn.AGGREGATE(15,6,(ROW(Management!$B$3:$B$50)-ROW(Management!$B$3)+1)/((IF(Management!$C$3:$C$50="Unlimited",10^15,Management!$C$3:$C$50))&gt;='1'!$I18),COLUMN(F17))),"")</f>
        <v>Muhammad Farhan</v>
      </c>
      <c r="G18" t="str">
        <f>IFERROR(INDEX(Management!$B$3:$B$50,_xlfn.AGGREGATE(15,6,(ROW(Management!$B$3:$B$50)-ROW(Management!$B$3)+1)/((IF(Management!$C$3:$C$50="Unlimited",10^15,Management!$C$3:$C$50))&gt;='1'!$I18),COLUMN(G17))),"")</f>
        <v>Shahzaib Ali</v>
      </c>
      <c r="H18" t="str">
        <f>IFERROR(INDEX(Management!$B$3:$B$50,_xlfn.AGGREGATE(15,6,(ROW(Management!$B$3:$B$50)-ROW(Management!$B$3)+1)/((IF(Management!$C$3:$C$50="Unlimited",10^15,Management!$C$3:$C$50))&gt;='1'!$I18),COLUMN(H17))),"")</f>
        <v>Waseem Raza</v>
      </c>
      <c r="I18" t="str">
        <f>IFERROR(INDEX(Management!$B$3:$B$50,_xlfn.AGGREGATE(15,6,(ROW(Management!$B$3:$B$50)-ROW(Management!$B$3)+1)/((IF(Management!$C$3:$C$50="Unlimited",10^15,Management!$C$3:$C$50))&gt;='1'!$I18),COLUMN(I17))),"")</f>
        <v>Muhammad Majeed</v>
      </c>
      <c r="J18" t="str">
        <f>IFERROR(INDEX(Management!$B$3:$B$50,_xlfn.AGGREGATE(15,6,(ROW(Management!$B$3:$B$50)-ROW(Management!$B$3)+1)/((IF(Management!$C$3:$C$50="Unlimited",10^15,Management!$C$3:$C$50))&gt;='1'!$I18),COLUMN(J17))),"")</f>
        <v>Shoukat Mahmood</v>
      </c>
      <c r="K18" t="str">
        <f>IFERROR(INDEX(Management!$B$3:$B$50,_xlfn.AGGREGATE(15,6,(ROW(Management!$B$3:$B$50)-ROW(Management!$B$3)+1)/((IF(Management!$C$3:$C$50="Unlimited",10^15,Management!$C$3:$C$50))&gt;='1'!$I18),COLUMN(K17))),"")</f>
        <v>Naveed Kamal</v>
      </c>
      <c r="L18" t="str">
        <f>IFERROR(INDEX(Management!$B$3:$B$50,_xlfn.AGGREGATE(15,6,(ROW(Management!$B$3:$B$50)-ROW(Management!$B$3)+1)/((IF(Management!$C$3:$C$50="Unlimited",10^15,Management!$C$3:$C$50))&gt;='1'!$I18),COLUMN(L17))),"")</f>
        <v>Raza Ali</v>
      </c>
      <c r="M18" t="str">
        <f>IFERROR(INDEX(Management!$B$3:$B$50,_xlfn.AGGREGATE(15,6,(ROW(Management!$B$3:$B$50)-ROW(Management!$B$3)+1)/((IF(Management!$C$3:$C$50="Unlimited",10^15,Management!$C$3:$C$50))&gt;='1'!$I18),COLUMN(M17))),"")</f>
        <v>Alfqar</v>
      </c>
      <c r="N18" t="str">
        <f>IFERROR(INDEX(Management!$B$3:$B$50,_xlfn.AGGREGATE(15,6,(ROW(Management!$B$3:$B$50)-ROW(Management!$B$3)+1)/((IF(Management!$C$3:$C$50="Unlimited",10^15,Management!$C$3:$C$50))&gt;='1'!$I18),COLUMN(N17))),"")</f>
        <v>Sheraz Ahmed</v>
      </c>
      <c r="O18" t="str">
        <f>IFERROR(INDEX(Management!$B$3:$B$50,_xlfn.AGGREGATE(15,6,(ROW(Management!$B$3:$B$50)-ROW(Management!$B$3)+1)/((IF(Management!$C$3:$C$50="Unlimited",10^15,Management!$C$3:$C$50))&gt;='1'!$I18),COLUMN(O17))),"")</f>
        <v>Faisal Kausar</v>
      </c>
      <c r="P18" t="str">
        <f>IFERROR(INDEX(Management!$B$3:$B$50,_xlfn.AGGREGATE(15,6,(ROW(Management!$B$3:$B$50)-ROW(Management!$B$3)+1)/((IF(Management!$C$3:$C$50="Unlimited",10^15,Management!$C$3:$C$50))&gt;='1'!$I18),COLUMN(P17))),"")</f>
        <v>Muhammad Faisal</v>
      </c>
      <c r="Q18" t="str">
        <f>IFERROR(INDEX(Management!$B$3:$B$50,_xlfn.AGGREGATE(15,6,(ROW(Management!$B$3:$B$50)-ROW(Management!$B$3)+1)/((IF(Management!$C$3:$C$50="Unlimited",10^15,Management!$C$3:$C$50))&gt;='1'!$I18),COLUMN(Q17))),"")</f>
        <v>Sumair Hamza</v>
      </c>
      <c r="R18" t="str">
        <f>IFERROR(INDEX(Management!$B$3:$B$50,_xlfn.AGGREGATE(15,6,(ROW(Management!$B$3:$B$50)-ROW(Management!$B$3)+1)/((IF(Management!$C$3:$C$50="Unlimited",10^15,Management!$C$3:$C$50))&gt;='1'!$I18),COLUMN(R17))),"")</f>
        <v>Muhammad Ali</v>
      </c>
      <c r="S18" t="str">
        <f>IFERROR(INDEX(Management!$B$3:$B$50,_xlfn.AGGREGATE(15,6,(ROW(Management!$B$3:$B$50)-ROW(Management!$B$3)+1)/((IF(Management!$C$3:$C$50="Unlimited",10^15,Management!$C$3:$C$50))&gt;='1'!$I18),COLUMN(S17))),"")</f>
        <v>Muhammad Ali</v>
      </c>
      <c r="T18" t="str">
        <f>IFERROR(INDEX(Management!$B$3:$B$50,_xlfn.AGGREGATE(15,6,(ROW(Management!$B$3:$B$50)-ROW(Management!$B$3)+1)/((IF(Management!$C$3:$C$50="Unlimited",10^15,Management!$C$3:$C$50))&gt;='1'!$I18),COLUMN(T17))),"")</f>
        <v>Jawad Aziz</v>
      </c>
    </row>
    <row r="19" spans="1:20">
      <c r="A19" t="str">
        <f>IFERROR(INDEX(Management!$B$3:$B$50,_xlfn.AGGREGATE(15,6,(ROW(Management!$B$3:$B$50)-ROW(Management!$B$3)+1)/((IF(Management!$C$3:$C$50="Unlimited",10^15,Management!$C$3:$C$50))&gt;='1'!$I19),COLUMN(A18))),"")</f>
        <v>Muhammad Usman</v>
      </c>
      <c r="B19" t="str">
        <f>IFERROR(INDEX(Management!$B$3:$B$50,_xlfn.AGGREGATE(15,6,(ROW(Management!$B$3:$B$50)-ROW(Management!$B$3)+1)/((IF(Management!$C$3:$C$50="Unlimited",10^15,Management!$C$3:$C$50))&gt;='1'!$I19),COLUMN(B18))),"")</f>
        <v>Nadeem Hussain</v>
      </c>
      <c r="C19" t="str">
        <f>IFERROR(INDEX(Management!$B$3:$B$50,_xlfn.AGGREGATE(15,6,(ROW(Management!$B$3:$B$50)-ROW(Management!$B$3)+1)/((IF(Management!$C$3:$C$50="Unlimited",10^15,Management!$C$3:$C$50))&gt;='1'!$I19),COLUMN(C18))),"")</f>
        <v>Allah Ditta</v>
      </c>
      <c r="D19" t="str">
        <f>IFERROR(INDEX(Management!$B$3:$B$50,_xlfn.AGGREGATE(15,6,(ROW(Management!$B$3:$B$50)-ROW(Management!$B$3)+1)/((IF(Management!$C$3:$C$50="Unlimited",10^15,Management!$C$3:$C$50))&gt;='1'!$I19),COLUMN(D18))),"")</f>
        <v>Mehmood Ahmed</v>
      </c>
      <c r="E19" t="str">
        <f>IFERROR(INDEX(Management!$B$3:$B$50,_xlfn.AGGREGATE(15,6,(ROW(Management!$B$3:$B$50)-ROW(Management!$B$3)+1)/((IF(Management!$C$3:$C$50="Unlimited",10^15,Management!$C$3:$C$50))&gt;='1'!$I19),COLUMN(E18))),"")</f>
        <v>Tasawar Abbas</v>
      </c>
      <c r="F19" t="str">
        <f>IFERROR(INDEX(Management!$B$3:$B$50,_xlfn.AGGREGATE(15,6,(ROW(Management!$B$3:$B$50)-ROW(Management!$B$3)+1)/((IF(Management!$C$3:$C$50="Unlimited",10^15,Management!$C$3:$C$50))&gt;='1'!$I19),COLUMN(F18))),"")</f>
        <v>Muhammad Farhan</v>
      </c>
      <c r="G19" t="str">
        <f>IFERROR(INDEX(Management!$B$3:$B$50,_xlfn.AGGREGATE(15,6,(ROW(Management!$B$3:$B$50)-ROW(Management!$B$3)+1)/((IF(Management!$C$3:$C$50="Unlimited",10^15,Management!$C$3:$C$50))&gt;='1'!$I19),COLUMN(G18))),"")</f>
        <v>Shahzaib Ali</v>
      </c>
      <c r="H19" t="str">
        <f>IFERROR(INDEX(Management!$B$3:$B$50,_xlfn.AGGREGATE(15,6,(ROW(Management!$B$3:$B$50)-ROW(Management!$B$3)+1)/((IF(Management!$C$3:$C$50="Unlimited",10^15,Management!$C$3:$C$50))&gt;='1'!$I19),COLUMN(H18))),"")</f>
        <v>Waseem Raza</v>
      </c>
      <c r="I19" t="str">
        <f>IFERROR(INDEX(Management!$B$3:$B$50,_xlfn.AGGREGATE(15,6,(ROW(Management!$B$3:$B$50)-ROW(Management!$B$3)+1)/((IF(Management!$C$3:$C$50="Unlimited",10^15,Management!$C$3:$C$50))&gt;='1'!$I19),COLUMN(I18))),"")</f>
        <v>Muhammad Majeed</v>
      </c>
      <c r="J19" t="str">
        <f>IFERROR(INDEX(Management!$B$3:$B$50,_xlfn.AGGREGATE(15,6,(ROW(Management!$B$3:$B$50)-ROW(Management!$B$3)+1)/((IF(Management!$C$3:$C$50="Unlimited",10^15,Management!$C$3:$C$50))&gt;='1'!$I19),COLUMN(J18))),"")</f>
        <v>Shoukat Mahmood</v>
      </c>
      <c r="K19" t="str">
        <f>IFERROR(INDEX(Management!$B$3:$B$50,_xlfn.AGGREGATE(15,6,(ROW(Management!$B$3:$B$50)-ROW(Management!$B$3)+1)/((IF(Management!$C$3:$C$50="Unlimited",10^15,Management!$C$3:$C$50))&gt;='1'!$I19),COLUMN(K18))),"")</f>
        <v>Naveed Kamal</v>
      </c>
      <c r="L19" t="str">
        <f>IFERROR(INDEX(Management!$B$3:$B$50,_xlfn.AGGREGATE(15,6,(ROW(Management!$B$3:$B$50)-ROW(Management!$B$3)+1)/((IF(Management!$C$3:$C$50="Unlimited",10^15,Management!$C$3:$C$50))&gt;='1'!$I19),COLUMN(L18))),"")</f>
        <v>Raza Ali</v>
      </c>
      <c r="M19" t="str">
        <f>IFERROR(INDEX(Management!$B$3:$B$50,_xlfn.AGGREGATE(15,6,(ROW(Management!$B$3:$B$50)-ROW(Management!$B$3)+1)/((IF(Management!$C$3:$C$50="Unlimited",10^15,Management!$C$3:$C$50))&gt;='1'!$I19),COLUMN(M18))),"")</f>
        <v>Alfqar</v>
      </c>
      <c r="N19" t="str">
        <f>IFERROR(INDEX(Management!$B$3:$B$50,_xlfn.AGGREGATE(15,6,(ROW(Management!$B$3:$B$50)-ROW(Management!$B$3)+1)/((IF(Management!$C$3:$C$50="Unlimited",10^15,Management!$C$3:$C$50))&gt;='1'!$I19),COLUMN(N18))),"")</f>
        <v>Sheraz Ahmed</v>
      </c>
      <c r="O19" t="str">
        <f>IFERROR(INDEX(Management!$B$3:$B$50,_xlfn.AGGREGATE(15,6,(ROW(Management!$B$3:$B$50)-ROW(Management!$B$3)+1)/((IF(Management!$C$3:$C$50="Unlimited",10^15,Management!$C$3:$C$50))&gt;='1'!$I19),COLUMN(O18))),"")</f>
        <v>Faisal Kausar</v>
      </c>
      <c r="P19" t="str">
        <f>IFERROR(INDEX(Management!$B$3:$B$50,_xlfn.AGGREGATE(15,6,(ROW(Management!$B$3:$B$50)-ROW(Management!$B$3)+1)/((IF(Management!$C$3:$C$50="Unlimited",10^15,Management!$C$3:$C$50))&gt;='1'!$I19),COLUMN(P18))),"")</f>
        <v>Muhammad Faisal</v>
      </c>
      <c r="Q19" t="str">
        <f>IFERROR(INDEX(Management!$B$3:$B$50,_xlfn.AGGREGATE(15,6,(ROW(Management!$B$3:$B$50)-ROW(Management!$B$3)+1)/((IF(Management!$C$3:$C$50="Unlimited",10^15,Management!$C$3:$C$50))&gt;='1'!$I19),COLUMN(Q18))),"")</f>
        <v>Sumair Hamza</v>
      </c>
      <c r="R19" t="str">
        <f>IFERROR(INDEX(Management!$B$3:$B$50,_xlfn.AGGREGATE(15,6,(ROW(Management!$B$3:$B$50)-ROW(Management!$B$3)+1)/((IF(Management!$C$3:$C$50="Unlimited",10^15,Management!$C$3:$C$50))&gt;='1'!$I19),COLUMN(R18))),"")</f>
        <v>Muhammad Ali</v>
      </c>
      <c r="S19" t="str">
        <f>IFERROR(INDEX(Management!$B$3:$B$50,_xlfn.AGGREGATE(15,6,(ROW(Management!$B$3:$B$50)-ROW(Management!$B$3)+1)/((IF(Management!$C$3:$C$50="Unlimited",10^15,Management!$C$3:$C$50))&gt;='1'!$I19),COLUMN(S18))),"")</f>
        <v>Muhammad Ali</v>
      </c>
      <c r="T19" t="str">
        <f>IFERROR(INDEX(Management!$B$3:$B$50,_xlfn.AGGREGATE(15,6,(ROW(Management!$B$3:$B$50)-ROW(Management!$B$3)+1)/((IF(Management!$C$3:$C$50="Unlimited",10^15,Management!$C$3:$C$50))&gt;='1'!$I19),COLUMN(T18))),"")</f>
        <v>Jawad Aziz</v>
      </c>
    </row>
    <row r="20" spans="1:20">
      <c r="A20" t="str">
        <f>IFERROR(INDEX(Management!$B$3:$B$50,_xlfn.AGGREGATE(15,6,(ROW(Management!$B$3:$B$50)-ROW(Management!$B$3)+1)/((IF(Management!$C$3:$C$50="Unlimited",10^15,Management!$C$3:$C$50))&gt;='1'!$I20),COLUMN(A19))),"")</f>
        <v>Muhammad Usman</v>
      </c>
      <c r="B20" t="str">
        <f>IFERROR(INDEX(Management!$B$3:$B$50,_xlfn.AGGREGATE(15,6,(ROW(Management!$B$3:$B$50)-ROW(Management!$B$3)+1)/((IF(Management!$C$3:$C$50="Unlimited",10^15,Management!$C$3:$C$50))&gt;='1'!$I20),COLUMN(B19))),"")</f>
        <v>Nadeem Hussain</v>
      </c>
      <c r="C20" t="str">
        <f>IFERROR(INDEX(Management!$B$3:$B$50,_xlfn.AGGREGATE(15,6,(ROW(Management!$B$3:$B$50)-ROW(Management!$B$3)+1)/((IF(Management!$C$3:$C$50="Unlimited",10^15,Management!$C$3:$C$50))&gt;='1'!$I20),COLUMN(C19))),"")</f>
        <v>Allah Ditta</v>
      </c>
      <c r="D20" t="str">
        <f>IFERROR(INDEX(Management!$B$3:$B$50,_xlfn.AGGREGATE(15,6,(ROW(Management!$B$3:$B$50)-ROW(Management!$B$3)+1)/((IF(Management!$C$3:$C$50="Unlimited",10^15,Management!$C$3:$C$50))&gt;='1'!$I20),COLUMN(D19))),"")</f>
        <v>Mehmood Ahmed</v>
      </c>
      <c r="E20" t="str">
        <f>IFERROR(INDEX(Management!$B$3:$B$50,_xlfn.AGGREGATE(15,6,(ROW(Management!$B$3:$B$50)-ROW(Management!$B$3)+1)/((IF(Management!$C$3:$C$50="Unlimited",10^15,Management!$C$3:$C$50))&gt;='1'!$I20),COLUMN(E19))),"")</f>
        <v>Tasawar Abbas</v>
      </c>
      <c r="F20" t="str">
        <f>IFERROR(INDEX(Management!$B$3:$B$50,_xlfn.AGGREGATE(15,6,(ROW(Management!$B$3:$B$50)-ROW(Management!$B$3)+1)/((IF(Management!$C$3:$C$50="Unlimited",10^15,Management!$C$3:$C$50))&gt;='1'!$I20),COLUMN(F19))),"")</f>
        <v>Muhammad Farhan</v>
      </c>
      <c r="G20" t="str">
        <f>IFERROR(INDEX(Management!$B$3:$B$50,_xlfn.AGGREGATE(15,6,(ROW(Management!$B$3:$B$50)-ROW(Management!$B$3)+1)/((IF(Management!$C$3:$C$50="Unlimited",10^15,Management!$C$3:$C$50))&gt;='1'!$I20),COLUMN(G19))),"")</f>
        <v>Shahzaib Ali</v>
      </c>
      <c r="H20" t="str">
        <f>IFERROR(INDEX(Management!$B$3:$B$50,_xlfn.AGGREGATE(15,6,(ROW(Management!$B$3:$B$50)-ROW(Management!$B$3)+1)/((IF(Management!$C$3:$C$50="Unlimited",10^15,Management!$C$3:$C$50))&gt;='1'!$I20),COLUMN(H19))),"")</f>
        <v>Waseem Raza</v>
      </c>
      <c r="I20" t="str">
        <f>IFERROR(INDEX(Management!$B$3:$B$50,_xlfn.AGGREGATE(15,6,(ROW(Management!$B$3:$B$50)-ROW(Management!$B$3)+1)/((IF(Management!$C$3:$C$50="Unlimited",10^15,Management!$C$3:$C$50))&gt;='1'!$I20),COLUMN(I19))),"")</f>
        <v>Muhammad Majeed</v>
      </c>
      <c r="J20" t="str">
        <f>IFERROR(INDEX(Management!$B$3:$B$50,_xlfn.AGGREGATE(15,6,(ROW(Management!$B$3:$B$50)-ROW(Management!$B$3)+1)/((IF(Management!$C$3:$C$50="Unlimited",10^15,Management!$C$3:$C$50))&gt;='1'!$I20),COLUMN(J19))),"")</f>
        <v>Shoukat Mahmood</v>
      </c>
      <c r="K20" t="str">
        <f>IFERROR(INDEX(Management!$B$3:$B$50,_xlfn.AGGREGATE(15,6,(ROW(Management!$B$3:$B$50)-ROW(Management!$B$3)+1)/((IF(Management!$C$3:$C$50="Unlimited",10^15,Management!$C$3:$C$50))&gt;='1'!$I20),COLUMN(K19))),"")</f>
        <v>Naveed Kamal</v>
      </c>
      <c r="L20" t="str">
        <f>IFERROR(INDEX(Management!$B$3:$B$50,_xlfn.AGGREGATE(15,6,(ROW(Management!$B$3:$B$50)-ROW(Management!$B$3)+1)/((IF(Management!$C$3:$C$50="Unlimited",10^15,Management!$C$3:$C$50))&gt;='1'!$I20),COLUMN(L19))),"")</f>
        <v>Raza Ali</v>
      </c>
      <c r="M20" t="str">
        <f>IFERROR(INDEX(Management!$B$3:$B$50,_xlfn.AGGREGATE(15,6,(ROW(Management!$B$3:$B$50)-ROW(Management!$B$3)+1)/((IF(Management!$C$3:$C$50="Unlimited",10^15,Management!$C$3:$C$50))&gt;='1'!$I20),COLUMN(M19))),"")</f>
        <v>Alfqar</v>
      </c>
      <c r="N20" t="str">
        <f>IFERROR(INDEX(Management!$B$3:$B$50,_xlfn.AGGREGATE(15,6,(ROW(Management!$B$3:$B$50)-ROW(Management!$B$3)+1)/((IF(Management!$C$3:$C$50="Unlimited",10^15,Management!$C$3:$C$50))&gt;='1'!$I20),COLUMN(N19))),"")</f>
        <v>Sheraz Ahmed</v>
      </c>
      <c r="O20" t="str">
        <f>IFERROR(INDEX(Management!$B$3:$B$50,_xlfn.AGGREGATE(15,6,(ROW(Management!$B$3:$B$50)-ROW(Management!$B$3)+1)/((IF(Management!$C$3:$C$50="Unlimited",10^15,Management!$C$3:$C$50))&gt;='1'!$I20),COLUMN(O19))),"")</f>
        <v>Faisal Kausar</v>
      </c>
      <c r="P20" t="str">
        <f>IFERROR(INDEX(Management!$B$3:$B$50,_xlfn.AGGREGATE(15,6,(ROW(Management!$B$3:$B$50)-ROW(Management!$B$3)+1)/((IF(Management!$C$3:$C$50="Unlimited",10^15,Management!$C$3:$C$50))&gt;='1'!$I20),COLUMN(P19))),"")</f>
        <v>Muhammad Faisal</v>
      </c>
      <c r="Q20" t="str">
        <f>IFERROR(INDEX(Management!$B$3:$B$50,_xlfn.AGGREGATE(15,6,(ROW(Management!$B$3:$B$50)-ROW(Management!$B$3)+1)/((IF(Management!$C$3:$C$50="Unlimited",10^15,Management!$C$3:$C$50))&gt;='1'!$I20),COLUMN(Q19))),"")</f>
        <v>Sumair Hamza</v>
      </c>
      <c r="R20" t="str">
        <f>IFERROR(INDEX(Management!$B$3:$B$50,_xlfn.AGGREGATE(15,6,(ROW(Management!$B$3:$B$50)-ROW(Management!$B$3)+1)/((IF(Management!$C$3:$C$50="Unlimited",10^15,Management!$C$3:$C$50))&gt;='1'!$I20),COLUMN(R19))),"")</f>
        <v>Muhammad Ali</v>
      </c>
      <c r="S20" t="str">
        <f>IFERROR(INDEX(Management!$B$3:$B$50,_xlfn.AGGREGATE(15,6,(ROW(Management!$B$3:$B$50)-ROW(Management!$B$3)+1)/((IF(Management!$C$3:$C$50="Unlimited",10^15,Management!$C$3:$C$50))&gt;='1'!$I20),COLUMN(S19))),"")</f>
        <v>Muhammad Ali</v>
      </c>
      <c r="T20" t="str">
        <f>IFERROR(INDEX(Management!$B$3:$B$50,_xlfn.AGGREGATE(15,6,(ROW(Management!$B$3:$B$50)-ROW(Management!$B$3)+1)/((IF(Management!$C$3:$C$50="Unlimited",10^15,Management!$C$3:$C$50))&gt;='1'!$I20),COLUMN(T19))),"")</f>
        <v>Jawad Aziz</v>
      </c>
    </row>
    <row r="21" spans="1:20">
      <c r="A21" t="str">
        <f>IFERROR(INDEX(Management!$B$3:$B$50,_xlfn.AGGREGATE(15,6,(ROW(Management!$B$3:$B$50)-ROW(Management!$B$3)+1)/((IF(Management!$C$3:$C$50="Unlimited",10^15,Management!$C$3:$C$50))&gt;='1'!$I21),COLUMN(A20))),"")</f>
        <v>Muhammad Usman</v>
      </c>
      <c r="B21" t="str">
        <f>IFERROR(INDEX(Management!$B$3:$B$50,_xlfn.AGGREGATE(15,6,(ROW(Management!$B$3:$B$50)-ROW(Management!$B$3)+1)/((IF(Management!$C$3:$C$50="Unlimited",10^15,Management!$C$3:$C$50))&gt;='1'!$I21),COLUMN(B20))),"")</f>
        <v>Nadeem Hussain</v>
      </c>
      <c r="C21" t="str">
        <f>IFERROR(INDEX(Management!$B$3:$B$50,_xlfn.AGGREGATE(15,6,(ROW(Management!$B$3:$B$50)-ROW(Management!$B$3)+1)/((IF(Management!$C$3:$C$50="Unlimited",10^15,Management!$C$3:$C$50))&gt;='1'!$I21),COLUMN(C20))),"")</f>
        <v>Allah Ditta</v>
      </c>
      <c r="D21" t="str">
        <f>IFERROR(INDEX(Management!$B$3:$B$50,_xlfn.AGGREGATE(15,6,(ROW(Management!$B$3:$B$50)-ROW(Management!$B$3)+1)/((IF(Management!$C$3:$C$50="Unlimited",10^15,Management!$C$3:$C$50))&gt;='1'!$I21),COLUMN(D20))),"")</f>
        <v>Mehmood Ahmed</v>
      </c>
      <c r="E21" t="str">
        <f>IFERROR(INDEX(Management!$B$3:$B$50,_xlfn.AGGREGATE(15,6,(ROW(Management!$B$3:$B$50)-ROW(Management!$B$3)+1)/((IF(Management!$C$3:$C$50="Unlimited",10^15,Management!$C$3:$C$50))&gt;='1'!$I21),COLUMN(E20))),"")</f>
        <v>Tasawar Abbas</v>
      </c>
      <c r="F21" t="str">
        <f>IFERROR(INDEX(Management!$B$3:$B$50,_xlfn.AGGREGATE(15,6,(ROW(Management!$B$3:$B$50)-ROW(Management!$B$3)+1)/((IF(Management!$C$3:$C$50="Unlimited",10^15,Management!$C$3:$C$50))&gt;='1'!$I21),COLUMN(F20))),"")</f>
        <v>Muhammad Farhan</v>
      </c>
      <c r="G21" t="str">
        <f>IFERROR(INDEX(Management!$B$3:$B$50,_xlfn.AGGREGATE(15,6,(ROW(Management!$B$3:$B$50)-ROW(Management!$B$3)+1)/((IF(Management!$C$3:$C$50="Unlimited",10^15,Management!$C$3:$C$50))&gt;='1'!$I21),COLUMN(G20))),"")</f>
        <v>Shahzaib Ali</v>
      </c>
      <c r="H21" t="str">
        <f>IFERROR(INDEX(Management!$B$3:$B$50,_xlfn.AGGREGATE(15,6,(ROW(Management!$B$3:$B$50)-ROW(Management!$B$3)+1)/((IF(Management!$C$3:$C$50="Unlimited",10^15,Management!$C$3:$C$50))&gt;='1'!$I21),COLUMN(H20))),"")</f>
        <v>Waseem Raza</v>
      </c>
      <c r="I21" t="str">
        <f>IFERROR(INDEX(Management!$B$3:$B$50,_xlfn.AGGREGATE(15,6,(ROW(Management!$B$3:$B$50)-ROW(Management!$B$3)+1)/((IF(Management!$C$3:$C$50="Unlimited",10^15,Management!$C$3:$C$50))&gt;='1'!$I21),COLUMN(I20))),"")</f>
        <v>Muhammad Majeed</v>
      </c>
      <c r="J21" t="str">
        <f>IFERROR(INDEX(Management!$B$3:$B$50,_xlfn.AGGREGATE(15,6,(ROW(Management!$B$3:$B$50)-ROW(Management!$B$3)+1)/((IF(Management!$C$3:$C$50="Unlimited",10^15,Management!$C$3:$C$50))&gt;='1'!$I21),COLUMN(J20))),"")</f>
        <v>Shoukat Mahmood</v>
      </c>
      <c r="K21" t="str">
        <f>IFERROR(INDEX(Management!$B$3:$B$50,_xlfn.AGGREGATE(15,6,(ROW(Management!$B$3:$B$50)-ROW(Management!$B$3)+1)/((IF(Management!$C$3:$C$50="Unlimited",10^15,Management!$C$3:$C$50))&gt;='1'!$I21),COLUMN(K20))),"")</f>
        <v>Naveed Kamal</v>
      </c>
      <c r="L21" t="str">
        <f>IFERROR(INDEX(Management!$B$3:$B$50,_xlfn.AGGREGATE(15,6,(ROW(Management!$B$3:$B$50)-ROW(Management!$B$3)+1)/((IF(Management!$C$3:$C$50="Unlimited",10^15,Management!$C$3:$C$50))&gt;='1'!$I21),COLUMN(L20))),"")</f>
        <v>Raza Ali</v>
      </c>
      <c r="M21" t="str">
        <f>IFERROR(INDEX(Management!$B$3:$B$50,_xlfn.AGGREGATE(15,6,(ROW(Management!$B$3:$B$50)-ROW(Management!$B$3)+1)/((IF(Management!$C$3:$C$50="Unlimited",10^15,Management!$C$3:$C$50))&gt;='1'!$I21),COLUMN(M20))),"")</f>
        <v>Alfqar</v>
      </c>
      <c r="N21" t="str">
        <f>IFERROR(INDEX(Management!$B$3:$B$50,_xlfn.AGGREGATE(15,6,(ROW(Management!$B$3:$B$50)-ROW(Management!$B$3)+1)/((IF(Management!$C$3:$C$50="Unlimited",10^15,Management!$C$3:$C$50))&gt;='1'!$I21),COLUMN(N20))),"")</f>
        <v>Sheraz Ahmed</v>
      </c>
      <c r="O21" t="str">
        <f>IFERROR(INDEX(Management!$B$3:$B$50,_xlfn.AGGREGATE(15,6,(ROW(Management!$B$3:$B$50)-ROW(Management!$B$3)+1)/((IF(Management!$C$3:$C$50="Unlimited",10^15,Management!$C$3:$C$50))&gt;='1'!$I21),COLUMN(O20))),"")</f>
        <v>Faisal Kausar</v>
      </c>
      <c r="P21" t="str">
        <f>IFERROR(INDEX(Management!$B$3:$B$50,_xlfn.AGGREGATE(15,6,(ROW(Management!$B$3:$B$50)-ROW(Management!$B$3)+1)/((IF(Management!$C$3:$C$50="Unlimited",10^15,Management!$C$3:$C$50))&gt;='1'!$I21),COLUMN(P20))),"")</f>
        <v>Muhammad Faisal</v>
      </c>
      <c r="Q21" t="str">
        <f>IFERROR(INDEX(Management!$B$3:$B$50,_xlfn.AGGREGATE(15,6,(ROW(Management!$B$3:$B$50)-ROW(Management!$B$3)+1)/((IF(Management!$C$3:$C$50="Unlimited",10^15,Management!$C$3:$C$50))&gt;='1'!$I21),COLUMN(Q20))),"")</f>
        <v>Sumair Hamza</v>
      </c>
      <c r="R21" t="str">
        <f>IFERROR(INDEX(Management!$B$3:$B$50,_xlfn.AGGREGATE(15,6,(ROW(Management!$B$3:$B$50)-ROW(Management!$B$3)+1)/((IF(Management!$C$3:$C$50="Unlimited",10^15,Management!$C$3:$C$50))&gt;='1'!$I21),COLUMN(R20))),"")</f>
        <v>Muhammad Ali</v>
      </c>
      <c r="S21" t="str">
        <f>IFERROR(INDEX(Management!$B$3:$B$50,_xlfn.AGGREGATE(15,6,(ROW(Management!$B$3:$B$50)-ROW(Management!$B$3)+1)/((IF(Management!$C$3:$C$50="Unlimited",10^15,Management!$C$3:$C$50))&gt;='1'!$I21),COLUMN(S20))),"")</f>
        <v>Muhammad Ali</v>
      </c>
      <c r="T21" t="str">
        <f>IFERROR(INDEX(Management!$B$3:$B$50,_xlfn.AGGREGATE(15,6,(ROW(Management!$B$3:$B$50)-ROW(Management!$B$3)+1)/((IF(Management!$C$3:$C$50="Unlimited",10^15,Management!$C$3:$C$50))&gt;='1'!$I21),COLUMN(T20))),"")</f>
        <v>Jawad Aziz</v>
      </c>
    </row>
    <row r="22" spans="1:20">
      <c r="A22" t="str">
        <f>IFERROR(INDEX(Management!$B$3:$B$50,_xlfn.AGGREGATE(15,6,(ROW(Management!$B$3:$B$50)-ROW(Management!$B$3)+1)/((IF(Management!$C$3:$C$50="Unlimited",10^15,Management!$C$3:$C$50))&gt;='1'!$I22),COLUMN(A21))),"")</f>
        <v>Muhammad Usman</v>
      </c>
      <c r="B22" t="str">
        <f>IFERROR(INDEX(Management!$B$3:$B$50,_xlfn.AGGREGATE(15,6,(ROW(Management!$B$3:$B$50)-ROW(Management!$B$3)+1)/((IF(Management!$C$3:$C$50="Unlimited",10^15,Management!$C$3:$C$50))&gt;='1'!$I22),COLUMN(B21))),"")</f>
        <v>Nadeem Hussain</v>
      </c>
      <c r="C22" t="str">
        <f>IFERROR(INDEX(Management!$B$3:$B$50,_xlfn.AGGREGATE(15,6,(ROW(Management!$B$3:$B$50)-ROW(Management!$B$3)+1)/((IF(Management!$C$3:$C$50="Unlimited",10^15,Management!$C$3:$C$50))&gt;='1'!$I22),COLUMN(C21))),"")</f>
        <v>Allah Ditta</v>
      </c>
      <c r="D22" t="str">
        <f>IFERROR(INDEX(Management!$B$3:$B$50,_xlfn.AGGREGATE(15,6,(ROW(Management!$B$3:$B$50)-ROW(Management!$B$3)+1)/((IF(Management!$C$3:$C$50="Unlimited",10^15,Management!$C$3:$C$50))&gt;='1'!$I22),COLUMN(D21))),"")</f>
        <v>Mehmood Ahmed</v>
      </c>
      <c r="E22" t="str">
        <f>IFERROR(INDEX(Management!$B$3:$B$50,_xlfn.AGGREGATE(15,6,(ROW(Management!$B$3:$B$50)-ROW(Management!$B$3)+1)/((IF(Management!$C$3:$C$50="Unlimited",10^15,Management!$C$3:$C$50))&gt;='1'!$I22),COLUMN(E21))),"")</f>
        <v>Tasawar Abbas</v>
      </c>
      <c r="F22" t="str">
        <f>IFERROR(INDEX(Management!$B$3:$B$50,_xlfn.AGGREGATE(15,6,(ROW(Management!$B$3:$B$50)-ROW(Management!$B$3)+1)/((IF(Management!$C$3:$C$50="Unlimited",10^15,Management!$C$3:$C$50))&gt;='1'!$I22),COLUMN(F21))),"")</f>
        <v>Muhammad Farhan</v>
      </c>
      <c r="G22" t="str">
        <f>IFERROR(INDEX(Management!$B$3:$B$50,_xlfn.AGGREGATE(15,6,(ROW(Management!$B$3:$B$50)-ROW(Management!$B$3)+1)/((IF(Management!$C$3:$C$50="Unlimited",10^15,Management!$C$3:$C$50))&gt;='1'!$I22),COLUMN(G21))),"")</f>
        <v>Shahzaib Ali</v>
      </c>
      <c r="H22" t="str">
        <f>IFERROR(INDEX(Management!$B$3:$B$50,_xlfn.AGGREGATE(15,6,(ROW(Management!$B$3:$B$50)-ROW(Management!$B$3)+1)/((IF(Management!$C$3:$C$50="Unlimited",10^15,Management!$C$3:$C$50))&gt;='1'!$I22),COLUMN(H21))),"")</f>
        <v>Waseem Raza</v>
      </c>
      <c r="I22" t="str">
        <f>IFERROR(INDEX(Management!$B$3:$B$50,_xlfn.AGGREGATE(15,6,(ROW(Management!$B$3:$B$50)-ROW(Management!$B$3)+1)/((IF(Management!$C$3:$C$50="Unlimited",10^15,Management!$C$3:$C$50))&gt;='1'!$I22),COLUMN(I21))),"")</f>
        <v>Muhammad Majeed</v>
      </c>
      <c r="J22" t="str">
        <f>IFERROR(INDEX(Management!$B$3:$B$50,_xlfn.AGGREGATE(15,6,(ROW(Management!$B$3:$B$50)-ROW(Management!$B$3)+1)/((IF(Management!$C$3:$C$50="Unlimited",10^15,Management!$C$3:$C$50))&gt;='1'!$I22),COLUMN(J21))),"")</f>
        <v>Shoukat Mahmood</v>
      </c>
      <c r="K22" t="str">
        <f>IFERROR(INDEX(Management!$B$3:$B$50,_xlfn.AGGREGATE(15,6,(ROW(Management!$B$3:$B$50)-ROW(Management!$B$3)+1)/((IF(Management!$C$3:$C$50="Unlimited",10^15,Management!$C$3:$C$50))&gt;='1'!$I22),COLUMN(K21))),"")</f>
        <v>Naveed Kamal</v>
      </c>
      <c r="L22" t="str">
        <f>IFERROR(INDEX(Management!$B$3:$B$50,_xlfn.AGGREGATE(15,6,(ROW(Management!$B$3:$B$50)-ROW(Management!$B$3)+1)/((IF(Management!$C$3:$C$50="Unlimited",10^15,Management!$C$3:$C$50))&gt;='1'!$I22),COLUMN(L21))),"")</f>
        <v>Raza Ali</v>
      </c>
      <c r="M22" t="str">
        <f>IFERROR(INDEX(Management!$B$3:$B$50,_xlfn.AGGREGATE(15,6,(ROW(Management!$B$3:$B$50)-ROW(Management!$B$3)+1)/((IF(Management!$C$3:$C$50="Unlimited",10^15,Management!$C$3:$C$50))&gt;='1'!$I22),COLUMN(M21))),"")</f>
        <v>Alfqar</v>
      </c>
      <c r="N22" t="str">
        <f>IFERROR(INDEX(Management!$B$3:$B$50,_xlfn.AGGREGATE(15,6,(ROW(Management!$B$3:$B$50)-ROW(Management!$B$3)+1)/((IF(Management!$C$3:$C$50="Unlimited",10^15,Management!$C$3:$C$50))&gt;='1'!$I22),COLUMN(N21))),"")</f>
        <v>Sheraz Ahmed</v>
      </c>
      <c r="O22" t="str">
        <f>IFERROR(INDEX(Management!$B$3:$B$50,_xlfn.AGGREGATE(15,6,(ROW(Management!$B$3:$B$50)-ROW(Management!$B$3)+1)/((IF(Management!$C$3:$C$50="Unlimited",10^15,Management!$C$3:$C$50))&gt;='1'!$I22),COLUMN(O21))),"")</f>
        <v>Faisal Kausar</v>
      </c>
      <c r="P22" t="str">
        <f>IFERROR(INDEX(Management!$B$3:$B$50,_xlfn.AGGREGATE(15,6,(ROW(Management!$B$3:$B$50)-ROW(Management!$B$3)+1)/((IF(Management!$C$3:$C$50="Unlimited",10^15,Management!$C$3:$C$50))&gt;='1'!$I22),COLUMN(P21))),"")</f>
        <v>Muhammad Faisal</v>
      </c>
      <c r="Q22" t="str">
        <f>IFERROR(INDEX(Management!$B$3:$B$50,_xlfn.AGGREGATE(15,6,(ROW(Management!$B$3:$B$50)-ROW(Management!$B$3)+1)/((IF(Management!$C$3:$C$50="Unlimited",10^15,Management!$C$3:$C$50))&gt;='1'!$I22),COLUMN(Q21))),"")</f>
        <v>Sumair Hamza</v>
      </c>
      <c r="R22" t="str">
        <f>IFERROR(INDEX(Management!$B$3:$B$50,_xlfn.AGGREGATE(15,6,(ROW(Management!$B$3:$B$50)-ROW(Management!$B$3)+1)/((IF(Management!$C$3:$C$50="Unlimited",10^15,Management!$C$3:$C$50))&gt;='1'!$I22),COLUMN(R21))),"")</f>
        <v>Muhammad Ali</v>
      </c>
      <c r="S22" t="str">
        <f>IFERROR(INDEX(Management!$B$3:$B$50,_xlfn.AGGREGATE(15,6,(ROW(Management!$B$3:$B$50)-ROW(Management!$B$3)+1)/((IF(Management!$C$3:$C$50="Unlimited",10^15,Management!$C$3:$C$50))&gt;='1'!$I22),COLUMN(S21))),"")</f>
        <v>Muhammad Ali</v>
      </c>
      <c r="T22" t="str">
        <f>IFERROR(INDEX(Management!$B$3:$B$50,_xlfn.AGGREGATE(15,6,(ROW(Management!$B$3:$B$50)-ROW(Management!$B$3)+1)/((IF(Management!$C$3:$C$50="Unlimited",10^15,Management!$C$3:$C$50))&gt;='1'!$I22),COLUMN(T21))),"")</f>
        <v>Jawad Aziz</v>
      </c>
    </row>
    <row r="23" spans="1:20">
      <c r="A23" t="str">
        <f>IFERROR(INDEX(Management!$B$3:$B$50,_xlfn.AGGREGATE(15,6,(ROW(Management!$B$3:$B$50)-ROW(Management!$B$3)+1)/((IF(Management!$C$3:$C$50="Unlimited",10^15,Management!$C$3:$C$50))&gt;='1'!$I23),COLUMN(A22))),"")</f>
        <v>Muhammad Usman</v>
      </c>
      <c r="B23" t="str">
        <f>IFERROR(INDEX(Management!$B$3:$B$50,_xlfn.AGGREGATE(15,6,(ROW(Management!$B$3:$B$50)-ROW(Management!$B$3)+1)/((IF(Management!$C$3:$C$50="Unlimited",10^15,Management!$C$3:$C$50))&gt;='1'!$I23),COLUMN(B22))),"")</f>
        <v>Nadeem Hussain</v>
      </c>
      <c r="C23" t="str">
        <f>IFERROR(INDEX(Management!$B$3:$B$50,_xlfn.AGGREGATE(15,6,(ROW(Management!$B$3:$B$50)-ROW(Management!$B$3)+1)/((IF(Management!$C$3:$C$50="Unlimited",10^15,Management!$C$3:$C$50))&gt;='1'!$I23),COLUMN(C22))),"")</f>
        <v>Allah Ditta</v>
      </c>
      <c r="D23" t="str">
        <f>IFERROR(INDEX(Management!$B$3:$B$50,_xlfn.AGGREGATE(15,6,(ROW(Management!$B$3:$B$50)-ROW(Management!$B$3)+1)/((IF(Management!$C$3:$C$50="Unlimited",10^15,Management!$C$3:$C$50))&gt;='1'!$I23),COLUMN(D22))),"")</f>
        <v>Mehmood Ahmed</v>
      </c>
      <c r="E23" t="str">
        <f>IFERROR(INDEX(Management!$B$3:$B$50,_xlfn.AGGREGATE(15,6,(ROW(Management!$B$3:$B$50)-ROW(Management!$B$3)+1)/((IF(Management!$C$3:$C$50="Unlimited",10^15,Management!$C$3:$C$50))&gt;='1'!$I23),COLUMN(E22))),"")</f>
        <v>Tasawar Abbas</v>
      </c>
      <c r="F23" t="str">
        <f>IFERROR(INDEX(Management!$B$3:$B$50,_xlfn.AGGREGATE(15,6,(ROW(Management!$B$3:$B$50)-ROW(Management!$B$3)+1)/((IF(Management!$C$3:$C$50="Unlimited",10^15,Management!$C$3:$C$50))&gt;='1'!$I23),COLUMN(F22))),"")</f>
        <v>Muhammad Farhan</v>
      </c>
      <c r="G23" t="str">
        <f>IFERROR(INDEX(Management!$B$3:$B$50,_xlfn.AGGREGATE(15,6,(ROW(Management!$B$3:$B$50)-ROW(Management!$B$3)+1)/((IF(Management!$C$3:$C$50="Unlimited",10^15,Management!$C$3:$C$50))&gt;='1'!$I23),COLUMN(G22))),"")</f>
        <v>Shahzaib Ali</v>
      </c>
      <c r="H23" t="str">
        <f>IFERROR(INDEX(Management!$B$3:$B$50,_xlfn.AGGREGATE(15,6,(ROW(Management!$B$3:$B$50)-ROW(Management!$B$3)+1)/((IF(Management!$C$3:$C$50="Unlimited",10^15,Management!$C$3:$C$50))&gt;='1'!$I23),COLUMN(H22))),"")</f>
        <v>Waseem Raza</v>
      </c>
      <c r="I23" t="str">
        <f>IFERROR(INDEX(Management!$B$3:$B$50,_xlfn.AGGREGATE(15,6,(ROW(Management!$B$3:$B$50)-ROW(Management!$B$3)+1)/((IF(Management!$C$3:$C$50="Unlimited",10^15,Management!$C$3:$C$50))&gt;='1'!$I23),COLUMN(I22))),"")</f>
        <v>Muhammad Majeed</v>
      </c>
      <c r="J23" t="str">
        <f>IFERROR(INDEX(Management!$B$3:$B$50,_xlfn.AGGREGATE(15,6,(ROW(Management!$B$3:$B$50)-ROW(Management!$B$3)+1)/((IF(Management!$C$3:$C$50="Unlimited",10^15,Management!$C$3:$C$50))&gt;='1'!$I23),COLUMN(J22))),"")</f>
        <v>Shoukat Mahmood</v>
      </c>
      <c r="K23" t="str">
        <f>IFERROR(INDEX(Management!$B$3:$B$50,_xlfn.AGGREGATE(15,6,(ROW(Management!$B$3:$B$50)-ROW(Management!$B$3)+1)/((IF(Management!$C$3:$C$50="Unlimited",10^15,Management!$C$3:$C$50))&gt;='1'!$I23),COLUMN(K22))),"")</f>
        <v>Naveed Kamal</v>
      </c>
      <c r="L23" t="str">
        <f>IFERROR(INDEX(Management!$B$3:$B$50,_xlfn.AGGREGATE(15,6,(ROW(Management!$B$3:$B$50)-ROW(Management!$B$3)+1)/((IF(Management!$C$3:$C$50="Unlimited",10^15,Management!$C$3:$C$50))&gt;='1'!$I23),COLUMN(L22))),"")</f>
        <v>Raza Ali</v>
      </c>
      <c r="M23" t="str">
        <f>IFERROR(INDEX(Management!$B$3:$B$50,_xlfn.AGGREGATE(15,6,(ROW(Management!$B$3:$B$50)-ROW(Management!$B$3)+1)/((IF(Management!$C$3:$C$50="Unlimited",10^15,Management!$C$3:$C$50))&gt;='1'!$I23),COLUMN(M22))),"")</f>
        <v>Alfqar</v>
      </c>
      <c r="N23" t="str">
        <f>IFERROR(INDEX(Management!$B$3:$B$50,_xlfn.AGGREGATE(15,6,(ROW(Management!$B$3:$B$50)-ROW(Management!$B$3)+1)/((IF(Management!$C$3:$C$50="Unlimited",10^15,Management!$C$3:$C$50))&gt;='1'!$I23),COLUMN(N22))),"")</f>
        <v>Sheraz Ahmed</v>
      </c>
      <c r="O23" t="str">
        <f>IFERROR(INDEX(Management!$B$3:$B$50,_xlfn.AGGREGATE(15,6,(ROW(Management!$B$3:$B$50)-ROW(Management!$B$3)+1)/((IF(Management!$C$3:$C$50="Unlimited",10^15,Management!$C$3:$C$50))&gt;='1'!$I23),COLUMN(O22))),"")</f>
        <v>Faisal Kausar</v>
      </c>
      <c r="P23" t="str">
        <f>IFERROR(INDEX(Management!$B$3:$B$50,_xlfn.AGGREGATE(15,6,(ROW(Management!$B$3:$B$50)-ROW(Management!$B$3)+1)/((IF(Management!$C$3:$C$50="Unlimited",10^15,Management!$C$3:$C$50))&gt;='1'!$I23),COLUMN(P22))),"")</f>
        <v>Muhammad Faisal</v>
      </c>
      <c r="Q23" t="str">
        <f>IFERROR(INDEX(Management!$B$3:$B$50,_xlfn.AGGREGATE(15,6,(ROW(Management!$B$3:$B$50)-ROW(Management!$B$3)+1)/((IF(Management!$C$3:$C$50="Unlimited",10^15,Management!$C$3:$C$50))&gt;='1'!$I23),COLUMN(Q22))),"")</f>
        <v>Sumair Hamza</v>
      </c>
      <c r="R23" t="str">
        <f>IFERROR(INDEX(Management!$B$3:$B$50,_xlfn.AGGREGATE(15,6,(ROW(Management!$B$3:$B$50)-ROW(Management!$B$3)+1)/((IF(Management!$C$3:$C$50="Unlimited",10^15,Management!$C$3:$C$50))&gt;='1'!$I23),COLUMN(R22))),"")</f>
        <v>Muhammad Ali</v>
      </c>
      <c r="S23" t="str">
        <f>IFERROR(INDEX(Management!$B$3:$B$50,_xlfn.AGGREGATE(15,6,(ROW(Management!$B$3:$B$50)-ROW(Management!$B$3)+1)/((IF(Management!$C$3:$C$50="Unlimited",10^15,Management!$C$3:$C$50))&gt;='1'!$I23),COLUMN(S22))),"")</f>
        <v>Muhammad Ali</v>
      </c>
      <c r="T23" t="str">
        <f>IFERROR(INDEX(Management!$B$3:$B$50,_xlfn.AGGREGATE(15,6,(ROW(Management!$B$3:$B$50)-ROW(Management!$B$3)+1)/((IF(Management!$C$3:$C$50="Unlimited",10^15,Management!$C$3:$C$50))&gt;='1'!$I23),COLUMN(T22))),"")</f>
        <v>Jawad Aziz</v>
      </c>
    </row>
    <row r="24" spans="1:20">
      <c r="A24" t="str">
        <f>IFERROR(INDEX(Management!$B$3:$B$50,_xlfn.AGGREGATE(15,6,(ROW(Management!$B$3:$B$50)-ROW(Management!$B$3)+1)/((IF(Management!$C$3:$C$50="Unlimited",10^15,Management!$C$3:$C$50))&gt;='1'!$I24),COLUMN(A23))),"")</f>
        <v>Muhammad Usman</v>
      </c>
      <c r="B24" t="str">
        <f>IFERROR(INDEX(Management!$B$3:$B$50,_xlfn.AGGREGATE(15,6,(ROW(Management!$B$3:$B$50)-ROW(Management!$B$3)+1)/((IF(Management!$C$3:$C$50="Unlimited",10^15,Management!$C$3:$C$50))&gt;='1'!$I24),COLUMN(B23))),"")</f>
        <v>Nadeem Hussain</v>
      </c>
      <c r="C24" t="str">
        <f>IFERROR(INDEX(Management!$B$3:$B$50,_xlfn.AGGREGATE(15,6,(ROW(Management!$B$3:$B$50)-ROW(Management!$B$3)+1)/((IF(Management!$C$3:$C$50="Unlimited",10^15,Management!$C$3:$C$50))&gt;='1'!$I24),COLUMN(C23))),"")</f>
        <v>Allah Ditta</v>
      </c>
      <c r="D24" t="str">
        <f>IFERROR(INDEX(Management!$B$3:$B$50,_xlfn.AGGREGATE(15,6,(ROW(Management!$B$3:$B$50)-ROW(Management!$B$3)+1)/((IF(Management!$C$3:$C$50="Unlimited",10^15,Management!$C$3:$C$50))&gt;='1'!$I24),COLUMN(D23))),"")</f>
        <v>Mehmood Ahmed</v>
      </c>
      <c r="E24" t="str">
        <f>IFERROR(INDEX(Management!$B$3:$B$50,_xlfn.AGGREGATE(15,6,(ROW(Management!$B$3:$B$50)-ROW(Management!$B$3)+1)/((IF(Management!$C$3:$C$50="Unlimited",10^15,Management!$C$3:$C$50))&gt;='1'!$I24),COLUMN(E23))),"")</f>
        <v>Tasawar Abbas</v>
      </c>
      <c r="F24" t="str">
        <f>IFERROR(INDEX(Management!$B$3:$B$50,_xlfn.AGGREGATE(15,6,(ROW(Management!$B$3:$B$50)-ROW(Management!$B$3)+1)/((IF(Management!$C$3:$C$50="Unlimited",10^15,Management!$C$3:$C$50))&gt;='1'!$I24),COLUMN(F23))),"")</f>
        <v>Muhammad Farhan</v>
      </c>
      <c r="G24" t="str">
        <f>IFERROR(INDEX(Management!$B$3:$B$50,_xlfn.AGGREGATE(15,6,(ROW(Management!$B$3:$B$50)-ROW(Management!$B$3)+1)/((IF(Management!$C$3:$C$50="Unlimited",10^15,Management!$C$3:$C$50))&gt;='1'!$I24),COLUMN(G23))),"")</f>
        <v>Shahzaib Ali</v>
      </c>
      <c r="H24" t="str">
        <f>IFERROR(INDEX(Management!$B$3:$B$50,_xlfn.AGGREGATE(15,6,(ROW(Management!$B$3:$B$50)-ROW(Management!$B$3)+1)/((IF(Management!$C$3:$C$50="Unlimited",10^15,Management!$C$3:$C$50))&gt;='1'!$I24),COLUMN(H23))),"")</f>
        <v>Waseem Raza</v>
      </c>
      <c r="I24" t="str">
        <f>IFERROR(INDEX(Management!$B$3:$B$50,_xlfn.AGGREGATE(15,6,(ROW(Management!$B$3:$B$50)-ROW(Management!$B$3)+1)/((IF(Management!$C$3:$C$50="Unlimited",10^15,Management!$C$3:$C$50))&gt;='1'!$I24),COLUMN(I23))),"")</f>
        <v>Muhammad Majeed</v>
      </c>
      <c r="J24" t="str">
        <f>IFERROR(INDEX(Management!$B$3:$B$50,_xlfn.AGGREGATE(15,6,(ROW(Management!$B$3:$B$50)-ROW(Management!$B$3)+1)/((IF(Management!$C$3:$C$50="Unlimited",10^15,Management!$C$3:$C$50))&gt;='1'!$I24),COLUMN(J23))),"")</f>
        <v>Shoukat Mahmood</v>
      </c>
      <c r="K24" t="str">
        <f>IFERROR(INDEX(Management!$B$3:$B$50,_xlfn.AGGREGATE(15,6,(ROW(Management!$B$3:$B$50)-ROW(Management!$B$3)+1)/((IF(Management!$C$3:$C$50="Unlimited",10^15,Management!$C$3:$C$50))&gt;='1'!$I24),COLUMN(K23))),"")</f>
        <v>Naveed Kamal</v>
      </c>
      <c r="L24" t="str">
        <f>IFERROR(INDEX(Management!$B$3:$B$50,_xlfn.AGGREGATE(15,6,(ROW(Management!$B$3:$B$50)-ROW(Management!$B$3)+1)/((IF(Management!$C$3:$C$50="Unlimited",10^15,Management!$C$3:$C$50))&gt;='1'!$I24),COLUMN(L23))),"")</f>
        <v>Raza Ali</v>
      </c>
      <c r="M24" t="str">
        <f>IFERROR(INDEX(Management!$B$3:$B$50,_xlfn.AGGREGATE(15,6,(ROW(Management!$B$3:$B$50)-ROW(Management!$B$3)+1)/((IF(Management!$C$3:$C$50="Unlimited",10^15,Management!$C$3:$C$50))&gt;='1'!$I24),COLUMN(M23))),"")</f>
        <v>Alfqar</v>
      </c>
      <c r="N24" t="str">
        <f>IFERROR(INDEX(Management!$B$3:$B$50,_xlfn.AGGREGATE(15,6,(ROW(Management!$B$3:$B$50)-ROW(Management!$B$3)+1)/((IF(Management!$C$3:$C$50="Unlimited",10^15,Management!$C$3:$C$50))&gt;='1'!$I24),COLUMN(N23))),"")</f>
        <v>Sheraz Ahmed</v>
      </c>
      <c r="O24" t="str">
        <f>IFERROR(INDEX(Management!$B$3:$B$50,_xlfn.AGGREGATE(15,6,(ROW(Management!$B$3:$B$50)-ROW(Management!$B$3)+1)/((IF(Management!$C$3:$C$50="Unlimited",10^15,Management!$C$3:$C$50))&gt;='1'!$I24),COLUMN(O23))),"")</f>
        <v>Faisal Kausar</v>
      </c>
      <c r="P24" t="str">
        <f>IFERROR(INDEX(Management!$B$3:$B$50,_xlfn.AGGREGATE(15,6,(ROW(Management!$B$3:$B$50)-ROW(Management!$B$3)+1)/((IF(Management!$C$3:$C$50="Unlimited",10^15,Management!$C$3:$C$50))&gt;='1'!$I24),COLUMN(P23))),"")</f>
        <v>Muhammad Faisal</v>
      </c>
      <c r="Q24" t="str">
        <f>IFERROR(INDEX(Management!$B$3:$B$50,_xlfn.AGGREGATE(15,6,(ROW(Management!$B$3:$B$50)-ROW(Management!$B$3)+1)/((IF(Management!$C$3:$C$50="Unlimited",10^15,Management!$C$3:$C$50))&gt;='1'!$I24),COLUMN(Q23))),"")</f>
        <v>Sumair Hamza</v>
      </c>
      <c r="R24" t="str">
        <f>IFERROR(INDEX(Management!$B$3:$B$50,_xlfn.AGGREGATE(15,6,(ROW(Management!$B$3:$B$50)-ROW(Management!$B$3)+1)/((IF(Management!$C$3:$C$50="Unlimited",10^15,Management!$C$3:$C$50))&gt;='1'!$I24),COLUMN(R23))),"")</f>
        <v>Muhammad Ali</v>
      </c>
      <c r="S24" t="str">
        <f>IFERROR(INDEX(Management!$B$3:$B$50,_xlfn.AGGREGATE(15,6,(ROW(Management!$B$3:$B$50)-ROW(Management!$B$3)+1)/((IF(Management!$C$3:$C$50="Unlimited",10^15,Management!$C$3:$C$50))&gt;='1'!$I24),COLUMN(S23))),"")</f>
        <v>Muhammad Ali</v>
      </c>
      <c r="T24" t="str">
        <f>IFERROR(INDEX(Management!$B$3:$B$50,_xlfn.AGGREGATE(15,6,(ROW(Management!$B$3:$B$50)-ROW(Management!$B$3)+1)/((IF(Management!$C$3:$C$50="Unlimited",10^15,Management!$C$3:$C$50))&gt;='1'!$I24),COLUMN(T23))),"")</f>
        <v>Jawad Aziz</v>
      </c>
    </row>
    <row r="25" spans="1:20">
      <c r="A25" t="str">
        <f>IFERROR(INDEX(Management!$B$3:$B$50,_xlfn.AGGREGATE(15,6,(ROW(Management!$B$3:$B$50)-ROW(Management!$B$3)+1)/((IF(Management!$C$3:$C$50="Unlimited",10^15,Management!$C$3:$C$50))&gt;='1'!$I25),COLUMN(A24))),"")</f>
        <v>Muhammad Usman</v>
      </c>
      <c r="B25" t="str">
        <f>IFERROR(INDEX(Management!$B$3:$B$50,_xlfn.AGGREGATE(15,6,(ROW(Management!$B$3:$B$50)-ROW(Management!$B$3)+1)/((IF(Management!$C$3:$C$50="Unlimited",10^15,Management!$C$3:$C$50))&gt;='1'!$I25),COLUMN(B24))),"")</f>
        <v>Nadeem Hussain</v>
      </c>
      <c r="C25" t="str">
        <f>IFERROR(INDEX(Management!$B$3:$B$50,_xlfn.AGGREGATE(15,6,(ROW(Management!$B$3:$B$50)-ROW(Management!$B$3)+1)/((IF(Management!$C$3:$C$50="Unlimited",10^15,Management!$C$3:$C$50))&gt;='1'!$I25),COLUMN(C24))),"")</f>
        <v>Allah Ditta</v>
      </c>
      <c r="D25" t="str">
        <f>IFERROR(INDEX(Management!$B$3:$B$50,_xlfn.AGGREGATE(15,6,(ROW(Management!$B$3:$B$50)-ROW(Management!$B$3)+1)/((IF(Management!$C$3:$C$50="Unlimited",10^15,Management!$C$3:$C$50))&gt;='1'!$I25),COLUMN(D24))),"")</f>
        <v>Mehmood Ahmed</v>
      </c>
      <c r="E25" t="str">
        <f>IFERROR(INDEX(Management!$B$3:$B$50,_xlfn.AGGREGATE(15,6,(ROW(Management!$B$3:$B$50)-ROW(Management!$B$3)+1)/((IF(Management!$C$3:$C$50="Unlimited",10^15,Management!$C$3:$C$50))&gt;='1'!$I25),COLUMN(E24))),"")</f>
        <v>Tasawar Abbas</v>
      </c>
      <c r="F25" t="str">
        <f>IFERROR(INDEX(Management!$B$3:$B$50,_xlfn.AGGREGATE(15,6,(ROW(Management!$B$3:$B$50)-ROW(Management!$B$3)+1)/((IF(Management!$C$3:$C$50="Unlimited",10^15,Management!$C$3:$C$50))&gt;='1'!$I25),COLUMN(F24))),"")</f>
        <v>Muhammad Farhan</v>
      </c>
      <c r="G25" t="str">
        <f>IFERROR(INDEX(Management!$B$3:$B$50,_xlfn.AGGREGATE(15,6,(ROW(Management!$B$3:$B$50)-ROW(Management!$B$3)+1)/((IF(Management!$C$3:$C$50="Unlimited",10^15,Management!$C$3:$C$50))&gt;='1'!$I25),COLUMN(G24))),"")</f>
        <v>Shahzaib Ali</v>
      </c>
      <c r="H25" t="str">
        <f>IFERROR(INDEX(Management!$B$3:$B$50,_xlfn.AGGREGATE(15,6,(ROW(Management!$B$3:$B$50)-ROW(Management!$B$3)+1)/((IF(Management!$C$3:$C$50="Unlimited",10^15,Management!$C$3:$C$50))&gt;='1'!$I25),COLUMN(H24))),"")</f>
        <v>Waseem Raza</v>
      </c>
      <c r="I25" t="str">
        <f>IFERROR(INDEX(Management!$B$3:$B$50,_xlfn.AGGREGATE(15,6,(ROW(Management!$B$3:$B$50)-ROW(Management!$B$3)+1)/((IF(Management!$C$3:$C$50="Unlimited",10^15,Management!$C$3:$C$50))&gt;='1'!$I25),COLUMN(I24))),"")</f>
        <v>Muhammad Majeed</v>
      </c>
      <c r="J25" t="str">
        <f>IFERROR(INDEX(Management!$B$3:$B$50,_xlfn.AGGREGATE(15,6,(ROW(Management!$B$3:$B$50)-ROW(Management!$B$3)+1)/((IF(Management!$C$3:$C$50="Unlimited",10^15,Management!$C$3:$C$50))&gt;='1'!$I25),COLUMN(J24))),"")</f>
        <v>Shoukat Mahmood</v>
      </c>
      <c r="K25" t="str">
        <f>IFERROR(INDEX(Management!$B$3:$B$50,_xlfn.AGGREGATE(15,6,(ROW(Management!$B$3:$B$50)-ROW(Management!$B$3)+1)/((IF(Management!$C$3:$C$50="Unlimited",10^15,Management!$C$3:$C$50))&gt;='1'!$I25),COLUMN(K24))),"")</f>
        <v>Naveed Kamal</v>
      </c>
      <c r="L25" t="str">
        <f>IFERROR(INDEX(Management!$B$3:$B$50,_xlfn.AGGREGATE(15,6,(ROW(Management!$B$3:$B$50)-ROW(Management!$B$3)+1)/((IF(Management!$C$3:$C$50="Unlimited",10^15,Management!$C$3:$C$50))&gt;='1'!$I25),COLUMN(L24))),"")</f>
        <v>Raza Ali</v>
      </c>
      <c r="M25" t="str">
        <f>IFERROR(INDEX(Management!$B$3:$B$50,_xlfn.AGGREGATE(15,6,(ROW(Management!$B$3:$B$50)-ROW(Management!$B$3)+1)/((IF(Management!$C$3:$C$50="Unlimited",10^15,Management!$C$3:$C$50))&gt;='1'!$I25),COLUMN(M24))),"")</f>
        <v>Alfqar</v>
      </c>
      <c r="N25" t="str">
        <f>IFERROR(INDEX(Management!$B$3:$B$50,_xlfn.AGGREGATE(15,6,(ROW(Management!$B$3:$B$50)-ROW(Management!$B$3)+1)/((IF(Management!$C$3:$C$50="Unlimited",10^15,Management!$C$3:$C$50))&gt;='1'!$I25),COLUMN(N24))),"")</f>
        <v>Sheraz Ahmed</v>
      </c>
      <c r="O25" t="str">
        <f>IFERROR(INDEX(Management!$B$3:$B$50,_xlfn.AGGREGATE(15,6,(ROW(Management!$B$3:$B$50)-ROW(Management!$B$3)+1)/((IF(Management!$C$3:$C$50="Unlimited",10^15,Management!$C$3:$C$50))&gt;='1'!$I25),COLUMN(O24))),"")</f>
        <v>Faisal Kausar</v>
      </c>
      <c r="P25" t="str">
        <f>IFERROR(INDEX(Management!$B$3:$B$50,_xlfn.AGGREGATE(15,6,(ROW(Management!$B$3:$B$50)-ROW(Management!$B$3)+1)/((IF(Management!$C$3:$C$50="Unlimited",10^15,Management!$C$3:$C$50))&gt;='1'!$I25),COLUMN(P24))),"")</f>
        <v>Muhammad Faisal</v>
      </c>
      <c r="Q25" t="str">
        <f>IFERROR(INDEX(Management!$B$3:$B$50,_xlfn.AGGREGATE(15,6,(ROW(Management!$B$3:$B$50)-ROW(Management!$B$3)+1)/((IF(Management!$C$3:$C$50="Unlimited",10^15,Management!$C$3:$C$50))&gt;='1'!$I25),COLUMN(Q24))),"")</f>
        <v>Sumair Hamza</v>
      </c>
      <c r="R25" t="str">
        <f>IFERROR(INDEX(Management!$B$3:$B$50,_xlfn.AGGREGATE(15,6,(ROW(Management!$B$3:$B$50)-ROW(Management!$B$3)+1)/((IF(Management!$C$3:$C$50="Unlimited",10^15,Management!$C$3:$C$50))&gt;='1'!$I25),COLUMN(R24))),"")</f>
        <v>Muhammad Ali</v>
      </c>
      <c r="S25" t="str">
        <f>IFERROR(INDEX(Management!$B$3:$B$50,_xlfn.AGGREGATE(15,6,(ROW(Management!$B$3:$B$50)-ROW(Management!$B$3)+1)/((IF(Management!$C$3:$C$50="Unlimited",10^15,Management!$C$3:$C$50))&gt;='1'!$I25),COLUMN(S24))),"")</f>
        <v>Muhammad Ali</v>
      </c>
      <c r="T25" t="str">
        <f>IFERROR(INDEX(Management!$B$3:$B$50,_xlfn.AGGREGATE(15,6,(ROW(Management!$B$3:$B$50)-ROW(Management!$B$3)+1)/((IF(Management!$C$3:$C$50="Unlimited",10^15,Management!$C$3:$C$50))&gt;='1'!$I25),COLUMN(T24))),"")</f>
        <v>Jawad Aziz</v>
      </c>
    </row>
    <row r="26" spans="1:20">
      <c r="A26" t="str">
        <f>IFERROR(INDEX(Management!$B$3:$B$50,_xlfn.AGGREGATE(15,6,(ROW(Management!$B$3:$B$50)-ROW(Management!$B$3)+1)/((IF(Management!$C$3:$C$50="Unlimited",10^15,Management!$C$3:$C$50))&gt;='1'!$I26),COLUMN(A25))),"")</f>
        <v>Muhammad Usman</v>
      </c>
      <c r="B26" t="str">
        <f>IFERROR(INDEX(Management!$B$3:$B$50,_xlfn.AGGREGATE(15,6,(ROW(Management!$B$3:$B$50)-ROW(Management!$B$3)+1)/((IF(Management!$C$3:$C$50="Unlimited",10^15,Management!$C$3:$C$50))&gt;='1'!$I26),COLUMN(B25))),"")</f>
        <v>Nadeem Hussain</v>
      </c>
      <c r="C26" t="str">
        <f>IFERROR(INDEX(Management!$B$3:$B$50,_xlfn.AGGREGATE(15,6,(ROW(Management!$B$3:$B$50)-ROW(Management!$B$3)+1)/((IF(Management!$C$3:$C$50="Unlimited",10^15,Management!$C$3:$C$50))&gt;='1'!$I26),COLUMN(C25))),"")</f>
        <v>Allah Ditta</v>
      </c>
      <c r="D26" t="str">
        <f>IFERROR(INDEX(Management!$B$3:$B$50,_xlfn.AGGREGATE(15,6,(ROW(Management!$B$3:$B$50)-ROW(Management!$B$3)+1)/((IF(Management!$C$3:$C$50="Unlimited",10^15,Management!$C$3:$C$50))&gt;='1'!$I26),COLUMN(D25))),"")</f>
        <v>Mehmood Ahmed</v>
      </c>
      <c r="E26" t="str">
        <f>IFERROR(INDEX(Management!$B$3:$B$50,_xlfn.AGGREGATE(15,6,(ROW(Management!$B$3:$B$50)-ROW(Management!$B$3)+1)/((IF(Management!$C$3:$C$50="Unlimited",10^15,Management!$C$3:$C$50))&gt;='1'!$I26),COLUMN(E25))),"")</f>
        <v>Tasawar Abbas</v>
      </c>
      <c r="F26" t="str">
        <f>IFERROR(INDEX(Management!$B$3:$B$50,_xlfn.AGGREGATE(15,6,(ROW(Management!$B$3:$B$50)-ROW(Management!$B$3)+1)/((IF(Management!$C$3:$C$50="Unlimited",10^15,Management!$C$3:$C$50))&gt;='1'!$I26),COLUMN(F25))),"")</f>
        <v>Muhammad Farhan</v>
      </c>
      <c r="G26" t="str">
        <f>IFERROR(INDEX(Management!$B$3:$B$50,_xlfn.AGGREGATE(15,6,(ROW(Management!$B$3:$B$50)-ROW(Management!$B$3)+1)/((IF(Management!$C$3:$C$50="Unlimited",10^15,Management!$C$3:$C$50))&gt;='1'!$I26),COLUMN(G25))),"")</f>
        <v>Shahzaib Ali</v>
      </c>
      <c r="H26" t="str">
        <f>IFERROR(INDEX(Management!$B$3:$B$50,_xlfn.AGGREGATE(15,6,(ROW(Management!$B$3:$B$50)-ROW(Management!$B$3)+1)/((IF(Management!$C$3:$C$50="Unlimited",10^15,Management!$C$3:$C$50))&gt;='1'!$I26),COLUMN(H25))),"")</f>
        <v>Waseem Raza</v>
      </c>
      <c r="I26" t="str">
        <f>IFERROR(INDEX(Management!$B$3:$B$50,_xlfn.AGGREGATE(15,6,(ROW(Management!$B$3:$B$50)-ROW(Management!$B$3)+1)/((IF(Management!$C$3:$C$50="Unlimited",10^15,Management!$C$3:$C$50))&gt;='1'!$I26),COLUMN(I25))),"")</f>
        <v>Muhammad Majeed</v>
      </c>
      <c r="J26" t="str">
        <f>IFERROR(INDEX(Management!$B$3:$B$50,_xlfn.AGGREGATE(15,6,(ROW(Management!$B$3:$B$50)-ROW(Management!$B$3)+1)/((IF(Management!$C$3:$C$50="Unlimited",10^15,Management!$C$3:$C$50))&gt;='1'!$I26),COLUMN(J25))),"")</f>
        <v>Shoukat Mahmood</v>
      </c>
      <c r="K26" t="str">
        <f>IFERROR(INDEX(Management!$B$3:$B$50,_xlfn.AGGREGATE(15,6,(ROW(Management!$B$3:$B$50)-ROW(Management!$B$3)+1)/((IF(Management!$C$3:$C$50="Unlimited",10^15,Management!$C$3:$C$50))&gt;='1'!$I26),COLUMN(K25))),"")</f>
        <v>Naveed Kamal</v>
      </c>
      <c r="L26" t="str">
        <f>IFERROR(INDEX(Management!$B$3:$B$50,_xlfn.AGGREGATE(15,6,(ROW(Management!$B$3:$B$50)-ROW(Management!$B$3)+1)/((IF(Management!$C$3:$C$50="Unlimited",10^15,Management!$C$3:$C$50))&gt;='1'!$I26),COLUMN(L25))),"")</f>
        <v>Raza Ali</v>
      </c>
      <c r="M26" t="str">
        <f>IFERROR(INDEX(Management!$B$3:$B$50,_xlfn.AGGREGATE(15,6,(ROW(Management!$B$3:$B$50)-ROW(Management!$B$3)+1)/((IF(Management!$C$3:$C$50="Unlimited",10^15,Management!$C$3:$C$50))&gt;='1'!$I26),COLUMN(M25))),"")</f>
        <v>Alfqar</v>
      </c>
      <c r="N26" t="str">
        <f>IFERROR(INDEX(Management!$B$3:$B$50,_xlfn.AGGREGATE(15,6,(ROW(Management!$B$3:$B$50)-ROW(Management!$B$3)+1)/((IF(Management!$C$3:$C$50="Unlimited",10^15,Management!$C$3:$C$50))&gt;='1'!$I26),COLUMN(N25))),"")</f>
        <v>Sheraz Ahmed</v>
      </c>
      <c r="O26" t="str">
        <f>IFERROR(INDEX(Management!$B$3:$B$50,_xlfn.AGGREGATE(15,6,(ROW(Management!$B$3:$B$50)-ROW(Management!$B$3)+1)/((IF(Management!$C$3:$C$50="Unlimited",10^15,Management!$C$3:$C$50))&gt;='1'!$I26),COLUMN(O25))),"")</f>
        <v>Faisal Kausar</v>
      </c>
      <c r="P26" t="str">
        <f>IFERROR(INDEX(Management!$B$3:$B$50,_xlfn.AGGREGATE(15,6,(ROW(Management!$B$3:$B$50)-ROW(Management!$B$3)+1)/((IF(Management!$C$3:$C$50="Unlimited",10^15,Management!$C$3:$C$50))&gt;='1'!$I26),COLUMN(P25))),"")</f>
        <v>Muhammad Faisal</v>
      </c>
      <c r="Q26" t="str">
        <f>IFERROR(INDEX(Management!$B$3:$B$50,_xlfn.AGGREGATE(15,6,(ROW(Management!$B$3:$B$50)-ROW(Management!$B$3)+1)/((IF(Management!$C$3:$C$50="Unlimited",10^15,Management!$C$3:$C$50))&gt;='1'!$I26),COLUMN(Q25))),"")</f>
        <v>Sumair Hamza</v>
      </c>
      <c r="R26" t="str">
        <f>IFERROR(INDEX(Management!$B$3:$B$50,_xlfn.AGGREGATE(15,6,(ROW(Management!$B$3:$B$50)-ROW(Management!$B$3)+1)/((IF(Management!$C$3:$C$50="Unlimited",10^15,Management!$C$3:$C$50))&gt;='1'!$I26),COLUMN(R25))),"")</f>
        <v>Muhammad Ali</v>
      </c>
      <c r="S26" t="str">
        <f>IFERROR(INDEX(Management!$B$3:$B$50,_xlfn.AGGREGATE(15,6,(ROW(Management!$B$3:$B$50)-ROW(Management!$B$3)+1)/((IF(Management!$C$3:$C$50="Unlimited",10^15,Management!$C$3:$C$50))&gt;='1'!$I26),COLUMN(S25))),"")</f>
        <v>Muhammad Ali</v>
      </c>
      <c r="T26" t="str">
        <f>IFERROR(INDEX(Management!$B$3:$B$50,_xlfn.AGGREGATE(15,6,(ROW(Management!$B$3:$B$50)-ROW(Management!$B$3)+1)/((IF(Management!$C$3:$C$50="Unlimited",10^15,Management!$C$3:$C$50))&gt;='1'!$I26),COLUMN(T25))),"")</f>
        <v>Jawad Aziz</v>
      </c>
    </row>
    <row r="27" spans="1:20">
      <c r="A27" t="str">
        <f>IFERROR(INDEX(Management!$B$3:$B$50,_xlfn.AGGREGATE(15,6,(ROW(Management!$B$3:$B$50)-ROW(Management!$B$3)+1)/((IF(Management!$C$3:$C$50="Unlimited",10^15,Management!$C$3:$C$50))&gt;='1'!$I27),COLUMN(A26))),"")</f>
        <v>Muhammad Usman</v>
      </c>
      <c r="B27" t="str">
        <f>IFERROR(INDEX(Management!$B$3:$B$50,_xlfn.AGGREGATE(15,6,(ROW(Management!$B$3:$B$50)-ROW(Management!$B$3)+1)/((IF(Management!$C$3:$C$50="Unlimited",10^15,Management!$C$3:$C$50))&gt;='1'!$I27),COLUMN(B26))),"")</f>
        <v>Nadeem Hussain</v>
      </c>
      <c r="C27" t="str">
        <f>IFERROR(INDEX(Management!$B$3:$B$50,_xlfn.AGGREGATE(15,6,(ROW(Management!$B$3:$B$50)-ROW(Management!$B$3)+1)/((IF(Management!$C$3:$C$50="Unlimited",10^15,Management!$C$3:$C$50))&gt;='1'!$I27),COLUMN(C26))),"")</f>
        <v>Allah Ditta</v>
      </c>
      <c r="D27" t="str">
        <f>IFERROR(INDEX(Management!$B$3:$B$50,_xlfn.AGGREGATE(15,6,(ROW(Management!$B$3:$B$50)-ROW(Management!$B$3)+1)/((IF(Management!$C$3:$C$50="Unlimited",10^15,Management!$C$3:$C$50))&gt;='1'!$I27),COLUMN(D26))),"")</f>
        <v>Mehmood Ahmed</v>
      </c>
      <c r="E27" t="str">
        <f>IFERROR(INDEX(Management!$B$3:$B$50,_xlfn.AGGREGATE(15,6,(ROW(Management!$B$3:$B$50)-ROW(Management!$B$3)+1)/((IF(Management!$C$3:$C$50="Unlimited",10^15,Management!$C$3:$C$50))&gt;='1'!$I27),COLUMN(E26))),"")</f>
        <v>Tasawar Abbas</v>
      </c>
      <c r="F27" t="str">
        <f>IFERROR(INDEX(Management!$B$3:$B$50,_xlfn.AGGREGATE(15,6,(ROW(Management!$B$3:$B$50)-ROW(Management!$B$3)+1)/((IF(Management!$C$3:$C$50="Unlimited",10^15,Management!$C$3:$C$50))&gt;='1'!$I27),COLUMN(F26))),"")</f>
        <v>Muhammad Farhan</v>
      </c>
      <c r="G27" t="str">
        <f>IFERROR(INDEX(Management!$B$3:$B$50,_xlfn.AGGREGATE(15,6,(ROW(Management!$B$3:$B$50)-ROW(Management!$B$3)+1)/((IF(Management!$C$3:$C$50="Unlimited",10^15,Management!$C$3:$C$50))&gt;='1'!$I27),COLUMN(G26))),"")</f>
        <v>Shahzaib Ali</v>
      </c>
      <c r="H27" t="str">
        <f>IFERROR(INDEX(Management!$B$3:$B$50,_xlfn.AGGREGATE(15,6,(ROW(Management!$B$3:$B$50)-ROW(Management!$B$3)+1)/((IF(Management!$C$3:$C$50="Unlimited",10^15,Management!$C$3:$C$50))&gt;='1'!$I27),COLUMN(H26))),"")</f>
        <v>Waseem Raza</v>
      </c>
      <c r="I27" t="str">
        <f>IFERROR(INDEX(Management!$B$3:$B$50,_xlfn.AGGREGATE(15,6,(ROW(Management!$B$3:$B$50)-ROW(Management!$B$3)+1)/((IF(Management!$C$3:$C$50="Unlimited",10^15,Management!$C$3:$C$50))&gt;='1'!$I27),COLUMN(I26))),"")</f>
        <v>Muhammad Majeed</v>
      </c>
      <c r="J27" t="str">
        <f>IFERROR(INDEX(Management!$B$3:$B$50,_xlfn.AGGREGATE(15,6,(ROW(Management!$B$3:$B$50)-ROW(Management!$B$3)+1)/((IF(Management!$C$3:$C$50="Unlimited",10^15,Management!$C$3:$C$50))&gt;='1'!$I27),COLUMN(J26))),"")</f>
        <v>Shoukat Mahmood</v>
      </c>
      <c r="K27" t="str">
        <f>IFERROR(INDEX(Management!$B$3:$B$50,_xlfn.AGGREGATE(15,6,(ROW(Management!$B$3:$B$50)-ROW(Management!$B$3)+1)/((IF(Management!$C$3:$C$50="Unlimited",10^15,Management!$C$3:$C$50))&gt;='1'!$I27),COLUMN(K26))),"")</f>
        <v>Naveed Kamal</v>
      </c>
      <c r="L27" t="str">
        <f>IFERROR(INDEX(Management!$B$3:$B$50,_xlfn.AGGREGATE(15,6,(ROW(Management!$B$3:$B$50)-ROW(Management!$B$3)+1)/((IF(Management!$C$3:$C$50="Unlimited",10^15,Management!$C$3:$C$50))&gt;='1'!$I27),COLUMN(L26))),"")</f>
        <v>Raza Ali</v>
      </c>
      <c r="M27" t="str">
        <f>IFERROR(INDEX(Management!$B$3:$B$50,_xlfn.AGGREGATE(15,6,(ROW(Management!$B$3:$B$50)-ROW(Management!$B$3)+1)/((IF(Management!$C$3:$C$50="Unlimited",10^15,Management!$C$3:$C$50))&gt;='1'!$I27),COLUMN(M26))),"")</f>
        <v>Alfqar</v>
      </c>
      <c r="N27" t="str">
        <f>IFERROR(INDEX(Management!$B$3:$B$50,_xlfn.AGGREGATE(15,6,(ROW(Management!$B$3:$B$50)-ROW(Management!$B$3)+1)/((IF(Management!$C$3:$C$50="Unlimited",10^15,Management!$C$3:$C$50))&gt;='1'!$I27),COLUMN(N26))),"")</f>
        <v>Sheraz Ahmed</v>
      </c>
      <c r="O27" t="str">
        <f>IFERROR(INDEX(Management!$B$3:$B$50,_xlfn.AGGREGATE(15,6,(ROW(Management!$B$3:$B$50)-ROW(Management!$B$3)+1)/((IF(Management!$C$3:$C$50="Unlimited",10^15,Management!$C$3:$C$50))&gt;='1'!$I27),COLUMN(O26))),"")</f>
        <v>Faisal Kausar</v>
      </c>
      <c r="P27" t="str">
        <f>IFERROR(INDEX(Management!$B$3:$B$50,_xlfn.AGGREGATE(15,6,(ROW(Management!$B$3:$B$50)-ROW(Management!$B$3)+1)/((IF(Management!$C$3:$C$50="Unlimited",10^15,Management!$C$3:$C$50))&gt;='1'!$I27),COLUMN(P26))),"")</f>
        <v>Muhammad Faisal</v>
      </c>
      <c r="Q27" t="str">
        <f>IFERROR(INDEX(Management!$B$3:$B$50,_xlfn.AGGREGATE(15,6,(ROW(Management!$B$3:$B$50)-ROW(Management!$B$3)+1)/((IF(Management!$C$3:$C$50="Unlimited",10^15,Management!$C$3:$C$50))&gt;='1'!$I27),COLUMN(Q26))),"")</f>
        <v>Sumair Hamza</v>
      </c>
      <c r="R27" t="str">
        <f>IFERROR(INDEX(Management!$B$3:$B$50,_xlfn.AGGREGATE(15,6,(ROW(Management!$B$3:$B$50)-ROW(Management!$B$3)+1)/((IF(Management!$C$3:$C$50="Unlimited",10^15,Management!$C$3:$C$50))&gt;='1'!$I27),COLUMN(R26))),"")</f>
        <v>Muhammad Ali</v>
      </c>
      <c r="S27" t="str">
        <f>IFERROR(INDEX(Management!$B$3:$B$50,_xlfn.AGGREGATE(15,6,(ROW(Management!$B$3:$B$50)-ROW(Management!$B$3)+1)/((IF(Management!$C$3:$C$50="Unlimited",10^15,Management!$C$3:$C$50))&gt;='1'!$I27),COLUMN(S26))),"")</f>
        <v>Muhammad Ali</v>
      </c>
      <c r="T27" t="str">
        <f>IFERROR(INDEX(Management!$B$3:$B$50,_xlfn.AGGREGATE(15,6,(ROW(Management!$B$3:$B$50)-ROW(Management!$B$3)+1)/((IF(Management!$C$3:$C$50="Unlimited",10^15,Management!$C$3:$C$50))&gt;='1'!$I27),COLUMN(T26))),"")</f>
        <v>Jawad Aziz</v>
      </c>
    </row>
    <row r="28" spans="1:20">
      <c r="A28" t="str">
        <f>IFERROR(INDEX(Management!$B$3:$B$50,_xlfn.AGGREGATE(15,6,(ROW(Management!$B$3:$B$50)-ROW(Management!$B$3)+1)/((IF(Management!$C$3:$C$50="Unlimited",10^15,Management!$C$3:$C$50))&gt;='1'!$I28),COLUMN(A27))),"")</f>
        <v>Muhammad Usman</v>
      </c>
      <c r="B28" t="str">
        <f>IFERROR(INDEX(Management!$B$3:$B$50,_xlfn.AGGREGATE(15,6,(ROW(Management!$B$3:$B$50)-ROW(Management!$B$3)+1)/((IF(Management!$C$3:$C$50="Unlimited",10^15,Management!$C$3:$C$50))&gt;='1'!$I28),COLUMN(B27))),"")</f>
        <v>Nadeem Hussain</v>
      </c>
      <c r="C28" t="str">
        <f>IFERROR(INDEX(Management!$B$3:$B$50,_xlfn.AGGREGATE(15,6,(ROW(Management!$B$3:$B$50)-ROW(Management!$B$3)+1)/((IF(Management!$C$3:$C$50="Unlimited",10^15,Management!$C$3:$C$50))&gt;='1'!$I28),COLUMN(C27))),"")</f>
        <v>Allah Ditta</v>
      </c>
      <c r="D28" t="str">
        <f>IFERROR(INDEX(Management!$B$3:$B$50,_xlfn.AGGREGATE(15,6,(ROW(Management!$B$3:$B$50)-ROW(Management!$B$3)+1)/((IF(Management!$C$3:$C$50="Unlimited",10^15,Management!$C$3:$C$50))&gt;='1'!$I28),COLUMN(D27))),"")</f>
        <v>Mehmood Ahmed</v>
      </c>
      <c r="E28" t="str">
        <f>IFERROR(INDEX(Management!$B$3:$B$50,_xlfn.AGGREGATE(15,6,(ROW(Management!$B$3:$B$50)-ROW(Management!$B$3)+1)/((IF(Management!$C$3:$C$50="Unlimited",10^15,Management!$C$3:$C$50))&gt;='1'!$I28),COLUMN(E27))),"")</f>
        <v>Tasawar Abbas</v>
      </c>
      <c r="F28" t="str">
        <f>IFERROR(INDEX(Management!$B$3:$B$50,_xlfn.AGGREGATE(15,6,(ROW(Management!$B$3:$B$50)-ROW(Management!$B$3)+1)/((IF(Management!$C$3:$C$50="Unlimited",10^15,Management!$C$3:$C$50))&gt;='1'!$I28),COLUMN(F27))),"")</f>
        <v>Muhammad Farhan</v>
      </c>
      <c r="G28" t="str">
        <f>IFERROR(INDEX(Management!$B$3:$B$50,_xlfn.AGGREGATE(15,6,(ROW(Management!$B$3:$B$50)-ROW(Management!$B$3)+1)/((IF(Management!$C$3:$C$50="Unlimited",10^15,Management!$C$3:$C$50))&gt;='1'!$I28),COLUMN(G27))),"")</f>
        <v>Shahzaib Ali</v>
      </c>
      <c r="H28" t="str">
        <f>IFERROR(INDEX(Management!$B$3:$B$50,_xlfn.AGGREGATE(15,6,(ROW(Management!$B$3:$B$50)-ROW(Management!$B$3)+1)/((IF(Management!$C$3:$C$50="Unlimited",10^15,Management!$C$3:$C$50))&gt;='1'!$I28),COLUMN(H27))),"")</f>
        <v>Waseem Raza</v>
      </c>
      <c r="I28" t="str">
        <f>IFERROR(INDEX(Management!$B$3:$B$50,_xlfn.AGGREGATE(15,6,(ROW(Management!$B$3:$B$50)-ROW(Management!$B$3)+1)/((IF(Management!$C$3:$C$50="Unlimited",10^15,Management!$C$3:$C$50))&gt;='1'!$I28),COLUMN(I27))),"")</f>
        <v>Muhammad Majeed</v>
      </c>
      <c r="J28" t="str">
        <f>IFERROR(INDEX(Management!$B$3:$B$50,_xlfn.AGGREGATE(15,6,(ROW(Management!$B$3:$B$50)-ROW(Management!$B$3)+1)/((IF(Management!$C$3:$C$50="Unlimited",10^15,Management!$C$3:$C$50))&gt;='1'!$I28),COLUMN(J27))),"")</f>
        <v>Shoukat Mahmood</v>
      </c>
      <c r="K28" t="str">
        <f>IFERROR(INDEX(Management!$B$3:$B$50,_xlfn.AGGREGATE(15,6,(ROW(Management!$B$3:$B$50)-ROW(Management!$B$3)+1)/((IF(Management!$C$3:$C$50="Unlimited",10^15,Management!$C$3:$C$50))&gt;='1'!$I28),COLUMN(K27))),"")</f>
        <v>Naveed Kamal</v>
      </c>
      <c r="L28" t="str">
        <f>IFERROR(INDEX(Management!$B$3:$B$50,_xlfn.AGGREGATE(15,6,(ROW(Management!$B$3:$B$50)-ROW(Management!$B$3)+1)/((IF(Management!$C$3:$C$50="Unlimited",10^15,Management!$C$3:$C$50))&gt;='1'!$I28),COLUMN(L27))),"")</f>
        <v>Raza Ali</v>
      </c>
      <c r="M28" t="str">
        <f>IFERROR(INDEX(Management!$B$3:$B$50,_xlfn.AGGREGATE(15,6,(ROW(Management!$B$3:$B$50)-ROW(Management!$B$3)+1)/((IF(Management!$C$3:$C$50="Unlimited",10^15,Management!$C$3:$C$50))&gt;='1'!$I28),COLUMN(M27))),"")</f>
        <v>Alfqar</v>
      </c>
      <c r="N28" t="str">
        <f>IFERROR(INDEX(Management!$B$3:$B$50,_xlfn.AGGREGATE(15,6,(ROW(Management!$B$3:$B$50)-ROW(Management!$B$3)+1)/((IF(Management!$C$3:$C$50="Unlimited",10^15,Management!$C$3:$C$50))&gt;='1'!$I28),COLUMN(N27))),"")</f>
        <v>Sheraz Ahmed</v>
      </c>
      <c r="O28" t="str">
        <f>IFERROR(INDEX(Management!$B$3:$B$50,_xlfn.AGGREGATE(15,6,(ROW(Management!$B$3:$B$50)-ROW(Management!$B$3)+1)/((IF(Management!$C$3:$C$50="Unlimited",10^15,Management!$C$3:$C$50))&gt;='1'!$I28),COLUMN(O27))),"")</f>
        <v>Faisal Kausar</v>
      </c>
      <c r="P28" t="str">
        <f>IFERROR(INDEX(Management!$B$3:$B$50,_xlfn.AGGREGATE(15,6,(ROW(Management!$B$3:$B$50)-ROW(Management!$B$3)+1)/((IF(Management!$C$3:$C$50="Unlimited",10^15,Management!$C$3:$C$50))&gt;='1'!$I28),COLUMN(P27))),"")</f>
        <v>Muhammad Faisal</v>
      </c>
      <c r="Q28" t="str">
        <f>IFERROR(INDEX(Management!$B$3:$B$50,_xlfn.AGGREGATE(15,6,(ROW(Management!$B$3:$B$50)-ROW(Management!$B$3)+1)/((IF(Management!$C$3:$C$50="Unlimited",10^15,Management!$C$3:$C$50))&gt;='1'!$I28),COLUMN(Q27))),"")</f>
        <v>Sumair Hamza</v>
      </c>
      <c r="R28" t="str">
        <f>IFERROR(INDEX(Management!$B$3:$B$50,_xlfn.AGGREGATE(15,6,(ROW(Management!$B$3:$B$50)-ROW(Management!$B$3)+1)/((IF(Management!$C$3:$C$50="Unlimited",10^15,Management!$C$3:$C$50))&gt;='1'!$I28),COLUMN(R27))),"")</f>
        <v>Muhammad Ali</v>
      </c>
      <c r="S28" t="str">
        <f>IFERROR(INDEX(Management!$B$3:$B$50,_xlfn.AGGREGATE(15,6,(ROW(Management!$B$3:$B$50)-ROW(Management!$B$3)+1)/((IF(Management!$C$3:$C$50="Unlimited",10^15,Management!$C$3:$C$50))&gt;='1'!$I28),COLUMN(S27))),"")</f>
        <v>Muhammad Ali</v>
      </c>
      <c r="T28" t="str">
        <f>IFERROR(INDEX(Management!$B$3:$B$50,_xlfn.AGGREGATE(15,6,(ROW(Management!$B$3:$B$50)-ROW(Management!$B$3)+1)/((IF(Management!$C$3:$C$50="Unlimited",10^15,Management!$C$3:$C$50))&gt;='1'!$I28),COLUMN(T27))),"")</f>
        <v>Jawad Aziz</v>
      </c>
    </row>
    <row r="29" spans="1:20">
      <c r="A29" t="str">
        <f>IFERROR(INDEX(Management!$B$3:$B$50,_xlfn.AGGREGATE(15,6,(ROW(Management!$B$3:$B$50)-ROW(Management!$B$3)+1)/((IF(Management!$C$3:$C$50="Unlimited",10^15,Management!$C$3:$C$50))&gt;='1'!$I29),COLUMN(A28))),"")</f>
        <v>Muhammad Usman</v>
      </c>
      <c r="B29" t="str">
        <f>IFERROR(INDEX(Management!$B$3:$B$50,_xlfn.AGGREGATE(15,6,(ROW(Management!$B$3:$B$50)-ROW(Management!$B$3)+1)/((IF(Management!$C$3:$C$50="Unlimited",10^15,Management!$C$3:$C$50))&gt;='1'!$I29),COLUMN(B28))),"")</f>
        <v>Nadeem Hussain</v>
      </c>
      <c r="C29" t="str">
        <f>IFERROR(INDEX(Management!$B$3:$B$50,_xlfn.AGGREGATE(15,6,(ROW(Management!$B$3:$B$50)-ROW(Management!$B$3)+1)/((IF(Management!$C$3:$C$50="Unlimited",10^15,Management!$C$3:$C$50))&gt;='1'!$I29),COLUMN(C28))),"")</f>
        <v>Allah Ditta</v>
      </c>
      <c r="D29" t="str">
        <f>IFERROR(INDEX(Management!$B$3:$B$50,_xlfn.AGGREGATE(15,6,(ROW(Management!$B$3:$B$50)-ROW(Management!$B$3)+1)/((IF(Management!$C$3:$C$50="Unlimited",10^15,Management!$C$3:$C$50))&gt;='1'!$I29),COLUMN(D28))),"")</f>
        <v>Mehmood Ahmed</v>
      </c>
      <c r="E29" t="str">
        <f>IFERROR(INDEX(Management!$B$3:$B$50,_xlfn.AGGREGATE(15,6,(ROW(Management!$B$3:$B$50)-ROW(Management!$B$3)+1)/((IF(Management!$C$3:$C$50="Unlimited",10^15,Management!$C$3:$C$50))&gt;='1'!$I29),COLUMN(E28))),"")</f>
        <v>Tasawar Abbas</v>
      </c>
      <c r="F29" t="str">
        <f>IFERROR(INDEX(Management!$B$3:$B$50,_xlfn.AGGREGATE(15,6,(ROW(Management!$B$3:$B$50)-ROW(Management!$B$3)+1)/((IF(Management!$C$3:$C$50="Unlimited",10^15,Management!$C$3:$C$50))&gt;='1'!$I29),COLUMN(F28))),"")</f>
        <v>Muhammad Farhan</v>
      </c>
      <c r="G29" t="str">
        <f>IFERROR(INDEX(Management!$B$3:$B$50,_xlfn.AGGREGATE(15,6,(ROW(Management!$B$3:$B$50)-ROW(Management!$B$3)+1)/((IF(Management!$C$3:$C$50="Unlimited",10^15,Management!$C$3:$C$50))&gt;='1'!$I29),COLUMN(G28))),"")</f>
        <v>Shahzaib Ali</v>
      </c>
      <c r="H29" t="str">
        <f>IFERROR(INDEX(Management!$B$3:$B$50,_xlfn.AGGREGATE(15,6,(ROW(Management!$B$3:$B$50)-ROW(Management!$B$3)+1)/((IF(Management!$C$3:$C$50="Unlimited",10^15,Management!$C$3:$C$50))&gt;='1'!$I29),COLUMN(H28))),"")</f>
        <v>Waseem Raza</v>
      </c>
      <c r="I29" t="str">
        <f>IFERROR(INDEX(Management!$B$3:$B$50,_xlfn.AGGREGATE(15,6,(ROW(Management!$B$3:$B$50)-ROW(Management!$B$3)+1)/((IF(Management!$C$3:$C$50="Unlimited",10^15,Management!$C$3:$C$50))&gt;='1'!$I29),COLUMN(I28))),"")</f>
        <v>Muhammad Majeed</v>
      </c>
      <c r="J29" t="str">
        <f>IFERROR(INDEX(Management!$B$3:$B$50,_xlfn.AGGREGATE(15,6,(ROW(Management!$B$3:$B$50)-ROW(Management!$B$3)+1)/((IF(Management!$C$3:$C$50="Unlimited",10^15,Management!$C$3:$C$50))&gt;='1'!$I29),COLUMN(J28))),"")</f>
        <v>Shoukat Mahmood</v>
      </c>
      <c r="K29" t="str">
        <f>IFERROR(INDEX(Management!$B$3:$B$50,_xlfn.AGGREGATE(15,6,(ROW(Management!$B$3:$B$50)-ROW(Management!$B$3)+1)/((IF(Management!$C$3:$C$50="Unlimited",10^15,Management!$C$3:$C$50))&gt;='1'!$I29),COLUMN(K28))),"")</f>
        <v>Naveed Kamal</v>
      </c>
      <c r="L29" t="str">
        <f>IFERROR(INDEX(Management!$B$3:$B$50,_xlfn.AGGREGATE(15,6,(ROW(Management!$B$3:$B$50)-ROW(Management!$B$3)+1)/((IF(Management!$C$3:$C$50="Unlimited",10^15,Management!$C$3:$C$50))&gt;='1'!$I29),COLUMN(L28))),"")</f>
        <v>Raza Ali</v>
      </c>
      <c r="M29" t="str">
        <f>IFERROR(INDEX(Management!$B$3:$B$50,_xlfn.AGGREGATE(15,6,(ROW(Management!$B$3:$B$50)-ROW(Management!$B$3)+1)/((IF(Management!$C$3:$C$50="Unlimited",10^15,Management!$C$3:$C$50))&gt;='1'!$I29),COLUMN(M28))),"")</f>
        <v>Alfqar</v>
      </c>
      <c r="N29" t="str">
        <f>IFERROR(INDEX(Management!$B$3:$B$50,_xlfn.AGGREGATE(15,6,(ROW(Management!$B$3:$B$50)-ROW(Management!$B$3)+1)/((IF(Management!$C$3:$C$50="Unlimited",10^15,Management!$C$3:$C$50))&gt;='1'!$I29),COLUMN(N28))),"")</f>
        <v>Sheraz Ahmed</v>
      </c>
      <c r="O29" t="str">
        <f>IFERROR(INDEX(Management!$B$3:$B$50,_xlfn.AGGREGATE(15,6,(ROW(Management!$B$3:$B$50)-ROW(Management!$B$3)+1)/((IF(Management!$C$3:$C$50="Unlimited",10^15,Management!$C$3:$C$50))&gt;='1'!$I29),COLUMN(O28))),"")</f>
        <v>Faisal Kausar</v>
      </c>
      <c r="P29" t="str">
        <f>IFERROR(INDEX(Management!$B$3:$B$50,_xlfn.AGGREGATE(15,6,(ROW(Management!$B$3:$B$50)-ROW(Management!$B$3)+1)/((IF(Management!$C$3:$C$50="Unlimited",10^15,Management!$C$3:$C$50))&gt;='1'!$I29),COLUMN(P28))),"")</f>
        <v>Muhammad Faisal</v>
      </c>
      <c r="Q29" t="str">
        <f>IFERROR(INDEX(Management!$B$3:$B$50,_xlfn.AGGREGATE(15,6,(ROW(Management!$B$3:$B$50)-ROW(Management!$B$3)+1)/((IF(Management!$C$3:$C$50="Unlimited",10^15,Management!$C$3:$C$50))&gt;='1'!$I29),COLUMN(Q28))),"")</f>
        <v>Sumair Hamza</v>
      </c>
      <c r="R29" t="str">
        <f>IFERROR(INDEX(Management!$B$3:$B$50,_xlfn.AGGREGATE(15,6,(ROW(Management!$B$3:$B$50)-ROW(Management!$B$3)+1)/((IF(Management!$C$3:$C$50="Unlimited",10^15,Management!$C$3:$C$50))&gt;='1'!$I29),COLUMN(R28))),"")</f>
        <v>Muhammad Ali</v>
      </c>
      <c r="S29" t="str">
        <f>IFERROR(INDEX(Management!$B$3:$B$50,_xlfn.AGGREGATE(15,6,(ROW(Management!$B$3:$B$50)-ROW(Management!$B$3)+1)/((IF(Management!$C$3:$C$50="Unlimited",10^15,Management!$C$3:$C$50))&gt;='1'!$I29),COLUMN(S28))),"")</f>
        <v>Muhammad Ali</v>
      </c>
      <c r="T29" t="str">
        <f>IFERROR(INDEX(Management!$B$3:$B$50,_xlfn.AGGREGATE(15,6,(ROW(Management!$B$3:$B$50)-ROW(Management!$B$3)+1)/((IF(Management!$C$3:$C$50="Unlimited",10^15,Management!$C$3:$C$50))&gt;='1'!$I29),COLUMN(T28))),"")</f>
        <v>Jawad Aziz</v>
      </c>
    </row>
    <row r="30" spans="1:20">
      <c r="A30" t="str">
        <f>IFERROR(INDEX(Management!$B$3:$B$50,_xlfn.AGGREGATE(15,6,(ROW(Management!$B$3:$B$50)-ROW(Management!$B$3)+1)/((IF(Management!$C$3:$C$50="Unlimited",10^15,Management!$C$3:$C$50))&gt;='1'!$I30),COLUMN(A29))),"")</f>
        <v>Muhammad Usman</v>
      </c>
      <c r="B30" t="str">
        <f>IFERROR(INDEX(Management!$B$3:$B$50,_xlfn.AGGREGATE(15,6,(ROW(Management!$B$3:$B$50)-ROW(Management!$B$3)+1)/((IF(Management!$C$3:$C$50="Unlimited",10^15,Management!$C$3:$C$50))&gt;='1'!$I30),COLUMN(B29))),"")</f>
        <v>Nadeem Hussain</v>
      </c>
      <c r="C30" t="str">
        <f>IFERROR(INDEX(Management!$B$3:$B$50,_xlfn.AGGREGATE(15,6,(ROW(Management!$B$3:$B$50)-ROW(Management!$B$3)+1)/((IF(Management!$C$3:$C$50="Unlimited",10^15,Management!$C$3:$C$50))&gt;='1'!$I30),COLUMN(C29))),"")</f>
        <v>Allah Ditta</v>
      </c>
      <c r="D30" t="str">
        <f>IFERROR(INDEX(Management!$B$3:$B$50,_xlfn.AGGREGATE(15,6,(ROW(Management!$B$3:$B$50)-ROW(Management!$B$3)+1)/((IF(Management!$C$3:$C$50="Unlimited",10^15,Management!$C$3:$C$50))&gt;='1'!$I30),COLUMN(D29))),"")</f>
        <v>Mehmood Ahmed</v>
      </c>
      <c r="E30" t="str">
        <f>IFERROR(INDEX(Management!$B$3:$B$50,_xlfn.AGGREGATE(15,6,(ROW(Management!$B$3:$B$50)-ROW(Management!$B$3)+1)/((IF(Management!$C$3:$C$50="Unlimited",10^15,Management!$C$3:$C$50))&gt;='1'!$I30),COLUMN(E29))),"")</f>
        <v>Tasawar Abbas</v>
      </c>
      <c r="F30" t="str">
        <f>IFERROR(INDEX(Management!$B$3:$B$50,_xlfn.AGGREGATE(15,6,(ROW(Management!$B$3:$B$50)-ROW(Management!$B$3)+1)/((IF(Management!$C$3:$C$50="Unlimited",10^15,Management!$C$3:$C$50))&gt;='1'!$I30),COLUMN(F29))),"")</f>
        <v>Muhammad Farhan</v>
      </c>
      <c r="G30" t="str">
        <f>IFERROR(INDEX(Management!$B$3:$B$50,_xlfn.AGGREGATE(15,6,(ROW(Management!$B$3:$B$50)-ROW(Management!$B$3)+1)/((IF(Management!$C$3:$C$50="Unlimited",10^15,Management!$C$3:$C$50))&gt;='1'!$I30),COLUMN(G29))),"")</f>
        <v>Shahzaib Ali</v>
      </c>
      <c r="H30" t="str">
        <f>IFERROR(INDEX(Management!$B$3:$B$50,_xlfn.AGGREGATE(15,6,(ROW(Management!$B$3:$B$50)-ROW(Management!$B$3)+1)/((IF(Management!$C$3:$C$50="Unlimited",10^15,Management!$C$3:$C$50))&gt;='1'!$I30),COLUMN(H29))),"")</f>
        <v>Waseem Raza</v>
      </c>
      <c r="I30" t="str">
        <f>IFERROR(INDEX(Management!$B$3:$B$50,_xlfn.AGGREGATE(15,6,(ROW(Management!$B$3:$B$50)-ROW(Management!$B$3)+1)/((IF(Management!$C$3:$C$50="Unlimited",10^15,Management!$C$3:$C$50))&gt;='1'!$I30),COLUMN(I29))),"")</f>
        <v>Muhammad Majeed</v>
      </c>
      <c r="J30" t="str">
        <f>IFERROR(INDEX(Management!$B$3:$B$50,_xlfn.AGGREGATE(15,6,(ROW(Management!$B$3:$B$50)-ROW(Management!$B$3)+1)/((IF(Management!$C$3:$C$50="Unlimited",10^15,Management!$C$3:$C$50))&gt;='1'!$I30),COLUMN(J29))),"")</f>
        <v>Shoukat Mahmood</v>
      </c>
      <c r="K30" t="str">
        <f>IFERROR(INDEX(Management!$B$3:$B$50,_xlfn.AGGREGATE(15,6,(ROW(Management!$B$3:$B$50)-ROW(Management!$B$3)+1)/((IF(Management!$C$3:$C$50="Unlimited",10^15,Management!$C$3:$C$50))&gt;='1'!$I30),COLUMN(K29))),"")</f>
        <v>Naveed Kamal</v>
      </c>
      <c r="L30" t="str">
        <f>IFERROR(INDEX(Management!$B$3:$B$50,_xlfn.AGGREGATE(15,6,(ROW(Management!$B$3:$B$50)-ROW(Management!$B$3)+1)/((IF(Management!$C$3:$C$50="Unlimited",10^15,Management!$C$3:$C$50))&gt;='1'!$I30),COLUMN(L29))),"")</f>
        <v>Raza Ali</v>
      </c>
      <c r="M30" t="str">
        <f>IFERROR(INDEX(Management!$B$3:$B$50,_xlfn.AGGREGATE(15,6,(ROW(Management!$B$3:$B$50)-ROW(Management!$B$3)+1)/((IF(Management!$C$3:$C$50="Unlimited",10^15,Management!$C$3:$C$50))&gt;='1'!$I30),COLUMN(M29))),"")</f>
        <v>Alfqar</v>
      </c>
      <c r="N30" t="str">
        <f>IFERROR(INDEX(Management!$B$3:$B$50,_xlfn.AGGREGATE(15,6,(ROW(Management!$B$3:$B$50)-ROW(Management!$B$3)+1)/((IF(Management!$C$3:$C$50="Unlimited",10^15,Management!$C$3:$C$50))&gt;='1'!$I30),COLUMN(N29))),"")</f>
        <v>Sheraz Ahmed</v>
      </c>
      <c r="O30" t="str">
        <f>IFERROR(INDEX(Management!$B$3:$B$50,_xlfn.AGGREGATE(15,6,(ROW(Management!$B$3:$B$50)-ROW(Management!$B$3)+1)/((IF(Management!$C$3:$C$50="Unlimited",10^15,Management!$C$3:$C$50))&gt;='1'!$I30),COLUMN(O29))),"")</f>
        <v>Faisal Kausar</v>
      </c>
      <c r="P30" t="str">
        <f>IFERROR(INDEX(Management!$B$3:$B$50,_xlfn.AGGREGATE(15,6,(ROW(Management!$B$3:$B$50)-ROW(Management!$B$3)+1)/((IF(Management!$C$3:$C$50="Unlimited",10^15,Management!$C$3:$C$50))&gt;='1'!$I30),COLUMN(P29))),"")</f>
        <v>Muhammad Faisal</v>
      </c>
      <c r="Q30" t="str">
        <f>IFERROR(INDEX(Management!$B$3:$B$50,_xlfn.AGGREGATE(15,6,(ROW(Management!$B$3:$B$50)-ROW(Management!$B$3)+1)/((IF(Management!$C$3:$C$50="Unlimited",10^15,Management!$C$3:$C$50))&gt;='1'!$I30),COLUMN(Q29))),"")</f>
        <v>Sumair Hamza</v>
      </c>
      <c r="R30" t="str">
        <f>IFERROR(INDEX(Management!$B$3:$B$50,_xlfn.AGGREGATE(15,6,(ROW(Management!$B$3:$B$50)-ROW(Management!$B$3)+1)/((IF(Management!$C$3:$C$50="Unlimited",10^15,Management!$C$3:$C$50))&gt;='1'!$I30),COLUMN(R29))),"")</f>
        <v>Muhammad Ali</v>
      </c>
      <c r="S30" t="str">
        <f>IFERROR(INDEX(Management!$B$3:$B$50,_xlfn.AGGREGATE(15,6,(ROW(Management!$B$3:$B$50)-ROW(Management!$B$3)+1)/((IF(Management!$C$3:$C$50="Unlimited",10^15,Management!$C$3:$C$50))&gt;='1'!$I30),COLUMN(S29))),"")</f>
        <v>Muhammad Ali</v>
      </c>
      <c r="T30" t="str">
        <f>IFERROR(INDEX(Management!$B$3:$B$50,_xlfn.AGGREGATE(15,6,(ROW(Management!$B$3:$B$50)-ROW(Management!$B$3)+1)/((IF(Management!$C$3:$C$50="Unlimited",10^15,Management!$C$3:$C$50))&gt;='1'!$I30),COLUMN(T29))),"")</f>
        <v>Jawad Aziz</v>
      </c>
    </row>
    <row r="31" spans="1:20">
      <c r="A31" t="str">
        <f>IFERROR(INDEX(Management!$B$3:$B$50,_xlfn.AGGREGATE(15,6,(ROW(Management!$B$3:$B$50)-ROW(Management!$B$3)+1)/((IF(Management!$C$3:$C$50="Unlimited",10^15,Management!$C$3:$C$50))&gt;='1'!$I31),COLUMN(A30))),"")</f>
        <v>Muhammad Usman</v>
      </c>
      <c r="B31" t="str">
        <f>IFERROR(INDEX(Management!$B$3:$B$50,_xlfn.AGGREGATE(15,6,(ROW(Management!$B$3:$B$50)-ROW(Management!$B$3)+1)/((IF(Management!$C$3:$C$50="Unlimited",10^15,Management!$C$3:$C$50))&gt;='1'!$I31),COLUMN(B30))),"")</f>
        <v>Nadeem Hussain</v>
      </c>
      <c r="C31" t="str">
        <f>IFERROR(INDEX(Management!$B$3:$B$50,_xlfn.AGGREGATE(15,6,(ROW(Management!$B$3:$B$50)-ROW(Management!$B$3)+1)/((IF(Management!$C$3:$C$50="Unlimited",10^15,Management!$C$3:$C$50))&gt;='1'!$I31),COLUMN(C30))),"")</f>
        <v>Allah Ditta</v>
      </c>
      <c r="D31" t="str">
        <f>IFERROR(INDEX(Management!$B$3:$B$50,_xlfn.AGGREGATE(15,6,(ROW(Management!$B$3:$B$50)-ROW(Management!$B$3)+1)/((IF(Management!$C$3:$C$50="Unlimited",10^15,Management!$C$3:$C$50))&gt;='1'!$I31),COLUMN(D30))),"")</f>
        <v>Mehmood Ahmed</v>
      </c>
      <c r="E31" t="str">
        <f>IFERROR(INDEX(Management!$B$3:$B$50,_xlfn.AGGREGATE(15,6,(ROW(Management!$B$3:$B$50)-ROW(Management!$B$3)+1)/((IF(Management!$C$3:$C$50="Unlimited",10^15,Management!$C$3:$C$50))&gt;='1'!$I31),COLUMN(E30))),"")</f>
        <v>Tasawar Abbas</v>
      </c>
      <c r="F31" t="str">
        <f>IFERROR(INDEX(Management!$B$3:$B$50,_xlfn.AGGREGATE(15,6,(ROW(Management!$B$3:$B$50)-ROW(Management!$B$3)+1)/((IF(Management!$C$3:$C$50="Unlimited",10^15,Management!$C$3:$C$50))&gt;='1'!$I31),COLUMN(F30))),"")</f>
        <v>Muhammad Farhan</v>
      </c>
      <c r="G31" t="str">
        <f>IFERROR(INDEX(Management!$B$3:$B$50,_xlfn.AGGREGATE(15,6,(ROW(Management!$B$3:$B$50)-ROW(Management!$B$3)+1)/((IF(Management!$C$3:$C$50="Unlimited",10^15,Management!$C$3:$C$50))&gt;='1'!$I31),COLUMN(G30))),"")</f>
        <v>Shahzaib Ali</v>
      </c>
      <c r="H31" t="str">
        <f>IFERROR(INDEX(Management!$B$3:$B$50,_xlfn.AGGREGATE(15,6,(ROW(Management!$B$3:$B$50)-ROW(Management!$B$3)+1)/((IF(Management!$C$3:$C$50="Unlimited",10^15,Management!$C$3:$C$50))&gt;='1'!$I31),COLUMN(H30))),"")</f>
        <v>Waseem Raza</v>
      </c>
      <c r="I31" t="str">
        <f>IFERROR(INDEX(Management!$B$3:$B$50,_xlfn.AGGREGATE(15,6,(ROW(Management!$B$3:$B$50)-ROW(Management!$B$3)+1)/((IF(Management!$C$3:$C$50="Unlimited",10^15,Management!$C$3:$C$50))&gt;='1'!$I31),COLUMN(I30))),"")</f>
        <v>Muhammad Majeed</v>
      </c>
      <c r="J31" t="str">
        <f>IFERROR(INDEX(Management!$B$3:$B$50,_xlfn.AGGREGATE(15,6,(ROW(Management!$B$3:$B$50)-ROW(Management!$B$3)+1)/((IF(Management!$C$3:$C$50="Unlimited",10^15,Management!$C$3:$C$50))&gt;='1'!$I31),COLUMN(J30))),"")</f>
        <v>Shoukat Mahmood</v>
      </c>
      <c r="K31" t="str">
        <f>IFERROR(INDEX(Management!$B$3:$B$50,_xlfn.AGGREGATE(15,6,(ROW(Management!$B$3:$B$50)-ROW(Management!$B$3)+1)/((IF(Management!$C$3:$C$50="Unlimited",10^15,Management!$C$3:$C$50))&gt;='1'!$I31),COLUMN(K30))),"")</f>
        <v>Naveed Kamal</v>
      </c>
      <c r="L31" t="str">
        <f>IFERROR(INDEX(Management!$B$3:$B$50,_xlfn.AGGREGATE(15,6,(ROW(Management!$B$3:$B$50)-ROW(Management!$B$3)+1)/((IF(Management!$C$3:$C$50="Unlimited",10^15,Management!$C$3:$C$50))&gt;='1'!$I31),COLUMN(L30))),"")</f>
        <v>Raza Ali</v>
      </c>
      <c r="M31" t="str">
        <f>IFERROR(INDEX(Management!$B$3:$B$50,_xlfn.AGGREGATE(15,6,(ROW(Management!$B$3:$B$50)-ROW(Management!$B$3)+1)/((IF(Management!$C$3:$C$50="Unlimited",10^15,Management!$C$3:$C$50))&gt;='1'!$I31),COLUMN(M30))),"")</f>
        <v>Alfqar</v>
      </c>
      <c r="N31" t="str">
        <f>IFERROR(INDEX(Management!$B$3:$B$50,_xlfn.AGGREGATE(15,6,(ROW(Management!$B$3:$B$50)-ROW(Management!$B$3)+1)/((IF(Management!$C$3:$C$50="Unlimited",10^15,Management!$C$3:$C$50))&gt;='1'!$I31),COLUMN(N30))),"")</f>
        <v>Sheraz Ahmed</v>
      </c>
      <c r="O31" t="str">
        <f>IFERROR(INDEX(Management!$B$3:$B$50,_xlfn.AGGREGATE(15,6,(ROW(Management!$B$3:$B$50)-ROW(Management!$B$3)+1)/((IF(Management!$C$3:$C$50="Unlimited",10^15,Management!$C$3:$C$50))&gt;='1'!$I31),COLUMN(O30))),"")</f>
        <v>Faisal Kausar</v>
      </c>
      <c r="P31" t="str">
        <f>IFERROR(INDEX(Management!$B$3:$B$50,_xlfn.AGGREGATE(15,6,(ROW(Management!$B$3:$B$50)-ROW(Management!$B$3)+1)/((IF(Management!$C$3:$C$50="Unlimited",10^15,Management!$C$3:$C$50))&gt;='1'!$I31),COLUMN(P30))),"")</f>
        <v>Muhammad Faisal</v>
      </c>
      <c r="Q31" t="str">
        <f>IFERROR(INDEX(Management!$B$3:$B$50,_xlfn.AGGREGATE(15,6,(ROW(Management!$B$3:$B$50)-ROW(Management!$B$3)+1)/((IF(Management!$C$3:$C$50="Unlimited",10^15,Management!$C$3:$C$50))&gt;='1'!$I31),COLUMN(Q30))),"")</f>
        <v>Sumair Hamza</v>
      </c>
      <c r="R31" t="str">
        <f>IFERROR(INDEX(Management!$B$3:$B$50,_xlfn.AGGREGATE(15,6,(ROW(Management!$B$3:$B$50)-ROW(Management!$B$3)+1)/((IF(Management!$C$3:$C$50="Unlimited",10^15,Management!$C$3:$C$50))&gt;='1'!$I31),COLUMN(R30))),"")</f>
        <v>Muhammad Ali</v>
      </c>
      <c r="S31" t="str">
        <f>IFERROR(INDEX(Management!$B$3:$B$50,_xlfn.AGGREGATE(15,6,(ROW(Management!$B$3:$B$50)-ROW(Management!$B$3)+1)/((IF(Management!$C$3:$C$50="Unlimited",10^15,Management!$C$3:$C$50))&gt;='1'!$I31),COLUMN(S30))),"")</f>
        <v>Muhammad Ali</v>
      </c>
      <c r="T31" t="str">
        <f>IFERROR(INDEX(Management!$B$3:$B$50,_xlfn.AGGREGATE(15,6,(ROW(Management!$B$3:$B$50)-ROW(Management!$B$3)+1)/((IF(Management!$C$3:$C$50="Unlimited",10^15,Management!$C$3:$C$50))&gt;='1'!$I31),COLUMN(T30))),"")</f>
        <v>Jawad Aziz</v>
      </c>
    </row>
    <row r="32" spans="1:20">
      <c r="A32" t="str">
        <f>IFERROR(INDEX(Management!$B$3:$B$50,_xlfn.AGGREGATE(15,6,(ROW(Management!$B$3:$B$50)-ROW(Management!$B$3)+1)/((IF(Management!$C$3:$C$50="Unlimited",10^15,Management!$C$3:$C$50))&gt;='1'!$I32),COLUMN(A31))),"")</f>
        <v>Muhammad Usman</v>
      </c>
      <c r="B32" t="str">
        <f>IFERROR(INDEX(Management!$B$3:$B$50,_xlfn.AGGREGATE(15,6,(ROW(Management!$B$3:$B$50)-ROW(Management!$B$3)+1)/((IF(Management!$C$3:$C$50="Unlimited",10^15,Management!$C$3:$C$50))&gt;='1'!$I32),COLUMN(B31))),"")</f>
        <v>Nadeem Hussain</v>
      </c>
      <c r="C32" t="str">
        <f>IFERROR(INDEX(Management!$B$3:$B$50,_xlfn.AGGREGATE(15,6,(ROW(Management!$B$3:$B$50)-ROW(Management!$B$3)+1)/((IF(Management!$C$3:$C$50="Unlimited",10^15,Management!$C$3:$C$50))&gt;='1'!$I32),COLUMN(C31))),"")</f>
        <v>Allah Ditta</v>
      </c>
      <c r="D32" t="str">
        <f>IFERROR(INDEX(Management!$B$3:$B$50,_xlfn.AGGREGATE(15,6,(ROW(Management!$B$3:$B$50)-ROW(Management!$B$3)+1)/((IF(Management!$C$3:$C$50="Unlimited",10^15,Management!$C$3:$C$50))&gt;='1'!$I32),COLUMN(D31))),"")</f>
        <v>Mehmood Ahmed</v>
      </c>
      <c r="E32" t="str">
        <f>IFERROR(INDEX(Management!$B$3:$B$50,_xlfn.AGGREGATE(15,6,(ROW(Management!$B$3:$B$50)-ROW(Management!$B$3)+1)/((IF(Management!$C$3:$C$50="Unlimited",10^15,Management!$C$3:$C$50))&gt;='1'!$I32),COLUMN(E31))),"")</f>
        <v>Tasawar Abbas</v>
      </c>
      <c r="F32" t="str">
        <f>IFERROR(INDEX(Management!$B$3:$B$50,_xlfn.AGGREGATE(15,6,(ROW(Management!$B$3:$B$50)-ROW(Management!$B$3)+1)/((IF(Management!$C$3:$C$50="Unlimited",10^15,Management!$C$3:$C$50))&gt;='1'!$I32),COLUMN(F31))),"")</f>
        <v>Muhammad Farhan</v>
      </c>
      <c r="G32" t="str">
        <f>IFERROR(INDEX(Management!$B$3:$B$50,_xlfn.AGGREGATE(15,6,(ROW(Management!$B$3:$B$50)-ROW(Management!$B$3)+1)/((IF(Management!$C$3:$C$50="Unlimited",10^15,Management!$C$3:$C$50))&gt;='1'!$I32),COLUMN(G31))),"")</f>
        <v>Shahzaib Ali</v>
      </c>
      <c r="H32" t="str">
        <f>IFERROR(INDEX(Management!$B$3:$B$50,_xlfn.AGGREGATE(15,6,(ROW(Management!$B$3:$B$50)-ROW(Management!$B$3)+1)/((IF(Management!$C$3:$C$50="Unlimited",10^15,Management!$C$3:$C$50))&gt;='1'!$I32),COLUMN(H31))),"")</f>
        <v>Waseem Raza</v>
      </c>
      <c r="I32" t="str">
        <f>IFERROR(INDEX(Management!$B$3:$B$50,_xlfn.AGGREGATE(15,6,(ROW(Management!$B$3:$B$50)-ROW(Management!$B$3)+1)/((IF(Management!$C$3:$C$50="Unlimited",10^15,Management!$C$3:$C$50))&gt;='1'!$I32),COLUMN(I31))),"")</f>
        <v>Muhammad Majeed</v>
      </c>
      <c r="J32" t="str">
        <f>IFERROR(INDEX(Management!$B$3:$B$50,_xlfn.AGGREGATE(15,6,(ROW(Management!$B$3:$B$50)-ROW(Management!$B$3)+1)/((IF(Management!$C$3:$C$50="Unlimited",10^15,Management!$C$3:$C$50))&gt;='1'!$I32),COLUMN(J31))),"")</f>
        <v>Shoukat Mahmood</v>
      </c>
      <c r="K32" t="str">
        <f>IFERROR(INDEX(Management!$B$3:$B$50,_xlfn.AGGREGATE(15,6,(ROW(Management!$B$3:$B$50)-ROW(Management!$B$3)+1)/((IF(Management!$C$3:$C$50="Unlimited",10^15,Management!$C$3:$C$50))&gt;='1'!$I32),COLUMN(K31))),"")</f>
        <v>Naveed Kamal</v>
      </c>
      <c r="L32" t="str">
        <f>IFERROR(INDEX(Management!$B$3:$B$50,_xlfn.AGGREGATE(15,6,(ROW(Management!$B$3:$B$50)-ROW(Management!$B$3)+1)/((IF(Management!$C$3:$C$50="Unlimited",10^15,Management!$C$3:$C$50))&gt;='1'!$I32),COLUMN(L31))),"")</f>
        <v>Raza Ali</v>
      </c>
      <c r="M32" t="str">
        <f>IFERROR(INDEX(Management!$B$3:$B$50,_xlfn.AGGREGATE(15,6,(ROW(Management!$B$3:$B$50)-ROW(Management!$B$3)+1)/((IF(Management!$C$3:$C$50="Unlimited",10^15,Management!$C$3:$C$50))&gt;='1'!$I32),COLUMN(M31))),"")</f>
        <v>Alfqar</v>
      </c>
      <c r="N32" t="str">
        <f>IFERROR(INDEX(Management!$B$3:$B$50,_xlfn.AGGREGATE(15,6,(ROW(Management!$B$3:$B$50)-ROW(Management!$B$3)+1)/((IF(Management!$C$3:$C$50="Unlimited",10^15,Management!$C$3:$C$50))&gt;='1'!$I32),COLUMN(N31))),"")</f>
        <v>Sheraz Ahmed</v>
      </c>
      <c r="O32" t="str">
        <f>IFERROR(INDEX(Management!$B$3:$B$50,_xlfn.AGGREGATE(15,6,(ROW(Management!$B$3:$B$50)-ROW(Management!$B$3)+1)/((IF(Management!$C$3:$C$50="Unlimited",10^15,Management!$C$3:$C$50))&gt;='1'!$I32),COLUMN(O31))),"")</f>
        <v>Faisal Kausar</v>
      </c>
      <c r="P32" t="str">
        <f>IFERROR(INDEX(Management!$B$3:$B$50,_xlfn.AGGREGATE(15,6,(ROW(Management!$B$3:$B$50)-ROW(Management!$B$3)+1)/((IF(Management!$C$3:$C$50="Unlimited",10^15,Management!$C$3:$C$50))&gt;='1'!$I32),COLUMN(P31))),"")</f>
        <v>Muhammad Faisal</v>
      </c>
      <c r="Q32" t="str">
        <f>IFERROR(INDEX(Management!$B$3:$B$50,_xlfn.AGGREGATE(15,6,(ROW(Management!$B$3:$B$50)-ROW(Management!$B$3)+1)/((IF(Management!$C$3:$C$50="Unlimited",10^15,Management!$C$3:$C$50))&gt;='1'!$I32),COLUMN(Q31))),"")</f>
        <v>Sumair Hamza</v>
      </c>
      <c r="R32" t="str">
        <f>IFERROR(INDEX(Management!$B$3:$B$50,_xlfn.AGGREGATE(15,6,(ROW(Management!$B$3:$B$50)-ROW(Management!$B$3)+1)/((IF(Management!$C$3:$C$50="Unlimited",10^15,Management!$C$3:$C$50))&gt;='1'!$I32),COLUMN(R31))),"")</f>
        <v>Muhammad Ali</v>
      </c>
      <c r="S32" t="str">
        <f>IFERROR(INDEX(Management!$B$3:$B$50,_xlfn.AGGREGATE(15,6,(ROW(Management!$B$3:$B$50)-ROW(Management!$B$3)+1)/((IF(Management!$C$3:$C$50="Unlimited",10^15,Management!$C$3:$C$50))&gt;='1'!$I32),COLUMN(S31))),"")</f>
        <v>Muhammad Ali</v>
      </c>
      <c r="T32" t="str">
        <f>IFERROR(INDEX(Management!$B$3:$B$50,_xlfn.AGGREGATE(15,6,(ROW(Management!$B$3:$B$50)-ROW(Management!$B$3)+1)/((IF(Management!$C$3:$C$50="Unlimited",10^15,Management!$C$3:$C$50))&gt;='1'!$I32),COLUMN(T31))),"")</f>
        <v>Jawad Aziz</v>
      </c>
    </row>
    <row r="33" spans="1:20">
      <c r="A33" t="str">
        <f>IFERROR(INDEX(Management!$B$3:$B$50,_xlfn.AGGREGATE(15,6,(ROW(Management!$B$3:$B$50)-ROW(Management!$B$3)+1)/((IF(Management!$C$3:$C$50="Unlimited",10^15,Management!$C$3:$C$50))&gt;='1'!$I33),COLUMN(A32))),"")</f>
        <v>Muhammad Usman</v>
      </c>
      <c r="B33" t="str">
        <f>IFERROR(INDEX(Management!$B$3:$B$50,_xlfn.AGGREGATE(15,6,(ROW(Management!$B$3:$B$50)-ROW(Management!$B$3)+1)/((IF(Management!$C$3:$C$50="Unlimited",10^15,Management!$C$3:$C$50))&gt;='1'!$I33),COLUMN(B32))),"")</f>
        <v>Nadeem Hussain</v>
      </c>
      <c r="C33" t="str">
        <f>IFERROR(INDEX(Management!$B$3:$B$50,_xlfn.AGGREGATE(15,6,(ROW(Management!$B$3:$B$50)-ROW(Management!$B$3)+1)/((IF(Management!$C$3:$C$50="Unlimited",10^15,Management!$C$3:$C$50))&gt;='1'!$I33),COLUMN(C32))),"")</f>
        <v>Allah Ditta</v>
      </c>
      <c r="D33" t="str">
        <f>IFERROR(INDEX(Management!$B$3:$B$50,_xlfn.AGGREGATE(15,6,(ROW(Management!$B$3:$B$50)-ROW(Management!$B$3)+1)/((IF(Management!$C$3:$C$50="Unlimited",10^15,Management!$C$3:$C$50))&gt;='1'!$I33),COLUMN(D32))),"")</f>
        <v>Mehmood Ahmed</v>
      </c>
      <c r="E33" t="str">
        <f>IFERROR(INDEX(Management!$B$3:$B$50,_xlfn.AGGREGATE(15,6,(ROW(Management!$B$3:$B$50)-ROW(Management!$B$3)+1)/((IF(Management!$C$3:$C$50="Unlimited",10^15,Management!$C$3:$C$50))&gt;='1'!$I33),COLUMN(E32))),"")</f>
        <v>Tasawar Abbas</v>
      </c>
      <c r="F33" t="str">
        <f>IFERROR(INDEX(Management!$B$3:$B$50,_xlfn.AGGREGATE(15,6,(ROW(Management!$B$3:$B$50)-ROW(Management!$B$3)+1)/((IF(Management!$C$3:$C$50="Unlimited",10^15,Management!$C$3:$C$50))&gt;='1'!$I33),COLUMN(F32))),"")</f>
        <v>Muhammad Farhan</v>
      </c>
      <c r="G33" t="str">
        <f>IFERROR(INDEX(Management!$B$3:$B$50,_xlfn.AGGREGATE(15,6,(ROW(Management!$B$3:$B$50)-ROW(Management!$B$3)+1)/((IF(Management!$C$3:$C$50="Unlimited",10^15,Management!$C$3:$C$50))&gt;='1'!$I33),COLUMN(G32))),"")</f>
        <v>Shahzaib Ali</v>
      </c>
      <c r="H33" t="str">
        <f>IFERROR(INDEX(Management!$B$3:$B$50,_xlfn.AGGREGATE(15,6,(ROW(Management!$B$3:$B$50)-ROW(Management!$B$3)+1)/((IF(Management!$C$3:$C$50="Unlimited",10^15,Management!$C$3:$C$50))&gt;='1'!$I33),COLUMN(H32))),"")</f>
        <v>Waseem Raza</v>
      </c>
      <c r="I33" t="str">
        <f>IFERROR(INDEX(Management!$B$3:$B$50,_xlfn.AGGREGATE(15,6,(ROW(Management!$B$3:$B$50)-ROW(Management!$B$3)+1)/((IF(Management!$C$3:$C$50="Unlimited",10^15,Management!$C$3:$C$50))&gt;='1'!$I33),COLUMN(I32))),"")</f>
        <v>Muhammad Majeed</v>
      </c>
      <c r="J33" t="str">
        <f>IFERROR(INDEX(Management!$B$3:$B$50,_xlfn.AGGREGATE(15,6,(ROW(Management!$B$3:$B$50)-ROW(Management!$B$3)+1)/((IF(Management!$C$3:$C$50="Unlimited",10^15,Management!$C$3:$C$50))&gt;='1'!$I33),COLUMN(J32))),"")</f>
        <v>Shoukat Mahmood</v>
      </c>
      <c r="K33" t="str">
        <f>IFERROR(INDEX(Management!$B$3:$B$50,_xlfn.AGGREGATE(15,6,(ROW(Management!$B$3:$B$50)-ROW(Management!$B$3)+1)/((IF(Management!$C$3:$C$50="Unlimited",10^15,Management!$C$3:$C$50))&gt;='1'!$I33),COLUMN(K32))),"")</f>
        <v>Naveed Kamal</v>
      </c>
      <c r="L33" t="str">
        <f>IFERROR(INDEX(Management!$B$3:$B$50,_xlfn.AGGREGATE(15,6,(ROW(Management!$B$3:$B$50)-ROW(Management!$B$3)+1)/((IF(Management!$C$3:$C$50="Unlimited",10^15,Management!$C$3:$C$50))&gt;='1'!$I33),COLUMN(L32))),"")</f>
        <v>Raza Ali</v>
      </c>
      <c r="M33" t="str">
        <f>IFERROR(INDEX(Management!$B$3:$B$50,_xlfn.AGGREGATE(15,6,(ROW(Management!$B$3:$B$50)-ROW(Management!$B$3)+1)/((IF(Management!$C$3:$C$50="Unlimited",10^15,Management!$C$3:$C$50))&gt;='1'!$I33),COLUMN(M32))),"")</f>
        <v>Alfqar</v>
      </c>
      <c r="N33" t="str">
        <f>IFERROR(INDEX(Management!$B$3:$B$50,_xlfn.AGGREGATE(15,6,(ROW(Management!$B$3:$B$50)-ROW(Management!$B$3)+1)/((IF(Management!$C$3:$C$50="Unlimited",10^15,Management!$C$3:$C$50))&gt;='1'!$I33),COLUMN(N32))),"")</f>
        <v>Sheraz Ahmed</v>
      </c>
      <c r="O33" t="str">
        <f>IFERROR(INDEX(Management!$B$3:$B$50,_xlfn.AGGREGATE(15,6,(ROW(Management!$B$3:$B$50)-ROW(Management!$B$3)+1)/((IF(Management!$C$3:$C$50="Unlimited",10^15,Management!$C$3:$C$50))&gt;='1'!$I33),COLUMN(O32))),"")</f>
        <v>Faisal Kausar</v>
      </c>
      <c r="P33" t="str">
        <f>IFERROR(INDEX(Management!$B$3:$B$50,_xlfn.AGGREGATE(15,6,(ROW(Management!$B$3:$B$50)-ROW(Management!$B$3)+1)/((IF(Management!$C$3:$C$50="Unlimited",10^15,Management!$C$3:$C$50))&gt;='1'!$I33),COLUMN(P32))),"")</f>
        <v>Muhammad Faisal</v>
      </c>
      <c r="Q33" t="str">
        <f>IFERROR(INDEX(Management!$B$3:$B$50,_xlfn.AGGREGATE(15,6,(ROW(Management!$B$3:$B$50)-ROW(Management!$B$3)+1)/((IF(Management!$C$3:$C$50="Unlimited",10^15,Management!$C$3:$C$50))&gt;='1'!$I33),COLUMN(Q32))),"")</f>
        <v>Sumair Hamza</v>
      </c>
      <c r="R33" t="str">
        <f>IFERROR(INDEX(Management!$B$3:$B$50,_xlfn.AGGREGATE(15,6,(ROW(Management!$B$3:$B$50)-ROW(Management!$B$3)+1)/((IF(Management!$C$3:$C$50="Unlimited",10^15,Management!$C$3:$C$50))&gt;='1'!$I33),COLUMN(R32))),"")</f>
        <v>Muhammad Ali</v>
      </c>
      <c r="S33" t="str">
        <f>IFERROR(INDEX(Management!$B$3:$B$50,_xlfn.AGGREGATE(15,6,(ROW(Management!$B$3:$B$50)-ROW(Management!$B$3)+1)/((IF(Management!$C$3:$C$50="Unlimited",10^15,Management!$C$3:$C$50))&gt;='1'!$I33),COLUMN(S32))),"")</f>
        <v>Muhammad Ali</v>
      </c>
      <c r="T33" t="str">
        <f>IFERROR(INDEX(Management!$B$3:$B$50,_xlfn.AGGREGATE(15,6,(ROW(Management!$B$3:$B$50)-ROW(Management!$B$3)+1)/((IF(Management!$C$3:$C$50="Unlimited",10^15,Management!$C$3:$C$50))&gt;='1'!$I33),COLUMN(T32))),"")</f>
        <v>Jawad Aziz</v>
      </c>
    </row>
    <row r="34" spans="1:20">
      <c r="A34" t="str">
        <f>IFERROR(INDEX(Management!$B$3:$B$50,_xlfn.AGGREGATE(15,6,(ROW(Management!$B$3:$B$50)-ROW(Management!$B$3)+1)/((IF(Management!$C$3:$C$50="Unlimited",10^15,Management!$C$3:$C$50))&gt;='1'!$I34),COLUMN(A33))),"")</f>
        <v>Muhammad Usman</v>
      </c>
      <c r="B34" t="str">
        <f>IFERROR(INDEX(Management!$B$3:$B$50,_xlfn.AGGREGATE(15,6,(ROW(Management!$B$3:$B$50)-ROW(Management!$B$3)+1)/((IF(Management!$C$3:$C$50="Unlimited",10^15,Management!$C$3:$C$50))&gt;='1'!$I34),COLUMN(B33))),"")</f>
        <v>Nadeem Hussain</v>
      </c>
      <c r="C34" t="str">
        <f>IFERROR(INDEX(Management!$B$3:$B$50,_xlfn.AGGREGATE(15,6,(ROW(Management!$B$3:$B$50)-ROW(Management!$B$3)+1)/((IF(Management!$C$3:$C$50="Unlimited",10^15,Management!$C$3:$C$50))&gt;='1'!$I34),COLUMN(C33))),"")</f>
        <v>Allah Ditta</v>
      </c>
      <c r="D34" t="str">
        <f>IFERROR(INDEX(Management!$B$3:$B$50,_xlfn.AGGREGATE(15,6,(ROW(Management!$B$3:$B$50)-ROW(Management!$B$3)+1)/((IF(Management!$C$3:$C$50="Unlimited",10^15,Management!$C$3:$C$50))&gt;='1'!$I34),COLUMN(D33))),"")</f>
        <v>Mehmood Ahmed</v>
      </c>
      <c r="E34" t="str">
        <f>IFERROR(INDEX(Management!$B$3:$B$50,_xlfn.AGGREGATE(15,6,(ROW(Management!$B$3:$B$50)-ROW(Management!$B$3)+1)/((IF(Management!$C$3:$C$50="Unlimited",10^15,Management!$C$3:$C$50))&gt;='1'!$I34),COLUMN(E33))),"")</f>
        <v>Tasawar Abbas</v>
      </c>
      <c r="F34" t="str">
        <f>IFERROR(INDEX(Management!$B$3:$B$50,_xlfn.AGGREGATE(15,6,(ROW(Management!$B$3:$B$50)-ROW(Management!$B$3)+1)/((IF(Management!$C$3:$C$50="Unlimited",10^15,Management!$C$3:$C$50))&gt;='1'!$I34),COLUMN(F33))),"")</f>
        <v>Muhammad Farhan</v>
      </c>
      <c r="G34" t="str">
        <f>IFERROR(INDEX(Management!$B$3:$B$50,_xlfn.AGGREGATE(15,6,(ROW(Management!$B$3:$B$50)-ROW(Management!$B$3)+1)/((IF(Management!$C$3:$C$50="Unlimited",10^15,Management!$C$3:$C$50))&gt;='1'!$I34),COLUMN(G33))),"")</f>
        <v>Shahzaib Ali</v>
      </c>
      <c r="H34" t="str">
        <f>IFERROR(INDEX(Management!$B$3:$B$50,_xlfn.AGGREGATE(15,6,(ROW(Management!$B$3:$B$50)-ROW(Management!$B$3)+1)/((IF(Management!$C$3:$C$50="Unlimited",10^15,Management!$C$3:$C$50))&gt;='1'!$I34),COLUMN(H33))),"")</f>
        <v>Waseem Raza</v>
      </c>
      <c r="I34" t="str">
        <f>IFERROR(INDEX(Management!$B$3:$B$50,_xlfn.AGGREGATE(15,6,(ROW(Management!$B$3:$B$50)-ROW(Management!$B$3)+1)/((IF(Management!$C$3:$C$50="Unlimited",10^15,Management!$C$3:$C$50))&gt;='1'!$I34),COLUMN(I33))),"")</f>
        <v>Muhammad Majeed</v>
      </c>
      <c r="J34" t="str">
        <f>IFERROR(INDEX(Management!$B$3:$B$50,_xlfn.AGGREGATE(15,6,(ROW(Management!$B$3:$B$50)-ROW(Management!$B$3)+1)/((IF(Management!$C$3:$C$50="Unlimited",10^15,Management!$C$3:$C$50))&gt;='1'!$I34),COLUMN(J33))),"")</f>
        <v>Shoukat Mahmood</v>
      </c>
      <c r="K34" t="str">
        <f>IFERROR(INDEX(Management!$B$3:$B$50,_xlfn.AGGREGATE(15,6,(ROW(Management!$B$3:$B$50)-ROW(Management!$B$3)+1)/((IF(Management!$C$3:$C$50="Unlimited",10^15,Management!$C$3:$C$50))&gt;='1'!$I34),COLUMN(K33))),"")</f>
        <v>Naveed Kamal</v>
      </c>
      <c r="L34" t="str">
        <f>IFERROR(INDEX(Management!$B$3:$B$50,_xlfn.AGGREGATE(15,6,(ROW(Management!$B$3:$B$50)-ROW(Management!$B$3)+1)/((IF(Management!$C$3:$C$50="Unlimited",10^15,Management!$C$3:$C$50))&gt;='1'!$I34),COLUMN(L33))),"")</f>
        <v>Raza Ali</v>
      </c>
      <c r="M34" t="str">
        <f>IFERROR(INDEX(Management!$B$3:$B$50,_xlfn.AGGREGATE(15,6,(ROW(Management!$B$3:$B$50)-ROW(Management!$B$3)+1)/((IF(Management!$C$3:$C$50="Unlimited",10^15,Management!$C$3:$C$50))&gt;='1'!$I34),COLUMN(M33))),"")</f>
        <v>Alfqar</v>
      </c>
      <c r="N34" t="str">
        <f>IFERROR(INDEX(Management!$B$3:$B$50,_xlfn.AGGREGATE(15,6,(ROW(Management!$B$3:$B$50)-ROW(Management!$B$3)+1)/((IF(Management!$C$3:$C$50="Unlimited",10^15,Management!$C$3:$C$50))&gt;='1'!$I34),COLUMN(N33))),"")</f>
        <v>Sheraz Ahmed</v>
      </c>
      <c r="O34" t="str">
        <f>IFERROR(INDEX(Management!$B$3:$B$50,_xlfn.AGGREGATE(15,6,(ROW(Management!$B$3:$B$50)-ROW(Management!$B$3)+1)/((IF(Management!$C$3:$C$50="Unlimited",10^15,Management!$C$3:$C$50))&gt;='1'!$I34),COLUMN(O33))),"")</f>
        <v>Faisal Kausar</v>
      </c>
      <c r="P34" t="str">
        <f>IFERROR(INDEX(Management!$B$3:$B$50,_xlfn.AGGREGATE(15,6,(ROW(Management!$B$3:$B$50)-ROW(Management!$B$3)+1)/((IF(Management!$C$3:$C$50="Unlimited",10^15,Management!$C$3:$C$50))&gt;='1'!$I34),COLUMN(P33))),"")</f>
        <v>Muhammad Faisal</v>
      </c>
      <c r="Q34" t="str">
        <f>IFERROR(INDEX(Management!$B$3:$B$50,_xlfn.AGGREGATE(15,6,(ROW(Management!$B$3:$B$50)-ROW(Management!$B$3)+1)/((IF(Management!$C$3:$C$50="Unlimited",10^15,Management!$C$3:$C$50))&gt;='1'!$I34),COLUMN(Q33))),"")</f>
        <v>Sumair Hamza</v>
      </c>
      <c r="R34" t="str">
        <f>IFERROR(INDEX(Management!$B$3:$B$50,_xlfn.AGGREGATE(15,6,(ROW(Management!$B$3:$B$50)-ROW(Management!$B$3)+1)/((IF(Management!$C$3:$C$50="Unlimited",10^15,Management!$C$3:$C$50))&gt;='1'!$I34),COLUMN(R33))),"")</f>
        <v>Muhammad Ali</v>
      </c>
      <c r="S34" t="str">
        <f>IFERROR(INDEX(Management!$B$3:$B$50,_xlfn.AGGREGATE(15,6,(ROW(Management!$B$3:$B$50)-ROW(Management!$B$3)+1)/((IF(Management!$C$3:$C$50="Unlimited",10^15,Management!$C$3:$C$50))&gt;='1'!$I34),COLUMN(S33))),"")</f>
        <v>Muhammad Ali</v>
      </c>
      <c r="T34" t="str">
        <f>IFERROR(INDEX(Management!$B$3:$B$50,_xlfn.AGGREGATE(15,6,(ROW(Management!$B$3:$B$50)-ROW(Management!$B$3)+1)/((IF(Management!$C$3:$C$50="Unlimited",10^15,Management!$C$3:$C$50))&gt;='1'!$I34),COLUMN(T33))),"")</f>
        <v>Jawad Aziz</v>
      </c>
    </row>
    <row r="35" spans="1:20">
      <c r="A35" t="str">
        <f>IFERROR(INDEX(Management!$B$3:$B$50,_xlfn.AGGREGATE(15,6,(ROW(Management!$B$3:$B$50)-ROW(Management!$B$3)+1)/((IF(Management!$C$3:$C$50="Unlimited",10^15,Management!$C$3:$C$50))&gt;='1'!$I35),COLUMN(A34))),"")</f>
        <v>Muhammad Usman</v>
      </c>
      <c r="B35" t="str">
        <f>IFERROR(INDEX(Management!$B$3:$B$50,_xlfn.AGGREGATE(15,6,(ROW(Management!$B$3:$B$50)-ROW(Management!$B$3)+1)/((IF(Management!$C$3:$C$50="Unlimited",10^15,Management!$C$3:$C$50))&gt;='1'!$I35),COLUMN(B34))),"")</f>
        <v>Nadeem Hussain</v>
      </c>
      <c r="C35" t="str">
        <f>IFERROR(INDEX(Management!$B$3:$B$50,_xlfn.AGGREGATE(15,6,(ROW(Management!$B$3:$B$50)-ROW(Management!$B$3)+1)/((IF(Management!$C$3:$C$50="Unlimited",10^15,Management!$C$3:$C$50))&gt;='1'!$I35),COLUMN(C34))),"")</f>
        <v>Allah Ditta</v>
      </c>
      <c r="D35" t="str">
        <f>IFERROR(INDEX(Management!$B$3:$B$50,_xlfn.AGGREGATE(15,6,(ROW(Management!$B$3:$B$50)-ROW(Management!$B$3)+1)/((IF(Management!$C$3:$C$50="Unlimited",10^15,Management!$C$3:$C$50))&gt;='1'!$I35),COLUMN(D34))),"")</f>
        <v>Mehmood Ahmed</v>
      </c>
      <c r="E35" t="str">
        <f>IFERROR(INDEX(Management!$B$3:$B$50,_xlfn.AGGREGATE(15,6,(ROW(Management!$B$3:$B$50)-ROW(Management!$B$3)+1)/((IF(Management!$C$3:$C$50="Unlimited",10^15,Management!$C$3:$C$50))&gt;='1'!$I35),COLUMN(E34))),"")</f>
        <v>Tasawar Abbas</v>
      </c>
      <c r="F35" t="str">
        <f>IFERROR(INDEX(Management!$B$3:$B$50,_xlfn.AGGREGATE(15,6,(ROW(Management!$B$3:$B$50)-ROW(Management!$B$3)+1)/((IF(Management!$C$3:$C$50="Unlimited",10^15,Management!$C$3:$C$50))&gt;='1'!$I35),COLUMN(F34))),"")</f>
        <v>Muhammad Farhan</v>
      </c>
      <c r="G35" t="str">
        <f>IFERROR(INDEX(Management!$B$3:$B$50,_xlfn.AGGREGATE(15,6,(ROW(Management!$B$3:$B$50)-ROW(Management!$B$3)+1)/((IF(Management!$C$3:$C$50="Unlimited",10^15,Management!$C$3:$C$50))&gt;='1'!$I35),COLUMN(G34))),"")</f>
        <v>Shahzaib Ali</v>
      </c>
      <c r="H35" t="str">
        <f>IFERROR(INDEX(Management!$B$3:$B$50,_xlfn.AGGREGATE(15,6,(ROW(Management!$B$3:$B$50)-ROW(Management!$B$3)+1)/((IF(Management!$C$3:$C$50="Unlimited",10^15,Management!$C$3:$C$50))&gt;='1'!$I35),COLUMN(H34))),"")</f>
        <v>Waseem Raza</v>
      </c>
      <c r="I35" t="str">
        <f>IFERROR(INDEX(Management!$B$3:$B$50,_xlfn.AGGREGATE(15,6,(ROW(Management!$B$3:$B$50)-ROW(Management!$B$3)+1)/((IF(Management!$C$3:$C$50="Unlimited",10^15,Management!$C$3:$C$50))&gt;='1'!$I35),COLUMN(I34))),"")</f>
        <v>Muhammad Majeed</v>
      </c>
      <c r="J35" t="str">
        <f>IFERROR(INDEX(Management!$B$3:$B$50,_xlfn.AGGREGATE(15,6,(ROW(Management!$B$3:$B$50)-ROW(Management!$B$3)+1)/((IF(Management!$C$3:$C$50="Unlimited",10^15,Management!$C$3:$C$50))&gt;='1'!$I35),COLUMN(J34))),"")</f>
        <v>Shoukat Mahmood</v>
      </c>
      <c r="K35" t="str">
        <f>IFERROR(INDEX(Management!$B$3:$B$50,_xlfn.AGGREGATE(15,6,(ROW(Management!$B$3:$B$50)-ROW(Management!$B$3)+1)/((IF(Management!$C$3:$C$50="Unlimited",10^15,Management!$C$3:$C$50))&gt;='1'!$I35),COLUMN(K34))),"")</f>
        <v>Naveed Kamal</v>
      </c>
      <c r="L35" t="str">
        <f>IFERROR(INDEX(Management!$B$3:$B$50,_xlfn.AGGREGATE(15,6,(ROW(Management!$B$3:$B$50)-ROW(Management!$B$3)+1)/((IF(Management!$C$3:$C$50="Unlimited",10^15,Management!$C$3:$C$50))&gt;='1'!$I35),COLUMN(L34))),"")</f>
        <v>Raza Ali</v>
      </c>
      <c r="M35" t="str">
        <f>IFERROR(INDEX(Management!$B$3:$B$50,_xlfn.AGGREGATE(15,6,(ROW(Management!$B$3:$B$50)-ROW(Management!$B$3)+1)/((IF(Management!$C$3:$C$50="Unlimited",10^15,Management!$C$3:$C$50))&gt;='1'!$I35),COLUMN(M34))),"")</f>
        <v>Alfqar</v>
      </c>
      <c r="N35" t="str">
        <f>IFERROR(INDEX(Management!$B$3:$B$50,_xlfn.AGGREGATE(15,6,(ROW(Management!$B$3:$B$50)-ROW(Management!$B$3)+1)/((IF(Management!$C$3:$C$50="Unlimited",10^15,Management!$C$3:$C$50))&gt;='1'!$I35),COLUMN(N34))),"")</f>
        <v>Sheraz Ahmed</v>
      </c>
      <c r="O35" t="str">
        <f>IFERROR(INDEX(Management!$B$3:$B$50,_xlfn.AGGREGATE(15,6,(ROW(Management!$B$3:$B$50)-ROW(Management!$B$3)+1)/((IF(Management!$C$3:$C$50="Unlimited",10^15,Management!$C$3:$C$50))&gt;='1'!$I35),COLUMN(O34))),"")</f>
        <v>Faisal Kausar</v>
      </c>
      <c r="P35" t="str">
        <f>IFERROR(INDEX(Management!$B$3:$B$50,_xlfn.AGGREGATE(15,6,(ROW(Management!$B$3:$B$50)-ROW(Management!$B$3)+1)/((IF(Management!$C$3:$C$50="Unlimited",10^15,Management!$C$3:$C$50))&gt;='1'!$I35),COLUMN(P34))),"")</f>
        <v>Muhammad Faisal</v>
      </c>
      <c r="Q35" t="str">
        <f>IFERROR(INDEX(Management!$B$3:$B$50,_xlfn.AGGREGATE(15,6,(ROW(Management!$B$3:$B$50)-ROW(Management!$B$3)+1)/((IF(Management!$C$3:$C$50="Unlimited",10^15,Management!$C$3:$C$50))&gt;='1'!$I35),COLUMN(Q34))),"")</f>
        <v>Sumair Hamza</v>
      </c>
      <c r="R35" t="str">
        <f>IFERROR(INDEX(Management!$B$3:$B$50,_xlfn.AGGREGATE(15,6,(ROW(Management!$B$3:$B$50)-ROW(Management!$B$3)+1)/((IF(Management!$C$3:$C$50="Unlimited",10^15,Management!$C$3:$C$50))&gt;='1'!$I35),COLUMN(R34))),"")</f>
        <v>Muhammad Ali</v>
      </c>
      <c r="S35" t="str">
        <f>IFERROR(INDEX(Management!$B$3:$B$50,_xlfn.AGGREGATE(15,6,(ROW(Management!$B$3:$B$50)-ROW(Management!$B$3)+1)/((IF(Management!$C$3:$C$50="Unlimited",10^15,Management!$C$3:$C$50))&gt;='1'!$I35),COLUMN(S34))),"")</f>
        <v>Muhammad Ali</v>
      </c>
      <c r="T35" t="str">
        <f>IFERROR(INDEX(Management!$B$3:$B$50,_xlfn.AGGREGATE(15,6,(ROW(Management!$B$3:$B$50)-ROW(Management!$B$3)+1)/((IF(Management!$C$3:$C$50="Unlimited",10^15,Management!$C$3:$C$50))&gt;='1'!$I35),COLUMN(T34))),"")</f>
        <v>Jawad Aziz</v>
      </c>
    </row>
    <row r="36" spans="1:20">
      <c r="A36" t="str">
        <f>IFERROR(INDEX(Management!$B$3:$B$50,_xlfn.AGGREGATE(15,6,(ROW(Management!$B$3:$B$50)-ROW(Management!$B$3)+1)/((IF(Management!$C$3:$C$50="Unlimited",10^15,Management!$C$3:$C$50))&gt;='1'!$I36),COLUMN(A35))),"")</f>
        <v>Muhammad Usman</v>
      </c>
      <c r="B36" t="str">
        <f>IFERROR(INDEX(Management!$B$3:$B$50,_xlfn.AGGREGATE(15,6,(ROW(Management!$B$3:$B$50)-ROW(Management!$B$3)+1)/((IF(Management!$C$3:$C$50="Unlimited",10^15,Management!$C$3:$C$50))&gt;='1'!$I36),COLUMN(B35))),"")</f>
        <v>Nadeem Hussain</v>
      </c>
      <c r="C36" t="str">
        <f>IFERROR(INDEX(Management!$B$3:$B$50,_xlfn.AGGREGATE(15,6,(ROW(Management!$B$3:$B$50)-ROW(Management!$B$3)+1)/((IF(Management!$C$3:$C$50="Unlimited",10^15,Management!$C$3:$C$50))&gt;='1'!$I36),COLUMN(C35))),"")</f>
        <v>Allah Ditta</v>
      </c>
      <c r="D36" t="str">
        <f>IFERROR(INDEX(Management!$B$3:$B$50,_xlfn.AGGREGATE(15,6,(ROW(Management!$B$3:$B$50)-ROW(Management!$B$3)+1)/((IF(Management!$C$3:$C$50="Unlimited",10^15,Management!$C$3:$C$50))&gt;='1'!$I36),COLUMN(D35))),"")</f>
        <v>Mehmood Ahmed</v>
      </c>
      <c r="E36" t="str">
        <f>IFERROR(INDEX(Management!$B$3:$B$50,_xlfn.AGGREGATE(15,6,(ROW(Management!$B$3:$B$50)-ROW(Management!$B$3)+1)/((IF(Management!$C$3:$C$50="Unlimited",10^15,Management!$C$3:$C$50))&gt;='1'!$I36),COLUMN(E35))),"")</f>
        <v>Tasawar Abbas</v>
      </c>
      <c r="F36" t="str">
        <f>IFERROR(INDEX(Management!$B$3:$B$50,_xlfn.AGGREGATE(15,6,(ROW(Management!$B$3:$B$50)-ROW(Management!$B$3)+1)/((IF(Management!$C$3:$C$50="Unlimited",10^15,Management!$C$3:$C$50))&gt;='1'!$I36),COLUMN(F35))),"")</f>
        <v>Muhammad Farhan</v>
      </c>
      <c r="G36" t="str">
        <f>IFERROR(INDEX(Management!$B$3:$B$50,_xlfn.AGGREGATE(15,6,(ROW(Management!$B$3:$B$50)-ROW(Management!$B$3)+1)/((IF(Management!$C$3:$C$50="Unlimited",10^15,Management!$C$3:$C$50))&gt;='1'!$I36),COLUMN(G35))),"")</f>
        <v>Shahzaib Ali</v>
      </c>
      <c r="H36" t="str">
        <f>IFERROR(INDEX(Management!$B$3:$B$50,_xlfn.AGGREGATE(15,6,(ROW(Management!$B$3:$B$50)-ROW(Management!$B$3)+1)/((IF(Management!$C$3:$C$50="Unlimited",10^15,Management!$C$3:$C$50))&gt;='1'!$I36),COLUMN(H35))),"")</f>
        <v>Waseem Raza</v>
      </c>
      <c r="I36" t="str">
        <f>IFERROR(INDEX(Management!$B$3:$B$50,_xlfn.AGGREGATE(15,6,(ROW(Management!$B$3:$B$50)-ROW(Management!$B$3)+1)/((IF(Management!$C$3:$C$50="Unlimited",10^15,Management!$C$3:$C$50))&gt;='1'!$I36),COLUMN(I35))),"")</f>
        <v>Muhammad Majeed</v>
      </c>
      <c r="J36" t="str">
        <f>IFERROR(INDEX(Management!$B$3:$B$50,_xlfn.AGGREGATE(15,6,(ROW(Management!$B$3:$B$50)-ROW(Management!$B$3)+1)/((IF(Management!$C$3:$C$50="Unlimited",10^15,Management!$C$3:$C$50))&gt;='1'!$I36),COLUMN(J35))),"")</f>
        <v>Shoukat Mahmood</v>
      </c>
      <c r="K36" t="str">
        <f>IFERROR(INDEX(Management!$B$3:$B$50,_xlfn.AGGREGATE(15,6,(ROW(Management!$B$3:$B$50)-ROW(Management!$B$3)+1)/((IF(Management!$C$3:$C$50="Unlimited",10^15,Management!$C$3:$C$50))&gt;='1'!$I36),COLUMN(K35))),"")</f>
        <v>Naveed Kamal</v>
      </c>
      <c r="L36" t="str">
        <f>IFERROR(INDEX(Management!$B$3:$B$50,_xlfn.AGGREGATE(15,6,(ROW(Management!$B$3:$B$50)-ROW(Management!$B$3)+1)/((IF(Management!$C$3:$C$50="Unlimited",10^15,Management!$C$3:$C$50))&gt;='1'!$I36),COLUMN(L35))),"")</f>
        <v>Raza Ali</v>
      </c>
      <c r="M36" t="str">
        <f>IFERROR(INDEX(Management!$B$3:$B$50,_xlfn.AGGREGATE(15,6,(ROW(Management!$B$3:$B$50)-ROW(Management!$B$3)+1)/((IF(Management!$C$3:$C$50="Unlimited",10^15,Management!$C$3:$C$50))&gt;='1'!$I36),COLUMN(M35))),"")</f>
        <v>Alfqar</v>
      </c>
      <c r="N36" t="str">
        <f>IFERROR(INDEX(Management!$B$3:$B$50,_xlfn.AGGREGATE(15,6,(ROW(Management!$B$3:$B$50)-ROW(Management!$B$3)+1)/((IF(Management!$C$3:$C$50="Unlimited",10^15,Management!$C$3:$C$50))&gt;='1'!$I36),COLUMN(N35))),"")</f>
        <v>Sheraz Ahmed</v>
      </c>
      <c r="O36" t="str">
        <f>IFERROR(INDEX(Management!$B$3:$B$50,_xlfn.AGGREGATE(15,6,(ROW(Management!$B$3:$B$50)-ROW(Management!$B$3)+1)/((IF(Management!$C$3:$C$50="Unlimited",10^15,Management!$C$3:$C$50))&gt;='1'!$I36),COLUMN(O35))),"")</f>
        <v>Faisal Kausar</v>
      </c>
      <c r="P36" t="str">
        <f>IFERROR(INDEX(Management!$B$3:$B$50,_xlfn.AGGREGATE(15,6,(ROW(Management!$B$3:$B$50)-ROW(Management!$B$3)+1)/((IF(Management!$C$3:$C$50="Unlimited",10^15,Management!$C$3:$C$50))&gt;='1'!$I36),COLUMN(P35))),"")</f>
        <v>Muhammad Faisal</v>
      </c>
      <c r="Q36" t="str">
        <f>IFERROR(INDEX(Management!$B$3:$B$50,_xlfn.AGGREGATE(15,6,(ROW(Management!$B$3:$B$50)-ROW(Management!$B$3)+1)/((IF(Management!$C$3:$C$50="Unlimited",10^15,Management!$C$3:$C$50))&gt;='1'!$I36),COLUMN(Q35))),"")</f>
        <v>Sumair Hamza</v>
      </c>
      <c r="R36" t="str">
        <f>IFERROR(INDEX(Management!$B$3:$B$50,_xlfn.AGGREGATE(15,6,(ROW(Management!$B$3:$B$50)-ROW(Management!$B$3)+1)/((IF(Management!$C$3:$C$50="Unlimited",10^15,Management!$C$3:$C$50))&gt;='1'!$I36),COLUMN(R35))),"")</f>
        <v>Muhammad Ali</v>
      </c>
      <c r="S36" t="str">
        <f>IFERROR(INDEX(Management!$B$3:$B$50,_xlfn.AGGREGATE(15,6,(ROW(Management!$B$3:$B$50)-ROW(Management!$B$3)+1)/((IF(Management!$C$3:$C$50="Unlimited",10^15,Management!$C$3:$C$50))&gt;='1'!$I36),COLUMN(S35))),"")</f>
        <v>Muhammad Ali</v>
      </c>
      <c r="T36" t="str">
        <f>IFERROR(INDEX(Management!$B$3:$B$50,_xlfn.AGGREGATE(15,6,(ROW(Management!$B$3:$B$50)-ROW(Management!$B$3)+1)/((IF(Management!$C$3:$C$50="Unlimited",10^15,Management!$C$3:$C$50))&gt;='1'!$I36),COLUMN(T35))),"")</f>
        <v>Jawad Aziz</v>
      </c>
    </row>
    <row r="37" spans="1:20">
      <c r="A37" t="str">
        <f>IFERROR(INDEX(Management!$B$3:$B$50,_xlfn.AGGREGATE(15,6,(ROW(Management!$B$3:$B$50)-ROW(Management!$B$3)+1)/((IF(Management!$C$3:$C$50="Unlimited",10^15,Management!$C$3:$C$50))&gt;='1'!$I37),COLUMN(A36))),"")</f>
        <v>Muhammad Usman</v>
      </c>
      <c r="B37" t="str">
        <f>IFERROR(INDEX(Management!$B$3:$B$50,_xlfn.AGGREGATE(15,6,(ROW(Management!$B$3:$B$50)-ROW(Management!$B$3)+1)/((IF(Management!$C$3:$C$50="Unlimited",10^15,Management!$C$3:$C$50))&gt;='1'!$I37),COLUMN(B36))),"")</f>
        <v>Nadeem Hussain</v>
      </c>
      <c r="C37" t="str">
        <f>IFERROR(INDEX(Management!$B$3:$B$50,_xlfn.AGGREGATE(15,6,(ROW(Management!$B$3:$B$50)-ROW(Management!$B$3)+1)/((IF(Management!$C$3:$C$50="Unlimited",10^15,Management!$C$3:$C$50))&gt;='1'!$I37),COLUMN(C36))),"")</f>
        <v>Allah Ditta</v>
      </c>
      <c r="D37" t="str">
        <f>IFERROR(INDEX(Management!$B$3:$B$50,_xlfn.AGGREGATE(15,6,(ROW(Management!$B$3:$B$50)-ROW(Management!$B$3)+1)/((IF(Management!$C$3:$C$50="Unlimited",10^15,Management!$C$3:$C$50))&gt;='1'!$I37),COLUMN(D36))),"")</f>
        <v>Mehmood Ahmed</v>
      </c>
      <c r="E37" t="str">
        <f>IFERROR(INDEX(Management!$B$3:$B$50,_xlfn.AGGREGATE(15,6,(ROW(Management!$B$3:$B$50)-ROW(Management!$B$3)+1)/((IF(Management!$C$3:$C$50="Unlimited",10^15,Management!$C$3:$C$50))&gt;='1'!$I37),COLUMN(E36))),"")</f>
        <v>Tasawar Abbas</v>
      </c>
      <c r="F37" t="str">
        <f>IFERROR(INDEX(Management!$B$3:$B$50,_xlfn.AGGREGATE(15,6,(ROW(Management!$B$3:$B$50)-ROW(Management!$B$3)+1)/((IF(Management!$C$3:$C$50="Unlimited",10^15,Management!$C$3:$C$50))&gt;='1'!$I37),COLUMN(F36))),"")</f>
        <v>Muhammad Farhan</v>
      </c>
      <c r="G37" t="str">
        <f>IFERROR(INDEX(Management!$B$3:$B$50,_xlfn.AGGREGATE(15,6,(ROW(Management!$B$3:$B$50)-ROW(Management!$B$3)+1)/((IF(Management!$C$3:$C$50="Unlimited",10^15,Management!$C$3:$C$50))&gt;='1'!$I37),COLUMN(G36))),"")</f>
        <v>Shahzaib Ali</v>
      </c>
      <c r="H37" t="str">
        <f>IFERROR(INDEX(Management!$B$3:$B$50,_xlfn.AGGREGATE(15,6,(ROW(Management!$B$3:$B$50)-ROW(Management!$B$3)+1)/((IF(Management!$C$3:$C$50="Unlimited",10^15,Management!$C$3:$C$50))&gt;='1'!$I37),COLUMN(H36))),"")</f>
        <v>Waseem Raza</v>
      </c>
      <c r="I37" t="str">
        <f>IFERROR(INDEX(Management!$B$3:$B$50,_xlfn.AGGREGATE(15,6,(ROW(Management!$B$3:$B$50)-ROW(Management!$B$3)+1)/((IF(Management!$C$3:$C$50="Unlimited",10^15,Management!$C$3:$C$50))&gt;='1'!$I37),COLUMN(I36))),"")</f>
        <v>Muhammad Majeed</v>
      </c>
      <c r="J37" t="str">
        <f>IFERROR(INDEX(Management!$B$3:$B$50,_xlfn.AGGREGATE(15,6,(ROW(Management!$B$3:$B$50)-ROW(Management!$B$3)+1)/((IF(Management!$C$3:$C$50="Unlimited",10^15,Management!$C$3:$C$50))&gt;='1'!$I37),COLUMN(J36))),"")</f>
        <v>Shoukat Mahmood</v>
      </c>
      <c r="K37" t="str">
        <f>IFERROR(INDEX(Management!$B$3:$B$50,_xlfn.AGGREGATE(15,6,(ROW(Management!$B$3:$B$50)-ROW(Management!$B$3)+1)/((IF(Management!$C$3:$C$50="Unlimited",10^15,Management!$C$3:$C$50))&gt;='1'!$I37),COLUMN(K36))),"")</f>
        <v>Naveed Kamal</v>
      </c>
      <c r="L37" t="str">
        <f>IFERROR(INDEX(Management!$B$3:$B$50,_xlfn.AGGREGATE(15,6,(ROW(Management!$B$3:$B$50)-ROW(Management!$B$3)+1)/((IF(Management!$C$3:$C$50="Unlimited",10^15,Management!$C$3:$C$50))&gt;='1'!$I37),COLUMN(L36))),"")</f>
        <v>Raza Ali</v>
      </c>
      <c r="M37" t="str">
        <f>IFERROR(INDEX(Management!$B$3:$B$50,_xlfn.AGGREGATE(15,6,(ROW(Management!$B$3:$B$50)-ROW(Management!$B$3)+1)/((IF(Management!$C$3:$C$50="Unlimited",10^15,Management!$C$3:$C$50))&gt;='1'!$I37),COLUMN(M36))),"")</f>
        <v>Alfqar</v>
      </c>
      <c r="N37" t="str">
        <f>IFERROR(INDEX(Management!$B$3:$B$50,_xlfn.AGGREGATE(15,6,(ROW(Management!$B$3:$B$50)-ROW(Management!$B$3)+1)/((IF(Management!$C$3:$C$50="Unlimited",10^15,Management!$C$3:$C$50))&gt;='1'!$I37),COLUMN(N36))),"")</f>
        <v>Sheraz Ahmed</v>
      </c>
      <c r="O37" t="str">
        <f>IFERROR(INDEX(Management!$B$3:$B$50,_xlfn.AGGREGATE(15,6,(ROW(Management!$B$3:$B$50)-ROW(Management!$B$3)+1)/((IF(Management!$C$3:$C$50="Unlimited",10^15,Management!$C$3:$C$50))&gt;='1'!$I37),COLUMN(O36))),"")</f>
        <v>Faisal Kausar</v>
      </c>
      <c r="P37" t="str">
        <f>IFERROR(INDEX(Management!$B$3:$B$50,_xlfn.AGGREGATE(15,6,(ROW(Management!$B$3:$B$50)-ROW(Management!$B$3)+1)/((IF(Management!$C$3:$C$50="Unlimited",10^15,Management!$C$3:$C$50))&gt;='1'!$I37),COLUMN(P36))),"")</f>
        <v>Muhammad Faisal</v>
      </c>
      <c r="Q37" t="str">
        <f>IFERROR(INDEX(Management!$B$3:$B$50,_xlfn.AGGREGATE(15,6,(ROW(Management!$B$3:$B$50)-ROW(Management!$B$3)+1)/((IF(Management!$C$3:$C$50="Unlimited",10^15,Management!$C$3:$C$50))&gt;='1'!$I37),COLUMN(Q36))),"")</f>
        <v>Sumair Hamza</v>
      </c>
      <c r="R37" t="str">
        <f>IFERROR(INDEX(Management!$B$3:$B$50,_xlfn.AGGREGATE(15,6,(ROW(Management!$B$3:$B$50)-ROW(Management!$B$3)+1)/((IF(Management!$C$3:$C$50="Unlimited",10^15,Management!$C$3:$C$50))&gt;='1'!$I37),COLUMN(R36))),"")</f>
        <v>Muhammad Ali</v>
      </c>
      <c r="S37" t="str">
        <f>IFERROR(INDEX(Management!$B$3:$B$50,_xlfn.AGGREGATE(15,6,(ROW(Management!$B$3:$B$50)-ROW(Management!$B$3)+1)/((IF(Management!$C$3:$C$50="Unlimited",10^15,Management!$C$3:$C$50))&gt;='1'!$I37),COLUMN(S36))),"")</f>
        <v>Muhammad Ali</v>
      </c>
      <c r="T37" t="str">
        <f>IFERROR(INDEX(Management!$B$3:$B$50,_xlfn.AGGREGATE(15,6,(ROW(Management!$B$3:$B$50)-ROW(Management!$B$3)+1)/((IF(Management!$C$3:$C$50="Unlimited",10^15,Management!$C$3:$C$50))&gt;='1'!$I37),COLUMN(T36))),"")</f>
        <v>Jawad Aziz</v>
      </c>
    </row>
    <row r="38" spans="1:20">
      <c r="A38" t="str">
        <f>IFERROR(INDEX(Management!$B$3:$B$50,_xlfn.AGGREGATE(15,6,(ROW(Management!$B$3:$B$50)-ROW(Management!$B$3)+1)/((IF(Management!$C$3:$C$50="Unlimited",10^15,Management!$C$3:$C$50))&gt;='1'!$I38),COLUMN(A37))),"")</f>
        <v>Muhammad Usman</v>
      </c>
      <c r="B38" t="str">
        <f>IFERROR(INDEX(Management!$B$3:$B$50,_xlfn.AGGREGATE(15,6,(ROW(Management!$B$3:$B$50)-ROW(Management!$B$3)+1)/((IF(Management!$C$3:$C$50="Unlimited",10^15,Management!$C$3:$C$50))&gt;='1'!$I38),COLUMN(B37))),"")</f>
        <v>Nadeem Hussain</v>
      </c>
      <c r="C38" t="str">
        <f>IFERROR(INDEX(Management!$B$3:$B$50,_xlfn.AGGREGATE(15,6,(ROW(Management!$B$3:$B$50)-ROW(Management!$B$3)+1)/((IF(Management!$C$3:$C$50="Unlimited",10^15,Management!$C$3:$C$50))&gt;='1'!$I38),COLUMN(C37))),"")</f>
        <v>Allah Ditta</v>
      </c>
      <c r="D38" t="str">
        <f>IFERROR(INDEX(Management!$B$3:$B$50,_xlfn.AGGREGATE(15,6,(ROW(Management!$B$3:$B$50)-ROW(Management!$B$3)+1)/((IF(Management!$C$3:$C$50="Unlimited",10^15,Management!$C$3:$C$50))&gt;='1'!$I38),COLUMN(D37))),"")</f>
        <v>Mehmood Ahmed</v>
      </c>
      <c r="E38" t="str">
        <f>IFERROR(INDEX(Management!$B$3:$B$50,_xlfn.AGGREGATE(15,6,(ROW(Management!$B$3:$B$50)-ROW(Management!$B$3)+1)/((IF(Management!$C$3:$C$50="Unlimited",10^15,Management!$C$3:$C$50))&gt;='1'!$I38),COLUMN(E37))),"")</f>
        <v>Tasawar Abbas</v>
      </c>
      <c r="F38" t="str">
        <f>IFERROR(INDEX(Management!$B$3:$B$50,_xlfn.AGGREGATE(15,6,(ROW(Management!$B$3:$B$50)-ROW(Management!$B$3)+1)/((IF(Management!$C$3:$C$50="Unlimited",10^15,Management!$C$3:$C$50))&gt;='1'!$I38),COLUMN(F37))),"")</f>
        <v>Muhammad Farhan</v>
      </c>
      <c r="G38" t="str">
        <f>IFERROR(INDEX(Management!$B$3:$B$50,_xlfn.AGGREGATE(15,6,(ROW(Management!$B$3:$B$50)-ROW(Management!$B$3)+1)/((IF(Management!$C$3:$C$50="Unlimited",10^15,Management!$C$3:$C$50))&gt;='1'!$I38),COLUMN(G37))),"")</f>
        <v>Shahzaib Ali</v>
      </c>
      <c r="H38" t="str">
        <f>IFERROR(INDEX(Management!$B$3:$B$50,_xlfn.AGGREGATE(15,6,(ROW(Management!$B$3:$B$50)-ROW(Management!$B$3)+1)/((IF(Management!$C$3:$C$50="Unlimited",10^15,Management!$C$3:$C$50))&gt;='1'!$I38),COLUMN(H37))),"")</f>
        <v>Waseem Raza</v>
      </c>
      <c r="I38" t="str">
        <f>IFERROR(INDEX(Management!$B$3:$B$50,_xlfn.AGGREGATE(15,6,(ROW(Management!$B$3:$B$50)-ROW(Management!$B$3)+1)/((IF(Management!$C$3:$C$50="Unlimited",10^15,Management!$C$3:$C$50))&gt;='1'!$I38),COLUMN(I37))),"")</f>
        <v>Muhammad Majeed</v>
      </c>
      <c r="J38" t="str">
        <f>IFERROR(INDEX(Management!$B$3:$B$50,_xlfn.AGGREGATE(15,6,(ROW(Management!$B$3:$B$50)-ROW(Management!$B$3)+1)/((IF(Management!$C$3:$C$50="Unlimited",10^15,Management!$C$3:$C$50))&gt;='1'!$I38),COLUMN(J37))),"")</f>
        <v>Shoukat Mahmood</v>
      </c>
      <c r="K38" t="str">
        <f>IFERROR(INDEX(Management!$B$3:$B$50,_xlfn.AGGREGATE(15,6,(ROW(Management!$B$3:$B$50)-ROW(Management!$B$3)+1)/((IF(Management!$C$3:$C$50="Unlimited",10^15,Management!$C$3:$C$50))&gt;='1'!$I38),COLUMN(K37))),"")</f>
        <v>Naveed Kamal</v>
      </c>
      <c r="L38" t="str">
        <f>IFERROR(INDEX(Management!$B$3:$B$50,_xlfn.AGGREGATE(15,6,(ROW(Management!$B$3:$B$50)-ROW(Management!$B$3)+1)/((IF(Management!$C$3:$C$50="Unlimited",10^15,Management!$C$3:$C$50))&gt;='1'!$I38),COLUMN(L37))),"")</f>
        <v>Raza Ali</v>
      </c>
      <c r="M38" t="str">
        <f>IFERROR(INDEX(Management!$B$3:$B$50,_xlfn.AGGREGATE(15,6,(ROW(Management!$B$3:$B$50)-ROW(Management!$B$3)+1)/((IF(Management!$C$3:$C$50="Unlimited",10^15,Management!$C$3:$C$50))&gt;='1'!$I38),COLUMN(M37))),"")</f>
        <v>Alfqar</v>
      </c>
      <c r="N38" t="str">
        <f>IFERROR(INDEX(Management!$B$3:$B$50,_xlfn.AGGREGATE(15,6,(ROW(Management!$B$3:$B$50)-ROW(Management!$B$3)+1)/((IF(Management!$C$3:$C$50="Unlimited",10^15,Management!$C$3:$C$50))&gt;='1'!$I38),COLUMN(N37))),"")</f>
        <v>Sheraz Ahmed</v>
      </c>
      <c r="O38" t="str">
        <f>IFERROR(INDEX(Management!$B$3:$B$50,_xlfn.AGGREGATE(15,6,(ROW(Management!$B$3:$B$50)-ROW(Management!$B$3)+1)/((IF(Management!$C$3:$C$50="Unlimited",10^15,Management!$C$3:$C$50))&gt;='1'!$I38),COLUMN(O37))),"")</f>
        <v>Faisal Kausar</v>
      </c>
      <c r="P38" t="str">
        <f>IFERROR(INDEX(Management!$B$3:$B$50,_xlfn.AGGREGATE(15,6,(ROW(Management!$B$3:$B$50)-ROW(Management!$B$3)+1)/((IF(Management!$C$3:$C$50="Unlimited",10^15,Management!$C$3:$C$50))&gt;='1'!$I38),COLUMN(P37))),"")</f>
        <v>Muhammad Faisal</v>
      </c>
      <c r="Q38" t="str">
        <f>IFERROR(INDEX(Management!$B$3:$B$50,_xlfn.AGGREGATE(15,6,(ROW(Management!$B$3:$B$50)-ROW(Management!$B$3)+1)/((IF(Management!$C$3:$C$50="Unlimited",10^15,Management!$C$3:$C$50))&gt;='1'!$I38),COLUMN(Q37))),"")</f>
        <v>Sumair Hamza</v>
      </c>
      <c r="R38" t="str">
        <f>IFERROR(INDEX(Management!$B$3:$B$50,_xlfn.AGGREGATE(15,6,(ROW(Management!$B$3:$B$50)-ROW(Management!$B$3)+1)/((IF(Management!$C$3:$C$50="Unlimited",10^15,Management!$C$3:$C$50))&gt;='1'!$I38),COLUMN(R37))),"")</f>
        <v>Muhammad Ali</v>
      </c>
      <c r="S38" t="str">
        <f>IFERROR(INDEX(Management!$B$3:$B$50,_xlfn.AGGREGATE(15,6,(ROW(Management!$B$3:$B$50)-ROW(Management!$B$3)+1)/((IF(Management!$C$3:$C$50="Unlimited",10^15,Management!$C$3:$C$50))&gt;='1'!$I38),COLUMN(S37))),"")</f>
        <v>Muhammad Ali</v>
      </c>
      <c r="T38" t="str">
        <f>IFERROR(INDEX(Management!$B$3:$B$50,_xlfn.AGGREGATE(15,6,(ROW(Management!$B$3:$B$50)-ROW(Management!$B$3)+1)/((IF(Management!$C$3:$C$50="Unlimited",10^15,Management!$C$3:$C$50))&gt;='1'!$I38),COLUMN(T37))),"")</f>
        <v>Jawad Aziz</v>
      </c>
    </row>
    <row r="39" spans="1:20">
      <c r="A39" t="str">
        <f>IFERROR(INDEX(Management!$B$3:$B$50,_xlfn.AGGREGATE(15,6,(ROW(Management!$B$3:$B$50)-ROW(Management!$B$3)+1)/((IF(Management!$C$3:$C$50="Unlimited",10^15,Management!$C$3:$C$50))&gt;='1'!$I39),COLUMN(A38))),"")</f>
        <v>Muhammad Usman</v>
      </c>
      <c r="B39" t="str">
        <f>IFERROR(INDEX(Management!$B$3:$B$50,_xlfn.AGGREGATE(15,6,(ROW(Management!$B$3:$B$50)-ROW(Management!$B$3)+1)/((IF(Management!$C$3:$C$50="Unlimited",10^15,Management!$C$3:$C$50))&gt;='1'!$I39),COLUMN(B38))),"")</f>
        <v>Nadeem Hussain</v>
      </c>
      <c r="C39" t="str">
        <f>IFERROR(INDEX(Management!$B$3:$B$50,_xlfn.AGGREGATE(15,6,(ROW(Management!$B$3:$B$50)-ROW(Management!$B$3)+1)/((IF(Management!$C$3:$C$50="Unlimited",10^15,Management!$C$3:$C$50))&gt;='1'!$I39),COLUMN(C38))),"")</f>
        <v>Allah Ditta</v>
      </c>
      <c r="D39" t="str">
        <f>IFERROR(INDEX(Management!$B$3:$B$50,_xlfn.AGGREGATE(15,6,(ROW(Management!$B$3:$B$50)-ROW(Management!$B$3)+1)/((IF(Management!$C$3:$C$50="Unlimited",10^15,Management!$C$3:$C$50))&gt;='1'!$I39),COLUMN(D38))),"")</f>
        <v>Mehmood Ahmed</v>
      </c>
      <c r="E39" t="str">
        <f>IFERROR(INDEX(Management!$B$3:$B$50,_xlfn.AGGREGATE(15,6,(ROW(Management!$B$3:$B$50)-ROW(Management!$B$3)+1)/((IF(Management!$C$3:$C$50="Unlimited",10^15,Management!$C$3:$C$50))&gt;='1'!$I39),COLUMN(E38))),"")</f>
        <v>Tasawar Abbas</v>
      </c>
      <c r="F39" t="str">
        <f>IFERROR(INDEX(Management!$B$3:$B$50,_xlfn.AGGREGATE(15,6,(ROW(Management!$B$3:$B$50)-ROW(Management!$B$3)+1)/((IF(Management!$C$3:$C$50="Unlimited",10^15,Management!$C$3:$C$50))&gt;='1'!$I39),COLUMN(F38))),"")</f>
        <v>Muhammad Farhan</v>
      </c>
      <c r="G39" t="str">
        <f>IFERROR(INDEX(Management!$B$3:$B$50,_xlfn.AGGREGATE(15,6,(ROW(Management!$B$3:$B$50)-ROW(Management!$B$3)+1)/((IF(Management!$C$3:$C$50="Unlimited",10^15,Management!$C$3:$C$50))&gt;='1'!$I39),COLUMN(G38))),"")</f>
        <v>Shahzaib Ali</v>
      </c>
      <c r="H39" t="str">
        <f>IFERROR(INDEX(Management!$B$3:$B$50,_xlfn.AGGREGATE(15,6,(ROW(Management!$B$3:$B$50)-ROW(Management!$B$3)+1)/((IF(Management!$C$3:$C$50="Unlimited",10^15,Management!$C$3:$C$50))&gt;='1'!$I39),COLUMN(H38))),"")</f>
        <v>Waseem Raza</v>
      </c>
      <c r="I39" t="str">
        <f>IFERROR(INDEX(Management!$B$3:$B$50,_xlfn.AGGREGATE(15,6,(ROW(Management!$B$3:$B$50)-ROW(Management!$B$3)+1)/((IF(Management!$C$3:$C$50="Unlimited",10^15,Management!$C$3:$C$50))&gt;='1'!$I39),COLUMN(I38))),"")</f>
        <v>Muhammad Majeed</v>
      </c>
      <c r="J39" t="str">
        <f>IFERROR(INDEX(Management!$B$3:$B$50,_xlfn.AGGREGATE(15,6,(ROW(Management!$B$3:$B$50)-ROW(Management!$B$3)+1)/((IF(Management!$C$3:$C$50="Unlimited",10^15,Management!$C$3:$C$50))&gt;='1'!$I39),COLUMN(J38))),"")</f>
        <v>Shoukat Mahmood</v>
      </c>
      <c r="K39" t="str">
        <f>IFERROR(INDEX(Management!$B$3:$B$50,_xlfn.AGGREGATE(15,6,(ROW(Management!$B$3:$B$50)-ROW(Management!$B$3)+1)/((IF(Management!$C$3:$C$50="Unlimited",10^15,Management!$C$3:$C$50))&gt;='1'!$I39),COLUMN(K38))),"")</f>
        <v>Naveed Kamal</v>
      </c>
      <c r="L39" t="str">
        <f>IFERROR(INDEX(Management!$B$3:$B$50,_xlfn.AGGREGATE(15,6,(ROW(Management!$B$3:$B$50)-ROW(Management!$B$3)+1)/((IF(Management!$C$3:$C$50="Unlimited",10^15,Management!$C$3:$C$50))&gt;='1'!$I39),COLUMN(L38))),"")</f>
        <v>Raza Ali</v>
      </c>
      <c r="M39" t="str">
        <f>IFERROR(INDEX(Management!$B$3:$B$50,_xlfn.AGGREGATE(15,6,(ROW(Management!$B$3:$B$50)-ROW(Management!$B$3)+1)/((IF(Management!$C$3:$C$50="Unlimited",10^15,Management!$C$3:$C$50))&gt;='1'!$I39),COLUMN(M38))),"")</f>
        <v>Alfqar</v>
      </c>
      <c r="N39" t="str">
        <f>IFERROR(INDEX(Management!$B$3:$B$50,_xlfn.AGGREGATE(15,6,(ROW(Management!$B$3:$B$50)-ROW(Management!$B$3)+1)/((IF(Management!$C$3:$C$50="Unlimited",10^15,Management!$C$3:$C$50))&gt;='1'!$I39),COLUMN(N38))),"")</f>
        <v>Sheraz Ahmed</v>
      </c>
      <c r="O39" t="str">
        <f>IFERROR(INDEX(Management!$B$3:$B$50,_xlfn.AGGREGATE(15,6,(ROW(Management!$B$3:$B$50)-ROW(Management!$B$3)+1)/((IF(Management!$C$3:$C$50="Unlimited",10^15,Management!$C$3:$C$50))&gt;='1'!$I39),COLUMN(O38))),"")</f>
        <v>Faisal Kausar</v>
      </c>
      <c r="P39" t="str">
        <f>IFERROR(INDEX(Management!$B$3:$B$50,_xlfn.AGGREGATE(15,6,(ROW(Management!$B$3:$B$50)-ROW(Management!$B$3)+1)/((IF(Management!$C$3:$C$50="Unlimited",10^15,Management!$C$3:$C$50))&gt;='1'!$I39),COLUMN(P38))),"")</f>
        <v>Muhammad Faisal</v>
      </c>
      <c r="Q39" t="str">
        <f>IFERROR(INDEX(Management!$B$3:$B$50,_xlfn.AGGREGATE(15,6,(ROW(Management!$B$3:$B$50)-ROW(Management!$B$3)+1)/((IF(Management!$C$3:$C$50="Unlimited",10^15,Management!$C$3:$C$50))&gt;='1'!$I39),COLUMN(Q38))),"")</f>
        <v>Sumair Hamza</v>
      </c>
      <c r="R39" t="str">
        <f>IFERROR(INDEX(Management!$B$3:$B$50,_xlfn.AGGREGATE(15,6,(ROW(Management!$B$3:$B$50)-ROW(Management!$B$3)+1)/((IF(Management!$C$3:$C$50="Unlimited",10^15,Management!$C$3:$C$50))&gt;='1'!$I39),COLUMN(R38))),"")</f>
        <v>Muhammad Ali</v>
      </c>
      <c r="S39" t="str">
        <f>IFERROR(INDEX(Management!$B$3:$B$50,_xlfn.AGGREGATE(15,6,(ROW(Management!$B$3:$B$50)-ROW(Management!$B$3)+1)/((IF(Management!$C$3:$C$50="Unlimited",10^15,Management!$C$3:$C$50))&gt;='1'!$I39),COLUMN(S38))),"")</f>
        <v>Muhammad Ali</v>
      </c>
      <c r="T39" t="str">
        <f>IFERROR(INDEX(Management!$B$3:$B$50,_xlfn.AGGREGATE(15,6,(ROW(Management!$B$3:$B$50)-ROW(Management!$B$3)+1)/((IF(Management!$C$3:$C$50="Unlimited",10^15,Management!$C$3:$C$50))&gt;='1'!$I39),COLUMN(T38))),"")</f>
        <v>Jawad Aziz</v>
      </c>
    </row>
    <row r="40" spans="1:20">
      <c r="A40" t="str">
        <f>IFERROR(INDEX(Management!$B$3:$B$50,_xlfn.AGGREGATE(15,6,(ROW(Management!$B$3:$B$50)-ROW(Management!$B$3)+1)/((IF(Management!$C$3:$C$50="Unlimited",10^15,Management!$C$3:$C$50))&gt;='1'!$I40),COLUMN(A39))),"")</f>
        <v>Muhammad Usman</v>
      </c>
      <c r="B40" t="str">
        <f>IFERROR(INDEX(Management!$B$3:$B$50,_xlfn.AGGREGATE(15,6,(ROW(Management!$B$3:$B$50)-ROW(Management!$B$3)+1)/((IF(Management!$C$3:$C$50="Unlimited",10^15,Management!$C$3:$C$50))&gt;='1'!$I40),COLUMN(B39))),"")</f>
        <v>Nadeem Hussain</v>
      </c>
      <c r="C40" t="str">
        <f>IFERROR(INDEX(Management!$B$3:$B$50,_xlfn.AGGREGATE(15,6,(ROW(Management!$B$3:$B$50)-ROW(Management!$B$3)+1)/((IF(Management!$C$3:$C$50="Unlimited",10^15,Management!$C$3:$C$50))&gt;='1'!$I40),COLUMN(C39))),"")</f>
        <v>Allah Ditta</v>
      </c>
      <c r="D40" t="str">
        <f>IFERROR(INDEX(Management!$B$3:$B$50,_xlfn.AGGREGATE(15,6,(ROW(Management!$B$3:$B$50)-ROW(Management!$B$3)+1)/((IF(Management!$C$3:$C$50="Unlimited",10^15,Management!$C$3:$C$50))&gt;='1'!$I40),COLUMN(D39))),"")</f>
        <v>Mehmood Ahmed</v>
      </c>
      <c r="E40" t="str">
        <f>IFERROR(INDEX(Management!$B$3:$B$50,_xlfn.AGGREGATE(15,6,(ROW(Management!$B$3:$B$50)-ROW(Management!$B$3)+1)/((IF(Management!$C$3:$C$50="Unlimited",10^15,Management!$C$3:$C$50))&gt;='1'!$I40),COLUMN(E39))),"")</f>
        <v>Tasawar Abbas</v>
      </c>
      <c r="F40" t="str">
        <f>IFERROR(INDEX(Management!$B$3:$B$50,_xlfn.AGGREGATE(15,6,(ROW(Management!$B$3:$B$50)-ROW(Management!$B$3)+1)/((IF(Management!$C$3:$C$50="Unlimited",10^15,Management!$C$3:$C$50))&gt;='1'!$I40),COLUMN(F39))),"")</f>
        <v>Muhammad Farhan</v>
      </c>
      <c r="G40" t="str">
        <f>IFERROR(INDEX(Management!$B$3:$B$50,_xlfn.AGGREGATE(15,6,(ROW(Management!$B$3:$B$50)-ROW(Management!$B$3)+1)/((IF(Management!$C$3:$C$50="Unlimited",10^15,Management!$C$3:$C$50))&gt;='1'!$I40),COLUMN(G39))),"")</f>
        <v>Shahzaib Ali</v>
      </c>
      <c r="H40" t="str">
        <f>IFERROR(INDEX(Management!$B$3:$B$50,_xlfn.AGGREGATE(15,6,(ROW(Management!$B$3:$B$50)-ROW(Management!$B$3)+1)/((IF(Management!$C$3:$C$50="Unlimited",10^15,Management!$C$3:$C$50))&gt;='1'!$I40),COLUMN(H39))),"")</f>
        <v>Waseem Raza</v>
      </c>
      <c r="I40" t="str">
        <f>IFERROR(INDEX(Management!$B$3:$B$50,_xlfn.AGGREGATE(15,6,(ROW(Management!$B$3:$B$50)-ROW(Management!$B$3)+1)/((IF(Management!$C$3:$C$50="Unlimited",10^15,Management!$C$3:$C$50))&gt;='1'!$I40),COLUMN(I39))),"")</f>
        <v>Muhammad Majeed</v>
      </c>
      <c r="J40" t="str">
        <f>IFERROR(INDEX(Management!$B$3:$B$50,_xlfn.AGGREGATE(15,6,(ROW(Management!$B$3:$B$50)-ROW(Management!$B$3)+1)/((IF(Management!$C$3:$C$50="Unlimited",10^15,Management!$C$3:$C$50))&gt;='1'!$I40),COLUMN(J39))),"")</f>
        <v>Shoukat Mahmood</v>
      </c>
      <c r="K40" t="str">
        <f>IFERROR(INDEX(Management!$B$3:$B$50,_xlfn.AGGREGATE(15,6,(ROW(Management!$B$3:$B$50)-ROW(Management!$B$3)+1)/((IF(Management!$C$3:$C$50="Unlimited",10^15,Management!$C$3:$C$50))&gt;='1'!$I40),COLUMN(K39))),"")</f>
        <v>Naveed Kamal</v>
      </c>
      <c r="L40" t="str">
        <f>IFERROR(INDEX(Management!$B$3:$B$50,_xlfn.AGGREGATE(15,6,(ROW(Management!$B$3:$B$50)-ROW(Management!$B$3)+1)/((IF(Management!$C$3:$C$50="Unlimited",10^15,Management!$C$3:$C$50))&gt;='1'!$I40),COLUMN(L39))),"")</f>
        <v>Raza Ali</v>
      </c>
      <c r="M40" t="str">
        <f>IFERROR(INDEX(Management!$B$3:$B$50,_xlfn.AGGREGATE(15,6,(ROW(Management!$B$3:$B$50)-ROW(Management!$B$3)+1)/((IF(Management!$C$3:$C$50="Unlimited",10^15,Management!$C$3:$C$50))&gt;='1'!$I40),COLUMN(M39))),"")</f>
        <v>Alfqar</v>
      </c>
      <c r="N40" t="str">
        <f>IFERROR(INDEX(Management!$B$3:$B$50,_xlfn.AGGREGATE(15,6,(ROW(Management!$B$3:$B$50)-ROW(Management!$B$3)+1)/((IF(Management!$C$3:$C$50="Unlimited",10^15,Management!$C$3:$C$50))&gt;='1'!$I40),COLUMN(N39))),"")</f>
        <v>Sheraz Ahmed</v>
      </c>
      <c r="O40" t="str">
        <f>IFERROR(INDEX(Management!$B$3:$B$50,_xlfn.AGGREGATE(15,6,(ROW(Management!$B$3:$B$50)-ROW(Management!$B$3)+1)/((IF(Management!$C$3:$C$50="Unlimited",10^15,Management!$C$3:$C$50))&gt;='1'!$I40),COLUMN(O39))),"")</f>
        <v>Faisal Kausar</v>
      </c>
      <c r="P40" t="str">
        <f>IFERROR(INDEX(Management!$B$3:$B$50,_xlfn.AGGREGATE(15,6,(ROW(Management!$B$3:$B$50)-ROW(Management!$B$3)+1)/((IF(Management!$C$3:$C$50="Unlimited",10^15,Management!$C$3:$C$50))&gt;='1'!$I40),COLUMN(P39))),"")</f>
        <v>Muhammad Faisal</v>
      </c>
      <c r="Q40" t="str">
        <f>IFERROR(INDEX(Management!$B$3:$B$50,_xlfn.AGGREGATE(15,6,(ROW(Management!$B$3:$B$50)-ROW(Management!$B$3)+1)/((IF(Management!$C$3:$C$50="Unlimited",10^15,Management!$C$3:$C$50))&gt;='1'!$I40),COLUMN(Q39))),"")</f>
        <v>Sumair Hamza</v>
      </c>
      <c r="R40" t="str">
        <f>IFERROR(INDEX(Management!$B$3:$B$50,_xlfn.AGGREGATE(15,6,(ROW(Management!$B$3:$B$50)-ROW(Management!$B$3)+1)/((IF(Management!$C$3:$C$50="Unlimited",10^15,Management!$C$3:$C$50))&gt;='1'!$I40),COLUMN(R39))),"")</f>
        <v>Muhammad Ali</v>
      </c>
      <c r="S40" t="str">
        <f>IFERROR(INDEX(Management!$B$3:$B$50,_xlfn.AGGREGATE(15,6,(ROW(Management!$B$3:$B$50)-ROW(Management!$B$3)+1)/((IF(Management!$C$3:$C$50="Unlimited",10^15,Management!$C$3:$C$50))&gt;='1'!$I40),COLUMN(S39))),"")</f>
        <v>Muhammad Ali</v>
      </c>
      <c r="T40" t="str">
        <f>IFERROR(INDEX(Management!$B$3:$B$50,_xlfn.AGGREGATE(15,6,(ROW(Management!$B$3:$B$50)-ROW(Management!$B$3)+1)/((IF(Management!$C$3:$C$50="Unlimited",10^15,Management!$C$3:$C$50))&gt;='1'!$I40),COLUMN(T39))),"")</f>
        <v>Jawad Aziz</v>
      </c>
    </row>
    <row r="41" spans="1:20">
      <c r="A41" t="str">
        <f>IFERROR(INDEX(Management!$B$3:$B$50,_xlfn.AGGREGATE(15,6,(ROW(Management!$B$3:$B$50)-ROW(Management!$B$3)+1)/((IF(Management!$C$3:$C$50="Unlimited",10^15,Management!$C$3:$C$50))&gt;='1'!$I41),COLUMN(A40))),"")</f>
        <v>Muhammad Usman</v>
      </c>
      <c r="B41" t="str">
        <f>IFERROR(INDEX(Management!$B$3:$B$50,_xlfn.AGGREGATE(15,6,(ROW(Management!$B$3:$B$50)-ROW(Management!$B$3)+1)/((IF(Management!$C$3:$C$50="Unlimited",10^15,Management!$C$3:$C$50))&gt;='1'!$I41),COLUMN(B40))),"")</f>
        <v>Nadeem Hussain</v>
      </c>
      <c r="C41" t="str">
        <f>IFERROR(INDEX(Management!$B$3:$B$50,_xlfn.AGGREGATE(15,6,(ROW(Management!$B$3:$B$50)-ROW(Management!$B$3)+1)/((IF(Management!$C$3:$C$50="Unlimited",10^15,Management!$C$3:$C$50))&gt;='1'!$I41),COLUMN(C40))),"")</f>
        <v>Allah Ditta</v>
      </c>
      <c r="D41" t="str">
        <f>IFERROR(INDEX(Management!$B$3:$B$50,_xlfn.AGGREGATE(15,6,(ROW(Management!$B$3:$B$50)-ROW(Management!$B$3)+1)/((IF(Management!$C$3:$C$50="Unlimited",10^15,Management!$C$3:$C$50))&gt;='1'!$I41),COLUMN(D40))),"")</f>
        <v>Mehmood Ahmed</v>
      </c>
      <c r="E41" t="str">
        <f>IFERROR(INDEX(Management!$B$3:$B$50,_xlfn.AGGREGATE(15,6,(ROW(Management!$B$3:$B$50)-ROW(Management!$B$3)+1)/((IF(Management!$C$3:$C$50="Unlimited",10^15,Management!$C$3:$C$50))&gt;='1'!$I41),COLUMN(E40))),"")</f>
        <v>Tasawar Abbas</v>
      </c>
      <c r="F41" t="str">
        <f>IFERROR(INDEX(Management!$B$3:$B$50,_xlfn.AGGREGATE(15,6,(ROW(Management!$B$3:$B$50)-ROW(Management!$B$3)+1)/((IF(Management!$C$3:$C$50="Unlimited",10^15,Management!$C$3:$C$50))&gt;='1'!$I41),COLUMN(F40))),"")</f>
        <v>Muhammad Farhan</v>
      </c>
      <c r="G41" t="str">
        <f>IFERROR(INDEX(Management!$B$3:$B$50,_xlfn.AGGREGATE(15,6,(ROW(Management!$B$3:$B$50)-ROW(Management!$B$3)+1)/((IF(Management!$C$3:$C$50="Unlimited",10^15,Management!$C$3:$C$50))&gt;='1'!$I41),COLUMN(G40))),"")</f>
        <v>Shahzaib Ali</v>
      </c>
      <c r="H41" t="str">
        <f>IFERROR(INDEX(Management!$B$3:$B$50,_xlfn.AGGREGATE(15,6,(ROW(Management!$B$3:$B$50)-ROW(Management!$B$3)+1)/((IF(Management!$C$3:$C$50="Unlimited",10^15,Management!$C$3:$C$50))&gt;='1'!$I41),COLUMN(H40))),"")</f>
        <v>Waseem Raza</v>
      </c>
      <c r="I41" t="str">
        <f>IFERROR(INDEX(Management!$B$3:$B$50,_xlfn.AGGREGATE(15,6,(ROW(Management!$B$3:$B$50)-ROW(Management!$B$3)+1)/((IF(Management!$C$3:$C$50="Unlimited",10^15,Management!$C$3:$C$50))&gt;='1'!$I41),COLUMN(I40))),"")</f>
        <v>Muhammad Majeed</v>
      </c>
      <c r="J41" t="str">
        <f>IFERROR(INDEX(Management!$B$3:$B$50,_xlfn.AGGREGATE(15,6,(ROW(Management!$B$3:$B$50)-ROW(Management!$B$3)+1)/((IF(Management!$C$3:$C$50="Unlimited",10^15,Management!$C$3:$C$50))&gt;='1'!$I41),COLUMN(J40))),"")</f>
        <v>Shoukat Mahmood</v>
      </c>
      <c r="K41" t="str">
        <f>IFERROR(INDEX(Management!$B$3:$B$50,_xlfn.AGGREGATE(15,6,(ROW(Management!$B$3:$B$50)-ROW(Management!$B$3)+1)/((IF(Management!$C$3:$C$50="Unlimited",10^15,Management!$C$3:$C$50))&gt;='1'!$I41),COLUMN(K40))),"")</f>
        <v>Naveed Kamal</v>
      </c>
      <c r="L41" t="str">
        <f>IFERROR(INDEX(Management!$B$3:$B$50,_xlfn.AGGREGATE(15,6,(ROW(Management!$B$3:$B$50)-ROW(Management!$B$3)+1)/((IF(Management!$C$3:$C$50="Unlimited",10^15,Management!$C$3:$C$50))&gt;='1'!$I41),COLUMN(L40))),"")</f>
        <v>Raza Ali</v>
      </c>
      <c r="M41" t="str">
        <f>IFERROR(INDEX(Management!$B$3:$B$50,_xlfn.AGGREGATE(15,6,(ROW(Management!$B$3:$B$50)-ROW(Management!$B$3)+1)/((IF(Management!$C$3:$C$50="Unlimited",10^15,Management!$C$3:$C$50))&gt;='1'!$I41),COLUMN(M40))),"")</f>
        <v>Alfqar</v>
      </c>
      <c r="N41" t="str">
        <f>IFERROR(INDEX(Management!$B$3:$B$50,_xlfn.AGGREGATE(15,6,(ROW(Management!$B$3:$B$50)-ROW(Management!$B$3)+1)/((IF(Management!$C$3:$C$50="Unlimited",10^15,Management!$C$3:$C$50))&gt;='1'!$I41),COLUMN(N40))),"")</f>
        <v>Sheraz Ahmed</v>
      </c>
      <c r="O41" t="str">
        <f>IFERROR(INDEX(Management!$B$3:$B$50,_xlfn.AGGREGATE(15,6,(ROW(Management!$B$3:$B$50)-ROW(Management!$B$3)+1)/((IF(Management!$C$3:$C$50="Unlimited",10^15,Management!$C$3:$C$50))&gt;='1'!$I41),COLUMN(O40))),"")</f>
        <v>Faisal Kausar</v>
      </c>
      <c r="P41" t="str">
        <f>IFERROR(INDEX(Management!$B$3:$B$50,_xlfn.AGGREGATE(15,6,(ROW(Management!$B$3:$B$50)-ROW(Management!$B$3)+1)/((IF(Management!$C$3:$C$50="Unlimited",10^15,Management!$C$3:$C$50))&gt;='1'!$I41),COLUMN(P40))),"")</f>
        <v>Muhammad Faisal</v>
      </c>
      <c r="Q41" t="str">
        <f>IFERROR(INDEX(Management!$B$3:$B$50,_xlfn.AGGREGATE(15,6,(ROW(Management!$B$3:$B$50)-ROW(Management!$B$3)+1)/((IF(Management!$C$3:$C$50="Unlimited",10^15,Management!$C$3:$C$50))&gt;='1'!$I41),COLUMN(Q40))),"")</f>
        <v>Sumair Hamza</v>
      </c>
      <c r="R41" t="str">
        <f>IFERROR(INDEX(Management!$B$3:$B$50,_xlfn.AGGREGATE(15,6,(ROW(Management!$B$3:$B$50)-ROW(Management!$B$3)+1)/((IF(Management!$C$3:$C$50="Unlimited",10^15,Management!$C$3:$C$50))&gt;='1'!$I41),COLUMN(R40))),"")</f>
        <v>Muhammad Ali</v>
      </c>
      <c r="S41" t="str">
        <f>IFERROR(INDEX(Management!$B$3:$B$50,_xlfn.AGGREGATE(15,6,(ROW(Management!$B$3:$B$50)-ROW(Management!$B$3)+1)/((IF(Management!$C$3:$C$50="Unlimited",10^15,Management!$C$3:$C$50))&gt;='1'!$I41),COLUMN(S40))),"")</f>
        <v>Muhammad Ali</v>
      </c>
      <c r="T41" t="str">
        <f>IFERROR(INDEX(Management!$B$3:$B$50,_xlfn.AGGREGATE(15,6,(ROW(Management!$B$3:$B$50)-ROW(Management!$B$3)+1)/((IF(Management!$C$3:$C$50="Unlimited",10^15,Management!$C$3:$C$50))&gt;='1'!$I41),COLUMN(T40))),"")</f>
        <v>Jawad Aziz</v>
      </c>
    </row>
    <row r="42" spans="1:20">
      <c r="A42" t="str">
        <f>IFERROR(INDEX(Management!$B$3:$B$50,_xlfn.AGGREGATE(15,6,(ROW(Management!$B$3:$B$50)-ROW(Management!$B$3)+1)/((IF(Management!$C$3:$C$50="Unlimited",10^15,Management!$C$3:$C$50))&gt;='1'!$I42),COLUMN(A41))),"")</f>
        <v>Muhammad Usman</v>
      </c>
      <c r="B42" t="str">
        <f>IFERROR(INDEX(Management!$B$3:$B$50,_xlfn.AGGREGATE(15,6,(ROW(Management!$B$3:$B$50)-ROW(Management!$B$3)+1)/((IF(Management!$C$3:$C$50="Unlimited",10^15,Management!$C$3:$C$50))&gt;='1'!$I42),COLUMN(B41))),"")</f>
        <v>Nadeem Hussain</v>
      </c>
      <c r="C42" t="str">
        <f>IFERROR(INDEX(Management!$B$3:$B$50,_xlfn.AGGREGATE(15,6,(ROW(Management!$B$3:$B$50)-ROW(Management!$B$3)+1)/((IF(Management!$C$3:$C$50="Unlimited",10^15,Management!$C$3:$C$50))&gt;='1'!$I42),COLUMN(C41))),"")</f>
        <v>Allah Ditta</v>
      </c>
      <c r="D42" t="str">
        <f>IFERROR(INDEX(Management!$B$3:$B$50,_xlfn.AGGREGATE(15,6,(ROW(Management!$B$3:$B$50)-ROW(Management!$B$3)+1)/((IF(Management!$C$3:$C$50="Unlimited",10^15,Management!$C$3:$C$50))&gt;='1'!$I42),COLUMN(D41))),"")</f>
        <v>Mehmood Ahmed</v>
      </c>
      <c r="E42" t="str">
        <f>IFERROR(INDEX(Management!$B$3:$B$50,_xlfn.AGGREGATE(15,6,(ROW(Management!$B$3:$B$50)-ROW(Management!$B$3)+1)/((IF(Management!$C$3:$C$50="Unlimited",10^15,Management!$C$3:$C$50))&gt;='1'!$I42),COLUMN(E41))),"")</f>
        <v>Tasawar Abbas</v>
      </c>
      <c r="F42" t="str">
        <f>IFERROR(INDEX(Management!$B$3:$B$50,_xlfn.AGGREGATE(15,6,(ROW(Management!$B$3:$B$50)-ROW(Management!$B$3)+1)/((IF(Management!$C$3:$C$50="Unlimited",10^15,Management!$C$3:$C$50))&gt;='1'!$I42),COLUMN(F41))),"")</f>
        <v>Muhammad Farhan</v>
      </c>
      <c r="G42" t="str">
        <f>IFERROR(INDEX(Management!$B$3:$B$50,_xlfn.AGGREGATE(15,6,(ROW(Management!$B$3:$B$50)-ROW(Management!$B$3)+1)/((IF(Management!$C$3:$C$50="Unlimited",10^15,Management!$C$3:$C$50))&gt;='1'!$I42),COLUMN(G41))),"")</f>
        <v>Shahzaib Ali</v>
      </c>
      <c r="H42" t="str">
        <f>IFERROR(INDEX(Management!$B$3:$B$50,_xlfn.AGGREGATE(15,6,(ROW(Management!$B$3:$B$50)-ROW(Management!$B$3)+1)/((IF(Management!$C$3:$C$50="Unlimited",10^15,Management!$C$3:$C$50))&gt;='1'!$I42),COLUMN(H41))),"")</f>
        <v>Waseem Raza</v>
      </c>
      <c r="I42" t="str">
        <f>IFERROR(INDEX(Management!$B$3:$B$50,_xlfn.AGGREGATE(15,6,(ROW(Management!$B$3:$B$50)-ROW(Management!$B$3)+1)/((IF(Management!$C$3:$C$50="Unlimited",10^15,Management!$C$3:$C$50))&gt;='1'!$I42),COLUMN(I41))),"")</f>
        <v>Muhammad Majeed</v>
      </c>
      <c r="J42" t="str">
        <f>IFERROR(INDEX(Management!$B$3:$B$50,_xlfn.AGGREGATE(15,6,(ROW(Management!$B$3:$B$50)-ROW(Management!$B$3)+1)/((IF(Management!$C$3:$C$50="Unlimited",10^15,Management!$C$3:$C$50))&gt;='1'!$I42),COLUMN(J41))),"")</f>
        <v>Shoukat Mahmood</v>
      </c>
      <c r="K42" t="str">
        <f>IFERROR(INDEX(Management!$B$3:$B$50,_xlfn.AGGREGATE(15,6,(ROW(Management!$B$3:$B$50)-ROW(Management!$B$3)+1)/((IF(Management!$C$3:$C$50="Unlimited",10^15,Management!$C$3:$C$50))&gt;='1'!$I42),COLUMN(K41))),"")</f>
        <v>Naveed Kamal</v>
      </c>
      <c r="L42" t="str">
        <f>IFERROR(INDEX(Management!$B$3:$B$50,_xlfn.AGGREGATE(15,6,(ROW(Management!$B$3:$B$50)-ROW(Management!$B$3)+1)/((IF(Management!$C$3:$C$50="Unlimited",10^15,Management!$C$3:$C$50))&gt;='1'!$I42),COLUMN(L41))),"")</f>
        <v>Raza Ali</v>
      </c>
      <c r="M42" t="str">
        <f>IFERROR(INDEX(Management!$B$3:$B$50,_xlfn.AGGREGATE(15,6,(ROW(Management!$B$3:$B$50)-ROW(Management!$B$3)+1)/((IF(Management!$C$3:$C$50="Unlimited",10^15,Management!$C$3:$C$50))&gt;='1'!$I42),COLUMN(M41))),"")</f>
        <v>Alfqar</v>
      </c>
      <c r="N42" t="str">
        <f>IFERROR(INDEX(Management!$B$3:$B$50,_xlfn.AGGREGATE(15,6,(ROW(Management!$B$3:$B$50)-ROW(Management!$B$3)+1)/((IF(Management!$C$3:$C$50="Unlimited",10^15,Management!$C$3:$C$50))&gt;='1'!$I42),COLUMN(N41))),"")</f>
        <v>Sheraz Ahmed</v>
      </c>
      <c r="O42" t="str">
        <f>IFERROR(INDEX(Management!$B$3:$B$50,_xlfn.AGGREGATE(15,6,(ROW(Management!$B$3:$B$50)-ROW(Management!$B$3)+1)/((IF(Management!$C$3:$C$50="Unlimited",10^15,Management!$C$3:$C$50))&gt;='1'!$I42),COLUMN(O41))),"")</f>
        <v>Faisal Kausar</v>
      </c>
      <c r="P42" t="str">
        <f>IFERROR(INDEX(Management!$B$3:$B$50,_xlfn.AGGREGATE(15,6,(ROW(Management!$B$3:$B$50)-ROW(Management!$B$3)+1)/((IF(Management!$C$3:$C$50="Unlimited",10^15,Management!$C$3:$C$50))&gt;='1'!$I42),COLUMN(P41))),"")</f>
        <v>Muhammad Faisal</v>
      </c>
      <c r="Q42" t="str">
        <f>IFERROR(INDEX(Management!$B$3:$B$50,_xlfn.AGGREGATE(15,6,(ROW(Management!$B$3:$B$50)-ROW(Management!$B$3)+1)/((IF(Management!$C$3:$C$50="Unlimited",10^15,Management!$C$3:$C$50))&gt;='1'!$I42),COLUMN(Q41))),"")</f>
        <v>Sumair Hamza</v>
      </c>
      <c r="R42" t="str">
        <f>IFERROR(INDEX(Management!$B$3:$B$50,_xlfn.AGGREGATE(15,6,(ROW(Management!$B$3:$B$50)-ROW(Management!$B$3)+1)/((IF(Management!$C$3:$C$50="Unlimited",10^15,Management!$C$3:$C$50))&gt;='1'!$I42),COLUMN(R41))),"")</f>
        <v>Muhammad Ali</v>
      </c>
      <c r="S42" t="str">
        <f>IFERROR(INDEX(Management!$B$3:$B$50,_xlfn.AGGREGATE(15,6,(ROW(Management!$B$3:$B$50)-ROW(Management!$B$3)+1)/((IF(Management!$C$3:$C$50="Unlimited",10^15,Management!$C$3:$C$50))&gt;='1'!$I42),COLUMN(S41))),"")</f>
        <v>Muhammad Ali</v>
      </c>
      <c r="T42" t="str">
        <f>IFERROR(INDEX(Management!$B$3:$B$50,_xlfn.AGGREGATE(15,6,(ROW(Management!$B$3:$B$50)-ROW(Management!$B$3)+1)/((IF(Management!$C$3:$C$50="Unlimited",10^15,Management!$C$3:$C$50))&gt;='1'!$I42),COLUMN(T41))),"")</f>
        <v>Jawad Aziz</v>
      </c>
    </row>
    <row r="43" spans="1:20">
      <c r="A43" t="str">
        <f>IFERROR(INDEX(Management!$B$3:$B$50,_xlfn.AGGREGATE(15,6,(ROW(Management!$B$3:$B$50)-ROW(Management!$B$3)+1)/((IF(Management!$C$3:$C$50="Unlimited",10^15,Management!$C$3:$C$50))&gt;='1'!$I43),COLUMN(A42))),"")</f>
        <v>Muhammad Usman</v>
      </c>
      <c r="B43" t="str">
        <f>IFERROR(INDEX(Management!$B$3:$B$50,_xlfn.AGGREGATE(15,6,(ROW(Management!$B$3:$B$50)-ROW(Management!$B$3)+1)/((IF(Management!$C$3:$C$50="Unlimited",10^15,Management!$C$3:$C$50))&gt;='1'!$I43),COLUMN(B42))),"")</f>
        <v>Nadeem Hussain</v>
      </c>
      <c r="C43" t="str">
        <f>IFERROR(INDEX(Management!$B$3:$B$50,_xlfn.AGGREGATE(15,6,(ROW(Management!$B$3:$B$50)-ROW(Management!$B$3)+1)/((IF(Management!$C$3:$C$50="Unlimited",10^15,Management!$C$3:$C$50))&gt;='1'!$I43),COLUMN(C42))),"")</f>
        <v>Allah Ditta</v>
      </c>
      <c r="D43" t="str">
        <f>IFERROR(INDEX(Management!$B$3:$B$50,_xlfn.AGGREGATE(15,6,(ROW(Management!$B$3:$B$50)-ROW(Management!$B$3)+1)/((IF(Management!$C$3:$C$50="Unlimited",10^15,Management!$C$3:$C$50))&gt;='1'!$I43),COLUMN(D42))),"")</f>
        <v>Mehmood Ahmed</v>
      </c>
      <c r="E43" t="str">
        <f>IFERROR(INDEX(Management!$B$3:$B$50,_xlfn.AGGREGATE(15,6,(ROW(Management!$B$3:$B$50)-ROW(Management!$B$3)+1)/((IF(Management!$C$3:$C$50="Unlimited",10^15,Management!$C$3:$C$50))&gt;='1'!$I43),COLUMN(E42))),"")</f>
        <v>Tasawar Abbas</v>
      </c>
      <c r="F43" t="str">
        <f>IFERROR(INDEX(Management!$B$3:$B$50,_xlfn.AGGREGATE(15,6,(ROW(Management!$B$3:$B$50)-ROW(Management!$B$3)+1)/((IF(Management!$C$3:$C$50="Unlimited",10^15,Management!$C$3:$C$50))&gt;='1'!$I43),COLUMN(F42))),"")</f>
        <v>Muhammad Farhan</v>
      </c>
      <c r="G43" t="str">
        <f>IFERROR(INDEX(Management!$B$3:$B$50,_xlfn.AGGREGATE(15,6,(ROW(Management!$B$3:$B$50)-ROW(Management!$B$3)+1)/((IF(Management!$C$3:$C$50="Unlimited",10^15,Management!$C$3:$C$50))&gt;='1'!$I43),COLUMN(G42))),"")</f>
        <v>Shahzaib Ali</v>
      </c>
      <c r="H43" t="str">
        <f>IFERROR(INDEX(Management!$B$3:$B$50,_xlfn.AGGREGATE(15,6,(ROW(Management!$B$3:$B$50)-ROW(Management!$B$3)+1)/((IF(Management!$C$3:$C$50="Unlimited",10^15,Management!$C$3:$C$50))&gt;='1'!$I43),COLUMN(H42))),"")</f>
        <v>Waseem Raza</v>
      </c>
      <c r="I43" t="str">
        <f>IFERROR(INDEX(Management!$B$3:$B$50,_xlfn.AGGREGATE(15,6,(ROW(Management!$B$3:$B$50)-ROW(Management!$B$3)+1)/((IF(Management!$C$3:$C$50="Unlimited",10^15,Management!$C$3:$C$50))&gt;='1'!$I43),COLUMN(I42))),"")</f>
        <v>Muhammad Majeed</v>
      </c>
      <c r="J43" t="str">
        <f>IFERROR(INDEX(Management!$B$3:$B$50,_xlfn.AGGREGATE(15,6,(ROW(Management!$B$3:$B$50)-ROW(Management!$B$3)+1)/((IF(Management!$C$3:$C$50="Unlimited",10^15,Management!$C$3:$C$50))&gt;='1'!$I43),COLUMN(J42))),"")</f>
        <v>Shoukat Mahmood</v>
      </c>
      <c r="K43" t="str">
        <f>IFERROR(INDEX(Management!$B$3:$B$50,_xlfn.AGGREGATE(15,6,(ROW(Management!$B$3:$B$50)-ROW(Management!$B$3)+1)/((IF(Management!$C$3:$C$50="Unlimited",10^15,Management!$C$3:$C$50))&gt;='1'!$I43),COLUMN(K42))),"")</f>
        <v>Naveed Kamal</v>
      </c>
      <c r="L43" t="str">
        <f>IFERROR(INDEX(Management!$B$3:$B$50,_xlfn.AGGREGATE(15,6,(ROW(Management!$B$3:$B$50)-ROW(Management!$B$3)+1)/((IF(Management!$C$3:$C$50="Unlimited",10^15,Management!$C$3:$C$50))&gt;='1'!$I43),COLUMN(L42))),"")</f>
        <v>Raza Ali</v>
      </c>
      <c r="M43" t="str">
        <f>IFERROR(INDEX(Management!$B$3:$B$50,_xlfn.AGGREGATE(15,6,(ROW(Management!$B$3:$B$50)-ROW(Management!$B$3)+1)/((IF(Management!$C$3:$C$50="Unlimited",10^15,Management!$C$3:$C$50))&gt;='1'!$I43),COLUMN(M42))),"")</f>
        <v>Alfqar</v>
      </c>
      <c r="N43" t="str">
        <f>IFERROR(INDEX(Management!$B$3:$B$50,_xlfn.AGGREGATE(15,6,(ROW(Management!$B$3:$B$50)-ROW(Management!$B$3)+1)/((IF(Management!$C$3:$C$50="Unlimited",10^15,Management!$C$3:$C$50))&gt;='1'!$I43),COLUMN(N42))),"")</f>
        <v>Sheraz Ahmed</v>
      </c>
      <c r="O43" t="str">
        <f>IFERROR(INDEX(Management!$B$3:$B$50,_xlfn.AGGREGATE(15,6,(ROW(Management!$B$3:$B$50)-ROW(Management!$B$3)+1)/((IF(Management!$C$3:$C$50="Unlimited",10^15,Management!$C$3:$C$50))&gt;='1'!$I43),COLUMN(O42))),"")</f>
        <v>Faisal Kausar</v>
      </c>
      <c r="P43" t="str">
        <f>IFERROR(INDEX(Management!$B$3:$B$50,_xlfn.AGGREGATE(15,6,(ROW(Management!$B$3:$B$50)-ROW(Management!$B$3)+1)/((IF(Management!$C$3:$C$50="Unlimited",10^15,Management!$C$3:$C$50))&gt;='1'!$I43),COLUMN(P42))),"")</f>
        <v>Muhammad Faisal</v>
      </c>
      <c r="Q43" t="str">
        <f>IFERROR(INDEX(Management!$B$3:$B$50,_xlfn.AGGREGATE(15,6,(ROW(Management!$B$3:$B$50)-ROW(Management!$B$3)+1)/((IF(Management!$C$3:$C$50="Unlimited",10^15,Management!$C$3:$C$50))&gt;='1'!$I43),COLUMN(Q42))),"")</f>
        <v>Sumair Hamza</v>
      </c>
      <c r="R43" t="str">
        <f>IFERROR(INDEX(Management!$B$3:$B$50,_xlfn.AGGREGATE(15,6,(ROW(Management!$B$3:$B$50)-ROW(Management!$B$3)+1)/((IF(Management!$C$3:$C$50="Unlimited",10^15,Management!$C$3:$C$50))&gt;='1'!$I43),COLUMN(R42))),"")</f>
        <v>Muhammad Ali</v>
      </c>
      <c r="S43" t="str">
        <f>IFERROR(INDEX(Management!$B$3:$B$50,_xlfn.AGGREGATE(15,6,(ROW(Management!$B$3:$B$50)-ROW(Management!$B$3)+1)/((IF(Management!$C$3:$C$50="Unlimited",10^15,Management!$C$3:$C$50))&gt;='1'!$I43),COLUMN(S42))),"")</f>
        <v>Muhammad Ali</v>
      </c>
      <c r="T43" t="str">
        <f>IFERROR(INDEX(Management!$B$3:$B$50,_xlfn.AGGREGATE(15,6,(ROW(Management!$B$3:$B$50)-ROW(Management!$B$3)+1)/((IF(Management!$C$3:$C$50="Unlimited",10^15,Management!$C$3:$C$50))&gt;='1'!$I43),COLUMN(T42))),"")</f>
        <v>Jawad Aziz</v>
      </c>
    </row>
    <row r="44" spans="1:20">
      <c r="A44" t="str">
        <f>IFERROR(INDEX(Management!$B$3:$B$50,_xlfn.AGGREGATE(15,6,(ROW(Management!$B$3:$B$50)-ROW(Management!$B$3)+1)/((IF(Management!$C$3:$C$50="Unlimited",10^15,Management!$C$3:$C$50))&gt;='1'!$I44),COLUMN(A43))),"")</f>
        <v>Muhammad Usman</v>
      </c>
      <c r="B44" t="str">
        <f>IFERROR(INDEX(Management!$B$3:$B$50,_xlfn.AGGREGATE(15,6,(ROW(Management!$B$3:$B$50)-ROW(Management!$B$3)+1)/((IF(Management!$C$3:$C$50="Unlimited",10^15,Management!$C$3:$C$50))&gt;='1'!$I44),COLUMN(B43))),"")</f>
        <v>Nadeem Hussain</v>
      </c>
      <c r="C44" t="str">
        <f>IFERROR(INDEX(Management!$B$3:$B$50,_xlfn.AGGREGATE(15,6,(ROW(Management!$B$3:$B$50)-ROW(Management!$B$3)+1)/((IF(Management!$C$3:$C$50="Unlimited",10^15,Management!$C$3:$C$50))&gt;='1'!$I44),COLUMN(C43))),"")</f>
        <v>Allah Ditta</v>
      </c>
      <c r="D44" t="str">
        <f>IFERROR(INDEX(Management!$B$3:$B$50,_xlfn.AGGREGATE(15,6,(ROW(Management!$B$3:$B$50)-ROW(Management!$B$3)+1)/((IF(Management!$C$3:$C$50="Unlimited",10^15,Management!$C$3:$C$50))&gt;='1'!$I44),COLUMN(D43))),"")</f>
        <v>Mehmood Ahmed</v>
      </c>
      <c r="E44" t="str">
        <f>IFERROR(INDEX(Management!$B$3:$B$50,_xlfn.AGGREGATE(15,6,(ROW(Management!$B$3:$B$50)-ROW(Management!$B$3)+1)/((IF(Management!$C$3:$C$50="Unlimited",10^15,Management!$C$3:$C$50))&gt;='1'!$I44),COLUMN(E43))),"")</f>
        <v>Tasawar Abbas</v>
      </c>
      <c r="F44" t="str">
        <f>IFERROR(INDEX(Management!$B$3:$B$50,_xlfn.AGGREGATE(15,6,(ROW(Management!$B$3:$B$50)-ROW(Management!$B$3)+1)/((IF(Management!$C$3:$C$50="Unlimited",10^15,Management!$C$3:$C$50))&gt;='1'!$I44),COLUMN(F43))),"")</f>
        <v>Muhammad Farhan</v>
      </c>
      <c r="G44" t="str">
        <f>IFERROR(INDEX(Management!$B$3:$B$50,_xlfn.AGGREGATE(15,6,(ROW(Management!$B$3:$B$50)-ROW(Management!$B$3)+1)/((IF(Management!$C$3:$C$50="Unlimited",10^15,Management!$C$3:$C$50))&gt;='1'!$I44),COLUMN(G43))),"")</f>
        <v>Shahzaib Ali</v>
      </c>
      <c r="H44" t="str">
        <f>IFERROR(INDEX(Management!$B$3:$B$50,_xlfn.AGGREGATE(15,6,(ROW(Management!$B$3:$B$50)-ROW(Management!$B$3)+1)/((IF(Management!$C$3:$C$50="Unlimited",10^15,Management!$C$3:$C$50))&gt;='1'!$I44),COLUMN(H43))),"")</f>
        <v>Waseem Raza</v>
      </c>
      <c r="I44" t="str">
        <f>IFERROR(INDEX(Management!$B$3:$B$50,_xlfn.AGGREGATE(15,6,(ROW(Management!$B$3:$B$50)-ROW(Management!$B$3)+1)/((IF(Management!$C$3:$C$50="Unlimited",10^15,Management!$C$3:$C$50))&gt;='1'!$I44),COLUMN(I43))),"")</f>
        <v>Muhammad Majeed</v>
      </c>
      <c r="J44" t="str">
        <f>IFERROR(INDEX(Management!$B$3:$B$50,_xlfn.AGGREGATE(15,6,(ROW(Management!$B$3:$B$50)-ROW(Management!$B$3)+1)/((IF(Management!$C$3:$C$50="Unlimited",10^15,Management!$C$3:$C$50))&gt;='1'!$I44),COLUMN(J43))),"")</f>
        <v>Shoukat Mahmood</v>
      </c>
      <c r="K44" t="str">
        <f>IFERROR(INDEX(Management!$B$3:$B$50,_xlfn.AGGREGATE(15,6,(ROW(Management!$B$3:$B$50)-ROW(Management!$B$3)+1)/((IF(Management!$C$3:$C$50="Unlimited",10^15,Management!$C$3:$C$50))&gt;='1'!$I44),COLUMN(K43))),"")</f>
        <v>Naveed Kamal</v>
      </c>
      <c r="L44" t="str">
        <f>IFERROR(INDEX(Management!$B$3:$B$50,_xlfn.AGGREGATE(15,6,(ROW(Management!$B$3:$B$50)-ROW(Management!$B$3)+1)/((IF(Management!$C$3:$C$50="Unlimited",10^15,Management!$C$3:$C$50))&gt;='1'!$I44),COLUMN(L43))),"")</f>
        <v>Raza Ali</v>
      </c>
      <c r="M44" t="str">
        <f>IFERROR(INDEX(Management!$B$3:$B$50,_xlfn.AGGREGATE(15,6,(ROW(Management!$B$3:$B$50)-ROW(Management!$B$3)+1)/((IF(Management!$C$3:$C$50="Unlimited",10^15,Management!$C$3:$C$50))&gt;='1'!$I44),COLUMN(M43))),"")</f>
        <v>Alfqar</v>
      </c>
      <c r="N44" t="str">
        <f>IFERROR(INDEX(Management!$B$3:$B$50,_xlfn.AGGREGATE(15,6,(ROW(Management!$B$3:$B$50)-ROW(Management!$B$3)+1)/((IF(Management!$C$3:$C$50="Unlimited",10^15,Management!$C$3:$C$50))&gt;='1'!$I44),COLUMN(N43))),"")</f>
        <v>Sheraz Ahmed</v>
      </c>
      <c r="O44" t="str">
        <f>IFERROR(INDEX(Management!$B$3:$B$50,_xlfn.AGGREGATE(15,6,(ROW(Management!$B$3:$B$50)-ROW(Management!$B$3)+1)/((IF(Management!$C$3:$C$50="Unlimited",10^15,Management!$C$3:$C$50))&gt;='1'!$I44),COLUMN(O43))),"")</f>
        <v>Faisal Kausar</v>
      </c>
      <c r="P44" t="str">
        <f>IFERROR(INDEX(Management!$B$3:$B$50,_xlfn.AGGREGATE(15,6,(ROW(Management!$B$3:$B$50)-ROW(Management!$B$3)+1)/((IF(Management!$C$3:$C$50="Unlimited",10^15,Management!$C$3:$C$50))&gt;='1'!$I44),COLUMN(P43))),"")</f>
        <v>Muhammad Faisal</v>
      </c>
      <c r="Q44" t="str">
        <f>IFERROR(INDEX(Management!$B$3:$B$50,_xlfn.AGGREGATE(15,6,(ROW(Management!$B$3:$B$50)-ROW(Management!$B$3)+1)/((IF(Management!$C$3:$C$50="Unlimited",10^15,Management!$C$3:$C$50))&gt;='1'!$I44),COLUMN(Q43))),"")</f>
        <v>Sumair Hamza</v>
      </c>
      <c r="R44" t="str">
        <f>IFERROR(INDEX(Management!$B$3:$B$50,_xlfn.AGGREGATE(15,6,(ROW(Management!$B$3:$B$50)-ROW(Management!$B$3)+1)/((IF(Management!$C$3:$C$50="Unlimited",10^15,Management!$C$3:$C$50))&gt;='1'!$I44),COLUMN(R43))),"")</f>
        <v>Muhammad Ali</v>
      </c>
      <c r="S44" t="str">
        <f>IFERROR(INDEX(Management!$B$3:$B$50,_xlfn.AGGREGATE(15,6,(ROW(Management!$B$3:$B$50)-ROW(Management!$B$3)+1)/((IF(Management!$C$3:$C$50="Unlimited",10^15,Management!$C$3:$C$50))&gt;='1'!$I44),COLUMN(S43))),"")</f>
        <v>Muhammad Ali</v>
      </c>
      <c r="T44" t="str">
        <f>IFERROR(INDEX(Management!$B$3:$B$50,_xlfn.AGGREGATE(15,6,(ROW(Management!$B$3:$B$50)-ROW(Management!$B$3)+1)/((IF(Management!$C$3:$C$50="Unlimited",10^15,Management!$C$3:$C$50))&gt;='1'!$I44),COLUMN(T43))),"")</f>
        <v>Jawad Aziz</v>
      </c>
    </row>
    <row r="45" spans="1:20">
      <c r="A45" t="str">
        <f>IFERROR(INDEX(Management!$B$3:$B$50,_xlfn.AGGREGATE(15,6,(ROW(Management!$B$3:$B$50)-ROW(Management!$B$3)+1)/((IF(Management!$C$3:$C$50="Unlimited",10^15,Management!$C$3:$C$50))&gt;='1'!$I45),COLUMN(A44))),"")</f>
        <v>Muhammad Usman</v>
      </c>
      <c r="B45" t="str">
        <f>IFERROR(INDEX(Management!$B$3:$B$50,_xlfn.AGGREGATE(15,6,(ROW(Management!$B$3:$B$50)-ROW(Management!$B$3)+1)/((IF(Management!$C$3:$C$50="Unlimited",10^15,Management!$C$3:$C$50))&gt;='1'!$I45),COLUMN(B44))),"")</f>
        <v>Nadeem Hussain</v>
      </c>
      <c r="C45" t="str">
        <f>IFERROR(INDEX(Management!$B$3:$B$50,_xlfn.AGGREGATE(15,6,(ROW(Management!$B$3:$B$50)-ROW(Management!$B$3)+1)/((IF(Management!$C$3:$C$50="Unlimited",10^15,Management!$C$3:$C$50))&gt;='1'!$I45),COLUMN(C44))),"")</f>
        <v>Allah Ditta</v>
      </c>
      <c r="D45" t="str">
        <f>IFERROR(INDEX(Management!$B$3:$B$50,_xlfn.AGGREGATE(15,6,(ROW(Management!$B$3:$B$50)-ROW(Management!$B$3)+1)/((IF(Management!$C$3:$C$50="Unlimited",10^15,Management!$C$3:$C$50))&gt;='1'!$I45),COLUMN(D44))),"")</f>
        <v>Mehmood Ahmed</v>
      </c>
      <c r="E45" t="str">
        <f>IFERROR(INDEX(Management!$B$3:$B$50,_xlfn.AGGREGATE(15,6,(ROW(Management!$B$3:$B$50)-ROW(Management!$B$3)+1)/((IF(Management!$C$3:$C$50="Unlimited",10^15,Management!$C$3:$C$50))&gt;='1'!$I45),COLUMN(E44))),"")</f>
        <v>Tasawar Abbas</v>
      </c>
      <c r="F45" t="str">
        <f>IFERROR(INDEX(Management!$B$3:$B$50,_xlfn.AGGREGATE(15,6,(ROW(Management!$B$3:$B$50)-ROW(Management!$B$3)+1)/((IF(Management!$C$3:$C$50="Unlimited",10^15,Management!$C$3:$C$50))&gt;='1'!$I45),COLUMN(F44))),"")</f>
        <v>Muhammad Farhan</v>
      </c>
      <c r="G45" t="str">
        <f>IFERROR(INDEX(Management!$B$3:$B$50,_xlfn.AGGREGATE(15,6,(ROW(Management!$B$3:$B$50)-ROW(Management!$B$3)+1)/((IF(Management!$C$3:$C$50="Unlimited",10^15,Management!$C$3:$C$50))&gt;='1'!$I45),COLUMN(G44))),"")</f>
        <v>Shahzaib Ali</v>
      </c>
      <c r="H45" t="str">
        <f>IFERROR(INDEX(Management!$B$3:$B$50,_xlfn.AGGREGATE(15,6,(ROW(Management!$B$3:$B$50)-ROW(Management!$B$3)+1)/((IF(Management!$C$3:$C$50="Unlimited",10^15,Management!$C$3:$C$50))&gt;='1'!$I45),COLUMN(H44))),"")</f>
        <v>Waseem Raza</v>
      </c>
      <c r="I45" t="str">
        <f>IFERROR(INDEX(Management!$B$3:$B$50,_xlfn.AGGREGATE(15,6,(ROW(Management!$B$3:$B$50)-ROW(Management!$B$3)+1)/((IF(Management!$C$3:$C$50="Unlimited",10^15,Management!$C$3:$C$50))&gt;='1'!$I45),COLUMN(I44))),"")</f>
        <v>Muhammad Majeed</v>
      </c>
      <c r="J45" t="str">
        <f>IFERROR(INDEX(Management!$B$3:$B$50,_xlfn.AGGREGATE(15,6,(ROW(Management!$B$3:$B$50)-ROW(Management!$B$3)+1)/((IF(Management!$C$3:$C$50="Unlimited",10^15,Management!$C$3:$C$50))&gt;='1'!$I45),COLUMN(J44))),"")</f>
        <v>Shoukat Mahmood</v>
      </c>
      <c r="K45" t="str">
        <f>IFERROR(INDEX(Management!$B$3:$B$50,_xlfn.AGGREGATE(15,6,(ROW(Management!$B$3:$B$50)-ROW(Management!$B$3)+1)/((IF(Management!$C$3:$C$50="Unlimited",10^15,Management!$C$3:$C$50))&gt;='1'!$I45),COLUMN(K44))),"")</f>
        <v>Naveed Kamal</v>
      </c>
      <c r="L45" t="str">
        <f>IFERROR(INDEX(Management!$B$3:$B$50,_xlfn.AGGREGATE(15,6,(ROW(Management!$B$3:$B$50)-ROW(Management!$B$3)+1)/((IF(Management!$C$3:$C$50="Unlimited",10^15,Management!$C$3:$C$50))&gt;='1'!$I45),COLUMN(L44))),"")</f>
        <v>Raza Ali</v>
      </c>
      <c r="M45" t="str">
        <f>IFERROR(INDEX(Management!$B$3:$B$50,_xlfn.AGGREGATE(15,6,(ROW(Management!$B$3:$B$50)-ROW(Management!$B$3)+1)/((IF(Management!$C$3:$C$50="Unlimited",10^15,Management!$C$3:$C$50))&gt;='1'!$I45),COLUMN(M44))),"")</f>
        <v>Alfqar</v>
      </c>
      <c r="N45" t="str">
        <f>IFERROR(INDEX(Management!$B$3:$B$50,_xlfn.AGGREGATE(15,6,(ROW(Management!$B$3:$B$50)-ROW(Management!$B$3)+1)/((IF(Management!$C$3:$C$50="Unlimited",10^15,Management!$C$3:$C$50))&gt;='1'!$I45),COLUMN(N44))),"")</f>
        <v>Sheraz Ahmed</v>
      </c>
      <c r="O45" t="str">
        <f>IFERROR(INDEX(Management!$B$3:$B$50,_xlfn.AGGREGATE(15,6,(ROW(Management!$B$3:$B$50)-ROW(Management!$B$3)+1)/((IF(Management!$C$3:$C$50="Unlimited",10^15,Management!$C$3:$C$50))&gt;='1'!$I45),COLUMN(O44))),"")</f>
        <v>Faisal Kausar</v>
      </c>
      <c r="P45" t="str">
        <f>IFERROR(INDEX(Management!$B$3:$B$50,_xlfn.AGGREGATE(15,6,(ROW(Management!$B$3:$B$50)-ROW(Management!$B$3)+1)/((IF(Management!$C$3:$C$50="Unlimited",10^15,Management!$C$3:$C$50))&gt;='1'!$I45),COLUMN(P44))),"")</f>
        <v>Muhammad Faisal</v>
      </c>
      <c r="Q45" t="str">
        <f>IFERROR(INDEX(Management!$B$3:$B$50,_xlfn.AGGREGATE(15,6,(ROW(Management!$B$3:$B$50)-ROW(Management!$B$3)+1)/((IF(Management!$C$3:$C$50="Unlimited",10^15,Management!$C$3:$C$50))&gt;='1'!$I45),COLUMN(Q44))),"")</f>
        <v>Sumair Hamza</v>
      </c>
      <c r="R45" t="str">
        <f>IFERROR(INDEX(Management!$B$3:$B$50,_xlfn.AGGREGATE(15,6,(ROW(Management!$B$3:$B$50)-ROW(Management!$B$3)+1)/((IF(Management!$C$3:$C$50="Unlimited",10^15,Management!$C$3:$C$50))&gt;='1'!$I45),COLUMN(R44))),"")</f>
        <v>Muhammad Ali</v>
      </c>
      <c r="S45" t="str">
        <f>IFERROR(INDEX(Management!$B$3:$B$50,_xlfn.AGGREGATE(15,6,(ROW(Management!$B$3:$B$50)-ROW(Management!$B$3)+1)/((IF(Management!$C$3:$C$50="Unlimited",10^15,Management!$C$3:$C$50))&gt;='1'!$I45),COLUMN(S44))),"")</f>
        <v>Muhammad Ali</v>
      </c>
      <c r="T45" t="str">
        <f>IFERROR(INDEX(Management!$B$3:$B$50,_xlfn.AGGREGATE(15,6,(ROW(Management!$B$3:$B$50)-ROW(Management!$B$3)+1)/((IF(Management!$C$3:$C$50="Unlimited",10^15,Management!$C$3:$C$50))&gt;='1'!$I45),COLUMN(T44))),"")</f>
        <v>Jawad Aziz</v>
      </c>
    </row>
    <row r="46" spans="1:20">
      <c r="A46" t="str">
        <f>IFERROR(INDEX(Management!$B$3:$B$50,_xlfn.AGGREGATE(15,6,(ROW(Management!$B$3:$B$50)-ROW(Management!$B$3)+1)/((IF(Management!$C$3:$C$50="Unlimited",10^15,Management!$C$3:$C$50))&gt;='1'!$I46),COLUMN(A45))),"")</f>
        <v>Muhammad Usman</v>
      </c>
      <c r="B46" t="str">
        <f>IFERROR(INDEX(Management!$B$3:$B$50,_xlfn.AGGREGATE(15,6,(ROW(Management!$B$3:$B$50)-ROW(Management!$B$3)+1)/((IF(Management!$C$3:$C$50="Unlimited",10^15,Management!$C$3:$C$50))&gt;='1'!$I46),COLUMN(B45))),"")</f>
        <v>Nadeem Hussain</v>
      </c>
      <c r="C46" t="str">
        <f>IFERROR(INDEX(Management!$B$3:$B$50,_xlfn.AGGREGATE(15,6,(ROW(Management!$B$3:$B$50)-ROW(Management!$B$3)+1)/((IF(Management!$C$3:$C$50="Unlimited",10^15,Management!$C$3:$C$50))&gt;='1'!$I46),COLUMN(C45))),"")</f>
        <v>Allah Ditta</v>
      </c>
      <c r="D46" t="str">
        <f>IFERROR(INDEX(Management!$B$3:$B$50,_xlfn.AGGREGATE(15,6,(ROW(Management!$B$3:$B$50)-ROW(Management!$B$3)+1)/((IF(Management!$C$3:$C$50="Unlimited",10^15,Management!$C$3:$C$50))&gt;='1'!$I46),COLUMN(D45))),"")</f>
        <v>Mehmood Ahmed</v>
      </c>
      <c r="E46" t="str">
        <f>IFERROR(INDEX(Management!$B$3:$B$50,_xlfn.AGGREGATE(15,6,(ROW(Management!$B$3:$B$50)-ROW(Management!$B$3)+1)/((IF(Management!$C$3:$C$50="Unlimited",10^15,Management!$C$3:$C$50))&gt;='1'!$I46),COLUMN(E45))),"")</f>
        <v>Tasawar Abbas</v>
      </c>
      <c r="F46" t="str">
        <f>IFERROR(INDEX(Management!$B$3:$B$50,_xlfn.AGGREGATE(15,6,(ROW(Management!$B$3:$B$50)-ROW(Management!$B$3)+1)/((IF(Management!$C$3:$C$50="Unlimited",10^15,Management!$C$3:$C$50))&gt;='1'!$I46),COLUMN(F45))),"")</f>
        <v>Muhammad Farhan</v>
      </c>
      <c r="G46" t="str">
        <f>IFERROR(INDEX(Management!$B$3:$B$50,_xlfn.AGGREGATE(15,6,(ROW(Management!$B$3:$B$50)-ROW(Management!$B$3)+1)/((IF(Management!$C$3:$C$50="Unlimited",10^15,Management!$C$3:$C$50))&gt;='1'!$I46),COLUMN(G45))),"")</f>
        <v>Shahzaib Ali</v>
      </c>
      <c r="H46" t="str">
        <f>IFERROR(INDEX(Management!$B$3:$B$50,_xlfn.AGGREGATE(15,6,(ROW(Management!$B$3:$B$50)-ROW(Management!$B$3)+1)/((IF(Management!$C$3:$C$50="Unlimited",10^15,Management!$C$3:$C$50))&gt;='1'!$I46),COLUMN(H45))),"")</f>
        <v>Waseem Raza</v>
      </c>
      <c r="I46" t="str">
        <f>IFERROR(INDEX(Management!$B$3:$B$50,_xlfn.AGGREGATE(15,6,(ROW(Management!$B$3:$B$50)-ROW(Management!$B$3)+1)/((IF(Management!$C$3:$C$50="Unlimited",10^15,Management!$C$3:$C$50))&gt;='1'!$I46),COLUMN(I45))),"")</f>
        <v>Muhammad Majeed</v>
      </c>
      <c r="J46" t="str">
        <f>IFERROR(INDEX(Management!$B$3:$B$50,_xlfn.AGGREGATE(15,6,(ROW(Management!$B$3:$B$50)-ROW(Management!$B$3)+1)/((IF(Management!$C$3:$C$50="Unlimited",10^15,Management!$C$3:$C$50))&gt;='1'!$I46),COLUMN(J45))),"")</f>
        <v>Shoukat Mahmood</v>
      </c>
      <c r="K46" t="str">
        <f>IFERROR(INDEX(Management!$B$3:$B$50,_xlfn.AGGREGATE(15,6,(ROW(Management!$B$3:$B$50)-ROW(Management!$B$3)+1)/((IF(Management!$C$3:$C$50="Unlimited",10^15,Management!$C$3:$C$50))&gt;='1'!$I46),COLUMN(K45))),"")</f>
        <v>Naveed Kamal</v>
      </c>
      <c r="L46" t="str">
        <f>IFERROR(INDEX(Management!$B$3:$B$50,_xlfn.AGGREGATE(15,6,(ROW(Management!$B$3:$B$50)-ROW(Management!$B$3)+1)/((IF(Management!$C$3:$C$50="Unlimited",10^15,Management!$C$3:$C$50))&gt;='1'!$I46),COLUMN(L45))),"")</f>
        <v>Raza Ali</v>
      </c>
      <c r="M46" t="str">
        <f>IFERROR(INDEX(Management!$B$3:$B$50,_xlfn.AGGREGATE(15,6,(ROW(Management!$B$3:$B$50)-ROW(Management!$B$3)+1)/((IF(Management!$C$3:$C$50="Unlimited",10^15,Management!$C$3:$C$50))&gt;='1'!$I46),COLUMN(M45))),"")</f>
        <v>Alfqar</v>
      </c>
      <c r="N46" t="str">
        <f>IFERROR(INDEX(Management!$B$3:$B$50,_xlfn.AGGREGATE(15,6,(ROW(Management!$B$3:$B$50)-ROW(Management!$B$3)+1)/((IF(Management!$C$3:$C$50="Unlimited",10^15,Management!$C$3:$C$50))&gt;='1'!$I46),COLUMN(N45))),"")</f>
        <v>Sheraz Ahmed</v>
      </c>
      <c r="O46" t="str">
        <f>IFERROR(INDEX(Management!$B$3:$B$50,_xlfn.AGGREGATE(15,6,(ROW(Management!$B$3:$B$50)-ROW(Management!$B$3)+1)/((IF(Management!$C$3:$C$50="Unlimited",10^15,Management!$C$3:$C$50))&gt;='1'!$I46),COLUMN(O45))),"")</f>
        <v>Faisal Kausar</v>
      </c>
      <c r="P46" t="str">
        <f>IFERROR(INDEX(Management!$B$3:$B$50,_xlfn.AGGREGATE(15,6,(ROW(Management!$B$3:$B$50)-ROW(Management!$B$3)+1)/((IF(Management!$C$3:$C$50="Unlimited",10^15,Management!$C$3:$C$50))&gt;='1'!$I46),COLUMN(P45))),"")</f>
        <v>Muhammad Faisal</v>
      </c>
      <c r="Q46" t="str">
        <f>IFERROR(INDEX(Management!$B$3:$B$50,_xlfn.AGGREGATE(15,6,(ROW(Management!$B$3:$B$50)-ROW(Management!$B$3)+1)/((IF(Management!$C$3:$C$50="Unlimited",10^15,Management!$C$3:$C$50))&gt;='1'!$I46),COLUMN(Q45))),"")</f>
        <v>Sumair Hamza</v>
      </c>
      <c r="R46" t="str">
        <f>IFERROR(INDEX(Management!$B$3:$B$50,_xlfn.AGGREGATE(15,6,(ROW(Management!$B$3:$B$50)-ROW(Management!$B$3)+1)/((IF(Management!$C$3:$C$50="Unlimited",10^15,Management!$C$3:$C$50))&gt;='1'!$I46),COLUMN(R45))),"")</f>
        <v>Muhammad Ali</v>
      </c>
      <c r="S46" t="str">
        <f>IFERROR(INDEX(Management!$B$3:$B$50,_xlfn.AGGREGATE(15,6,(ROW(Management!$B$3:$B$50)-ROW(Management!$B$3)+1)/((IF(Management!$C$3:$C$50="Unlimited",10^15,Management!$C$3:$C$50))&gt;='1'!$I46),COLUMN(S45))),"")</f>
        <v>Muhammad Ali</v>
      </c>
      <c r="T46" t="str">
        <f>IFERROR(INDEX(Management!$B$3:$B$50,_xlfn.AGGREGATE(15,6,(ROW(Management!$B$3:$B$50)-ROW(Management!$B$3)+1)/((IF(Management!$C$3:$C$50="Unlimited",10^15,Management!$C$3:$C$50))&gt;='1'!$I46),COLUMN(T45))),"")</f>
        <v>Jawad Aziz</v>
      </c>
    </row>
    <row r="47" spans="1:20">
      <c r="A47" t="str">
        <f>IFERROR(INDEX(Management!$B$3:$B$50,_xlfn.AGGREGATE(15,6,(ROW(Management!$B$3:$B$50)-ROW(Management!$B$3)+1)/((IF(Management!$C$3:$C$50="Unlimited",10^15,Management!$C$3:$C$50))&gt;='1'!$I47),COLUMN(A46))),"")</f>
        <v>Muhammad Usman</v>
      </c>
      <c r="B47" t="str">
        <f>IFERROR(INDEX(Management!$B$3:$B$50,_xlfn.AGGREGATE(15,6,(ROW(Management!$B$3:$B$50)-ROW(Management!$B$3)+1)/((IF(Management!$C$3:$C$50="Unlimited",10^15,Management!$C$3:$C$50))&gt;='1'!$I47),COLUMN(B46))),"")</f>
        <v>Nadeem Hussain</v>
      </c>
      <c r="C47" t="str">
        <f>IFERROR(INDEX(Management!$B$3:$B$50,_xlfn.AGGREGATE(15,6,(ROW(Management!$B$3:$B$50)-ROW(Management!$B$3)+1)/((IF(Management!$C$3:$C$50="Unlimited",10^15,Management!$C$3:$C$50))&gt;='1'!$I47),COLUMN(C46))),"")</f>
        <v>Allah Ditta</v>
      </c>
      <c r="D47" t="str">
        <f>IFERROR(INDEX(Management!$B$3:$B$50,_xlfn.AGGREGATE(15,6,(ROW(Management!$B$3:$B$50)-ROW(Management!$B$3)+1)/((IF(Management!$C$3:$C$50="Unlimited",10^15,Management!$C$3:$C$50))&gt;='1'!$I47),COLUMN(D46))),"")</f>
        <v>Mehmood Ahmed</v>
      </c>
      <c r="E47" t="str">
        <f>IFERROR(INDEX(Management!$B$3:$B$50,_xlfn.AGGREGATE(15,6,(ROW(Management!$B$3:$B$50)-ROW(Management!$B$3)+1)/((IF(Management!$C$3:$C$50="Unlimited",10^15,Management!$C$3:$C$50))&gt;='1'!$I47),COLUMN(E46))),"")</f>
        <v>Tasawar Abbas</v>
      </c>
      <c r="F47" t="str">
        <f>IFERROR(INDEX(Management!$B$3:$B$50,_xlfn.AGGREGATE(15,6,(ROW(Management!$B$3:$B$50)-ROW(Management!$B$3)+1)/((IF(Management!$C$3:$C$50="Unlimited",10^15,Management!$C$3:$C$50))&gt;='1'!$I47),COLUMN(F46))),"")</f>
        <v>Muhammad Farhan</v>
      </c>
      <c r="G47" t="str">
        <f>IFERROR(INDEX(Management!$B$3:$B$50,_xlfn.AGGREGATE(15,6,(ROW(Management!$B$3:$B$50)-ROW(Management!$B$3)+1)/((IF(Management!$C$3:$C$50="Unlimited",10^15,Management!$C$3:$C$50))&gt;='1'!$I47),COLUMN(G46))),"")</f>
        <v>Shahzaib Ali</v>
      </c>
      <c r="H47" t="str">
        <f>IFERROR(INDEX(Management!$B$3:$B$50,_xlfn.AGGREGATE(15,6,(ROW(Management!$B$3:$B$50)-ROW(Management!$B$3)+1)/((IF(Management!$C$3:$C$50="Unlimited",10^15,Management!$C$3:$C$50))&gt;='1'!$I47),COLUMN(H46))),"")</f>
        <v>Waseem Raza</v>
      </c>
      <c r="I47" t="str">
        <f>IFERROR(INDEX(Management!$B$3:$B$50,_xlfn.AGGREGATE(15,6,(ROW(Management!$B$3:$B$50)-ROW(Management!$B$3)+1)/((IF(Management!$C$3:$C$50="Unlimited",10^15,Management!$C$3:$C$50))&gt;='1'!$I47),COLUMN(I46))),"")</f>
        <v>Muhammad Majeed</v>
      </c>
      <c r="J47" t="str">
        <f>IFERROR(INDEX(Management!$B$3:$B$50,_xlfn.AGGREGATE(15,6,(ROW(Management!$B$3:$B$50)-ROW(Management!$B$3)+1)/((IF(Management!$C$3:$C$50="Unlimited",10^15,Management!$C$3:$C$50))&gt;='1'!$I47),COLUMN(J46))),"")</f>
        <v>Shoukat Mahmood</v>
      </c>
      <c r="K47" t="str">
        <f>IFERROR(INDEX(Management!$B$3:$B$50,_xlfn.AGGREGATE(15,6,(ROW(Management!$B$3:$B$50)-ROW(Management!$B$3)+1)/((IF(Management!$C$3:$C$50="Unlimited",10^15,Management!$C$3:$C$50))&gt;='1'!$I47),COLUMN(K46))),"")</f>
        <v>Naveed Kamal</v>
      </c>
      <c r="L47" t="str">
        <f>IFERROR(INDEX(Management!$B$3:$B$50,_xlfn.AGGREGATE(15,6,(ROW(Management!$B$3:$B$50)-ROW(Management!$B$3)+1)/((IF(Management!$C$3:$C$50="Unlimited",10^15,Management!$C$3:$C$50))&gt;='1'!$I47),COLUMN(L46))),"")</f>
        <v>Raza Ali</v>
      </c>
      <c r="M47" t="str">
        <f>IFERROR(INDEX(Management!$B$3:$B$50,_xlfn.AGGREGATE(15,6,(ROW(Management!$B$3:$B$50)-ROW(Management!$B$3)+1)/((IF(Management!$C$3:$C$50="Unlimited",10^15,Management!$C$3:$C$50))&gt;='1'!$I47),COLUMN(M46))),"")</f>
        <v>Alfqar</v>
      </c>
      <c r="N47" t="str">
        <f>IFERROR(INDEX(Management!$B$3:$B$50,_xlfn.AGGREGATE(15,6,(ROW(Management!$B$3:$B$50)-ROW(Management!$B$3)+1)/((IF(Management!$C$3:$C$50="Unlimited",10^15,Management!$C$3:$C$50))&gt;='1'!$I47),COLUMN(N46))),"")</f>
        <v>Sheraz Ahmed</v>
      </c>
      <c r="O47" t="str">
        <f>IFERROR(INDEX(Management!$B$3:$B$50,_xlfn.AGGREGATE(15,6,(ROW(Management!$B$3:$B$50)-ROW(Management!$B$3)+1)/((IF(Management!$C$3:$C$50="Unlimited",10^15,Management!$C$3:$C$50))&gt;='1'!$I47),COLUMN(O46))),"")</f>
        <v>Faisal Kausar</v>
      </c>
      <c r="P47" t="str">
        <f>IFERROR(INDEX(Management!$B$3:$B$50,_xlfn.AGGREGATE(15,6,(ROW(Management!$B$3:$B$50)-ROW(Management!$B$3)+1)/((IF(Management!$C$3:$C$50="Unlimited",10^15,Management!$C$3:$C$50))&gt;='1'!$I47),COLUMN(P46))),"")</f>
        <v>Muhammad Faisal</v>
      </c>
      <c r="Q47" t="str">
        <f>IFERROR(INDEX(Management!$B$3:$B$50,_xlfn.AGGREGATE(15,6,(ROW(Management!$B$3:$B$50)-ROW(Management!$B$3)+1)/((IF(Management!$C$3:$C$50="Unlimited",10^15,Management!$C$3:$C$50))&gt;='1'!$I47),COLUMN(Q46))),"")</f>
        <v>Sumair Hamza</v>
      </c>
      <c r="R47" t="str">
        <f>IFERROR(INDEX(Management!$B$3:$B$50,_xlfn.AGGREGATE(15,6,(ROW(Management!$B$3:$B$50)-ROW(Management!$B$3)+1)/((IF(Management!$C$3:$C$50="Unlimited",10^15,Management!$C$3:$C$50))&gt;='1'!$I47),COLUMN(R46))),"")</f>
        <v>Muhammad Ali</v>
      </c>
      <c r="S47" t="str">
        <f>IFERROR(INDEX(Management!$B$3:$B$50,_xlfn.AGGREGATE(15,6,(ROW(Management!$B$3:$B$50)-ROW(Management!$B$3)+1)/((IF(Management!$C$3:$C$50="Unlimited",10^15,Management!$C$3:$C$50))&gt;='1'!$I47),COLUMN(S46))),"")</f>
        <v>Muhammad Ali</v>
      </c>
      <c r="T47" t="str">
        <f>IFERROR(INDEX(Management!$B$3:$B$50,_xlfn.AGGREGATE(15,6,(ROW(Management!$B$3:$B$50)-ROW(Management!$B$3)+1)/((IF(Management!$C$3:$C$50="Unlimited",10^15,Management!$C$3:$C$50))&gt;='1'!$I47),COLUMN(T46))),"")</f>
        <v>Jawad Aziz</v>
      </c>
    </row>
    <row r="48" spans="1:20">
      <c r="A48" t="str">
        <f>IFERROR(INDEX(Management!$B$3:$B$50,_xlfn.AGGREGATE(15,6,(ROW(Management!$B$3:$B$50)-ROW(Management!$B$3)+1)/((IF(Management!$C$3:$C$50="Unlimited",10^15,Management!$C$3:$C$50))&gt;='1'!$I48),COLUMN(A47))),"")</f>
        <v>Muhammad Usman</v>
      </c>
      <c r="B48" t="str">
        <f>IFERROR(INDEX(Management!$B$3:$B$50,_xlfn.AGGREGATE(15,6,(ROW(Management!$B$3:$B$50)-ROW(Management!$B$3)+1)/((IF(Management!$C$3:$C$50="Unlimited",10^15,Management!$C$3:$C$50))&gt;='1'!$I48),COLUMN(B47))),"")</f>
        <v>Nadeem Hussain</v>
      </c>
      <c r="C48" t="str">
        <f>IFERROR(INDEX(Management!$B$3:$B$50,_xlfn.AGGREGATE(15,6,(ROW(Management!$B$3:$B$50)-ROW(Management!$B$3)+1)/((IF(Management!$C$3:$C$50="Unlimited",10^15,Management!$C$3:$C$50))&gt;='1'!$I48),COLUMN(C47))),"")</f>
        <v>Allah Ditta</v>
      </c>
      <c r="D48" t="str">
        <f>IFERROR(INDEX(Management!$B$3:$B$50,_xlfn.AGGREGATE(15,6,(ROW(Management!$B$3:$B$50)-ROW(Management!$B$3)+1)/((IF(Management!$C$3:$C$50="Unlimited",10^15,Management!$C$3:$C$50))&gt;='1'!$I48),COLUMN(D47))),"")</f>
        <v>Mehmood Ahmed</v>
      </c>
      <c r="E48" t="str">
        <f>IFERROR(INDEX(Management!$B$3:$B$50,_xlfn.AGGREGATE(15,6,(ROW(Management!$B$3:$B$50)-ROW(Management!$B$3)+1)/((IF(Management!$C$3:$C$50="Unlimited",10^15,Management!$C$3:$C$50))&gt;='1'!$I48),COLUMN(E47))),"")</f>
        <v>Tasawar Abbas</v>
      </c>
      <c r="F48" t="str">
        <f>IFERROR(INDEX(Management!$B$3:$B$50,_xlfn.AGGREGATE(15,6,(ROW(Management!$B$3:$B$50)-ROW(Management!$B$3)+1)/((IF(Management!$C$3:$C$50="Unlimited",10^15,Management!$C$3:$C$50))&gt;='1'!$I48),COLUMN(F47))),"")</f>
        <v>Muhammad Farhan</v>
      </c>
      <c r="G48" t="str">
        <f>IFERROR(INDEX(Management!$B$3:$B$50,_xlfn.AGGREGATE(15,6,(ROW(Management!$B$3:$B$50)-ROW(Management!$B$3)+1)/((IF(Management!$C$3:$C$50="Unlimited",10^15,Management!$C$3:$C$50))&gt;='1'!$I48),COLUMN(G47))),"")</f>
        <v>Shahzaib Ali</v>
      </c>
      <c r="H48" t="str">
        <f>IFERROR(INDEX(Management!$B$3:$B$50,_xlfn.AGGREGATE(15,6,(ROW(Management!$B$3:$B$50)-ROW(Management!$B$3)+1)/((IF(Management!$C$3:$C$50="Unlimited",10^15,Management!$C$3:$C$50))&gt;='1'!$I48),COLUMN(H47))),"")</f>
        <v>Waseem Raza</v>
      </c>
      <c r="I48" t="str">
        <f>IFERROR(INDEX(Management!$B$3:$B$50,_xlfn.AGGREGATE(15,6,(ROW(Management!$B$3:$B$50)-ROW(Management!$B$3)+1)/((IF(Management!$C$3:$C$50="Unlimited",10^15,Management!$C$3:$C$50))&gt;='1'!$I48),COLUMN(I47))),"")</f>
        <v>Muhammad Majeed</v>
      </c>
      <c r="J48" t="str">
        <f>IFERROR(INDEX(Management!$B$3:$B$50,_xlfn.AGGREGATE(15,6,(ROW(Management!$B$3:$B$50)-ROW(Management!$B$3)+1)/((IF(Management!$C$3:$C$50="Unlimited",10^15,Management!$C$3:$C$50))&gt;='1'!$I48),COLUMN(J47))),"")</f>
        <v>Shoukat Mahmood</v>
      </c>
      <c r="K48" t="str">
        <f>IFERROR(INDEX(Management!$B$3:$B$50,_xlfn.AGGREGATE(15,6,(ROW(Management!$B$3:$B$50)-ROW(Management!$B$3)+1)/((IF(Management!$C$3:$C$50="Unlimited",10^15,Management!$C$3:$C$50))&gt;='1'!$I48),COLUMN(K47))),"")</f>
        <v>Naveed Kamal</v>
      </c>
      <c r="L48" t="str">
        <f>IFERROR(INDEX(Management!$B$3:$B$50,_xlfn.AGGREGATE(15,6,(ROW(Management!$B$3:$B$50)-ROW(Management!$B$3)+1)/((IF(Management!$C$3:$C$50="Unlimited",10^15,Management!$C$3:$C$50))&gt;='1'!$I48),COLUMN(L47))),"")</f>
        <v>Raza Ali</v>
      </c>
      <c r="M48" t="str">
        <f>IFERROR(INDEX(Management!$B$3:$B$50,_xlfn.AGGREGATE(15,6,(ROW(Management!$B$3:$B$50)-ROW(Management!$B$3)+1)/((IF(Management!$C$3:$C$50="Unlimited",10^15,Management!$C$3:$C$50))&gt;='1'!$I48),COLUMN(M47))),"")</f>
        <v>Alfqar</v>
      </c>
      <c r="N48" t="str">
        <f>IFERROR(INDEX(Management!$B$3:$B$50,_xlfn.AGGREGATE(15,6,(ROW(Management!$B$3:$B$50)-ROW(Management!$B$3)+1)/((IF(Management!$C$3:$C$50="Unlimited",10^15,Management!$C$3:$C$50))&gt;='1'!$I48),COLUMN(N47))),"")</f>
        <v>Sheraz Ahmed</v>
      </c>
      <c r="O48" t="str">
        <f>IFERROR(INDEX(Management!$B$3:$B$50,_xlfn.AGGREGATE(15,6,(ROW(Management!$B$3:$B$50)-ROW(Management!$B$3)+1)/((IF(Management!$C$3:$C$50="Unlimited",10^15,Management!$C$3:$C$50))&gt;='1'!$I48),COLUMN(O47))),"")</f>
        <v>Faisal Kausar</v>
      </c>
      <c r="P48" t="str">
        <f>IFERROR(INDEX(Management!$B$3:$B$50,_xlfn.AGGREGATE(15,6,(ROW(Management!$B$3:$B$50)-ROW(Management!$B$3)+1)/((IF(Management!$C$3:$C$50="Unlimited",10^15,Management!$C$3:$C$50))&gt;='1'!$I48),COLUMN(P47))),"")</f>
        <v>Muhammad Faisal</v>
      </c>
      <c r="Q48" t="str">
        <f>IFERROR(INDEX(Management!$B$3:$B$50,_xlfn.AGGREGATE(15,6,(ROW(Management!$B$3:$B$50)-ROW(Management!$B$3)+1)/((IF(Management!$C$3:$C$50="Unlimited",10^15,Management!$C$3:$C$50))&gt;='1'!$I48),COLUMN(Q47))),"")</f>
        <v>Sumair Hamza</v>
      </c>
      <c r="R48" t="str">
        <f>IFERROR(INDEX(Management!$B$3:$B$50,_xlfn.AGGREGATE(15,6,(ROW(Management!$B$3:$B$50)-ROW(Management!$B$3)+1)/((IF(Management!$C$3:$C$50="Unlimited",10^15,Management!$C$3:$C$50))&gt;='1'!$I48),COLUMN(R47))),"")</f>
        <v>Muhammad Ali</v>
      </c>
      <c r="S48" t="str">
        <f>IFERROR(INDEX(Management!$B$3:$B$50,_xlfn.AGGREGATE(15,6,(ROW(Management!$B$3:$B$50)-ROW(Management!$B$3)+1)/((IF(Management!$C$3:$C$50="Unlimited",10^15,Management!$C$3:$C$50))&gt;='1'!$I48),COLUMN(S47))),"")</f>
        <v>Muhammad Ali</v>
      </c>
      <c r="T48" t="str">
        <f>IFERROR(INDEX(Management!$B$3:$B$50,_xlfn.AGGREGATE(15,6,(ROW(Management!$B$3:$B$50)-ROW(Management!$B$3)+1)/((IF(Management!$C$3:$C$50="Unlimited",10^15,Management!$C$3:$C$50))&gt;='1'!$I48),COLUMN(T47))),"")</f>
        <v>Jawad Aziz</v>
      </c>
    </row>
    <row r="49" spans="1:20">
      <c r="A49" t="str">
        <f>IFERROR(INDEX(Management!$B$3:$B$50,_xlfn.AGGREGATE(15,6,(ROW(Management!$B$3:$B$50)-ROW(Management!$B$3)+1)/((IF(Management!$C$3:$C$50="Unlimited",10^15,Management!$C$3:$C$50))&gt;='1'!$I49),COLUMN(A48))),"")</f>
        <v>Muhammad Usman</v>
      </c>
      <c r="B49" t="str">
        <f>IFERROR(INDEX(Management!$B$3:$B$50,_xlfn.AGGREGATE(15,6,(ROW(Management!$B$3:$B$50)-ROW(Management!$B$3)+1)/((IF(Management!$C$3:$C$50="Unlimited",10^15,Management!$C$3:$C$50))&gt;='1'!$I49),COLUMN(B48))),"")</f>
        <v>Nadeem Hussain</v>
      </c>
      <c r="C49" t="str">
        <f>IFERROR(INDEX(Management!$B$3:$B$50,_xlfn.AGGREGATE(15,6,(ROW(Management!$B$3:$B$50)-ROW(Management!$B$3)+1)/((IF(Management!$C$3:$C$50="Unlimited",10^15,Management!$C$3:$C$50))&gt;='1'!$I49),COLUMN(C48))),"")</f>
        <v>Allah Ditta</v>
      </c>
      <c r="D49" t="str">
        <f>IFERROR(INDEX(Management!$B$3:$B$50,_xlfn.AGGREGATE(15,6,(ROW(Management!$B$3:$B$50)-ROW(Management!$B$3)+1)/((IF(Management!$C$3:$C$50="Unlimited",10^15,Management!$C$3:$C$50))&gt;='1'!$I49),COLUMN(D48))),"")</f>
        <v>Mehmood Ahmed</v>
      </c>
      <c r="E49" t="str">
        <f>IFERROR(INDEX(Management!$B$3:$B$50,_xlfn.AGGREGATE(15,6,(ROW(Management!$B$3:$B$50)-ROW(Management!$B$3)+1)/((IF(Management!$C$3:$C$50="Unlimited",10^15,Management!$C$3:$C$50))&gt;='1'!$I49),COLUMN(E48))),"")</f>
        <v>Tasawar Abbas</v>
      </c>
      <c r="F49" t="str">
        <f>IFERROR(INDEX(Management!$B$3:$B$50,_xlfn.AGGREGATE(15,6,(ROW(Management!$B$3:$B$50)-ROW(Management!$B$3)+1)/((IF(Management!$C$3:$C$50="Unlimited",10^15,Management!$C$3:$C$50))&gt;='1'!$I49),COLUMN(F48))),"")</f>
        <v>Muhammad Farhan</v>
      </c>
      <c r="G49" t="str">
        <f>IFERROR(INDEX(Management!$B$3:$B$50,_xlfn.AGGREGATE(15,6,(ROW(Management!$B$3:$B$50)-ROW(Management!$B$3)+1)/((IF(Management!$C$3:$C$50="Unlimited",10^15,Management!$C$3:$C$50))&gt;='1'!$I49),COLUMN(G48))),"")</f>
        <v>Shahzaib Ali</v>
      </c>
      <c r="H49" t="str">
        <f>IFERROR(INDEX(Management!$B$3:$B$50,_xlfn.AGGREGATE(15,6,(ROW(Management!$B$3:$B$50)-ROW(Management!$B$3)+1)/((IF(Management!$C$3:$C$50="Unlimited",10^15,Management!$C$3:$C$50))&gt;='1'!$I49),COLUMN(H48))),"")</f>
        <v>Waseem Raza</v>
      </c>
      <c r="I49" t="str">
        <f>IFERROR(INDEX(Management!$B$3:$B$50,_xlfn.AGGREGATE(15,6,(ROW(Management!$B$3:$B$50)-ROW(Management!$B$3)+1)/((IF(Management!$C$3:$C$50="Unlimited",10^15,Management!$C$3:$C$50))&gt;='1'!$I49),COLUMN(I48))),"")</f>
        <v>Muhammad Majeed</v>
      </c>
      <c r="J49" t="str">
        <f>IFERROR(INDEX(Management!$B$3:$B$50,_xlfn.AGGREGATE(15,6,(ROW(Management!$B$3:$B$50)-ROW(Management!$B$3)+1)/((IF(Management!$C$3:$C$50="Unlimited",10^15,Management!$C$3:$C$50))&gt;='1'!$I49),COLUMN(J48))),"")</f>
        <v>Shoukat Mahmood</v>
      </c>
      <c r="K49" t="str">
        <f>IFERROR(INDEX(Management!$B$3:$B$50,_xlfn.AGGREGATE(15,6,(ROW(Management!$B$3:$B$50)-ROW(Management!$B$3)+1)/((IF(Management!$C$3:$C$50="Unlimited",10^15,Management!$C$3:$C$50))&gt;='1'!$I49),COLUMN(K48))),"")</f>
        <v>Naveed Kamal</v>
      </c>
      <c r="L49" t="str">
        <f>IFERROR(INDEX(Management!$B$3:$B$50,_xlfn.AGGREGATE(15,6,(ROW(Management!$B$3:$B$50)-ROW(Management!$B$3)+1)/((IF(Management!$C$3:$C$50="Unlimited",10^15,Management!$C$3:$C$50))&gt;='1'!$I49),COLUMN(L48))),"")</f>
        <v>Raza Ali</v>
      </c>
      <c r="M49" t="str">
        <f>IFERROR(INDEX(Management!$B$3:$B$50,_xlfn.AGGREGATE(15,6,(ROW(Management!$B$3:$B$50)-ROW(Management!$B$3)+1)/((IF(Management!$C$3:$C$50="Unlimited",10^15,Management!$C$3:$C$50))&gt;='1'!$I49),COLUMN(M48))),"")</f>
        <v>Alfqar</v>
      </c>
      <c r="N49" t="str">
        <f>IFERROR(INDEX(Management!$B$3:$B$50,_xlfn.AGGREGATE(15,6,(ROW(Management!$B$3:$B$50)-ROW(Management!$B$3)+1)/((IF(Management!$C$3:$C$50="Unlimited",10^15,Management!$C$3:$C$50))&gt;='1'!$I49),COLUMN(N48))),"")</f>
        <v>Sheraz Ahmed</v>
      </c>
      <c r="O49" t="str">
        <f>IFERROR(INDEX(Management!$B$3:$B$50,_xlfn.AGGREGATE(15,6,(ROW(Management!$B$3:$B$50)-ROW(Management!$B$3)+1)/((IF(Management!$C$3:$C$50="Unlimited",10^15,Management!$C$3:$C$50))&gt;='1'!$I49),COLUMN(O48))),"")</f>
        <v>Faisal Kausar</v>
      </c>
      <c r="P49" t="str">
        <f>IFERROR(INDEX(Management!$B$3:$B$50,_xlfn.AGGREGATE(15,6,(ROW(Management!$B$3:$B$50)-ROW(Management!$B$3)+1)/((IF(Management!$C$3:$C$50="Unlimited",10^15,Management!$C$3:$C$50))&gt;='1'!$I49),COLUMN(P48))),"")</f>
        <v>Muhammad Faisal</v>
      </c>
      <c r="Q49" t="str">
        <f>IFERROR(INDEX(Management!$B$3:$B$50,_xlfn.AGGREGATE(15,6,(ROW(Management!$B$3:$B$50)-ROW(Management!$B$3)+1)/((IF(Management!$C$3:$C$50="Unlimited",10^15,Management!$C$3:$C$50))&gt;='1'!$I49),COLUMN(Q48))),"")</f>
        <v>Sumair Hamza</v>
      </c>
      <c r="R49" t="str">
        <f>IFERROR(INDEX(Management!$B$3:$B$50,_xlfn.AGGREGATE(15,6,(ROW(Management!$B$3:$B$50)-ROW(Management!$B$3)+1)/((IF(Management!$C$3:$C$50="Unlimited",10^15,Management!$C$3:$C$50))&gt;='1'!$I49),COLUMN(R48))),"")</f>
        <v>Muhammad Ali</v>
      </c>
      <c r="S49" t="str">
        <f>IFERROR(INDEX(Management!$B$3:$B$50,_xlfn.AGGREGATE(15,6,(ROW(Management!$B$3:$B$50)-ROW(Management!$B$3)+1)/((IF(Management!$C$3:$C$50="Unlimited",10^15,Management!$C$3:$C$50))&gt;='1'!$I49),COLUMN(S48))),"")</f>
        <v>Muhammad Ali</v>
      </c>
      <c r="T49" t="str">
        <f>IFERROR(INDEX(Management!$B$3:$B$50,_xlfn.AGGREGATE(15,6,(ROW(Management!$B$3:$B$50)-ROW(Management!$B$3)+1)/((IF(Management!$C$3:$C$50="Unlimited",10^15,Management!$C$3:$C$50))&gt;='1'!$I49),COLUMN(T48))),"")</f>
        <v>Jawad Aziz</v>
      </c>
    </row>
    <row r="50" spans="1:20">
      <c r="A50" t="str">
        <f>IFERROR(INDEX(Management!$B$3:$B$50,_xlfn.AGGREGATE(15,6,(ROW(Management!$B$3:$B$50)-ROW(Management!$B$3)+1)/((IF(Management!$C$3:$C$50="Unlimited",10^15,Management!$C$3:$C$50))&gt;='1'!$I50),COLUMN(A49))),"")</f>
        <v>Muhammad Usman</v>
      </c>
      <c r="B50" t="str">
        <f>IFERROR(INDEX(Management!$B$3:$B$50,_xlfn.AGGREGATE(15,6,(ROW(Management!$B$3:$B$50)-ROW(Management!$B$3)+1)/((IF(Management!$C$3:$C$50="Unlimited",10^15,Management!$C$3:$C$50))&gt;='1'!$I50),COLUMN(B49))),"")</f>
        <v>Nadeem Hussain</v>
      </c>
      <c r="C50" t="str">
        <f>IFERROR(INDEX(Management!$B$3:$B$50,_xlfn.AGGREGATE(15,6,(ROW(Management!$B$3:$B$50)-ROW(Management!$B$3)+1)/((IF(Management!$C$3:$C$50="Unlimited",10^15,Management!$C$3:$C$50))&gt;='1'!$I50),COLUMN(C49))),"")</f>
        <v>Allah Ditta</v>
      </c>
      <c r="D50" t="str">
        <f>IFERROR(INDEX(Management!$B$3:$B$50,_xlfn.AGGREGATE(15,6,(ROW(Management!$B$3:$B$50)-ROW(Management!$B$3)+1)/((IF(Management!$C$3:$C$50="Unlimited",10^15,Management!$C$3:$C$50))&gt;='1'!$I50),COLUMN(D49))),"")</f>
        <v>Mehmood Ahmed</v>
      </c>
      <c r="E50" t="str">
        <f>IFERROR(INDEX(Management!$B$3:$B$50,_xlfn.AGGREGATE(15,6,(ROW(Management!$B$3:$B$50)-ROW(Management!$B$3)+1)/((IF(Management!$C$3:$C$50="Unlimited",10^15,Management!$C$3:$C$50))&gt;='1'!$I50),COLUMN(E49))),"")</f>
        <v>Tasawar Abbas</v>
      </c>
      <c r="F50" t="str">
        <f>IFERROR(INDEX(Management!$B$3:$B$50,_xlfn.AGGREGATE(15,6,(ROW(Management!$B$3:$B$50)-ROW(Management!$B$3)+1)/((IF(Management!$C$3:$C$50="Unlimited",10^15,Management!$C$3:$C$50))&gt;='1'!$I50),COLUMN(F49))),"")</f>
        <v>Muhammad Farhan</v>
      </c>
      <c r="G50" t="str">
        <f>IFERROR(INDEX(Management!$B$3:$B$50,_xlfn.AGGREGATE(15,6,(ROW(Management!$B$3:$B$50)-ROW(Management!$B$3)+1)/((IF(Management!$C$3:$C$50="Unlimited",10^15,Management!$C$3:$C$50))&gt;='1'!$I50),COLUMN(G49))),"")</f>
        <v>Shahzaib Ali</v>
      </c>
      <c r="H50" t="str">
        <f>IFERROR(INDEX(Management!$B$3:$B$50,_xlfn.AGGREGATE(15,6,(ROW(Management!$B$3:$B$50)-ROW(Management!$B$3)+1)/((IF(Management!$C$3:$C$50="Unlimited",10^15,Management!$C$3:$C$50))&gt;='1'!$I50),COLUMN(H49))),"")</f>
        <v>Waseem Raza</v>
      </c>
      <c r="I50" t="str">
        <f>IFERROR(INDEX(Management!$B$3:$B$50,_xlfn.AGGREGATE(15,6,(ROW(Management!$B$3:$B$50)-ROW(Management!$B$3)+1)/((IF(Management!$C$3:$C$50="Unlimited",10^15,Management!$C$3:$C$50))&gt;='1'!$I50),COLUMN(I49))),"")</f>
        <v>Muhammad Majeed</v>
      </c>
      <c r="J50" t="str">
        <f>IFERROR(INDEX(Management!$B$3:$B$50,_xlfn.AGGREGATE(15,6,(ROW(Management!$B$3:$B$50)-ROW(Management!$B$3)+1)/((IF(Management!$C$3:$C$50="Unlimited",10^15,Management!$C$3:$C$50))&gt;='1'!$I50),COLUMN(J49))),"")</f>
        <v>Shoukat Mahmood</v>
      </c>
      <c r="K50" t="str">
        <f>IFERROR(INDEX(Management!$B$3:$B$50,_xlfn.AGGREGATE(15,6,(ROW(Management!$B$3:$B$50)-ROW(Management!$B$3)+1)/((IF(Management!$C$3:$C$50="Unlimited",10^15,Management!$C$3:$C$50))&gt;='1'!$I50),COLUMN(K49))),"")</f>
        <v>Naveed Kamal</v>
      </c>
      <c r="L50" t="str">
        <f>IFERROR(INDEX(Management!$B$3:$B$50,_xlfn.AGGREGATE(15,6,(ROW(Management!$B$3:$B$50)-ROW(Management!$B$3)+1)/((IF(Management!$C$3:$C$50="Unlimited",10^15,Management!$C$3:$C$50))&gt;='1'!$I50),COLUMN(L49))),"")</f>
        <v>Raza Ali</v>
      </c>
      <c r="M50" t="str">
        <f>IFERROR(INDEX(Management!$B$3:$B$50,_xlfn.AGGREGATE(15,6,(ROW(Management!$B$3:$B$50)-ROW(Management!$B$3)+1)/((IF(Management!$C$3:$C$50="Unlimited",10^15,Management!$C$3:$C$50))&gt;='1'!$I50),COLUMN(M49))),"")</f>
        <v>Alfqar</v>
      </c>
      <c r="N50" t="str">
        <f>IFERROR(INDEX(Management!$B$3:$B$50,_xlfn.AGGREGATE(15,6,(ROW(Management!$B$3:$B$50)-ROW(Management!$B$3)+1)/((IF(Management!$C$3:$C$50="Unlimited",10^15,Management!$C$3:$C$50))&gt;='1'!$I50),COLUMN(N49))),"")</f>
        <v>Sheraz Ahmed</v>
      </c>
      <c r="O50" t="str">
        <f>IFERROR(INDEX(Management!$B$3:$B$50,_xlfn.AGGREGATE(15,6,(ROW(Management!$B$3:$B$50)-ROW(Management!$B$3)+1)/((IF(Management!$C$3:$C$50="Unlimited",10^15,Management!$C$3:$C$50))&gt;='1'!$I50),COLUMN(O49))),"")</f>
        <v>Faisal Kausar</v>
      </c>
      <c r="P50" t="str">
        <f>IFERROR(INDEX(Management!$B$3:$B$50,_xlfn.AGGREGATE(15,6,(ROW(Management!$B$3:$B$50)-ROW(Management!$B$3)+1)/((IF(Management!$C$3:$C$50="Unlimited",10^15,Management!$C$3:$C$50))&gt;='1'!$I50),COLUMN(P49))),"")</f>
        <v>Muhammad Faisal</v>
      </c>
      <c r="Q50" t="str">
        <f>IFERROR(INDEX(Management!$B$3:$B$50,_xlfn.AGGREGATE(15,6,(ROW(Management!$B$3:$B$50)-ROW(Management!$B$3)+1)/((IF(Management!$C$3:$C$50="Unlimited",10^15,Management!$C$3:$C$50))&gt;='1'!$I50),COLUMN(Q49))),"")</f>
        <v>Sumair Hamza</v>
      </c>
      <c r="R50" t="str">
        <f>IFERROR(INDEX(Management!$B$3:$B$50,_xlfn.AGGREGATE(15,6,(ROW(Management!$B$3:$B$50)-ROW(Management!$B$3)+1)/((IF(Management!$C$3:$C$50="Unlimited",10^15,Management!$C$3:$C$50))&gt;='1'!$I50),COLUMN(R49))),"")</f>
        <v>Muhammad Ali</v>
      </c>
      <c r="S50" t="str">
        <f>IFERROR(INDEX(Management!$B$3:$B$50,_xlfn.AGGREGATE(15,6,(ROW(Management!$B$3:$B$50)-ROW(Management!$B$3)+1)/((IF(Management!$C$3:$C$50="Unlimited",10^15,Management!$C$3:$C$50))&gt;='1'!$I50),COLUMN(S49))),"")</f>
        <v>Muhammad Ali</v>
      </c>
      <c r="T50" t="str">
        <f>IFERROR(INDEX(Management!$B$3:$B$50,_xlfn.AGGREGATE(15,6,(ROW(Management!$B$3:$B$50)-ROW(Management!$B$3)+1)/((IF(Management!$C$3:$C$50="Unlimited",10^15,Management!$C$3:$C$50))&gt;='1'!$I50),COLUMN(T49))),"")</f>
        <v>Jawad Aziz</v>
      </c>
    </row>
    <row r="51" spans="1:20">
      <c r="A51" t="str">
        <f>IFERROR(INDEX(Management!$B$3:$B$50,_xlfn.AGGREGATE(15,6,(ROW(Management!$B$3:$B$50)-ROW(Management!$B$3)+1)/((IF(Management!$C$3:$C$50="Unlimited",10^15,Management!$C$3:$C$50))&gt;='1'!$I51),COLUMN(A50))),"")</f>
        <v/>
      </c>
      <c r="B51" t="str">
        <f>IFERROR(INDEX(Management!$B$3:$B$50,_xlfn.AGGREGATE(15,6,(ROW(Management!$B$3:$B$50)-ROW(Management!$B$3)+1)/((IF(Management!$C$3:$C$50="Unlimited",10^15,Management!$C$3:$C$50))&gt;='1'!$I51),COLUMN(B50))),"")</f>
        <v/>
      </c>
      <c r="C51" t="str">
        <f>IFERROR(INDEX(Management!$B$3:$B$50,_xlfn.AGGREGATE(15,6,(ROW(Management!$B$3:$B$50)-ROW(Management!$B$3)+1)/((IF(Management!$C$3:$C$50="Unlimited",10^15,Management!$C$3:$C$50))&gt;='1'!$I51),COLUMN(C50))),"")</f>
        <v/>
      </c>
      <c r="D51" t="str">
        <f>IFERROR(INDEX(Management!$B$3:$B$50,_xlfn.AGGREGATE(15,6,(ROW(Management!$B$3:$B$50)-ROW(Management!$B$3)+1)/((IF(Management!$C$3:$C$50="Unlimited",10^15,Management!$C$3:$C$50))&gt;='1'!$I51),COLUMN(D50))),"")</f>
        <v/>
      </c>
      <c r="E51" t="str">
        <f>IFERROR(INDEX(Management!$B$3:$B$50,_xlfn.AGGREGATE(15,6,(ROW(Management!$B$3:$B$50)-ROW(Management!$B$3)+1)/((IF(Management!$C$3:$C$50="Unlimited",10^15,Management!$C$3:$C$50))&gt;='1'!$I51),COLUMN(E50))),"")</f>
        <v/>
      </c>
      <c r="F51" t="str">
        <f>IFERROR(INDEX(Management!$B$3:$B$50,_xlfn.AGGREGATE(15,6,(ROW(Management!$B$3:$B$50)-ROW(Management!$B$3)+1)/((IF(Management!$C$3:$C$50="Unlimited",10^15,Management!$C$3:$C$50))&gt;='1'!$I51),COLUMN(F50))),"")</f>
        <v/>
      </c>
      <c r="G51" t="str">
        <f>IFERROR(INDEX(Management!$B$3:$B$50,_xlfn.AGGREGATE(15,6,(ROW(Management!$B$3:$B$50)-ROW(Management!$B$3)+1)/((IF(Management!$C$3:$C$50="Unlimited",10^15,Management!$C$3:$C$50))&gt;='1'!$I51),COLUMN(G50))),"")</f>
        <v/>
      </c>
      <c r="H51" t="str">
        <f>IFERROR(INDEX(Management!$B$3:$B$50,_xlfn.AGGREGATE(15,6,(ROW(Management!$B$3:$B$50)-ROW(Management!$B$3)+1)/((IF(Management!$C$3:$C$50="Unlimited",10^15,Management!$C$3:$C$50))&gt;='1'!$I51),COLUMN(H50))),"")</f>
        <v/>
      </c>
      <c r="I51" t="str">
        <f>IFERROR(INDEX(Management!$B$3:$B$50,_xlfn.AGGREGATE(15,6,(ROW(Management!$B$3:$B$50)-ROW(Management!$B$3)+1)/((IF(Management!$C$3:$C$50="Unlimited",10^15,Management!$C$3:$C$50))&gt;='1'!$I51),COLUMN(I50))),"")</f>
        <v/>
      </c>
      <c r="J51" t="str">
        <f>IFERROR(INDEX(Management!$B$3:$B$50,_xlfn.AGGREGATE(15,6,(ROW(Management!$B$3:$B$50)-ROW(Management!$B$3)+1)/((IF(Management!$C$3:$C$50="Unlimited",10^15,Management!$C$3:$C$50))&gt;='1'!$I51),COLUMN(J50))),"")</f>
        <v/>
      </c>
      <c r="K51" t="str">
        <f>IFERROR(INDEX(Management!$B$3:$B$50,_xlfn.AGGREGATE(15,6,(ROW(Management!$B$3:$B$50)-ROW(Management!$B$3)+1)/((IF(Management!$C$3:$C$50="Unlimited",10^15,Management!$C$3:$C$50))&gt;='1'!$I51),COLUMN(K50))),"")</f>
        <v/>
      </c>
      <c r="L51" t="str">
        <f>IFERROR(INDEX(Management!$B$3:$B$50,_xlfn.AGGREGATE(15,6,(ROW(Management!$B$3:$B$50)-ROW(Management!$B$3)+1)/((IF(Management!$C$3:$C$50="Unlimited",10^15,Management!$C$3:$C$50))&gt;='1'!$I51),COLUMN(L50))),"")</f>
        <v/>
      </c>
      <c r="M51" t="str">
        <f>IFERROR(INDEX(Management!$B$3:$B$50,_xlfn.AGGREGATE(15,6,(ROW(Management!$B$3:$B$50)-ROW(Management!$B$3)+1)/((IF(Management!$C$3:$C$50="Unlimited",10^15,Management!$C$3:$C$50))&gt;='1'!$I51),COLUMN(M50))),"")</f>
        <v/>
      </c>
      <c r="N51" t="str">
        <f>IFERROR(INDEX(Management!$B$3:$B$50,_xlfn.AGGREGATE(15,6,(ROW(Management!$B$3:$B$50)-ROW(Management!$B$3)+1)/((IF(Management!$C$3:$C$50="Unlimited",10^15,Management!$C$3:$C$50))&gt;='1'!$I51),COLUMN(N50))),"")</f>
        <v/>
      </c>
      <c r="O51" t="str">
        <f>IFERROR(INDEX(Management!$B$3:$B$50,_xlfn.AGGREGATE(15,6,(ROW(Management!$B$3:$B$50)-ROW(Management!$B$3)+1)/((IF(Management!$C$3:$C$50="Unlimited",10^15,Management!$C$3:$C$50))&gt;='1'!$I51),COLUMN(O50))),"")</f>
        <v/>
      </c>
      <c r="P51" t="str">
        <f>IFERROR(INDEX(Management!$B$3:$B$50,_xlfn.AGGREGATE(15,6,(ROW(Management!$B$3:$B$50)-ROW(Management!$B$3)+1)/((IF(Management!$C$3:$C$50="Unlimited",10^15,Management!$C$3:$C$50))&gt;='1'!$I51),COLUMN(P50))),"")</f>
        <v/>
      </c>
      <c r="Q51" t="str">
        <f>IFERROR(INDEX(Management!$B$3:$B$50,_xlfn.AGGREGATE(15,6,(ROW(Management!$B$3:$B$50)-ROW(Management!$B$3)+1)/((IF(Management!$C$3:$C$50="Unlimited",10^15,Management!$C$3:$C$50))&gt;='1'!$I51),COLUMN(Q50))),"")</f>
        <v/>
      </c>
      <c r="R51" t="str">
        <f>IFERROR(INDEX(Management!$B$3:$B$50,_xlfn.AGGREGATE(15,6,(ROW(Management!$B$3:$B$50)-ROW(Management!$B$3)+1)/((IF(Management!$C$3:$C$50="Unlimited",10^15,Management!$C$3:$C$50))&gt;='1'!$I51),COLUMN(R50))),"")</f>
        <v/>
      </c>
      <c r="S51" t="str">
        <f>IFERROR(INDEX(Management!$B$3:$B$50,_xlfn.AGGREGATE(15,6,(ROW(Management!$B$3:$B$50)-ROW(Management!$B$3)+1)/((IF(Management!$C$3:$C$50="Unlimited",10^15,Management!$C$3:$C$50))&gt;='1'!$I51),COLUMN(S50))),"")</f>
        <v/>
      </c>
      <c r="T51" t="str">
        <f>IFERROR(INDEX(Management!$B$3:$B$50,_xlfn.AGGREGATE(15,6,(ROW(Management!$B$3:$B$50)-ROW(Management!$B$3)+1)/((IF(Management!$C$3:$C$50="Unlimited",10^15,Management!$C$3:$C$50))&gt;='1'!$I51),COLUMN(T50))),"")</f>
        <v/>
      </c>
    </row>
    <row r="52" spans="1:20">
      <c r="A52" t="str">
        <f>IFERROR(INDEX(Management!$B$3:$B$50,_xlfn.AGGREGATE(15,6,(ROW(Management!$B$3:$B$50)-ROW(Management!$B$3)+1)/((IF(Management!$C$3:$C$50="Unlimited",10^15,Management!$C$3:$C$50))&gt;='1'!$I52),COLUMN(A51))),"")</f>
        <v/>
      </c>
      <c r="B52" t="str">
        <f>IFERROR(INDEX(Management!$B$3:$B$50,_xlfn.AGGREGATE(15,6,(ROW(Management!$B$3:$B$50)-ROW(Management!$B$3)+1)/((IF(Management!$C$3:$C$50="Unlimited",10^15,Management!$C$3:$C$50))&gt;='1'!$I52),COLUMN(B51))),"")</f>
        <v/>
      </c>
      <c r="C52" t="str">
        <f>IFERROR(INDEX(Management!$B$3:$B$50,_xlfn.AGGREGATE(15,6,(ROW(Management!$B$3:$B$50)-ROW(Management!$B$3)+1)/((IF(Management!$C$3:$C$50="Unlimited",10^15,Management!$C$3:$C$50))&gt;='1'!$I52),COLUMN(C51))),"")</f>
        <v/>
      </c>
      <c r="D52" t="str">
        <f>IFERROR(INDEX(Management!$B$3:$B$50,_xlfn.AGGREGATE(15,6,(ROW(Management!$B$3:$B$50)-ROW(Management!$B$3)+1)/((IF(Management!$C$3:$C$50="Unlimited",10^15,Management!$C$3:$C$50))&gt;='1'!$I52),COLUMN(D51))),"")</f>
        <v/>
      </c>
      <c r="E52" t="str">
        <f>IFERROR(INDEX(Management!$B$3:$B$50,_xlfn.AGGREGATE(15,6,(ROW(Management!$B$3:$B$50)-ROW(Management!$B$3)+1)/((IF(Management!$C$3:$C$50="Unlimited",10^15,Management!$C$3:$C$50))&gt;='1'!$I52),COLUMN(E51))),"")</f>
        <v/>
      </c>
      <c r="F52" t="str">
        <f>IFERROR(INDEX(Management!$B$3:$B$50,_xlfn.AGGREGATE(15,6,(ROW(Management!$B$3:$B$50)-ROW(Management!$B$3)+1)/((IF(Management!$C$3:$C$50="Unlimited",10^15,Management!$C$3:$C$50))&gt;='1'!$I52),COLUMN(F51))),"")</f>
        <v/>
      </c>
      <c r="G52" t="str">
        <f>IFERROR(INDEX(Management!$B$3:$B$50,_xlfn.AGGREGATE(15,6,(ROW(Management!$B$3:$B$50)-ROW(Management!$B$3)+1)/((IF(Management!$C$3:$C$50="Unlimited",10^15,Management!$C$3:$C$50))&gt;='1'!$I52),COLUMN(G51))),"")</f>
        <v/>
      </c>
      <c r="H52" t="str">
        <f>IFERROR(INDEX(Management!$B$3:$B$50,_xlfn.AGGREGATE(15,6,(ROW(Management!$B$3:$B$50)-ROW(Management!$B$3)+1)/((IF(Management!$C$3:$C$50="Unlimited",10^15,Management!$C$3:$C$50))&gt;='1'!$I52),COLUMN(H51))),"")</f>
        <v/>
      </c>
      <c r="I52" t="str">
        <f>IFERROR(INDEX(Management!$B$3:$B$50,_xlfn.AGGREGATE(15,6,(ROW(Management!$B$3:$B$50)-ROW(Management!$B$3)+1)/((IF(Management!$C$3:$C$50="Unlimited",10^15,Management!$C$3:$C$50))&gt;='1'!$I52),COLUMN(I51))),"")</f>
        <v/>
      </c>
      <c r="J52" t="str">
        <f>IFERROR(INDEX(Management!$B$3:$B$50,_xlfn.AGGREGATE(15,6,(ROW(Management!$B$3:$B$50)-ROW(Management!$B$3)+1)/((IF(Management!$C$3:$C$50="Unlimited",10^15,Management!$C$3:$C$50))&gt;='1'!$I52),COLUMN(J51))),"")</f>
        <v/>
      </c>
      <c r="K52" t="str">
        <f>IFERROR(INDEX(Management!$B$3:$B$50,_xlfn.AGGREGATE(15,6,(ROW(Management!$B$3:$B$50)-ROW(Management!$B$3)+1)/((IF(Management!$C$3:$C$50="Unlimited",10^15,Management!$C$3:$C$50))&gt;='1'!$I52),COLUMN(K51))),"")</f>
        <v/>
      </c>
      <c r="L52" t="str">
        <f>IFERROR(INDEX(Management!$B$3:$B$50,_xlfn.AGGREGATE(15,6,(ROW(Management!$B$3:$B$50)-ROW(Management!$B$3)+1)/((IF(Management!$C$3:$C$50="Unlimited",10^15,Management!$C$3:$C$50))&gt;='1'!$I52),COLUMN(L51))),"")</f>
        <v/>
      </c>
      <c r="M52" t="str">
        <f>IFERROR(INDEX(Management!$B$3:$B$50,_xlfn.AGGREGATE(15,6,(ROW(Management!$B$3:$B$50)-ROW(Management!$B$3)+1)/((IF(Management!$C$3:$C$50="Unlimited",10^15,Management!$C$3:$C$50))&gt;='1'!$I52),COLUMN(M51))),"")</f>
        <v/>
      </c>
      <c r="N52" t="str">
        <f>IFERROR(INDEX(Management!$B$3:$B$50,_xlfn.AGGREGATE(15,6,(ROW(Management!$B$3:$B$50)-ROW(Management!$B$3)+1)/((IF(Management!$C$3:$C$50="Unlimited",10^15,Management!$C$3:$C$50))&gt;='1'!$I52),COLUMN(N51))),"")</f>
        <v/>
      </c>
      <c r="O52" t="str">
        <f>IFERROR(INDEX(Management!$B$3:$B$50,_xlfn.AGGREGATE(15,6,(ROW(Management!$B$3:$B$50)-ROW(Management!$B$3)+1)/((IF(Management!$C$3:$C$50="Unlimited",10^15,Management!$C$3:$C$50))&gt;='1'!$I52),COLUMN(O51))),"")</f>
        <v/>
      </c>
      <c r="P52" t="str">
        <f>IFERROR(INDEX(Management!$B$3:$B$50,_xlfn.AGGREGATE(15,6,(ROW(Management!$B$3:$B$50)-ROW(Management!$B$3)+1)/((IF(Management!$C$3:$C$50="Unlimited",10^15,Management!$C$3:$C$50))&gt;='1'!$I52),COLUMN(P51))),"")</f>
        <v/>
      </c>
      <c r="Q52" t="str">
        <f>IFERROR(INDEX(Management!$B$3:$B$50,_xlfn.AGGREGATE(15,6,(ROW(Management!$B$3:$B$50)-ROW(Management!$B$3)+1)/((IF(Management!$C$3:$C$50="Unlimited",10^15,Management!$C$3:$C$50))&gt;='1'!$I52),COLUMN(Q51))),"")</f>
        <v/>
      </c>
      <c r="R52" t="str">
        <f>IFERROR(INDEX(Management!$B$3:$B$50,_xlfn.AGGREGATE(15,6,(ROW(Management!$B$3:$B$50)-ROW(Management!$B$3)+1)/((IF(Management!$C$3:$C$50="Unlimited",10^15,Management!$C$3:$C$50))&gt;='1'!$I52),COLUMN(R51))),"")</f>
        <v/>
      </c>
      <c r="S52" t="str">
        <f>IFERROR(INDEX(Management!$B$3:$B$50,_xlfn.AGGREGATE(15,6,(ROW(Management!$B$3:$B$50)-ROW(Management!$B$3)+1)/((IF(Management!$C$3:$C$50="Unlimited",10^15,Management!$C$3:$C$50))&gt;='1'!$I52),COLUMN(S51))),"")</f>
        <v/>
      </c>
      <c r="T52" t="str">
        <f>IFERROR(INDEX(Management!$B$3:$B$50,_xlfn.AGGREGATE(15,6,(ROW(Management!$B$3:$B$50)-ROW(Management!$B$3)+1)/((IF(Management!$C$3:$C$50="Unlimited",10^15,Management!$C$3:$C$50))&gt;='1'!$I52),COLUMN(T51))),"")</f>
        <v/>
      </c>
    </row>
    <row r="53" spans="1:20">
      <c r="A53" t="str">
        <f>IFERROR(INDEX(Management!$B$3:$B$50,_xlfn.AGGREGATE(15,6,(ROW(Management!$B$3:$B$50)-ROW(Management!$B$3)+1)/((IF(Management!$C$3:$C$50="Unlimited",10^15,Management!$C$3:$C$50))&gt;='1'!$I53),COLUMN(A52))),"")</f>
        <v/>
      </c>
      <c r="B53" t="str">
        <f>IFERROR(INDEX(Management!$B$3:$B$50,_xlfn.AGGREGATE(15,6,(ROW(Management!$B$3:$B$50)-ROW(Management!$B$3)+1)/((IF(Management!$C$3:$C$50="Unlimited",10^15,Management!$C$3:$C$50))&gt;='1'!$I53),COLUMN(B52))),"")</f>
        <v/>
      </c>
      <c r="C53" t="str">
        <f>IFERROR(INDEX(Management!$B$3:$B$50,_xlfn.AGGREGATE(15,6,(ROW(Management!$B$3:$B$50)-ROW(Management!$B$3)+1)/((IF(Management!$C$3:$C$50="Unlimited",10^15,Management!$C$3:$C$50))&gt;='1'!$I53),COLUMN(C52))),"")</f>
        <v/>
      </c>
      <c r="D53" t="str">
        <f>IFERROR(INDEX(Management!$B$3:$B$50,_xlfn.AGGREGATE(15,6,(ROW(Management!$B$3:$B$50)-ROW(Management!$B$3)+1)/((IF(Management!$C$3:$C$50="Unlimited",10^15,Management!$C$3:$C$50))&gt;='1'!$I53),COLUMN(D52))),"")</f>
        <v/>
      </c>
      <c r="E53" t="str">
        <f>IFERROR(INDEX(Management!$B$3:$B$50,_xlfn.AGGREGATE(15,6,(ROW(Management!$B$3:$B$50)-ROW(Management!$B$3)+1)/((IF(Management!$C$3:$C$50="Unlimited",10^15,Management!$C$3:$C$50))&gt;='1'!$I53),COLUMN(E52))),"")</f>
        <v/>
      </c>
      <c r="F53" t="str">
        <f>IFERROR(INDEX(Management!$B$3:$B$50,_xlfn.AGGREGATE(15,6,(ROW(Management!$B$3:$B$50)-ROW(Management!$B$3)+1)/((IF(Management!$C$3:$C$50="Unlimited",10^15,Management!$C$3:$C$50))&gt;='1'!$I53),COLUMN(F52))),"")</f>
        <v/>
      </c>
      <c r="G53" t="str">
        <f>IFERROR(INDEX(Management!$B$3:$B$50,_xlfn.AGGREGATE(15,6,(ROW(Management!$B$3:$B$50)-ROW(Management!$B$3)+1)/((IF(Management!$C$3:$C$50="Unlimited",10^15,Management!$C$3:$C$50))&gt;='1'!$I53),COLUMN(G52))),"")</f>
        <v/>
      </c>
      <c r="H53" t="str">
        <f>IFERROR(INDEX(Management!$B$3:$B$50,_xlfn.AGGREGATE(15,6,(ROW(Management!$B$3:$B$50)-ROW(Management!$B$3)+1)/((IF(Management!$C$3:$C$50="Unlimited",10^15,Management!$C$3:$C$50))&gt;='1'!$I53),COLUMN(H52))),"")</f>
        <v/>
      </c>
      <c r="I53" t="str">
        <f>IFERROR(INDEX(Management!$B$3:$B$50,_xlfn.AGGREGATE(15,6,(ROW(Management!$B$3:$B$50)-ROW(Management!$B$3)+1)/((IF(Management!$C$3:$C$50="Unlimited",10^15,Management!$C$3:$C$50))&gt;='1'!$I53),COLUMN(I52))),"")</f>
        <v/>
      </c>
      <c r="J53" t="str">
        <f>IFERROR(INDEX(Management!$B$3:$B$50,_xlfn.AGGREGATE(15,6,(ROW(Management!$B$3:$B$50)-ROW(Management!$B$3)+1)/((IF(Management!$C$3:$C$50="Unlimited",10^15,Management!$C$3:$C$50))&gt;='1'!$I53),COLUMN(J52))),"")</f>
        <v/>
      </c>
      <c r="K53" t="str">
        <f>IFERROR(INDEX(Management!$B$3:$B$50,_xlfn.AGGREGATE(15,6,(ROW(Management!$B$3:$B$50)-ROW(Management!$B$3)+1)/((IF(Management!$C$3:$C$50="Unlimited",10^15,Management!$C$3:$C$50))&gt;='1'!$I53),COLUMN(K52))),"")</f>
        <v/>
      </c>
      <c r="L53" t="str">
        <f>IFERROR(INDEX(Management!$B$3:$B$50,_xlfn.AGGREGATE(15,6,(ROW(Management!$B$3:$B$50)-ROW(Management!$B$3)+1)/((IF(Management!$C$3:$C$50="Unlimited",10^15,Management!$C$3:$C$50))&gt;='1'!$I53),COLUMN(L52))),"")</f>
        <v/>
      </c>
      <c r="M53" t="str">
        <f>IFERROR(INDEX(Management!$B$3:$B$50,_xlfn.AGGREGATE(15,6,(ROW(Management!$B$3:$B$50)-ROW(Management!$B$3)+1)/((IF(Management!$C$3:$C$50="Unlimited",10^15,Management!$C$3:$C$50))&gt;='1'!$I53),COLUMN(M52))),"")</f>
        <v/>
      </c>
      <c r="N53" t="str">
        <f>IFERROR(INDEX(Management!$B$3:$B$50,_xlfn.AGGREGATE(15,6,(ROW(Management!$B$3:$B$50)-ROW(Management!$B$3)+1)/((IF(Management!$C$3:$C$50="Unlimited",10^15,Management!$C$3:$C$50))&gt;='1'!$I53),COLUMN(N52))),"")</f>
        <v/>
      </c>
      <c r="O53" t="str">
        <f>IFERROR(INDEX(Management!$B$3:$B$50,_xlfn.AGGREGATE(15,6,(ROW(Management!$B$3:$B$50)-ROW(Management!$B$3)+1)/((IF(Management!$C$3:$C$50="Unlimited",10^15,Management!$C$3:$C$50))&gt;='1'!$I53),COLUMN(O52))),"")</f>
        <v/>
      </c>
      <c r="P53" t="str">
        <f>IFERROR(INDEX(Management!$B$3:$B$50,_xlfn.AGGREGATE(15,6,(ROW(Management!$B$3:$B$50)-ROW(Management!$B$3)+1)/((IF(Management!$C$3:$C$50="Unlimited",10^15,Management!$C$3:$C$50))&gt;='1'!$I53),COLUMN(P52))),"")</f>
        <v/>
      </c>
      <c r="Q53" t="str">
        <f>IFERROR(INDEX(Management!$B$3:$B$50,_xlfn.AGGREGATE(15,6,(ROW(Management!$B$3:$B$50)-ROW(Management!$B$3)+1)/((IF(Management!$C$3:$C$50="Unlimited",10^15,Management!$C$3:$C$50))&gt;='1'!$I53),COLUMN(Q52))),"")</f>
        <v/>
      </c>
      <c r="R53" t="str">
        <f>IFERROR(INDEX(Management!$B$3:$B$50,_xlfn.AGGREGATE(15,6,(ROW(Management!$B$3:$B$50)-ROW(Management!$B$3)+1)/((IF(Management!$C$3:$C$50="Unlimited",10^15,Management!$C$3:$C$50))&gt;='1'!$I53),COLUMN(R52))),"")</f>
        <v/>
      </c>
      <c r="S53" t="str">
        <f>IFERROR(INDEX(Management!$B$3:$B$50,_xlfn.AGGREGATE(15,6,(ROW(Management!$B$3:$B$50)-ROW(Management!$B$3)+1)/((IF(Management!$C$3:$C$50="Unlimited",10^15,Management!$C$3:$C$50))&gt;='1'!$I53),COLUMN(S52))),"")</f>
        <v/>
      </c>
      <c r="T53" t="str">
        <f>IFERROR(INDEX(Management!$B$3:$B$50,_xlfn.AGGREGATE(15,6,(ROW(Management!$B$3:$B$50)-ROW(Management!$B$3)+1)/((IF(Management!$C$3:$C$50="Unlimited",10^15,Management!$C$3:$C$50))&gt;='1'!$I53),COLUMN(T52))),"")</f>
        <v/>
      </c>
    </row>
    <row r="54" spans="1:20">
      <c r="A54" t="str">
        <f>IFERROR(INDEX(Management!$B$3:$B$50,_xlfn.AGGREGATE(15,6,(ROW(Management!$B$3:$B$50)-ROW(Management!$B$3)+1)/((IF(Management!$C$3:$C$50="Unlimited",10^15,Management!$C$3:$C$50))&gt;='1'!$I54),COLUMN(A53))),"")</f>
        <v/>
      </c>
      <c r="B54" t="str">
        <f>IFERROR(INDEX(Management!$B$3:$B$50,_xlfn.AGGREGATE(15,6,(ROW(Management!$B$3:$B$50)-ROW(Management!$B$3)+1)/((IF(Management!$C$3:$C$50="Unlimited",10^15,Management!$C$3:$C$50))&gt;='1'!$I54),COLUMN(B53))),"")</f>
        <v/>
      </c>
      <c r="C54" t="str">
        <f>IFERROR(INDEX(Management!$B$3:$B$50,_xlfn.AGGREGATE(15,6,(ROW(Management!$B$3:$B$50)-ROW(Management!$B$3)+1)/((IF(Management!$C$3:$C$50="Unlimited",10^15,Management!$C$3:$C$50))&gt;='1'!$I54),COLUMN(C53))),"")</f>
        <v/>
      </c>
      <c r="D54" t="str">
        <f>IFERROR(INDEX(Management!$B$3:$B$50,_xlfn.AGGREGATE(15,6,(ROW(Management!$B$3:$B$50)-ROW(Management!$B$3)+1)/((IF(Management!$C$3:$C$50="Unlimited",10^15,Management!$C$3:$C$50))&gt;='1'!$I54),COLUMN(D53))),"")</f>
        <v/>
      </c>
      <c r="E54" t="str">
        <f>IFERROR(INDEX(Management!$B$3:$B$50,_xlfn.AGGREGATE(15,6,(ROW(Management!$B$3:$B$50)-ROW(Management!$B$3)+1)/((IF(Management!$C$3:$C$50="Unlimited",10^15,Management!$C$3:$C$50))&gt;='1'!$I54),COLUMN(E53))),"")</f>
        <v/>
      </c>
      <c r="F54" t="str">
        <f>IFERROR(INDEX(Management!$B$3:$B$50,_xlfn.AGGREGATE(15,6,(ROW(Management!$B$3:$B$50)-ROW(Management!$B$3)+1)/((IF(Management!$C$3:$C$50="Unlimited",10^15,Management!$C$3:$C$50))&gt;='1'!$I54),COLUMN(F53))),"")</f>
        <v/>
      </c>
      <c r="G54" t="str">
        <f>IFERROR(INDEX(Management!$B$3:$B$50,_xlfn.AGGREGATE(15,6,(ROW(Management!$B$3:$B$50)-ROW(Management!$B$3)+1)/((IF(Management!$C$3:$C$50="Unlimited",10^15,Management!$C$3:$C$50))&gt;='1'!$I54),COLUMN(G53))),"")</f>
        <v/>
      </c>
      <c r="H54" t="str">
        <f>IFERROR(INDEX(Management!$B$3:$B$50,_xlfn.AGGREGATE(15,6,(ROW(Management!$B$3:$B$50)-ROW(Management!$B$3)+1)/((IF(Management!$C$3:$C$50="Unlimited",10^15,Management!$C$3:$C$50))&gt;='1'!$I54),COLUMN(H53))),"")</f>
        <v/>
      </c>
      <c r="I54" t="str">
        <f>IFERROR(INDEX(Management!$B$3:$B$50,_xlfn.AGGREGATE(15,6,(ROW(Management!$B$3:$B$50)-ROW(Management!$B$3)+1)/((IF(Management!$C$3:$C$50="Unlimited",10^15,Management!$C$3:$C$50))&gt;='1'!$I54),COLUMN(I53))),"")</f>
        <v/>
      </c>
      <c r="J54" t="str">
        <f>IFERROR(INDEX(Management!$B$3:$B$50,_xlfn.AGGREGATE(15,6,(ROW(Management!$B$3:$B$50)-ROW(Management!$B$3)+1)/((IF(Management!$C$3:$C$50="Unlimited",10^15,Management!$C$3:$C$50))&gt;='1'!$I54),COLUMN(J53))),"")</f>
        <v/>
      </c>
      <c r="K54" t="str">
        <f>IFERROR(INDEX(Management!$B$3:$B$50,_xlfn.AGGREGATE(15,6,(ROW(Management!$B$3:$B$50)-ROW(Management!$B$3)+1)/((IF(Management!$C$3:$C$50="Unlimited",10^15,Management!$C$3:$C$50))&gt;='1'!$I54),COLUMN(K53))),"")</f>
        <v/>
      </c>
      <c r="L54" t="str">
        <f>IFERROR(INDEX(Management!$B$3:$B$50,_xlfn.AGGREGATE(15,6,(ROW(Management!$B$3:$B$50)-ROW(Management!$B$3)+1)/((IF(Management!$C$3:$C$50="Unlimited",10^15,Management!$C$3:$C$50))&gt;='1'!$I54),COLUMN(L53))),"")</f>
        <v/>
      </c>
      <c r="M54" t="str">
        <f>IFERROR(INDEX(Management!$B$3:$B$50,_xlfn.AGGREGATE(15,6,(ROW(Management!$B$3:$B$50)-ROW(Management!$B$3)+1)/((IF(Management!$C$3:$C$50="Unlimited",10^15,Management!$C$3:$C$50))&gt;='1'!$I54),COLUMN(M53))),"")</f>
        <v/>
      </c>
      <c r="N54" t="str">
        <f>IFERROR(INDEX(Management!$B$3:$B$50,_xlfn.AGGREGATE(15,6,(ROW(Management!$B$3:$B$50)-ROW(Management!$B$3)+1)/((IF(Management!$C$3:$C$50="Unlimited",10^15,Management!$C$3:$C$50))&gt;='1'!$I54),COLUMN(N53))),"")</f>
        <v/>
      </c>
      <c r="O54" t="str">
        <f>IFERROR(INDEX(Management!$B$3:$B$50,_xlfn.AGGREGATE(15,6,(ROW(Management!$B$3:$B$50)-ROW(Management!$B$3)+1)/((IF(Management!$C$3:$C$50="Unlimited",10^15,Management!$C$3:$C$50))&gt;='1'!$I54),COLUMN(O53))),"")</f>
        <v/>
      </c>
      <c r="P54" t="str">
        <f>IFERROR(INDEX(Management!$B$3:$B$50,_xlfn.AGGREGATE(15,6,(ROW(Management!$B$3:$B$50)-ROW(Management!$B$3)+1)/((IF(Management!$C$3:$C$50="Unlimited",10^15,Management!$C$3:$C$50))&gt;='1'!$I54),COLUMN(P53))),"")</f>
        <v/>
      </c>
      <c r="Q54" t="str">
        <f>IFERROR(INDEX(Management!$B$3:$B$50,_xlfn.AGGREGATE(15,6,(ROW(Management!$B$3:$B$50)-ROW(Management!$B$3)+1)/((IF(Management!$C$3:$C$50="Unlimited",10^15,Management!$C$3:$C$50))&gt;='1'!$I54),COLUMN(Q53))),"")</f>
        <v/>
      </c>
      <c r="R54" t="str">
        <f>IFERROR(INDEX(Management!$B$3:$B$50,_xlfn.AGGREGATE(15,6,(ROW(Management!$B$3:$B$50)-ROW(Management!$B$3)+1)/((IF(Management!$C$3:$C$50="Unlimited",10^15,Management!$C$3:$C$50))&gt;='1'!$I54),COLUMN(R53))),"")</f>
        <v/>
      </c>
      <c r="S54" t="str">
        <f>IFERROR(INDEX(Management!$B$3:$B$50,_xlfn.AGGREGATE(15,6,(ROW(Management!$B$3:$B$50)-ROW(Management!$B$3)+1)/((IF(Management!$C$3:$C$50="Unlimited",10^15,Management!$C$3:$C$50))&gt;='1'!$I54),COLUMN(S53))),"")</f>
        <v/>
      </c>
      <c r="T54" t="str">
        <f>IFERROR(INDEX(Management!$B$3:$B$50,_xlfn.AGGREGATE(15,6,(ROW(Management!$B$3:$B$50)-ROW(Management!$B$3)+1)/((IF(Management!$C$3:$C$50="Unlimited",10^15,Management!$C$3:$C$50))&gt;='1'!$I54),COLUMN(T53))),"")</f>
        <v/>
      </c>
    </row>
    <row r="55" spans="1:20">
      <c r="A55" t="str">
        <f>IFERROR(INDEX(Management!$B$3:$B$50,_xlfn.AGGREGATE(15,6,(ROW(Management!$B$3:$B$50)-ROW(Management!$B$3)+1)/((IF(Management!$C$3:$C$50="Unlimited",10^15,Management!$C$3:$C$50))&gt;='1'!$I55),COLUMN(A54))),"")</f>
        <v/>
      </c>
      <c r="B55" t="str">
        <f>IFERROR(INDEX(Management!$B$3:$B$50,_xlfn.AGGREGATE(15,6,(ROW(Management!$B$3:$B$50)-ROW(Management!$B$3)+1)/((IF(Management!$C$3:$C$50="Unlimited",10^15,Management!$C$3:$C$50))&gt;='1'!$I55),COLUMN(B54))),"")</f>
        <v/>
      </c>
      <c r="C55" t="str">
        <f>IFERROR(INDEX(Management!$B$3:$B$50,_xlfn.AGGREGATE(15,6,(ROW(Management!$B$3:$B$50)-ROW(Management!$B$3)+1)/((IF(Management!$C$3:$C$50="Unlimited",10^15,Management!$C$3:$C$50))&gt;='1'!$I55),COLUMN(C54))),"")</f>
        <v/>
      </c>
      <c r="D55" t="str">
        <f>IFERROR(INDEX(Management!$B$3:$B$50,_xlfn.AGGREGATE(15,6,(ROW(Management!$B$3:$B$50)-ROW(Management!$B$3)+1)/((IF(Management!$C$3:$C$50="Unlimited",10^15,Management!$C$3:$C$50))&gt;='1'!$I55),COLUMN(D54))),"")</f>
        <v/>
      </c>
      <c r="E55" t="str">
        <f>IFERROR(INDEX(Management!$B$3:$B$50,_xlfn.AGGREGATE(15,6,(ROW(Management!$B$3:$B$50)-ROW(Management!$B$3)+1)/((IF(Management!$C$3:$C$50="Unlimited",10^15,Management!$C$3:$C$50))&gt;='1'!$I55),COLUMN(E54))),"")</f>
        <v/>
      </c>
      <c r="F55" t="str">
        <f>IFERROR(INDEX(Management!$B$3:$B$50,_xlfn.AGGREGATE(15,6,(ROW(Management!$B$3:$B$50)-ROW(Management!$B$3)+1)/((IF(Management!$C$3:$C$50="Unlimited",10^15,Management!$C$3:$C$50))&gt;='1'!$I55),COLUMN(F54))),"")</f>
        <v/>
      </c>
      <c r="G55" t="str">
        <f>IFERROR(INDEX(Management!$B$3:$B$50,_xlfn.AGGREGATE(15,6,(ROW(Management!$B$3:$B$50)-ROW(Management!$B$3)+1)/((IF(Management!$C$3:$C$50="Unlimited",10^15,Management!$C$3:$C$50))&gt;='1'!$I55),COLUMN(G54))),"")</f>
        <v/>
      </c>
      <c r="H55" t="str">
        <f>IFERROR(INDEX(Management!$B$3:$B$50,_xlfn.AGGREGATE(15,6,(ROW(Management!$B$3:$B$50)-ROW(Management!$B$3)+1)/((IF(Management!$C$3:$C$50="Unlimited",10^15,Management!$C$3:$C$50))&gt;='1'!$I55),COLUMN(H54))),"")</f>
        <v/>
      </c>
      <c r="I55" t="str">
        <f>IFERROR(INDEX(Management!$B$3:$B$50,_xlfn.AGGREGATE(15,6,(ROW(Management!$B$3:$B$50)-ROW(Management!$B$3)+1)/((IF(Management!$C$3:$C$50="Unlimited",10^15,Management!$C$3:$C$50))&gt;='1'!$I55),COLUMN(I54))),"")</f>
        <v/>
      </c>
      <c r="J55" t="str">
        <f>IFERROR(INDEX(Management!$B$3:$B$50,_xlfn.AGGREGATE(15,6,(ROW(Management!$B$3:$B$50)-ROW(Management!$B$3)+1)/((IF(Management!$C$3:$C$50="Unlimited",10^15,Management!$C$3:$C$50))&gt;='1'!$I55),COLUMN(J54))),"")</f>
        <v/>
      </c>
      <c r="K55" t="str">
        <f>IFERROR(INDEX(Management!$B$3:$B$50,_xlfn.AGGREGATE(15,6,(ROW(Management!$B$3:$B$50)-ROW(Management!$B$3)+1)/((IF(Management!$C$3:$C$50="Unlimited",10^15,Management!$C$3:$C$50))&gt;='1'!$I55),COLUMN(K54))),"")</f>
        <v/>
      </c>
      <c r="L55" t="str">
        <f>IFERROR(INDEX(Management!$B$3:$B$50,_xlfn.AGGREGATE(15,6,(ROW(Management!$B$3:$B$50)-ROW(Management!$B$3)+1)/((IF(Management!$C$3:$C$50="Unlimited",10^15,Management!$C$3:$C$50))&gt;='1'!$I55),COLUMN(L54))),"")</f>
        <v/>
      </c>
      <c r="M55" t="str">
        <f>IFERROR(INDEX(Management!$B$3:$B$50,_xlfn.AGGREGATE(15,6,(ROW(Management!$B$3:$B$50)-ROW(Management!$B$3)+1)/((IF(Management!$C$3:$C$50="Unlimited",10^15,Management!$C$3:$C$50))&gt;='1'!$I55),COLUMN(M54))),"")</f>
        <v/>
      </c>
      <c r="N55" t="str">
        <f>IFERROR(INDEX(Management!$B$3:$B$50,_xlfn.AGGREGATE(15,6,(ROW(Management!$B$3:$B$50)-ROW(Management!$B$3)+1)/((IF(Management!$C$3:$C$50="Unlimited",10^15,Management!$C$3:$C$50))&gt;='1'!$I55),COLUMN(N54))),"")</f>
        <v/>
      </c>
      <c r="O55" t="str">
        <f>IFERROR(INDEX(Management!$B$3:$B$50,_xlfn.AGGREGATE(15,6,(ROW(Management!$B$3:$B$50)-ROW(Management!$B$3)+1)/((IF(Management!$C$3:$C$50="Unlimited",10^15,Management!$C$3:$C$50))&gt;='1'!$I55),COLUMN(O54))),"")</f>
        <v/>
      </c>
      <c r="P55" t="str">
        <f>IFERROR(INDEX(Management!$B$3:$B$50,_xlfn.AGGREGATE(15,6,(ROW(Management!$B$3:$B$50)-ROW(Management!$B$3)+1)/((IF(Management!$C$3:$C$50="Unlimited",10^15,Management!$C$3:$C$50))&gt;='1'!$I55),COLUMN(P54))),"")</f>
        <v/>
      </c>
      <c r="Q55" t="str">
        <f>IFERROR(INDEX(Management!$B$3:$B$50,_xlfn.AGGREGATE(15,6,(ROW(Management!$B$3:$B$50)-ROW(Management!$B$3)+1)/((IF(Management!$C$3:$C$50="Unlimited",10^15,Management!$C$3:$C$50))&gt;='1'!$I55),COLUMN(Q54))),"")</f>
        <v/>
      </c>
      <c r="R55" t="str">
        <f>IFERROR(INDEX(Management!$B$3:$B$50,_xlfn.AGGREGATE(15,6,(ROW(Management!$B$3:$B$50)-ROW(Management!$B$3)+1)/((IF(Management!$C$3:$C$50="Unlimited",10^15,Management!$C$3:$C$50))&gt;='1'!$I55),COLUMN(R54))),"")</f>
        <v/>
      </c>
      <c r="S55" t="str">
        <f>IFERROR(INDEX(Management!$B$3:$B$50,_xlfn.AGGREGATE(15,6,(ROW(Management!$B$3:$B$50)-ROW(Management!$B$3)+1)/((IF(Management!$C$3:$C$50="Unlimited",10^15,Management!$C$3:$C$50))&gt;='1'!$I55),COLUMN(S54))),"")</f>
        <v/>
      </c>
      <c r="T55" t="str">
        <f>IFERROR(INDEX(Management!$B$3:$B$50,_xlfn.AGGREGATE(15,6,(ROW(Management!$B$3:$B$50)-ROW(Management!$B$3)+1)/((IF(Management!$C$3:$C$50="Unlimited",10^15,Management!$C$3:$C$50))&gt;='1'!$I55),COLUMN(T54))),"")</f>
        <v/>
      </c>
    </row>
    <row r="56" spans="1:20">
      <c r="A56" t="str">
        <f>IFERROR(INDEX(Management!$B$3:$B$50,_xlfn.AGGREGATE(15,6,(ROW(Management!$B$3:$B$50)-ROW(Management!$B$3)+1)/((IF(Management!$C$3:$C$50="Unlimited",10^15,Management!$C$3:$C$50))&gt;='1'!$I56),COLUMN(A55))),"")</f>
        <v/>
      </c>
      <c r="B56" t="str">
        <f>IFERROR(INDEX(Management!$B$3:$B$50,_xlfn.AGGREGATE(15,6,(ROW(Management!$B$3:$B$50)-ROW(Management!$B$3)+1)/((IF(Management!$C$3:$C$50="Unlimited",10^15,Management!$C$3:$C$50))&gt;='1'!$I56),COLUMN(B55))),"")</f>
        <v/>
      </c>
      <c r="C56" t="str">
        <f>IFERROR(INDEX(Management!$B$3:$B$50,_xlfn.AGGREGATE(15,6,(ROW(Management!$B$3:$B$50)-ROW(Management!$B$3)+1)/((IF(Management!$C$3:$C$50="Unlimited",10^15,Management!$C$3:$C$50))&gt;='1'!$I56),COLUMN(C55))),"")</f>
        <v/>
      </c>
      <c r="D56" t="str">
        <f>IFERROR(INDEX(Management!$B$3:$B$50,_xlfn.AGGREGATE(15,6,(ROW(Management!$B$3:$B$50)-ROW(Management!$B$3)+1)/((IF(Management!$C$3:$C$50="Unlimited",10^15,Management!$C$3:$C$50))&gt;='1'!$I56),COLUMN(D55))),"")</f>
        <v/>
      </c>
      <c r="E56" t="str">
        <f>IFERROR(INDEX(Management!$B$3:$B$50,_xlfn.AGGREGATE(15,6,(ROW(Management!$B$3:$B$50)-ROW(Management!$B$3)+1)/((IF(Management!$C$3:$C$50="Unlimited",10^15,Management!$C$3:$C$50))&gt;='1'!$I56),COLUMN(E55))),"")</f>
        <v/>
      </c>
      <c r="F56" t="str">
        <f>IFERROR(INDEX(Management!$B$3:$B$50,_xlfn.AGGREGATE(15,6,(ROW(Management!$B$3:$B$50)-ROW(Management!$B$3)+1)/((IF(Management!$C$3:$C$50="Unlimited",10^15,Management!$C$3:$C$50))&gt;='1'!$I56),COLUMN(F55))),"")</f>
        <v/>
      </c>
      <c r="G56" t="str">
        <f>IFERROR(INDEX(Management!$B$3:$B$50,_xlfn.AGGREGATE(15,6,(ROW(Management!$B$3:$B$50)-ROW(Management!$B$3)+1)/((IF(Management!$C$3:$C$50="Unlimited",10^15,Management!$C$3:$C$50))&gt;='1'!$I56),COLUMN(G55))),"")</f>
        <v/>
      </c>
      <c r="H56" t="str">
        <f>IFERROR(INDEX(Management!$B$3:$B$50,_xlfn.AGGREGATE(15,6,(ROW(Management!$B$3:$B$50)-ROW(Management!$B$3)+1)/((IF(Management!$C$3:$C$50="Unlimited",10^15,Management!$C$3:$C$50))&gt;='1'!$I56),COLUMN(H55))),"")</f>
        <v/>
      </c>
      <c r="I56" t="str">
        <f>IFERROR(INDEX(Management!$B$3:$B$50,_xlfn.AGGREGATE(15,6,(ROW(Management!$B$3:$B$50)-ROW(Management!$B$3)+1)/((IF(Management!$C$3:$C$50="Unlimited",10^15,Management!$C$3:$C$50))&gt;='1'!$I56),COLUMN(I55))),"")</f>
        <v/>
      </c>
      <c r="J56" t="str">
        <f>IFERROR(INDEX(Management!$B$3:$B$50,_xlfn.AGGREGATE(15,6,(ROW(Management!$B$3:$B$50)-ROW(Management!$B$3)+1)/((IF(Management!$C$3:$C$50="Unlimited",10^15,Management!$C$3:$C$50))&gt;='1'!$I56),COLUMN(J55))),"")</f>
        <v/>
      </c>
      <c r="K56" t="str">
        <f>IFERROR(INDEX(Management!$B$3:$B$50,_xlfn.AGGREGATE(15,6,(ROW(Management!$B$3:$B$50)-ROW(Management!$B$3)+1)/((IF(Management!$C$3:$C$50="Unlimited",10^15,Management!$C$3:$C$50))&gt;='1'!$I56),COLUMN(K55))),"")</f>
        <v/>
      </c>
      <c r="L56" t="str">
        <f>IFERROR(INDEX(Management!$B$3:$B$50,_xlfn.AGGREGATE(15,6,(ROW(Management!$B$3:$B$50)-ROW(Management!$B$3)+1)/((IF(Management!$C$3:$C$50="Unlimited",10^15,Management!$C$3:$C$50))&gt;='1'!$I56),COLUMN(L55))),"")</f>
        <v/>
      </c>
      <c r="M56" t="str">
        <f>IFERROR(INDEX(Management!$B$3:$B$50,_xlfn.AGGREGATE(15,6,(ROW(Management!$B$3:$B$50)-ROW(Management!$B$3)+1)/((IF(Management!$C$3:$C$50="Unlimited",10^15,Management!$C$3:$C$50))&gt;='1'!$I56),COLUMN(M55))),"")</f>
        <v/>
      </c>
      <c r="N56" t="str">
        <f>IFERROR(INDEX(Management!$B$3:$B$50,_xlfn.AGGREGATE(15,6,(ROW(Management!$B$3:$B$50)-ROW(Management!$B$3)+1)/((IF(Management!$C$3:$C$50="Unlimited",10^15,Management!$C$3:$C$50))&gt;='1'!$I56),COLUMN(N55))),"")</f>
        <v/>
      </c>
      <c r="O56" t="str">
        <f>IFERROR(INDEX(Management!$B$3:$B$50,_xlfn.AGGREGATE(15,6,(ROW(Management!$B$3:$B$50)-ROW(Management!$B$3)+1)/((IF(Management!$C$3:$C$50="Unlimited",10^15,Management!$C$3:$C$50))&gt;='1'!$I56),COLUMN(O55))),"")</f>
        <v/>
      </c>
      <c r="P56" t="str">
        <f>IFERROR(INDEX(Management!$B$3:$B$50,_xlfn.AGGREGATE(15,6,(ROW(Management!$B$3:$B$50)-ROW(Management!$B$3)+1)/((IF(Management!$C$3:$C$50="Unlimited",10^15,Management!$C$3:$C$50))&gt;='1'!$I56),COLUMN(P55))),"")</f>
        <v/>
      </c>
      <c r="Q56" t="str">
        <f>IFERROR(INDEX(Management!$B$3:$B$50,_xlfn.AGGREGATE(15,6,(ROW(Management!$B$3:$B$50)-ROW(Management!$B$3)+1)/((IF(Management!$C$3:$C$50="Unlimited",10^15,Management!$C$3:$C$50))&gt;='1'!$I56),COLUMN(Q55))),"")</f>
        <v/>
      </c>
      <c r="R56" t="str">
        <f>IFERROR(INDEX(Management!$B$3:$B$50,_xlfn.AGGREGATE(15,6,(ROW(Management!$B$3:$B$50)-ROW(Management!$B$3)+1)/((IF(Management!$C$3:$C$50="Unlimited",10^15,Management!$C$3:$C$50))&gt;='1'!$I56),COLUMN(R55))),"")</f>
        <v/>
      </c>
      <c r="S56" t="str">
        <f>IFERROR(INDEX(Management!$B$3:$B$50,_xlfn.AGGREGATE(15,6,(ROW(Management!$B$3:$B$50)-ROW(Management!$B$3)+1)/((IF(Management!$C$3:$C$50="Unlimited",10^15,Management!$C$3:$C$50))&gt;='1'!$I56),COLUMN(S55))),"")</f>
        <v/>
      </c>
      <c r="T56" t="str">
        <f>IFERROR(INDEX(Management!$B$3:$B$50,_xlfn.AGGREGATE(15,6,(ROW(Management!$B$3:$B$50)-ROW(Management!$B$3)+1)/((IF(Management!$C$3:$C$50="Unlimited",10^15,Management!$C$3:$C$50))&gt;='1'!$I56),COLUMN(T55))),"")</f>
        <v/>
      </c>
    </row>
    <row r="57" spans="1:20">
      <c r="A57" t="str">
        <f>IFERROR(INDEX(Management!$B$3:$B$50,_xlfn.AGGREGATE(15,6,(ROW(Management!$B$3:$B$50)-ROW(Management!$B$3)+1)/((IF(Management!$C$3:$C$50="Unlimited",10^15,Management!$C$3:$C$50))&gt;='1'!$I57),COLUMN(A56))),"")</f>
        <v/>
      </c>
      <c r="B57" t="str">
        <f>IFERROR(INDEX(Management!$B$3:$B$50,_xlfn.AGGREGATE(15,6,(ROW(Management!$B$3:$B$50)-ROW(Management!$B$3)+1)/((IF(Management!$C$3:$C$50="Unlimited",10^15,Management!$C$3:$C$50))&gt;='1'!$I57),COLUMN(B56))),"")</f>
        <v/>
      </c>
      <c r="C57" t="str">
        <f>IFERROR(INDEX(Management!$B$3:$B$50,_xlfn.AGGREGATE(15,6,(ROW(Management!$B$3:$B$50)-ROW(Management!$B$3)+1)/((IF(Management!$C$3:$C$50="Unlimited",10^15,Management!$C$3:$C$50))&gt;='1'!$I57),COLUMN(C56))),"")</f>
        <v/>
      </c>
      <c r="D57" t="str">
        <f>IFERROR(INDEX(Management!$B$3:$B$50,_xlfn.AGGREGATE(15,6,(ROW(Management!$B$3:$B$50)-ROW(Management!$B$3)+1)/((IF(Management!$C$3:$C$50="Unlimited",10^15,Management!$C$3:$C$50))&gt;='1'!$I57),COLUMN(D56))),"")</f>
        <v/>
      </c>
      <c r="E57" t="str">
        <f>IFERROR(INDEX(Management!$B$3:$B$50,_xlfn.AGGREGATE(15,6,(ROW(Management!$B$3:$B$50)-ROW(Management!$B$3)+1)/((IF(Management!$C$3:$C$50="Unlimited",10^15,Management!$C$3:$C$50))&gt;='1'!$I57),COLUMN(E56))),"")</f>
        <v/>
      </c>
      <c r="F57" t="str">
        <f>IFERROR(INDEX(Management!$B$3:$B$50,_xlfn.AGGREGATE(15,6,(ROW(Management!$B$3:$B$50)-ROW(Management!$B$3)+1)/((IF(Management!$C$3:$C$50="Unlimited",10^15,Management!$C$3:$C$50))&gt;='1'!$I57),COLUMN(F56))),"")</f>
        <v/>
      </c>
      <c r="G57" t="str">
        <f>IFERROR(INDEX(Management!$B$3:$B$50,_xlfn.AGGREGATE(15,6,(ROW(Management!$B$3:$B$50)-ROW(Management!$B$3)+1)/((IF(Management!$C$3:$C$50="Unlimited",10^15,Management!$C$3:$C$50))&gt;='1'!$I57),COLUMN(G56))),"")</f>
        <v/>
      </c>
      <c r="H57" t="str">
        <f>IFERROR(INDEX(Management!$B$3:$B$50,_xlfn.AGGREGATE(15,6,(ROW(Management!$B$3:$B$50)-ROW(Management!$B$3)+1)/((IF(Management!$C$3:$C$50="Unlimited",10^15,Management!$C$3:$C$50))&gt;='1'!$I57),COLUMN(H56))),"")</f>
        <v/>
      </c>
      <c r="I57" t="str">
        <f>IFERROR(INDEX(Management!$B$3:$B$50,_xlfn.AGGREGATE(15,6,(ROW(Management!$B$3:$B$50)-ROW(Management!$B$3)+1)/((IF(Management!$C$3:$C$50="Unlimited",10^15,Management!$C$3:$C$50))&gt;='1'!$I57),COLUMN(I56))),"")</f>
        <v/>
      </c>
      <c r="J57" t="str">
        <f>IFERROR(INDEX(Management!$B$3:$B$50,_xlfn.AGGREGATE(15,6,(ROW(Management!$B$3:$B$50)-ROW(Management!$B$3)+1)/((IF(Management!$C$3:$C$50="Unlimited",10^15,Management!$C$3:$C$50))&gt;='1'!$I57),COLUMN(J56))),"")</f>
        <v/>
      </c>
      <c r="K57" t="str">
        <f>IFERROR(INDEX(Management!$B$3:$B$50,_xlfn.AGGREGATE(15,6,(ROW(Management!$B$3:$B$50)-ROW(Management!$B$3)+1)/((IF(Management!$C$3:$C$50="Unlimited",10^15,Management!$C$3:$C$50))&gt;='1'!$I57),COLUMN(K56))),"")</f>
        <v/>
      </c>
      <c r="L57" t="str">
        <f>IFERROR(INDEX(Management!$B$3:$B$50,_xlfn.AGGREGATE(15,6,(ROW(Management!$B$3:$B$50)-ROW(Management!$B$3)+1)/((IF(Management!$C$3:$C$50="Unlimited",10^15,Management!$C$3:$C$50))&gt;='1'!$I57),COLUMN(L56))),"")</f>
        <v/>
      </c>
      <c r="M57" t="str">
        <f>IFERROR(INDEX(Management!$B$3:$B$50,_xlfn.AGGREGATE(15,6,(ROW(Management!$B$3:$B$50)-ROW(Management!$B$3)+1)/((IF(Management!$C$3:$C$50="Unlimited",10^15,Management!$C$3:$C$50))&gt;='1'!$I57),COLUMN(M56))),"")</f>
        <v/>
      </c>
      <c r="N57" t="str">
        <f>IFERROR(INDEX(Management!$B$3:$B$50,_xlfn.AGGREGATE(15,6,(ROW(Management!$B$3:$B$50)-ROW(Management!$B$3)+1)/((IF(Management!$C$3:$C$50="Unlimited",10^15,Management!$C$3:$C$50))&gt;='1'!$I57),COLUMN(N56))),"")</f>
        <v/>
      </c>
      <c r="O57" t="str">
        <f>IFERROR(INDEX(Management!$B$3:$B$50,_xlfn.AGGREGATE(15,6,(ROW(Management!$B$3:$B$50)-ROW(Management!$B$3)+1)/((IF(Management!$C$3:$C$50="Unlimited",10^15,Management!$C$3:$C$50))&gt;='1'!$I57),COLUMN(O56))),"")</f>
        <v/>
      </c>
      <c r="P57" t="str">
        <f>IFERROR(INDEX(Management!$B$3:$B$50,_xlfn.AGGREGATE(15,6,(ROW(Management!$B$3:$B$50)-ROW(Management!$B$3)+1)/((IF(Management!$C$3:$C$50="Unlimited",10^15,Management!$C$3:$C$50))&gt;='1'!$I57),COLUMN(P56))),"")</f>
        <v/>
      </c>
      <c r="Q57" t="str">
        <f>IFERROR(INDEX(Management!$B$3:$B$50,_xlfn.AGGREGATE(15,6,(ROW(Management!$B$3:$B$50)-ROW(Management!$B$3)+1)/((IF(Management!$C$3:$C$50="Unlimited",10^15,Management!$C$3:$C$50))&gt;='1'!$I57),COLUMN(Q56))),"")</f>
        <v/>
      </c>
      <c r="R57" t="str">
        <f>IFERROR(INDEX(Management!$B$3:$B$50,_xlfn.AGGREGATE(15,6,(ROW(Management!$B$3:$B$50)-ROW(Management!$B$3)+1)/((IF(Management!$C$3:$C$50="Unlimited",10^15,Management!$C$3:$C$50))&gt;='1'!$I57),COLUMN(R56))),"")</f>
        <v/>
      </c>
      <c r="S57" t="str">
        <f>IFERROR(INDEX(Management!$B$3:$B$50,_xlfn.AGGREGATE(15,6,(ROW(Management!$B$3:$B$50)-ROW(Management!$B$3)+1)/((IF(Management!$C$3:$C$50="Unlimited",10^15,Management!$C$3:$C$50))&gt;='1'!$I57),COLUMN(S56))),"")</f>
        <v/>
      </c>
      <c r="T57" t="str">
        <f>IFERROR(INDEX(Management!$B$3:$B$50,_xlfn.AGGREGATE(15,6,(ROW(Management!$B$3:$B$50)-ROW(Management!$B$3)+1)/((IF(Management!$C$3:$C$50="Unlimited",10^15,Management!$C$3:$C$50))&gt;='1'!$I57),COLUMN(T56))),"")</f>
        <v/>
      </c>
    </row>
    <row r="58" spans="1:20">
      <c r="A58" t="str">
        <f>IFERROR(INDEX(Management!$B$3:$B$50,_xlfn.AGGREGATE(15,6,(ROW(Management!$B$3:$B$50)-ROW(Management!$B$3)+1)/((IF(Management!$C$3:$C$50="Unlimited",10^15,Management!$C$3:$C$50))&gt;='1'!$I58),COLUMN(A57))),"")</f>
        <v/>
      </c>
      <c r="B58" t="str">
        <f>IFERROR(INDEX(Management!$B$3:$B$50,_xlfn.AGGREGATE(15,6,(ROW(Management!$B$3:$B$50)-ROW(Management!$B$3)+1)/((IF(Management!$C$3:$C$50="Unlimited",10^15,Management!$C$3:$C$50))&gt;='1'!$I58),COLUMN(B57))),"")</f>
        <v/>
      </c>
      <c r="C58" t="str">
        <f>IFERROR(INDEX(Management!$B$3:$B$50,_xlfn.AGGREGATE(15,6,(ROW(Management!$B$3:$B$50)-ROW(Management!$B$3)+1)/((IF(Management!$C$3:$C$50="Unlimited",10^15,Management!$C$3:$C$50))&gt;='1'!$I58),COLUMN(C57))),"")</f>
        <v/>
      </c>
      <c r="D58" t="str">
        <f>IFERROR(INDEX(Management!$B$3:$B$50,_xlfn.AGGREGATE(15,6,(ROW(Management!$B$3:$B$50)-ROW(Management!$B$3)+1)/((IF(Management!$C$3:$C$50="Unlimited",10^15,Management!$C$3:$C$50))&gt;='1'!$I58),COLUMN(D57))),"")</f>
        <v/>
      </c>
      <c r="E58" t="str">
        <f>IFERROR(INDEX(Management!$B$3:$B$50,_xlfn.AGGREGATE(15,6,(ROW(Management!$B$3:$B$50)-ROW(Management!$B$3)+1)/((IF(Management!$C$3:$C$50="Unlimited",10^15,Management!$C$3:$C$50))&gt;='1'!$I58),COLUMN(E57))),"")</f>
        <v/>
      </c>
      <c r="F58" t="str">
        <f>IFERROR(INDEX(Management!$B$3:$B$50,_xlfn.AGGREGATE(15,6,(ROW(Management!$B$3:$B$50)-ROW(Management!$B$3)+1)/((IF(Management!$C$3:$C$50="Unlimited",10^15,Management!$C$3:$C$50))&gt;='1'!$I58),COLUMN(F57))),"")</f>
        <v/>
      </c>
      <c r="G58" t="str">
        <f>IFERROR(INDEX(Management!$B$3:$B$50,_xlfn.AGGREGATE(15,6,(ROW(Management!$B$3:$B$50)-ROW(Management!$B$3)+1)/((IF(Management!$C$3:$C$50="Unlimited",10^15,Management!$C$3:$C$50))&gt;='1'!$I58),COLUMN(G57))),"")</f>
        <v/>
      </c>
      <c r="H58" t="str">
        <f>IFERROR(INDEX(Management!$B$3:$B$50,_xlfn.AGGREGATE(15,6,(ROW(Management!$B$3:$B$50)-ROW(Management!$B$3)+1)/((IF(Management!$C$3:$C$50="Unlimited",10^15,Management!$C$3:$C$50))&gt;='1'!$I58),COLUMN(H57))),"")</f>
        <v/>
      </c>
      <c r="I58" t="str">
        <f>IFERROR(INDEX(Management!$B$3:$B$50,_xlfn.AGGREGATE(15,6,(ROW(Management!$B$3:$B$50)-ROW(Management!$B$3)+1)/((IF(Management!$C$3:$C$50="Unlimited",10^15,Management!$C$3:$C$50))&gt;='1'!$I58),COLUMN(I57))),"")</f>
        <v/>
      </c>
      <c r="J58" t="str">
        <f>IFERROR(INDEX(Management!$B$3:$B$50,_xlfn.AGGREGATE(15,6,(ROW(Management!$B$3:$B$50)-ROW(Management!$B$3)+1)/((IF(Management!$C$3:$C$50="Unlimited",10^15,Management!$C$3:$C$50))&gt;='1'!$I58),COLUMN(J57))),"")</f>
        <v/>
      </c>
      <c r="K58" t="str">
        <f>IFERROR(INDEX(Management!$B$3:$B$50,_xlfn.AGGREGATE(15,6,(ROW(Management!$B$3:$B$50)-ROW(Management!$B$3)+1)/((IF(Management!$C$3:$C$50="Unlimited",10^15,Management!$C$3:$C$50))&gt;='1'!$I58),COLUMN(K57))),"")</f>
        <v/>
      </c>
      <c r="L58" t="str">
        <f>IFERROR(INDEX(Management!$B$3:$B$50,_xlfn.AGGREGATE(15,6,(ROW(Management!$B$3:$B$50)-ROW(Management!$B$3)+1)/((IF(Management!$C$3:$C$50="Unlimited",10^15,Management!$C$3:$C$50))&gt;='1'!$I58),COLUMN(L57))),"")</f>
        <v/>
      </c>
      <c r="M58" t="str">
        <f>IFERROR(INDEX(Management!$B$3:$B$50,_xlfn.AGGREGATE(15,6,(ROW(Management!$B$3:$B$50)-ROW(Management!$B$3)+1)/((IF(Management!$C$3:$C$50="Unlimited",10^15,Management!$C$3:$C$50))&gt;='1'!$I58),COLUMN(M57))),"")</f>
        <v/>
      </c>
      <c r="N58" t="str">
        <f>IFERROR(INDEX(Management!$B$3:$B$50,_xlfn.AGGREGATE(15,6,(ROW(Management!$B$3:$B$50)-ROW(Management!$B$3)+1)/((IF(Management!$C$3:$C$50="Unlimited",10^15,Management!$C$3:$C$50))&gt;='1'!$I58),COLUMN(N57))),"")</f>
        <v/>
      </c>
      <c r="O58" t="str">
        <f>IFERROR(INDEX(Management!$B$3:$B$50,_xlfn.AGGREGATE(15,6,(ROW(Management!$B$3:$B$50)-ROW(Management!$B$3)+1)/((IF(Management!$C$3:$C$50="Unlimited",10^15,Management!$C$3:$C$50))&gt;='1'!$I58),COLUMN(O57))),"")</f>
        <v/>
      </c>
      <c r="P58" t="str">
        <f>IFERROR(INDEX(Management!$B$3:$B$50,_xlfn.AGGREGATE(15,6,(ROW(Management!$B$3:$B$50)-ROW(Management!$B$3)+1)/((IF(Management!$C$3:$C$50="Unlimited",10^15,Management!$C$3:$C$50))&gt;='1'!$I58),COLUMN(P57))),"")</f>
        <v/>
      </c>
      <c r="Q58" t="str">
        <f>IFERROR(INDEX(Management!$B$3:$B$50,_xlfn.AGGREGATE(15,6,(ROW(Management!$B$3:$B$50)-ROW(Management!$B$3)+1)/((IF(Management!$C$3:$C$50="Unlimited",10^15,Management!$C$3:$C$50))&gt;='1'!$I58),COLUMN(Q57))),"")</f>
        <v/>
      </c>
      <c r="R58" t="str">
        <f>IFERROR(INDEX(Management!$B$3:$B$50,_xlfn.AGGREGATE(15,6,(ROW(Management!$B$3:$B$50)-ROW(Management!$B$3)+1)/((IF(Management!$C$3:$C$50="Unlimited",10^15,Management!$C$3:$C$50))&gt;='1'!$I58),COLUMN(R57))),"")</f>
        <v/>
      </c>
      <c r="S58" t="str">
        <f>IFERROR(INDEX(Management!$B$3:$B$50,_xlfn.AGGREGATE(15,6,(ROW(Management!$B$3:$B$50)-ROW(Management!$B$3)+1)/((IF(Management!$C$3:$C$50="Unlimited",10^15,Management!$C$3:$C$50))&gt;='1'!$I58),COLUMN(S57))),"")</f>
        <v/>
      </c>
      <c r="T58" t="str">
        <f>IFERROR(INDEX(Management!$B$3:$B$50,_xlfn.AGGREGATE(15,6,(ROW(Management!$B$3:$B$50)-ROW(Management!$B$3)+1)/((IF(Management!$C$3:$C$50="Unlimited",10^15,Management!$C$3:$C$50))&gt;='1'!$I58),COLUMN(T57))),"")</f>
        <v/>
      </c>
    </row>
    <row r="59" spans="1:20">
      <c r="A59" t="str">
        <f>IFERROR(INDEX(Management!$B$3:$B$50,_xlfn.AGGREGATE(15,6,(ROW(Management!$B$3:$B$50)-ROW(Management!$B$3)+1)/((IF(Management!$C$3:$C$50="Unlimited",10^15,Management!$C$3:$C$50))&gt;='1'!$I59),COLUMN(A58))),"")</f>
        <v/>
      </c>
      <c r="B59" t="str">
        <f>IFERROR(INDEX(Management!$B$3:$B$50,_xlfn.AGGREGATE(15,6,(ROW(Management!$B$3:$B$50)-ROW(Management!$B$3)+1)/((IF(Management!$C$3:$C$50="Unlimited",10^15,Management!$C$3:$C$50))&gt;='1'!$I59),COLUMN(B58))),"")</f>
        <v/>
      </c>
      <c r="C59" t="str">
        <f>IFERROR(INDEX(Management!$B$3:$B$50,_xlfn.AGGREGATE(15,6,(ROW(Management!$B$3:$B$50)-ROW(Management!$B$3)+1)/((IF(Management!$C$3:$C$50="Unlimited",10^15,Management!$C$3:$C$50))&gt;='1'!$I59),COLUMN(C58))),"")</f>
        <v/>
      </c>
      <c r="D59" t="str">
        <f>IFERROR(INDEX(Management!$B$3:$B$50,_xlfn.AGGREGATE(15,6,(ROW(Management!$B$3:$B$50)-ROW(Management!$B$3)+1)/((IF(Management!$C$3:$C$50="Unlimited",10^15,Management!$C$3:$C$50))&gt;='1'!$I59),COLUMN(D58))),"")</f>
        <v/>
      </c>
      <c r="E59" t="str">
        <f>IFERROR(INDEX(Management!$B$3:$B$50,_xlfn.AGGREGATE(15,6,(ROW(Management!$B$3:$B$50)-ROW(Management!$B$3)+1)/((IF(Management!$C$3:$C$50="Unlimited",10^15,Management!$C$3:$C$50))&gt;='1'!$I59),COLUMN(E58))),"")</f>
        <v/>
      </c>
      <c r="F59" t="str">
        <f>IFERROR(INDEX(Management!$B$3:$B$50,_xlfn.AGGREGATE(15,6,(ROW(Management!$B$3:$B$50)-ROW(Management!$B$3)+1)/((IF(Management!$C$3:$C$50="Unlimited",10^15,Management!$C$3:$C$50))&gt;='1'!$I59),COLUMN(F58))),"")</f>
        <v/>
      </c>
      <c r="G59" t="str">
        <f>IFERROR(INDEX(Management!$B$3:$B$50,_xlfn.AGGREGATE(15,6,(ROW(Management!$B$3:$B$50)-ROW(Management!$B$3)+1)/((IF(Management!$C$3:$C$50="Unlimited",10^15,Management!$C$3:$C$50))&gt;='1'!$I59),COLUMN(G58))),"")</f>
        <v/>
      </c>
      <c r="H59" t="str">
        <f>IFERROR(INDEX(Management!$B$3:$B$50,_xlfn.AGGREGATE(15,6,(ROW(Management!$B$3:$B$50)-ROW(Management!$B$3)+1)/((IF(Management!$C$3:$C$50="Unlimited",10^15,Management!$C$3:$C$50))&gt;='1'!$I59),COLUMN(H58))),"")</f>
        <v/>
      </c>
      <c r="I59" t="str">
        <f>IFERROR(INDEX(Management!$B$3:$B$50,_xlfn.AGGREGATE(15,6,(ROW(Management!$B$3:$B$50)-ROW(Management!$B$3)+1)/((IF(Management!$C$3:$C$50="Unlimited",10^15,Management!$C$3:$C$50))&gt;='1'!$I59),COLUMN(I58))),"")</f>
        <v/>
      </c>
      <c r="J59" t="str">
        <f>IFERROR(INDEX(Management!$B$3:$B$50,_xlfn.AGGREGATE(15,6,(ROW(Management!$B$3:$B$50)-ROW(Management!$B$3)+1)/((IF(Management!$C$3:$C$50="Unlimited",10^15,Management!$C$3:$C$50))&gt;='1'!$I59),COLUMN(J58))),"")</f>
        <v/>
      </c>
      <c r="K59" t="str">
        <f>IFERROR(INDEX(Management!$B$3:$B$50,_xlfn.AGGREGATE(15,6,(ROW(Management!$B$3:$B$50)-ROW(Management!$B$3)+1)/((IF(Management!$C$3:$C$50="Unlimited",10^15,Management!$C$3:$C$50))&gt;='1'!$I59),COLUMN(K58))),"")</f>
        <v/>
      </c>
      <c r="L59" t="str">
        <f>IFERROR(INDEX(Management!$B$3:$B$50,_xlfn.AGGREGATE(15,6,(ROW(Management!$B$3:$B$50)-ROW(Management!$B$3)+1)/((IF(Management!$C$3:$C$50="Unlimited",10^15,Management!$C$3:$C$50))&gt;='1'!$I59),COLUMN(L58))),"")</f>
        <v/>
      </c>
      <c r="M59" t="str">
        <f>IFERROR(INDEX(Management!$B$3:$B$50,_xlfn.AGGREGATE(15,6,(ROW(Management!$B$3:$B$50)-ROW(Management!$B$3)+1)/((IF(Management!$C$3:$C$50="Unlimited",10^15,Management!$C$3:$C$50))&gt;='1'!$I59),COLUMN(M58))),"")</f>
        <v/>
      </c>
      <c r="N59" t="str">
        <f>IFERROR(INDEX(Management!$B$3:$B$50,_xlfn.AGGREGATE(15,6,(ROW(Management!$B$3:$B$50)-ROW(Management!$B$3)+1)/((IF(Management!$C$3:$C$50="Unlimited",10^15,Management!$C$3:$C$50))&gt;='1'!$I59),COLUMN(N58))),"")</f>
        <v/>
      </c>
      <c r="O59" t="str">
        <f>IFERROR(INDEX(Management!$B$3:$B$50,_xlfn.AGGREGATE(15,6,(ROW(Management!$B$3:$B$50)-ROW(Management!$B$3)+1)/((IF(Management!$C$3:$C$50="Unlimited",10^15,Management!$C$3:$C$50))&gt;='1'!$I59),COLUMN(O58))),"")</f>
        <v/>
      </c>
      <c r="P59" t="str">
        <f>IFERROR(INDEX(Management!$B$3:$B$50,_xlfn.AGGREGATE(15,6,(ROW(Management!$B$3:$B$50)-ROW(Management!$B$3)+1)/((IF(Management!$C$3:$C$50="Unlimited",10^15,Management!$C$3:$C$50))&gt;='1'!$I59),COLUMN(P58))),"")</f>
        <v/>
      </c>
      <c r="Q59" t="str">
        <f>IFERROR(INDEX(Management!$B$3:$B$50,_xlfn.AGGREGATE(15,6,(ROW(Management!$B$3:$B$50)-ROW(Management!$B$3)+1)/((IF(Management!$C$3:$C$50="Unlimited",10^15,Management!$C$3:$C$50))&gt;='1'!$I59),COLUMN(Q58))),"")</f>
        <v/>
      </c>
      <c r="R59" t="str">
        <f>IFERROR(INDEX(Management!$B$3:$B$50,_xlfn.AGGREGATE(15,6,(ROW(Management!$B$3:$B$50)-ROW(Management!$B$3)+1)/((IF(Management!$C$3:$C$50="Unlimited",10^15,Management!$C$3:$C$50))&gt;='1'!$I59),COLUMN(R58))),"")</f>
        <v/>
      </c>
      <c r="S59" t="str">
        <f>IFERROR(INDEX(Management!$B$3:$B$50,_xlfn.AGGREGATE(15,6,(ROW(Management!$B$3:$B$50)-ROW(Management!$B$3)+1)/((IF(Management!$C$3:$C$50="Unlimited",10^15,Management!$C$3:$C$50))&gt;='1'!$I59),COLUMN(S58))),"")</f>
        <v/>
      </c>
      <c r="T59" t="str">
        <f>IFERROR(INDEX(Management!$B$3:$B$50,_xlfn.AGGREGATE(15,6,(ROW(Management!$B$3:$B$50)-ROW(Management!$B$3)+1)/((IF(Management!$C$3:$C$50="Unlimited",10^15,Management!$C$3:$C$50))&gt;='1'!$I59),COLUMN(T58))),"")</f>
        <v/>
      </c>
    </row>
    <row r="60" spans="1:20">
      <c r="A60" t="str">
        <f>IFERROR(INDEX(Management!$B$3:$B$50,_xlfn.AGGREGATE(15,6,(ROW(Management!$B$3:$B$50)-ROW(Management!$B$3)+1)/((IF(Management!$C$3:$C$50="Unlimited",10^15,Management!$C$3:$C$50))&gt;='1'!$I60),COLUMN(A59))),"")</f>
        <v/>
      </c>
      <c r="B60" t="str">
        <f>IFERROR(INDEX(Management!$B$3:$B$50,_xlfn.AGGREGATE(15,6,(ROW(Management!$B$3:$B$50)-ROW(Management!$B$3)+1)/((IF(Management!$C$3:$C$50="Unlimited",10^15,Management!$C$3:$C$50))&gt;='1'!$I60),COLUMN(B59))),"")</f>
        <v/>
      </c>
      <c r="C60" t="str">
        <f>IFERROR(INDEX(Management!$B$3:$B$50,_xlfn.AGGREGATE(15,6,(ROW(Management!$B$3:$B$50)-ROW(Management!$B$3)+1)/((IF(Management!$C$3:$C$50="Unlimited",10^15,Management!$C$3:$C$50))&gt;='1'!$I60),COLUMN(C59))),"")</f>
        <v/>
      </c>
      <c r="D60" t="str">
        <f>IFERROR(INDEX(Management!$B$3:$B$50,_xlfn.AGGREGATE(15,6,(ROW(Management!$B$3:$B$50)-ROW(Management!$B$3)+1)/((IF(Management!$C$3:$C$50="Unlimited",10^15,Management!$C$3:$C$50))&gt;='1'!$I60),COLUMN(D59))),"")</f>
        <v/>
      </c>
      <c r="E60" t="str">
        <f>IFERROR(INDEX(Management!$B$3:$B$50,_xlfn.AGGREGATE(15,6,(ROW(Management!$B$3:$B$50)-ROW(Management!$B$3)+1)/((IF(Management!$C$3:$C$50="Unlimited",10^15,Management!$C$3:$C$50))&gt;='1'!$I60),COLUMN(E59))),"")</f>
        <v/>
      </c>
      <c r="F60" t="str">
        <f>IFERROR(INDEX(Management!$B$3:$B$50,_xlfn.AGGREGATE(15,6,(ROW(Management!$B$3:$B$50)-ROW(Management!$B$3)+1)/((IF(Management!$C$3:$C$50="Unlimited",10^15,Management!$C$3:$C$50))&gt;='1'!$I60),COLUMN(F59))),"")</f>
        <v/>
      </c>
      <c r="G60" t="str">
        <f>IFERROR(INDEX(Management!$B$3:$B$50,_xlfn.AGGREGATE(15,6,(ROW(Management!$B$3:$B$50)-ROW(Management!$B$3)+1)/((IF(Management!$C$3:$C$50="Unlimited",10^15,Management!$C$3:$C$50))&gt;='1'!$I60),COLUMN(G59))),"")</f>
        <v/>
      </c>
      <c r="H60" t="str">
        <f>IFERROR(INDEX(Management!$B$3:$B$50,_xlfn.AGGREGATE(15,6,(ROW(Management!$B$3:$B$50)-ROW(Management!$B$3)+1)/((IF(Management!$C$3:$C$50="Unlimited",10^15,Management!$C$3:$C$50))&gt;='1'!$I60),COLUMN(H59))),"")</f>
        <v/>
      </c>
      <c r="I60" t="str">
        <f>IFERROR(INDEX(Management!$B$3:$B$50,_xlfn.AGGREGATE(15,6,(ROW(Management!$B$3:$B$50)-ROW(Management!$B$3)+1)/((IF(Management!$C$3:$C$50="Unlimited",10^15,Management!$C$3:$C$50))&gt;='1'!$I60),COLUMN(I59))),"")</f>
        <v/>
      </c>
      <c r="J60" t="str">
        <f>IFERROR(INDEX(Management!$B$3:$B$50,_xlfn.AGGREGATE(15,6,(ROW(Management!$B$3:$B$50)-ROW(Management!$B$3)+1)/((IF(Management!$C$3:$C$50="Unlimited",10^15,Management!$C$3:$C$50))&gt;='1'!$I60),COLUMN(J59))),"")</f>
        <v/>
      </c>
      <c r="K60" t="str">
        <f>IFERROR(INDEX(Management!$B$3:$B$50,_xlfn.AGGREGATE(15,6,(ROW(Management!$B$3:$B$50)-ROW(Management!$B$3)+1)/((IF(Management!$C$3:$C$50="Unlimited",10^15,Management!$C$3:$C$50))&gt;='1'!$I60),COLUMN(K59))),"")</f>
        <v/>
      </c>
      <c r="L60" t="str">
        <f>IFERROR(INDEX(Management!$B$3:$B$50,_xlfn.AGGREGATE(15,6,(ROW(Management!$B$3:$B$50)-ROW(Management!$B$3)+1)/((IF(Management!$C$3:$C$50="Unlimited",10^15,Management!$C$3:$C$50))&gt;='1'!$I60),COLUMN(L59))),"")</f>
        <v/>
      </c>
      <c r="M60" t="str">
        <f>IFERROR(INDEX(Management!$B$3:$B$50,_xlfn.AGGREGATE(15,6,(ROW(Management!$B$3:$B$50)-ROW(Management!$B$3)+1)/((IF(Management!$C$3:$C$50="Unlimited",10^15,Management!$C$3:$C$50))&gt;='1'!$I60),COLUMN(M59))),"")</f>
        <v/>
      </c>
      <c r="N60" t="str">
        <f>IFERROR(INDEX(Management!$B$3:$B$50,_xlfn.AGGREGATE(15,6,(ROW(Management!$B$3:$B$50)-ROW(Management!$B$3)+1)/((IF(Management!$C$3:$C$50="Unlimited",10^15,Management!$C$3:$C$50))&gt;='1'!$I60),COLUMN(N59))),"")</f>
        <v/>
      </c>
      <c r="O60" t="str">
        <f>IFERROR(INDEX(Management!$B$3:$B$50,_xlfn.AGGREGATE(15,6,(ROW(Management!$B$3:$B$50)-ROW(Management!$B$3)+1)/((IF(Management!$C$3:$C$50="Unlimited",10^15,Management!$C$3:$C$50))&gt;='1'!$I60),COLUMN(O59))),"")</f>
        <v/>
      </c>
      <c r="P60" t="str">
        <f>IFERROR(INDEX(Management!$B$3:$B$50,_xlfn.AGGREGATE(15,6,(ROW(Management!$B$3:$B$50)-ROW(Management!$B$3)+1)/((IF(Management!$C$3:$C$50="Unlimited",10^15,Management!$C$3:$C$50))&gt;='1'!$I60),COLUMN(P59))),"")</f>
        <v/>
      </c>
      <c r="Q60" t="str">
        <f>IFERROR(INDEX(Management!$B$3:$B$50,_xlfn.AGGREGATE(15,6,(ROW(Management!$B$3:$B$50)-ROW(Management!$B$3)+1)/((IF(Management!$C$3:$C$50="Unlimited",10^15,Management!$C$3:$C$50))&gt;='1'!$I60),COLUMN(Q59))),"")</f>
        <v/>
      </c>
      <c r="R60" t="str">
        <f>IFERROR(INDEX(Management!$B$3:$B$50,_xlfn.AGGREGATE(15,6,(ROW(Management!$B$3:$B$50)-ROW(Management!$B$3)+1)/((IF(Management!$C$3:$C$50="Unlimited",10^15,Management!$C$3:$C$50))&gt;='1'!$I60),COLUMN(R59))),"")</f>
        <v/>
      </c>
      <c r="S60" t="str">
        <f>IFERROR(INDEX(Management!$B$3:$B$50,_xlfn.AGGREGATE(15,6,(ROW(Management!$B$3:$B$50)-ROW(Management!$B$3)+1)/((IF(Management!$C$3:$C$50="Unlimited",10^15,Management!$C$3:$C$50))&gt;='1'!$I60),COLUMN(S59))),"")</f>
        <v/>
      </c>
      <c r="T60" t="str">
        <f>IFERROR(INDEX(Management!$B$3:$B$50,_xlfn.AGGREGATE(15,6,(ROW(Management!$B$3:$B$50)-ROW(Management!$B$3)+1)/((IF(Management!$C$3:$C$50="Unlimited",10^15,Management!$C$3:$C$50))&gt;='1'!$I60),COLUMN(T59))),"")</f>
        <v/>
      </c>
    </row>
    <row r="61" spans="1:20">
      <c r="A61" t="str">
        <f>IFERROR(INDEX(Management!$B$3:$B$50,_xlfn.AGGREGATE(15,6,(ROW(Management!$B$3:$B$50)-ROW(Management!$B$3)+1)/((IF(Management!$C$3:$C$50="Unlimited",10^15,Management!$C$3:$C$50))&gt;='1'!$I61),COLUMN(A60))),"")</f>
        <v/>
      </c>
      <c r="B61" t="str">
        <f>IFERROR(INDEX(Management!$B$3:$B$50,_xlfn.AGGREGATE(15,6,(ROW(Management!$B$3:$B$50)-ROW(Management!$B$3)+1)/((IF(Management!$C$3:$C$50="Unlimited",10^15,Management!$C$3:$C$50))&gt;='1'!$I61),COLUMN(B60))),"")</f>
        <v/>
      </c>
      <c r="C61" t="str">
        <f>IFERROR(INDEX(Management!$B$3:$B$50,_xlfn.AGGREGATE(15,6,(ROW(Management!$B$3:$B$50)-ROW(Management!$B$3)+1)/((IF(Management!$C$3:$C$50="Unlimited",10^15,Management!$C$3:$C$50))&gt;='1'!$I61),COLUMN(C60))),"")</f>
        <v/>
      </c>
      <c r="D61" t="str">
        <f>IFERROR(INDEX(Management!$B$3:$B$50,_xlfn.AGGREGATE(15,6,(ROW(Management!$B$3:$B$50)-ROW(Management!$B$3)+1)/((IF(Management!$C$3:$C$50="Unlimited",10^15,Management!$C$3:$C$50))&gt;='1'!$I61),COLUMN(D60))),"")</f>
        <v/>
      </c>
      <c r="E61" t="str">
        <f>IFERROR(INDEX(Management!$B$3:$B$50,_xlfn.AGGREGATE(15,6,(ROW(Management!$B$3:$B$50)-ROW(Management!$B$3)+1)/((IF(Management!$C$3:$C$50="Unlimited",10^15,Management!$C$3:$C$50))&gt;='1'!$I61),COLUMN(E60))),"")</f>
        <v/>
      </c>
      <c r="F61" t="str">
        <f>IFERROR(INDEX(Management!$B$3:$B$50,_xlfn.AGGREGATE(15,6,(ROW(Management!$B$3:$B$50)-ROW(Management!$B$3)+1)/((IF(Management!$C$3:$C$50="Unlimited",10^15,Management!$C$3:$C$50))&gt;='1'!$I61),COLUMN(F60))),"")</f>
        <v/>
      </c>
      <c r="G61" t="str">
        <f>IFERROR(INDEX(Management!$B$3:$B$50,_xlfn.AGGREGATE(15,6,(ROW(Management!$B$3:$B$50)-ROW(Management!$B$3)+1)/((IF(Management!$C$3:$C$50="Unlimited",10^15,Management!$C$3:$C$50))&gt;='1'!$I61),COLUMN(G60))),"")</f>
        <v/>
      </c>
      <c r="H61" t="str">
        <f>IFERROR(INDEX(Management!$B$3:$B$50,_xlfn.AGGREGATE(15,6,(ROW(Management!$B$3:$B$50)-ROW(Management!$B$3)+1)/((IF(Management!$C$3:$C$50="Unlimited",10^15,Management!$C$3:$C$50))&gt;='1'!$I61),COLUMN(H60))),"")</f>
        <v/>
      </c>
      <c r="I61" t="str">
        <f>IFERROR(INDEX(Management!$B$3:$B$50,_xlfn.AGGREGATE(15,6,(ROW(Management!$B$3:$B$50)-ROW(Management!$B$3)+1)/((IF(Management!$C$3:$C$50="Unlimited",10^15,Management!$C$3:$C$50))&gt;='1'!$I61),COLUMN(I60))),"")</f>
        <v/>
      </c>
      <c r="J61" t="str">
        <f>IFERROR(INDEX(Management!$B$3:$B$50,_xlfn.AGGREGATE(15,6,(ROW(Management!$B$3:$B$50)-ROW(Management!$B$3)+1)/((IF(Management!$C$3:$C$50="Unlimited",10^15,Management!$C$3:$C$50))&gt;='1'!$I61),COLUMN(J60))),"")</f>
        <v/>
      </c>
      <c r="K61" t="str">
        <f>IFERROR(INDEX(Management!$B$3:$B$50,_xlfn.AGGREGATE(15,6,(ROW(Management!$B$3:$B$50)-ROW(Management!$B$3)+1)/((IF(Management!$C$3:$C$50="Unlimited",10^15,Management!$C$3:$C$50))&gt;='1'!$I61),COLUMN(K60))),"")</f>
        <v/>
      </c>
      <c r="L61" t="str">
        <f>IFERROR(INDEX(Management!$B$3:$B$50,_xlfn.AGGREGATE(15,6,(ROW(Management!$B$3:$B$50)-ROW(Management!$B$3)+1)/((IF(Management!$C$3:$C$50="Unlimited",10^15,Management!$C$3:$C$50))&gt;='1'!$I61),COLUMN(L60))),"")</f>
        <v/>
      </c>
      <c r="M61" t="str">
        <f>IFERROR(INDEX(Management!$B$3:$B$50,_xlfn.AGGREGATE(15,6,(ROW(Management!$B$3:$B$50)-ROW(Management!$B$3)+1)/((IF(Management!$C$3:$C$50="Unlimited",10^15,Management!$C$3:$C$50))&gt;='1'!$I61),COLUMN(M60))),"")</f>
        <v/>
      </c>
      <c r="N61" t="str">
        <f>IFERROR(INDEX(Management!$B$3:$B$50,_xlfn.AGGREGATE(15,6,(ROW(Management!$B$3:$B$50)-ROW(Management!$B$3)+1)/((IF(Management!$C$3:$C$50="Unlimited",10^15,Management!$C$3:$C$50))&gt;='1'!$I61),COLUMN(N60))),"")</f>
        <v/>
      </c>
      <c r="O61" t="str">
        <f>IFERROR(INDEX(Management!$B$3:$B$50,_xlfn.AGGREGATE(15,6,(ROW(Management!$B$3:$B$50)-ROW(Management!$B$3)+1)/((IF(Management!$C$3:$C$50="Unlimited",10^15,Management!$C$3:$C$50))&gt;='1'!$I61),COLUMN(O60))),"")</f>
        <v/>
      </c>
      <c r="P61" t="str">
        <f>IFERROR(INDEX(Management!$B$3:$B$50,_xlfn.AGGREGATE(15,6,(ROW(Management!$B$3:$B$50)-ROW(Management!$B$3)+1)/((IF(Management!$C$3:$C$50="Unlimited",10^15,Management!$C$3:$C$50))&gt;='1'!$I61),COLUMN(P60))),"")</f>
        <v/>
      </c>
      <c r="Q61" t="str">
        <f>IFERROR(INDEX(Management!$B$3:$B$50,_xlfn.AGGREGATE(15,6,(ROW(Management!$B$3:$B$50)-ROW(Management!$B$3)+1)/((IF(Management!$C$3:$C$50="Unlimited",10^15,Management!$C$3:$C$50))&gt;='1'!$I61),COLUMN(Q60))),"")</f>
        <v/>
      </c>
      <c r="R61" t="str">
        <f>IFERROR(INDEX(Management!$B$3:$B$50,_xlfn.AGGREGATE(15,6,(ROW(Management!$B$3:$B$50)-ROW(Management!$B$3)+1)/((IF(Management!$C$3:$C$50="Unlimited",10^15,Management!$C$3:$C$50))&gt;='1'!$I61),COLUMN(R60))),"")</f>
        <v/>
      </c>
      <c r="S61" t="str">
        <f>IFERROR(INDEX(Management!$B$3:$B$50,_xlfn.AGGREGATE(15,6,(ROW(Management!$B$3:$B$50)-ROW(Management!$B$3)+1)/((IF(Management!$C$3:$C$50="Unlimited",10^15,Management!$C$3:$C$50))&gt;='1'!$I61),COLUMN(S60))),"")</f>
        <v/>
      </c>
      <c r="T61" t="str">
        <f>IFERROR(INDEX(Management!$B$3:$B$50,_xlfn.AGGREGATE(15,6,(ROW(Management!$B$3:$B$50)-ROW(Management!$B$3)+1)/((IF(Management!$C$3:$C$50="Unlimited",10^15,Management!$C$3:$C$50))&gt;='1'!$I61),COLUMN(T60))),"")</f>
        <v/>
      </c>
    </row>
    <row r="62" spans="1:20">
      <c r="A62" t="str">
        <f>IFERROR(INDEX(Management!$B$3:$B$50,_xlfn.AGGREGATE(15,6,(ROW(Management!$B$3:$B$50)-ROW(Management!$B$3)+1)/((IF(Management!$C$3:$C$50="Unlimited",10^15,Management!$C$3:$C$50))&gt;='1'!$I62),COLUMN(A61))),"")</f>
        <v/>
      </c>
      <c r="B62" t="str">
        <f>IFERROR(INDEX(Management!$B$3:$B$50,_xlfn.AGGREGATE(15,6,(ROW(Management!$B$3:$B$50)-ROW(Management!$B$3)+1)/((IF(Management!$C$3:$C$50="Unlimited",10^15,Management!$C$3:$C$50))&gt;='1'!$I62),COLUMN(B61))),"")</f>
        <v/>
      </c>
      <c r="C62" t="str">
        <f>IFERROR(INDEX(Management!$B$3:$B$50,_xlfn.AGGREGATE(15,6,(ROW(Management!$B$3:$B$50)-ROW(Management!$B$3)+1)/((IF(Management!$C$3:$C$50="Unlimited",10^15,Management!$C$3:$C$50))&gt;='1'!$I62),COLUMN(C61))),"")</f>
        <v/>
      </c>
      <c r="D62" t="str">
        <f>IFERROR(INDEX(Management!$B$3:$B$50,_xlfn.AGGREGATE(15,6,(ROW(Management!$B$3:$B$50)-ROW(Management!$B$3)+1)/((IF(Management!$C$3:$C$50="Unlimited",10^15,Management!$C$3:$C$50))&gt;='1'!$I62),COLUMN(D61))),"")</f>
        <v/>
      </c>
      <c r="E62" t="str">
        <f>IFERROR(INDEX(Management!$B$3:$B$50,_xlfn.AGGREGATE(15,6,(ROW(Management!$B$3:$B$50)-ROW(Management!$B$3)+1)/((IF(Management!$C$3:$C$50="Unlimited",10^15,Management!$C$3:$C$50))&gt;='1'!$I62),COLUMN(E61))),"")</f>
        <v/>
      </c>
      <c r="F62" t="str">
        <f>IFERROR(INDEX(Management!$B$3:$B$50,_xlfn.AGGREGATE(15,6,(ROW(Management!$B$3:$B$50)-ROW(Management!$B$3)+1)/((IF(Management!$C$3:$C$50="Unlimited",10^15,Management!$C$3:$C$50))&gt;='1'!$I62),COLUMN(F61))),"")</f>
        <v/>
      </c>
      <c r="G62" t="str">
        <f>IFERROR(INDEX(Management!$B$3:$B$50,_xlfn.AGGREGATE(15,6,(ROW(Management!$B$3:$B$50)-ROW(Management!$B$3)+1)/((IF(Management!$C$3:$C$50="Unlimited",10^15,Management!$C$3:$C$50))&gt;='1'!$I62),COLUMN(G61))),"")</f>
        <v/>
      </c>
      <c r="H62" t="str">
        <f>IFERROR(INDEX(Management!$B$3:$B$50,_xlfn.AGGREGATE(15,6,(ROW(Management!$B$3:$B$50)-ROW(Management!$B$3)+1)/((IF(Management!$C$3:$C$50="Unlimited",10^15,Management!$C$3:$C$50))&gt;='1'!$I62),COLUMN(H61))),"")</f>
        <v/>
      </c>
      <c r="I62" t="str">
        <f>IFERROR(INDEX(Management!$B$3:$B$50,_xlfn.AGGREGATE(15,6,(ROW(Management!$B$3:$B$50)-ROW(Management!$B$3)+1)/((IF(Management!$C$3:$C$50="Unlimited",10^15,Management!$C$3:$C$50))&gt;='1'!$I62),COLUMN(I61))),"")</f>
        <v/>
      </c>
      <c r="J62" t="str">
        <f>IFERROR(INDEX(Management!$B$3:$B$50,_xlfn.AGGREGATE(15,6,(ROW(Management!$B$3:$B$50)-ROW(Management!$B$3)+1)/((IF(Management!$C$3:$C$50="Unlimited",10^15,Management!$C$3:$C$50))&gt;='1'!$I62),COLUMN(J61))),"")</f>
        <v/>
      </c>
      <c r="K62" t="str">
        <f>IFERROR(INDEX(Management!$B$3:$B$50,_xlfn.AGGREGATE(15,6,(ROW(Management!$B$3:$B$50)-ROW(Management!$B$3)+1)/((IF(Management!$C$3:$C$50="Unlimited",10^15,Management!$C$3:$C$50))&gt;='1'!$I62),COLUMN(K61))),"")</f>
        <v/>
      </c>
      <c r="L62" t="str">
        <f>IFERROR(INDEX(Management!$B$3:$B$50,_xlfn.AGGREGATE(15,6,(ROW(Management!$B$3:$B$50)-ROW(Management!$B$3)+1)/((IF(Management!$C$3:$C$50="Unlimited",10^15,Management!$C$3:$C$50))&gt;='1'!$I62),COLUMN(L61))),"")</f>
        <v/>
      </c>
      <c r="M62" t="str">
        <f>IFERROR(INDEX(Management!$B$3:$B$50,_xlfn.AGGREGATE(15,6,(ROW(Management!$B$3:$B$50)-ROW(Management!$B$3)+1)/((IF(Management!$C$3:$C$50="Unlimited",10^15,Management!$C$3:$C$50))&gt;='1'!$I62),COLUMN(M61))),"")</f>
        <v/>
      </c>
      <c r="N62" t="str">
        <f>IFERROR(INDEX(Management!$B$3:$B$50,_xlfn.AGGREGATE(15,6,(ROW(Management!$B$3:$B$50)-ROW(Management!$B$3)+1)/((IF(Management!$C$3:$C$50="Unlimited",10^15,Management!$C$3:$C$50))&gt;='1'!$I62),COLUMN(N61))),"")</f>
        <v/>
      </c>
      <c r="O62" t="str">
        <f>IFERROR(INDEX(Management!$B$3:$B$50,_xlfn.AGGREGATE(15,6,(ROW(Management!$B$3:$B$50)-ROW(Management!$B$3)+1)/((IF(Management!$C$3:$C$50="Unlimited",10^15,Management!$C$3:$C$50))&gt;='1'!$I62),COLUMN(O61))),"")</f>
        <v/>
      </c>
      <c r="P62" t="str">
        <f>IFERROR(INDEX(Management!$B$3:$B$50,_xlfn.AGGREGATE(15,6,(ROW(Management!$B$3:$B$50)-ROW(Management!$B$3)+1)/((IF(Management!$C$3:$C$50="Unlimited",10^15,Management!$C$3:$C$50))&gt;='1'!$I62),COLUMN(P61))),"")</f>
        <v/>
      </c>
      <c r="Q62" t="str">
        <f>IFERROR(INDEX(Management!$B$3:$B$50,_xlfn.AGGREGATE(15,6,(ROW(Management!$B$3:$B$50)-ROW(Management!$B$3)+1)/((IF(Management!$C$3:$C$50="Unlimited",10^15,Management!$C$3:$C$50))&gt;='1'!$I62),COLUMN(Q61))),"")</f>
        <v/>
      </c>
      <c r="R62" t="str">
        <f>IFERROR(INDEX(Management!$B$3:$B$50,_xlfn.AGGREGATE(15,6,(ROW(Management!$B$3:$B$50)-ROW(Management!$B$3)+1)/((IF(Management!$C$3:$C$50="Unlimited",10^15,Management!$C$3:$C$50))&gt;='1'!$I62),COLUMN(R61))),"")</f>
        <v/>
      </c>
      <c r="S62" t="str">
        <f>IFERROR(INDEX(Management!$B$3:$B$50,_xlfn.AGGREGATE(15,6,(ROW(Management!$B$3:$B$50)-ROW(Management!$B$3)+1)/((IF(Management!$C$3:$C$50="Unlimited",10^15,Management!$C$3:$C$50))&gt;='1'!$I62),COLUMN(S61))),"")</f>
        <v/>
      </c>
      <c r="T62" t="str">
        <f>IFERROR(INDEX(Management!$B$3:$B$50,_xlfn.AGGREGATE(15,6,(ROW(Management!$B$3:$B$50)-ROW(Management!$B$3)+1)/((IF(Management!$C$3:$C$50="Unlimited",10^15,Management!$C$3:$C$50))&gt;='1'!$I62),COLUMN(T61))),"")</f>
        <v/>
      </c>
    </row>
    <row r="63" spans="1:20">
      <c r="A63" t="str">
        <f>IFERROR(INDEX(Management!$B$3:$B$50,_xlfn.AGGREGATE(15,6,(ROW(Management!$B$3:$B$50)-ROW(Management!$B$3)+1)/((IF(Management!$C$3:$C$50="Unlimited",10^15,Management!$C$3:$C$50))&gt;='1'!$I63),COLUMN(A62))),"")</f>
        <v/>
      </c>
      <c r="B63" t="str">
        <f>IFERROR(INDEX(Management!$B$3:$B$50,_xlfn.AGGREGATE(15,6,(ROW(Management!$B$3:$B$50)-ROW(Management!$B$3)+1)/((IF(Management!$C$3:$C$50="Unlimited",10^15,Management!$C$3:$C$50))&gt;='1'!$I63),COLUMN(B62))),"")</f>
        <v/>
      </c>
      <c r="C63" t="str">
        <f>IFERROR(INDEX(Management!$B$3:$B$50,_xlfn.AGGREGATE(15,6,(ROW(Management!$B$3:$B$50)-ROW(Management!$B$3)+1)/((IF(Management!$C$3:$C$50="Unlimited",10^15,Management!$C$3:$C$50))&gt;='1'!$I63),COLUMN(C62))),"")</f>
        <v/>
      </c>
      <c r="D63" t="str">
        <f>IFERROR(INDEX(Management!$B$3:$B$50,_xlfn.AGGREGATE(15,6,(ROW(Management!$B$3:$B$50)-ROW(Management!$B$3)+1)/((IF(Management!$C$3:$C$50="Unlimited",10^15,Management!$C$3:$C$50))&gt;='1'!$I63),COLUMN(D62))),"")</f>
        <v/>
      </c>
      <c r="E63" t="str">
        <f>IFERROR(INDEX(Management!$B$3:$B$50,_xlfn.AGGREGATE(15,6,(ROW(Management!$B$3:$B$50)-ROW(Management!$B$3)+1)/((IF(Management!$C$3:$C$50="Unlimited",10^15,Management!$C$3:$C$50))&gt;='1'!$I63),COLUMN(E62))),"")</f>
        <v/>
      </c>
      <c r="F63" t="str">
        <f>IFERROR(INDEX(Management!$B$3:$B$50,_xlfn.AGGREGATE(15,6,(ROW(Management!$B$3:$B$50)-ROW(Management!$B$3)+1)/((IF(Management!$C$3:$C$50="Unlimited",10^15,Management!$C$3:$C$50))&gt;='1'!$I63),COLUMN(F62))),"")</f>
        <v/>
      </c>
      <c r="G63" t="str">
        <f>IFERROR(INDEX(Management!$B$3:$B$50,_xlfn.AGGREGATE(15,6,(ROW(Management!$B$3:$B$50)-ROW(Management!$B$3)+1)/((IF(Management!$C$3:$C$50="Unlimited",10^15,Management!$C$3:$C$50))&gt;='1'!$I63),COLUMN(G62))),"")</f>
        <v/>
      </c>
      <c r="H63" t="str">
        <f>IFERROR(INDEX(Management!$B$3:$B$50,_xlfn.AGGREGATE(15,6,(ROW(Management!$B$3:$B$50)-ROW(Management!$B$3)+1)/((IF(Management!$C$3:$C$50="Unlimited",10^15,Management!$C$3:$C$50))&gt;='1'!$I63),COLUMN(H62))),"")</f>
        <v/>
      </c>
      <c r="I63" t="str">
        <f>IFERROR(INDEX(Management!$B$3:$B$50,_xlfn.AGGREGATE(15,6,(ROW(Management!$B$3:$B$50)-ROW(Management!$B$3)+1)/((IF(Management!$C$3:$C$50="Unlimited",10^15,Management!$C$3:$C$50))&gt;='1'!$I63),COLUMN(I62))),"")</f>
        <v/>
      </c>
      <c r="J63" t="str">
        <f>IFERROR(INDEX(Management!$B$3:$B$50,_xlfn.AGGREGATE(15,6,(ROW(Management!$B$3:$B$50)-ROW(Management!$B$3)+1)/((IF(Management!$C$3:$C$50="Unlimited",10^15,Management!$C$3:$C$50))&gt;='1'!$I63),COLUMN(J62))),"")</f>
        <v/>
      </c>
      <c r="K63" t="str">
        <f>IFERROR(INDEX(Management!$B$3:$B$50,_xlfn.AGGREGATE(15,6,(ROW(Management!$B$3:$B$50)-ROW(Management!$B$3)+1)/((IF(Management!$C$3:$C$50="Unlimited",10^15,Management!$C$3:$C$50))&gt;='1'!$I63),COLUMN(K62))),"")</f>
        <v/>
      </c>
      <c r="L63" t="str">
        <f>IFERROR(INDEX(Management!$B$3:$B$50,_xlfn.AGGREGATE(15,6,(ROW(Management!$B$3:$B$50)-ROW(Management!$B$3)+1)/((IF(Management!$C$3:$C$50="Unlimited",10^15,Management!$C$3:$C$50))&gt;='1'!$I63),COLUMN(L62))),"")</f>
        <v/>
      </c>
      <c r="M63" t="str">
        <f>IFERROR(INDEX(Management!$B$3:$B$50,_xlfn.AGGREGATE(15,6,(ROW(Management!$B$3:$B$50)-ROW(Management!$B$3)+1)/((IF(Management!$C$3:$C$50="Unlimited",10^15,Management!$C$3:$C$50))&gt;='1'!$I63),COLUMN(M62))),"")</f>
        <v/>
      </c>
      <c r="N63" t="str">
        <f>IFERROR(INDEX(Management!$B$3:$B$50,_xlfn.AGGREGATE(15,6,(ROW(Management!$B$3:$B$50)-ROW(Management!$B$3)+1)/((IF(Management!$C$3:$C$50="Unlimited",10^15,Management!$C$3:$C$50))&gt;='1'!$I63),COLUMN(N62))),"")</f>
        <v/>
      </c>
      <c r="O63" t="str">
        <f>IFERROR(INDEX(Management!$B$3:$B$50,_xlfn.AGGREGATE(15,6,(ROW(Management!$B$3:$B$50)-ROW(Management!$B$3)+1)/((IF(Management!$C$3:$C$50="Unlimited",10^15,Management!$C$3:$C$50))&gt;='1'!$I63),COLUMN(O62))),"")</f>
        <v/>
      </c>
      <c r="P63" t="str">
        <f>IFERROR(INDEX(Management!$B$3:$B$50,_xlfn.AGGREGATE(15,6,(ROW(Management!$B$3:$B$50)-ROW(Management!$B$3)+1)/((IF(Management!$C$3:$C$50="Unlimited",10^15,Management!$C$3:$C$50))&gt;='1'!$I63),COLUMN(P62))),"")</f>
        <v/>
      </c>
      <c r="Q63" t="str">
        <f>IFERROR(INDEX(Management!$B$3:$B$50,_xlfn.AGGREGATE(15,6,(ROW(Management!$B$3:$B$50)-ROW(Management!$B$3)+1)/((IF(Management!$C$3:$C$50="Unlimited",10^15,Management!$C$3:$C$50))&gt;='1'!$I63),COLUMN(Q62))),"")</f>
        <v/>
      </c>
      <c r="R63" t="str">
        <f>IFERROR(INDEX(Management!$B$3:$B$50,_xlfn.AGGREGATE(15,6,(ROW(Management!$B$3:$B$50)-ROW(Management!$B$3)+1)/((IF(Management!$C$3:$C$50="Unlimited",10^15,Management!$C$3:$C$50))&gt;='1'!$I63),COLUMN(R62))),"")</f>
        <v/>
      </c>
      <c r="S63" t="str">
        <f>IFERROR(INDEX(Management!$B$3:$B$50,_xlfn.AGGREGATE(15,6,(ROW(Management!$B$3:$B$50)-ROW(Management!$B$3)+1)/((IF(Management!$C$3:$C$50="Unlimited",10^15,Management!$C$3:$C$50))&gt;='1'!$I63),COLUMN(S62))),"")</f>
        <v/>
      </c>
      <c r="T63" t="str">
        <f>IFERROR(INDEX(Management!$B$3:$B$50,_xlfn.AGGREGATE(15,6,(ROW(Management!$B$3:$B$50)-ROW(Management!$B$3)+1)/((IF(Management!$C$3:$C$50="Unlimited",10^15,Management!$C$3:$C$50))&gt;='1'!$I63),COLUMN(T62))),"")</f>
        <v/>
      </c>
    </row>
    <row r="64" spans="1:20">
      <c r="A64" t="str">
        <f>IFERROR(INDEX(Management!$B$3:$B$50,_xlfn.AGGREGATE(15,6,(ROW(Management!$B$3:$B$50)-ROW(Management!$B$3)+1)/((IF(Management!$C$3:$C$50="Unlimited",10^15,Management!$C$3:$C$50))&gt;='1'!$I64),COLUMN(A63))),"")</f>
        <v/>
      </c>
      <c r="B64" t="str">
        <f>IFERROR(INDEX(Management!$B$3:$B$50,_xlfn.AGGREGATE(15,6,(ROW(Management!$B$3:$B$50)-ROW(Management!$B$3)+1)/((IF(Management!$C$3:$C$50="Unlimited",10^15,Management!$C$3:$C$50))&gt;='1'!$I64),COLUMN(B63))),"")</f>
        <v/>
      </c>
      <c r="C64" t="str">
        <f>IFERROR(INDEX(Management!$B$3:$B$50,_xlfn.AGGREGATE(15,6,(ROW(Management!$B$3:$B$50)-ROW(Management!$B$3)+1)/((IF(Management!$C$3:$C$50="Unlimited",10^15,Management!$C$3:$C$50))&gt;='1'!$I64),COLUMN(C63))),"")</f>
        <v/>
      </c>
      <c r="D64" t="str">
        <f>IFERROR(INDEX(Management!$B$3:$B$50,_xlfn.AGGREGATE(15,6,(ROW(Management!$B$3:$B$50)-ROW(Management!$B$3)+1)/((IF(Management!$C$3:$C$50="Unlimited",10^15,Management!$C$3:$C$50))&gt;='1'!$I64),COLUMN(D63))),"")</f>
        <v/>
      </c>
      <c r="E64" t="str">
        <f>IFERROR(INDEX(Management!$B$3:$B$50,_xlfn.AGGREGATE(15,6,(ROW(Management!$B$3:$B$50)-ROW(Management!$B$3)+1)/((IF(Management!$C$3:$C$50="Unlimited",10^15,Management!$C$3:$C$50))&gt;='1'!$I64),COLUMN(E63))),"")</f>
        <v/>
      </c>
      <c r="F64" t="str">
        <f>IFERROR(INDEX(Management!$B$3:$B$50,_xlfn.AGGREGATE(15,6,(ROW(Management!$B$3:$B$50)-ROW(Management!$B$3)+1)/((IF(Management!$C$3:$C$50="Unlimited",10^15,Management!$C$3:$C$50))&gt;='1'!$I64),COLUMN(F63))),"")</f>
        <v/>
      </c>
      <c r="G64" t="str">
        <f>IFERROR(INDEX(Management!$B$3:$B$50,_xlfn.AGGREGATE(15,6,(ROW(Management!$B$3:$B$50)-ROW(Management!$B$3)+1)/((IF(Management!$C$3:$C$50="Unlimited",10^15,Management!$C$3:$C$50))&gt;='1'!$I64),COLUMN(G63))),"")</f>
        <v/>
      </c>
      <c r="H64" t="str">
        <f>IFERROR(INDEX(Management!$B$3:$B$50,_xlfn.AGGREGATE(15,6,(ROW(Management!$B$3:$B$50)-ROW(Management!$B$3)+1)/((IF(Management!$C$3:$C$50="Unlimited",10^15,Management!$C$3:$C$50))&gt;='1'!$I64),COLUMN(H63))),"")</f>
        <v/>
      </c>
      <c r="I64" t="str">
        <f>IFERROR(INDEX(Management!$B$3:$B$50,_xlfn.AGGREGATE(15,6,(ROW(Management!$B$3:$B$50)-ROW(Management!$B$3)+1)/((IF(Management!$C$3:$C$50="Unlimited",10^15,Management!$C$3:$C$50))&gt;='1'!$I64),COLUMN(I63))),"")</f>
        <v/>
      </c>
      <c r="J64" t="str">
        <f>IFERROR(INDEX(Management!$B$3:$B$50,_xlfn.AGGREGATE(15,6,(ROW(Management!$B$3:$B$50)-ROW(Management!$B$3)+1)/((IF(Management!$C$3:$C$50="Unlimited",10^15,Management!$C$3:$C$50))&gt;='1'!$I64),COLUMN(J63))),"")</f>
        <v/>
      </c>
      <c r="K64" t="str">
        <f>IFERROR(INDEX(Management!$B$3:$B$50,_xlfn.AGGREGATE(15,6,(ROW(Management!$B$3:$B$50)-ROW(Management!$B$3)+1)/((IF(Management!$C$3:$C$50="Unlimited",10^15,Management!$C$3:$C$50))&gt;='1'!$I64),COLUMN(K63))),"")</f>
        <v/>
      </c>
      <c r="L64" t="str">
        <f>IFERROR(INDEX(Management!$B$3:$B$50,_xlfn.AGGREGATE(15,6,(ROW(Management!$B$3:$B$50)-ROW(Management!$B$3)+1)/((IF(Management!$C$3:$C$50="Unlimited",10^15,Management!$C$3:$C$50))&gt;='1'!$I64),COLUMN(L63))),"")</f>
        <v/>
      </c>
      <c r="M64" t="str">
        <f>IFERROR(INDEX(Management!$B$3:$B$50,_xlfn.AGGREGATE(15,6,(ROW(Management!$B$3:$B$50)-ROW(Management!$B$3)+1)/((IF(Management!$C$3:$C$50="Unlimited",10^15,Management!$C$3:$C$50))&gt;='1'!$I64),COLUMN(M63))),"")</f>
        <v/>
      </c>
      <c r="N64" t="str">
        <f>IFERROR(INDEX(Management!$B$3:$B$50,_xlfn.AGGREGATE(15,6,(ROW(Management!$B$3:$B$50)-ROW(Management!$B$3)+1)/((IF(Management!$C$3:$C$50="Unlimited",10^15,Management!$C$3:$C$50))&gt;='1'!$I64),COLUMN(N63))),"")</f>
        <v/>
      </c>
      <c r="O64" t="str">
        <f>IFERROR(INDEX(Management!$B$3:$B$50,_xlfn.AGGREGATE(15,6,(ROW(Management!$B$3:$B$50)-ROW(Management!$B$3)+1)/((IF(Management!$C$3:$C$50="Unlimited",10^15,Management!$C$3:$C$50))&gt;='1'!$I64),COLUMN(O63))),"")</f>
        <v/>
      </c>
      <c r="P64" t="str">
        <f>IFERROR(INDEX(Management!$B$3:$B$50,_xlfn.AGGREGATE(15,6,(ROW(Management!$B$3:$B$50)-ROW(Management!$B$3)+1)/((IF(Management!$C$3:$C$50="Unlimited",10^15,Management!$C$3:$C$50))&gt;='1'!$I64),COLUMN(P63))),"")</f>
        <v/>
      </c>
      <c r="Q64" t="str">
        <f>IFERROR(INDEX(Management!$B$3:$B$50,_xlfn.AGGREGATE(15,6,(ROW(Management!$B$3:$B$50)-ROW(Management!$B$3)+1)/((IF(Management!$C$3:$C$50="Unlimited",10^15,Management!$C$3:$C$50))&gt;='1'!$I64),COLUMN(Q63))),"")</f>
        <v/>
      </c>
      <c r="R64" t="str">
        <f>IFERROR(INDEX(Management!$B$3:$B$50,_xlfn.AGGREGATE(15,6,(ROW(Management!$B$3:$B$50)-ROW(Management!$B$3)+1)/((IF(Management!$C$3:$C$50="Unlimited",10^15,Management!$C$3:$C$50))&gt;='1'!$I64),COLUMN(R63))),"")</f>
        <v/>
      </c>
      <c r="S64" t="str">
        <f>IFERROR(INDEX(Management!$B$3:$B$50,_xlfn.AGGREGATE(15,6,(ROW(Management!$B$3:$B$50)-ROW(Management!$B$3)+1)/((IF(Management!$C$3:$C$50="Unlimited",10^15,Management!$C$3:$C$50))&gt;='1'!$I64),COLUMN(S63))),"")</f>
        <v/>
      </c>
      <c r="T64" t="str">
        <f>IFERROR(INDEX(Management!$B$3:$B$50,_xlfn.AGGREGATE(15,6,(ROW(Management!$B$3:$B$50)-ROW(Management!$B$3)+1)/((IF(Management!$C$3:$C$50="Unlimited",10^15,Management!$C$3:$C$50))&gt;='1'!$I64),COLUMN(T63))),"")</f>
        <v/>
      </c>
    </row>
    <row r="65" spans="1:20">
      <c r="A65" t="str">
        <f>IFERROR(INDEX(Management!$B$3:$B$50,_xlfn.AGGREGATE(15,6,(ROW(Management!$B$3:$B$50)-ROW(Management!$B$3)+1)/((IF(Management!$C$3:$C$50="Unlimited",10^15,Management!$C$3:$C$50))&gt;='1'!$I65),COLUMN(A64))),"")</f>
        <v/>
      </c>
      <c r="B65" t="str">
        <f>IFERROR(INDEX(Management!$B$3:$B$50,_xlfn.AGGREGATE(15,6,(ROW(Management!$B$3:$B$50)-ROW(Management!$B$3)+1)/((IF(Management!$C$3:$C$50="Unlimited",10^15,Management!$C$3:$C$50))&gt;='1'!$I65),COLUMN(B64))),"")</f>
        <v/>
      </c>
      <c r="C65" t="str">
        <f>IFERROR(INDEX(Management!$B$3:$B$50,_xlfn.AGGREGATE(15,6,(ROW(Management!$B$3:$B$50)-ROW(Management!$B$3)+1)/((IF(Management!$C$3:$C$50="Unlimited",10^15,Management!$C$3:$C$50))&gt;='1'!$I65),COLUMN(C64))),"")</f>
        <v/>
      </c>
      <c r="D65" t="str">
        <f>IFERROR(INDEX(Management!$B$3:$B$50,_xlfn.AGGREGATE(15,6,(ROW(Management!$B$3:$B$50)-ROW(Management!$B$3)+1)/((IF(Management!$C$3:$C$50="Unlimited",10^15,Management!$C$3:$C$50))&gt;='1'!$I65),COLUMN(D64))),"")</f>
        <v/>
      </c>
      <c r="E65" t="str">
        <f>IFERROR(INDEX(Management!$B$3:$B$50,_xlfn.AGGREGATE(15,6,(ROW(Management!$B$3:$B$50)-ROW(Management!$B$3)+1)/((IF(Management!$C$3:$C$50="Unlimited",10^15,Management!$C$3:$C$50))&gt;='1'!$I65),COLUMN(E64))),"")</f>
        <v/>
      </c>
      <c r="F65" t="str">
        <f>IFERROR(INDEX(Management!$B$3:$B$50,_xlfn.AGGREGATE(15,6,(ROW(Management!$B$3:$B$50)-ROW(Management!$B$3)+1)/((IF(Management!$C$3:$C$50="Unlimited",10^15,Management!$C$3:$C$50))&gt;='1'!$I65),COLUMN(F64))),"")</f>
        <v/>
      </c>
      <c r="G65" t="str">
        <f>IFERROR(INDEX(Management!$B$3:$B$50,_xlfn.AGGREGATE(15,6,(ROW(Management!$B$3:$B$50)-ROW(Management!$B$3)+1)/((IF(Management!$C$3:$C$50="Unlimited",10^15,Management!$C$3:$C$50))&gt;='1'!$I65),COLUMN(G64))),"")</f>
        <v/>
      </c>
      <c r="H65" t="str">
        <f>IFERROR(INDEX(Management!$B$3:$B$50,_xlfn.AGGREGATE(15,6,(ROW(Management!$B$3:$B$50)-ROW(Management!$B$3)+1)/((IF(Management!$C$3:$C$50="Unlimited",10^15,Management!$C$3:$C$50))&gt;='1'!$I65),COLUMN(H64))),"")</f>
        <v/>
      </c>
      <c r="I65" t="str">
        <f>IFERROR(INDEX(Management!$B$3:$B$50,_xlfn.AGGREGATE(15,6,(ROW(Management!$B$3:$B$50)-ROW(Management!$B$3)+1)/((IF(Management!$C$3:$C$50="Unlimited",10^15,Management!$C$3:$C$50))&gt;='1'!$I65),COLUMN(I64))),"")</f>
        <v/>
      </c>
      <c r="J65" t="str">
        <f>IFERROR(INDEX(Management!$B$3:$B$50,_xlfn.AGGREGATE(15,6,(ROW(Management!$B$3:$B$50)-ROW(Management!$B$3)+1)/((IF(Management!$C$3:$C$50="Unlimited",10^15,Management!$C$3:$C$50))&gt;='1'!$I65),COLUMN(J64))),"")</f>
        <v/>
      </c>
      <c r="K65" t="str">
        <f>IFERROR(INDEX(Management!$B$3:$B$50,_xlfn.AGGREGATE(15,6,(ROW(Management!$B$3:$B$50)-ROW(Management!$B$3)+1)/((IF(Management!$C$3:$C$50="Unlimited",10^15,Management!$C$3:$C$50))&gt;='1'!$I65),COLUMN(K64))),"")</f>
        <v/>
      </c>
      <c r="L65" t="str">
        <f>IFERROR(INDEX(Management!$B$3:$B$50,_xlfn.AGGREGATE(15,6,(ROW(Management!$B$3:$B$50)-ROW(Management!$B$3)+1)/((IF(Management!$C$3:$C$50="Unlimited",10^15,Management!$C$3:$C$50))&gt;='1'!$I65),COLUMN(L64))),"")</f>
        <v/>
      </c>
      <c r="M65" t="str">
        <f>IFERROR(INDEX(Management!$B$3:$B$50,_xlfn.AGGREGATE(15,6,(ROW(Management!$B$3:$B$50)-ROW(Management!$B$3)+1)/((IF(Management!$C$3:$C$50="Unlimited",10^15,Management!$C$3:$C$50))&gt;='1'!$I65),COLUMN(M64))),"")</f>
        <v/>
      </c>
      <c r="N65" t="str">
        <f>IFERROR(INDEX(Management!$B$3:$B$50,_xlfn.AGGREGATE(15,6,(ROW(Management!$B$3:$B$50)-ROW(Management!$B$3)+1)/((IF(Management!$C$3:$C$50="Unlimited",10^15,Management!$C$3:$C$50))&gt;='1'!$I65),COLUMN(N64))),"")</f>
        <v/>
      </c>
      <c r="O65" t="str">
        <f>IFERROR(INDEX(Management!$B$3:$B$50,_xlfn.AGGREGATE(15,6,(ROW(Management!$B$3:$B$50)-ROW(Management!$B$3)+1)/((IF(Management!$C$3:$C$50="Unlimited",10^15,Management!$C$3:$C$50))&gt;='1'!$I65),COLUMN(O64))),"")</f>
        <v/>
      </c>
      <c r="P65" t="str">
        <f>IFERROR(INDEX(Management!$B$3:$B$50,_xlfn.AGGREGATE(15,6,(ROW(Management!$B$3:$B$50)-ROW(Management!$B$3)+1)/((IF(Management!$C$3:$C$50="Unlimited",10^15,Management!$C$3:$C$50))&gt;='1'!$I65),COLUMN(P64))),"")</f>
        <v/>
      </c>
      <c r="Q65" t="str">
        <f>IFERROR(INDEX(Management!$B$3:$B$50,_xlfn.AGGREGATE(15,6,(ROW(Management!$B$3:$B$50)-ROW(Management!$B$3)+1)/((IF(Management!$C$3:$C$50="Unlimited",10^15,Management!$C$3:$C$50))&gt;='1'!$I65),COLUMN(Q64))),"")</f>
        <v/>
      </c>
      <c r="R65" t="str">
        <f>IFERROR(INDEX(Management!$B$3:$B$50,_xlfn.AGGREGATE(15,6,(ROW(Management!$B$3:$B$50)-ROW(Management!$B$3)+1)/((IF(Management!$C$3:$C$50="Unlimited",10^15,Management!$C$3:$C$50))&gt;='1'!$I65),COLUMN(R64))),"")</f>
        <v/>
      </c>
      <c r="S65" t="str">
        <f>IFERROR(INDEX(Management!$B$3:$B$50,_xlfn.AGGREGATE(15,6,(ROW(Management!$B$3:$B$50)-ROW(Management!$B$3)+1)/((IF(Management!$C$3:$C$50="Unlimited",10^15,Management!$C$3:$C$50))&gt;='1'!$I65),COLUMN(S64))),"")</f>
        <v/>
      </c>
      <c r="T65" t="str">
        <f>IFERROR(INDEX(Management!$B$3:$B$50,_xlfn.AGGREGATE(15,6,(ROW(Management!$B$3:$B$50)-ROW(Management!$B$3)+1)/((IF(Management!$C$3:$C$50="Unlimited",10^15,Management!$C$3:$C$50))&gt;='1'!$I65),COLUMN(T64))),"")</f>
        <v/>
      </c>
    </row>
    <row r="66" spans="1:20">
      <c r="A66" t="str">
        <f>IFERROR(INDEX(Management!$B$3:$B$50,_xlfn.AGGREGATE(15,6,(ROW(Management!$B$3:$B$50)-ROW(Management!$B$3)+1)/((IF(Management!$C$3:$C$50="Unlimited",10^15,Management!$C$3:$C$50))&gt;='1'!$I66),COLUMN(A65))),"")</f>
        <v/>
      </c>
      <c r="B66" t="str">
        <f>IFERROR(INDEX(Management!$B$3:$B$50,_xlfn.AGGREGATE(15,6,(ROW(Management!$B$3:$B$50)-ROW(Management!$B$3)+1)/((IF(Management!$C$3:$C$50="Unlimited",10^15,Management!$C$3:$C$50))&gt;='1'!$I66),COLUMN(B65))),"")</f>
        <v/>
      </c>
      <c r="C66" t="str">
        <f>IFERROR(INDEX(Management!$B$3:$B$50,_xlfn.AGGREGATE(15,6,(ROW(Management!$B$3:$B$50)-ROW(Management!$B$3)+1)/((IF(Management!$C$3:$C$50="Unlimited",10^15,Management!$C$3:$C$50))&gt;='1'!$I66),COLUMN(C65))),"")</f>
        <v/>
      </c>
      <c r="D66" t="str">
        <f>IFERROR(INDEX(Management!$B$3:$B$50,_xlfn.AGGREGATE(15,6,(ROW(Management!$B$3:$B$50)-ROW(Management!$B$3)+1)/((IF(Management!$C$3:$C$50="Unlimited",10^15,Management!$C$3:$C$50))&gt;='1'!$I66),COLUMN(D65))),"")</f>
        <v/>
      </c>
      <c r="E66" t="str">
        <f>IFERROR(INDEX(Management!$B$3:$B$50,_xlfn.AGGREGATE(15,6,(ROW(Management!$B$3:$B$50)-ROW(Management!$B$3)+1)/((IF(Management!$C$3:$C$50="Unlimited",10^15,Management!$C$3:$C$50))&gt;='1'!$I66),COLUMN(E65))),"")</f>
        <v/>
      </c>
      <c r="F66" t="str">
        <f>IFERROR(INDEX(Management!$B$3:$B$50,_xlfn.AGGREGATE(15,6,(ROW(Management!$B$3:$B$50)-ROW(Management!$B$3)+1)/((IF(Management!$C$3:$C$50="Unlimited",10^15,Management!$C$3:$C$50))&gt;='1'!$I66),COLUMN(F65))),"")</f>
        <v/>
      </c>
      <c r="G66" t="str">
        <f>IFERROR(INDEX(Management!$B$3:$B$50,_xlfn.AGGREGATE(15,6,(ROW(Management!$B$3:$B$50)-ROW(Management!$B$3)+1)/((IF(Management!$C$3:$C$50="Unlimited",10^15,Management!$C$3:$C$50))&gt;='1'!$I66),COLUMN(G65))),"")</f>
        <v/>
      </c>
      <c r="H66" t="str">
        <f>IFERROR(INDEX(Management!$B$3:$B$50,_xlfn.AGGREGATE(15,6,(ROW(Management!$B$3:$B$50)-ROW(Management!$B$3)+1)/((IF(Management!$C$3:$C$50="Unlimited",10^15,Management!$C$3:$C$50))&gt;='1'!$I66),COLUMN(H65))),"")</f>
        <v/>
      </c>
      <c r="I66" t="str">
        <f>IFERROR(INDEX(Management!$B$3:$B$50,_xlfn.AGGREGATE(15,6,(ROW(Management!$B$3:$B$50)-ROW(Management!$B$3)+1)/((IF(Management!$C$3:$C$50="Unlimited",10^15,Management!$C$3:$C$50))&gt;='1'!$I66),COLUMN(I65))),"")</f>
        <v/>
      </c>
      <c r="J66" t="str">
        <f>IFERROR(INDEX(Management!$B$3:$B$50,_xlfn.AGGREGATE(15,6,(ROW(Management!$B$3:$B$50)-ROW(Management!$B$3)+1)/((IF(Management!$C$3:$C$50="Unlimited",10^15,Management!$C$3:$C$50))&gt;='1'!$I66),COLUMN(J65))),"")</f>
        <v/>
      </c>
      <c r="K66" t="str">
        <f>IFERROR(INDEX(Management!$B$3:$B$50,_xlfn.AGGREGATE(15,6,(ROW(Management!$B$3:$B$50)-ROW(Management!$B$3)+1)/((IF(Management!$C$3:$C$50="Unlimited",10^15,Management!$C$3:$C$50))&gt;='1'!$I66),COLUMN(K65))),"")</f>
        <v/>
      </c>
      <c r="L66" t="str">
        <f>IFERROR(INDEX(Management!$B$3:$B$50,_xlfn.AGGREGATE(15,6,(ROW(Management!$B$3:$B$50)-ROW(Management!$B$3)+1)/((IF(Management!$C$3:$C$50="Unlimited",10^15,Management!$C$3:$C$50))&gt;='1'!$I66),COLUMN(L65))),"")</f>
        <v/>
      </c>
      <c r="M66" t="str">
        <f>IFERROR(INDEX(Management!$B$3:$B$50,_xlfn.AGGREGATE(15,6,(ROW(Management!$B$3:$B$50)-ROW(Management!$B$3)+1)/((IF(Management!$C$3:$C$50="Unlimited",10^15,Management!$C$3:$C$50))&gt;='1'!$I66),COLUMN(M65))),"")</f>
        <v/>
      </c>
      <c r="N66" t="str">
        <f>IFERROR(INDEX(Management!$B$3:$B$50,_xlfn.AGGREGATE(15,6,(ROW(Management!$B$3:$B$50)-ROW(Management!$B$3)+1)/((IF(Management!$C$3:$C$50="Unlimited",10^15,Management!$C$3:$C$50))&gt;='1'!$I66),COLUMN(N65))),"")</f>
        <v/>
      </c>
      <c r="O66" t="str">
        <f>IFERROR(INDEX(Management!$B$3:$B$50,_xlfn.AGGREGATE(15,6,(ROW(Management!$B$3:$B$50)-ROW(Management!$B$3)+1)/((IF(Management!$C$3:$C$50="Unlimited",10^15,Management!$C$3:$C$50))&gt;='1'!$I66),COLUMN(O65))),"")</f>
        <v/>
      </c>
      <c r="P66" t="str">
        <f>IFERROR(INDEX(Management!$B$3:$B$50,_xlfn.AGGREGATE(15,6,(ROW(Management!$B$3:$B$50)-ROW(Management!$B$3)+1)/((IF(Management!$C$3:$C$50="Unlimited",10^15,Management!$C$3:$C$50))&gt;='1'!$I66),COLUMN(P65))),"")</f>
        <v/>
      </c>
      <c r="Q66" t="str">
        <f>IFERROR(INDEX(Management!$B$3:$B$50,_xlfn.AGGREGATE(15,6,(ROW(Management!$B$3:$B$50)-ROW(Management!$B$3)+1)/((IF(Management!$C$3:$C$50="Unlimited",10^15,Management!$C$3:$C$50))&gt;='1'!$I66),COLUMN(Q65))),"")</f>
        <v/>
      </c>
      <c r="R66" t="str">
        <f>IFERROR(INDEX(Management!$B$3:$B$50,_xlfn.AGGREGATE(15,6,(ROW(Management!$B$3:$B$50)-ROW(Management!$B$3)+1)/((IF(Management!$C$3:$C$50="Unlimited",10^15,Management!$C$3:$C$50))&gt;='1'!$I66),COLUMN(R65))),"")</f>
        <v/>
      </c>
      <c r="S66" t="str">
        <f>IFERROR(INDEX(Management!$B$3:$B$50,_xlfn.AGGREGATE(15,6,(ROW(Management!$B$3:$B$50)-ROW(Management!$B$3)+1)/((IF(Management!$C$3:$C$50="Unlimited",10^15,Management!$C$3:$C$50))&gt;='1'!$I66),COLUMN(S65))),"")</f>
        <v/>
      </c>
      <c r="T66" t="str">
        <f>IFERROR(INDEX(Management!$B$3:$B$50,_xlfn.AGGREGATE(15,6,(ROW(Management!$B$3:$B$50)-ROW(Management!$B$3)+1)/((IF(Management!$C$3:$C$50="Unlimited",10^15,Management!$C$3:$C$50))&gt;='1'!$I66),COLUMN(T65))),"")</f>
        <v/>
      </c>
    </row>
    <row r="67" spans="1:20">
      <c r="A67" t="str">
        <f>IFERROR(INDEX(Management!$B$3:$B$50,_xlfn.AGGREGATE(15,6,(ROW(Management!$B$3:$B$50)-ROW(Management!$B$3)+1)/((IF(Management!$C$3:$C$50="Unlimited",10^15,Management!$C$3:$C$50))&gt;='1'!$I67),COLUMN(A66))),"")</f>
        <v/>
      </c>
      <c r="B67" t="str">
        <f>IFERROR(INDEX(Management!$B$3:$B$50,_xlfn.AGGREGATE(15,6,(ROW(Management!$B$3:$B$50)-ROW(Management!$B$3)+1)/((IF(Management!$C$3:$C$50="Unlimited",10^15,Management!$C$3:$C$50))&gt;='1'!$I67),COLUMN(B66))),"")</f>
        <v/>
      </c>
      <c r="C67" t="str">
        <f>IFERROR(INDEX(Management!$B$3:$B$50,_xlfn.AGGREGATE(15,6,(ROW(Management!$B$3:$B$50)-ROW(Management!$B$3)+1)/((IF(Management!$C$3:$C$50="Unlimited",10^15,Management!$C$3:$C$50))&gt;='1'!$I67),COLUMN(C66))),"")</f>
        <v/>
      </c>
      <c r="D67" t="str">
        <f>IFERROR(INDEX(Management!$B$3:$B$50,_xlfn.AGGREGATE(15,6,(ROW(Management!$B$3:$B$50)-ROW(Management!$B$3)+1)/((IF(Management!$C$3:$C$50="Unlimited",10^15,Management!$C$3:$C$50))&gt;='1'!$I67),COLUMN(D66))),"")</f>
        <v/>
      </c>
      <c r="E67" t="str">
        <f>IFERROR(INDEX(Management!$B$3:$B$50,_xlfn.AGGREGATE(15,6,(ROW(Management!$B$3:$B$50)-ROW(Management!$B$3)+1)/((IF(Management!$C$3:$C$50="Unlimited",10^15,Management!$C$3:$C$50))&gt;='1'!$I67),COLUMN(E66))),"")</f>
        <v/>
      </c>
      <c r="F67" t="str">
        <f>IFERROR(INDEX(Management!$B$3:$B$50,_xlfn.AGGREGATE(15,6,(ROW(Management!$B$3:$B$50)-ROW(Management!$B$3)+1)/((IF(Management!$C$3:$C$50="Unlimited",10^15,Management!$C$3:$C$50))&gt;='1'!$I67),COLUMN(F66))),"")</f>
        <v/>
      </c>
      <c r="G67" t="str">
        <f>IFERROR(INDEX(Management!$B$3:$B$50,_xlfn.AGGREGATE(15,6,(ROW(Management!$B$3:$B$50)-ROW(Management!$B$3)+1)/((IF(Management!$C$3:$C$50="Unlimited",10^15,Management!$C$3:$C$50))&gt;='1'!$I67),COLUMN(G66))),"")</f>
        <v/>
      </c>
      <c r="H67" t="str">
        <f>IFERROR(INDEX(Management!$B$3:$B$50,_xlfn.AGGREGATE(15,6,(ROW(Management!$B$3:$B$50)-ROW(Management!$B$3)+1)/((IF(Management!$C$3:$C$50="Unlimited",10^15,Management!$C$3:$C$50))&gt;='1'!$I67),COLUMN(H66))),"")</f>
        <v/>
      </c>
      <c r="I67" t="str">
        <f>IFERROR(INDEX(Management!$B$3:$B$50,_xlfn.AGGREGATE(15,6,(ROW(Management!$B$3:$B$50)-ROW(Management!$B$3)+1)/((IF(Management!$C$3:$C$50="Unlimited",10^15,Management!$C$3:$C$50))&gt;='1'!$I67),COLUMN(I66))),"")</f>
        <v/>
      </c>
      <c r="J67" t="str">
        <f>IFERROR(INDEX(Management!$B$3:$B$50,_xlfn.AGGREGATE(15,6,(ROW(Management!$B$3:$B$50)-ROW(Management!$B$3)+1)/((IF(Management!$C$3:$C$50="Unlimited",10^15,Management!$C$3:$C$50))&gt;='1'!$I67),COLUMN(J66))),"")</f>
        <v/>
      </c>
      <c r="K67" t="str">
        <f>IFERROR(INDEX(Management!$B$3:$B$50,_xlfn.AGGREGATE(15,6,(ROW(Management!$B$3:$B$50)-ROW(Management!$B$3)+1)/((IF(Management!$C$3:$C$50="Unlimited",10^15,Management!$C$3:$C$50))&gt;='1'!$I67),COLUMN(K66))),"")</f>
        <v/>
      </c>
      <c r="L67" t="str">
        <f>IFERROR(INDEX(Management!$B$3:$B$50,_xlfn.AGGREGATE(15,6,(ROW(Management!$B$3:$B$50)-ROW(Management!$B$3)+1)/((IF(Management!$C$3:$C$50="Unlimited",10^15,Management!$C$3:$C$50))&gt;='1'!$I67),COLUMN(L66))),"")</f>
        <v/>
      </c>
      <c r="M67" t="str">
        <f>IFERROR(INDEX(Management!$B$3:$B$50,_xlfn.AGGREGATE(15,6,(ROW(Management!$B$3:$B$50)-ROW(Management!$B$3)+1)/((IF(Management!$C$3:$C$50="Unlimited",10^15,Management!$C$3:$C$50))&gt;='1'!$I67),COLUMN(M66))),"")</f>
        <v/>
      </c>
      <c r="N67" t="str">
        <f>IFERROR(INDEX(Management!$B$3:$B$50,_xlfn.AGGREGATE(15,6,(ROW(Management!$B$3:$B$50)-ROW(Management!$B$3)+1)/((IF(Management!$C$3:$C$50="Unlimited",10^15,Management!$C$3:$C$50))&gt;='1'!$I67),COLUMN(N66))),"")</f>
        <v/>
      </c>
      <c r="O67" t="str">
        <f>IFERROR(INDEX(Management!$B$3:$B$50,_xlfn.AGGREGATE(15,6,(ROW(Management!$B$3:$B$50)-ROW(Management!$B$3)+1)/((IF(Management!$C$3:$C$50="Unlimited",10^15,Management!$C$3:$C$50))&gt;='1'!$I67),COLUMN(O66))),"")</f>
        <v/>
      </c>
      <c r="P67" t="str">
        <f>IFERROR(INDEX(Management!$B$3:$B$50,_xlfn.AGGREGATE(15,6,(ROW(Management!$B$3:$B$50)-ROW(Management!$B$3)+1)/((IF(Management!$C$3:$C$50="Unlimited",10^15,Management!$C$3:$C$50))&gt;='1'!$I67),COLUMN(P66))),"")</f>
        <v/>
      </c>
      <c r="Q67" t="str">
        <f>IFERROR(INDEX(Management!$B$3:$B$50,_xlfn.AGGREGATE(15,6,(ROW(Management!$B$3:$B$50)-ROW(Management!$B$3)+1)/((IF(Management!$C$3:$C$50="Unlimited",10^15,Management!$C$3:$C$50))&gt;='1'!$I67),COLUMN(Q66))),"")</f>
        <v/>
      </c>
      <c r="R67" t="str">
        <f>IFERROR(INDEX(Management!$B$3:$B$50,_xlfn.AGGREGATE(15,6,(ROW(Management!$B$3:$B$50)-ROW(Management!$B$3)+1)/((IF(Management!$C$3:$C$50="Unlimited",10^15,Management!$C$3:$C$50))&gt;='1'!$I67),COLUMN(R66))),"")</f>
        <v/>
      </c>
      <c r="S67" t="str">
        <f>IFERROR(INDEX(Management!$B$3:$B$50,_xlfn.AGGREGATE(15,6,(ROW(Management!$B$3:$B$50)-ROW(Management!$B$3)+1)/((IF(Management!$C$3:$C$50="Unlimited",10^15,Management!$C$3:$C$50))&gt;='1'!$I67),COLUMN(S66))),"")</f>
        <v/>
      </c>
      <c r="T67" t="str">
        <f>IFERROR(INDEX(Management!$B$3:$B$50,_xlfn.AGGREGATE(15,6,(ROW(Management!$B$3:$B$50)-ROW(Management!$B$3)+1)/((IF(Management!$C$3:$C$50="Unlimited",10^15,Management!$C$3:$C$50))&gt;='1'!$I67),COLUMN(T66))),"")</f>
        <v/>
      </c>
    </row>
    <row r="68" spans="1:20">
      <c r="A68" t="str">
        <f>IFERROR(INDEX(Management!$B$3:$B$50,_xlfn.AGGREGATE(15,6,(ROW(Management!$B$3:$B$50)-ROW(Management!$B$3)+1)/((IF(Management!$C$3:$C$50="Unlimited",10^15,Management!$C$3:$C$50))&gt;='1'!$I68),COLUMN(A67))),"")</f>
        <v/>
      </c>
      <c r="B68" t="str">
        <f>IFERROR(INDEX(Management!$B$3:$B$50,_xlfn.AGGREGATE(15,6,(ROW(Management!$B$3:$B$50)-ROW(Management!$B$3)+1)/((IF(Management!$C$3:$C$50="Unlimited",10^15,Management!$C$3:$C$50))&gt;='1'!$I68),COLUMN(B67))),"")</f>
        <v/>
      </c>
      <c r="C68" t="str">
        <f>IFERROR(INDEX(Management!$B$3:$B$50,_xlfn.AGGREGATE(15,6,(ROW(Management!$B$3:$B$50)-ROW(Management!$B$3)+1)/((IF(Management!$C$3:$C$50="Unlimited",10^15,Management!$C$3:$C$50))&gt;='1'!$I68),COLUMN(C67))),"")</f>
        <v/>
      </c>
      <c r="D68" t="str">
        <f>IFERROR(INDEX(Management!$B$3:$B$50,_xlfn.AGGREGATE(15,6,(ROW(Management!$B$3:$B$50)-ROW(Management!$B$3)+1)/((IF(Management!$C$3:$C$50="Unlimited",10^15,Management!$C$3:$C$50))&gt;='1'!$I68),COLUMN(D67))),"")</f>
        <v/>
      </c>
      <c r="E68" t="str">
        <f>IFERROR(INDEX(Management!$B$3:$B$50,_xlfn.AGGREGATE(15,6,(ROW(Management!$B$3:$B$50)-ROW(Management!$B$3)+1)/((IF(Management!$C$3:$C$50="Unlimited",10^15,Management!$C$3:$C$50))&gt;='1'!$I68),COLUMN(E67))),"")</f>
        <v/>
      </c>
      <c r="F68" t="str">
        <f>IFERROR(INDEX(Management!$B$3:$B$50,_xlfn.AGGREGATE(15,6,(ROW(Management!$B$3:$B$50)-ROW(Management!$B$3)+1)/((IF(Management!$C$3:$C$50="Unlimited",10^15,Management!$C$3:$C$50))&gt;='1'!$I68),COLUMN(F67))),"")</f>
        <v/>
      </c>
      <c r="G68" t="str">
        <f>IFERROR(INDEX(Management!$B$3:$B$50,_xlfn.AGGREGATE(15,6,(ROW(Management!$B$3:$B$50)-ROW(Management!$B$3)+1)/((IF(Management!$C$3:$C$50="Unlimited",10^15,Management!$C$3:$C$50))&gt;='1'!$I68),COLUMN(G67))),"")</f>
        <v/>
      </c>
      <c r="H68" t="str">
        <f>IFERROR(INDEX(Management!$B$3:$B$50,_xlfn.AGGREGATE(15,6,(ROW(Management!$B$3:$B$50)-ROW(Management!$B$3)+1)/((IF(Management!$C$3:$C$50="Unlimited",10^15,Management!$C$3:$C$50))&gt;='1'!$I68),COLUMN(H67))),"")</f>
        <v/>
      </c>
      <c r="I68" t="str">
        <f>IFERROR(INDEX(Management!$B$3:$B$50,_xlfn.AGGREGATE(15,6,(ROW(Management!$B$3:$B$50)-ROW(Management!$B$3)+1)/((IF(Management!$C$3:$C$50="Unlimited",10^15,Management!$C$3:$C$50))&gt;='1'!$I68),COLUMN(I67))),"")</f>
        <v/>
      </c>
      <c r="J68" t="str">
        <f>IFERROR(INDEX(Management!$B$3:$B$50,_xlfn.AGGREGATE(15,6,(ROW(Management!$B$3:$B$50)-ROW(Management!$B$3)+1)/((IF(Management!$C$3:$C$50="Unlimited",10^15,Management!$C$3:$C$50))&gt;='1'!$I68),COLUMN(J67))),"")</f>
        <v/>
      </c>
      <c r="K68" t="str">
        <f>IFERROR(INDEX(Management!$B$3:$B$50,_xlfn.AGGREGATE(15,6,(ROW(Management!$B$3:$B$50)-ROW(Management!$B$3)+1)/((IF(Management!$C$3:$C$50="Unlimited",10^15,Management!$C$3:$C$50))&gt;='1'!$I68),COLUMN(K67))),"")</f>
        <v/>
      </c>
      <c r="L68" t="str">
        <f>IFERROR(INDEX(Management!$B$3:$B$50,_xlfn.AGGREGATE(15,6,(ROW(Management!$B$3:$B$50)-ROW(Management!$B$3)+1)/((IF(Management!$C$3:$C$50="Unlimited",10^15,Management!$C$3:$C$50))&gt;='1'!$I68),COLUMN(L67))),"")</f>
        <v/>
      </c>
      <c r="M68" t="str">
        <f>IFERROR(INDEX(Management!$B$3:$B$50,_xlfn.AGGREGATE(15,6,(ROW(Management!$B$3:$B$50)-ROW(Management!$B$3)+1)/((IF(Management!$C$3:$C$50="Unlimited",10^15,Management!$C$3:$C$50))&gt;='1'!$I68),COLUMN(M67))),"")</f>
        <v/>
      </c>
      <c r="N68" t="str">
        <f>IFERROR(INDEX(Management!$B$3:$B$50,_xlfn.AGGREGATE(15,6,(ROW(Management!$B$3:$B$50)-ROW(Management!$B$3)+1)/((IF(Management!$C$3:$C$50="Unlimited",10^15,Management!$C$3:$C$50))&gt;='1'!$I68),COLUMN(N67))),"")</f>
        <v/>
      </c>
      <c r="O68" t="str">
        <f>IFERROR(INDEX(Management!$B$3:$B$50,_xlfn.AGGREGATE(15,6,(ROW(Management!$B$3:$B$50)-ROW(Management!$B$3)+1)/((IF(Management!$C$3:$C$50="Unlimited",10^15,Management!$C$3:$C$50))&gt;='1'!$I68),COLUMN(O67))),"")</f>
        <v/>
      </c>
      <c r="P68" t="str">
        <f>IFERROR(INDEX(Management!$B$3:$B$50,_xlfn.AGGREGATE(15,6,(ROW(Management!$B$3:$B$50)-ROW(Management!$B$3)+1)/((IF(Management!$C$3:$C$50="Unlimited",10^15,Management!$C$3:$C$50))&gt;='1'!$I68),COLUMN(P67))),"")</f>
        <v/>
      </c>
      <c r="Q68" t="str">
        <f>IFERROR(INDEX(Management!$B$3:$B$50,_xlfn.AGGREGATE(15,6,(ROW(Management!$B$3:$B$50)-ROW(Management!$B$3)+1)/((IF(Management!$C$3:$C$50="Unlimited",10^15,Management!$C$3:$C$50))&gt;='1'!$I68),COLUMN(Q67))),"")</f>
        <v/>
      </c>
      <c r="R68" t="str">
        <f>IFERROR(INDEX(Management!$B$3:$B$50,_xlfn.AGGREGATE(15,6,(ROW(Management!$B$3:$B$50)-ROW(Management!$B$3)+1)/((IF(Management!$C$3:$C$50="Unlimited",10^15,Management!$C$3:$C$50))&gt;='1'!$I68),COLUMN(R67))),"")</f>
        <v/>
      </c>
      <c r="S68" t="str">
        <f>IFERROR(INDEX(Management!$B$3:$B$50,_xlfn.AGGREGATE(15,6,(ROW(Management!$B$3:$B$50)-ROW(Management!$B$3)+1)/((IF(Management!$C$3:$C$50="Unlimited",10^15,Management!$C$3:$C$50))&gt;='1'!$I68),COLUMN(S67))),"")</f>
        <v/>
      </c>
      <c r="T68" t="str">
        <f>IFERROR(INDEX(Management!$B$3:$B$50,_xlfn.AGGREGATE(15,6,(ROW(Management!$B$3:$B$50)-ROW(Management!$B$3)+1)/((IF(Management!$C$3:$C$50="Unlimited",10^15,Management!$C$3:$C$50))&gt;='1'!$I68),COLUMN(T67))),"")</f>
        <v/>
      </c>
    </row>
    <row r="69" spans="1:20">
      <c r="A69" t="str">
        <f>IFERROR(INDEX(Management!$B$3:$B$50,_xlfn.AGGREGATE(15,6,(ROW(Management!$B$3:$B$50)-ROW(Management!$B$3)+1)/((IF(Management!$C$3:$C$50="Unlimited",10^15,Management!$C$3:$C$50))&gt;='1'!$I69),COLUMN(A68))),"")</f>
        <v/>
      </c>
      <c r="B69" t="str">
        <f>IFERROR(INDEX(Management!$B$3:$B$50,_xlfn.AGGREGATE(15,6,(ROW(Management!$B$3:$B$50)-ROW(Management!$B$3)+1)/((IF(Management!$C$3:$C$50="Unlimited",10^15,Management!$C$3:$C$50))&gt;='1'!$I69),COLUMN(B68))),"")</f>
        <v/>
      </c>
      <c r="C69" t="str">
        <f>IFERROR(INDEX(Management!$B$3:$B$50,_xlfn.AGGREGATE(15,6,(ROW(Management!$B$3:$B$50)-ROW(Management!$B$3)+1)/((IF(Management!$C$3:$C$50="Unlimited",10^15,Management!$C$3:$C$50))&gt;='1'!$I69),COLUMN(C68))),"")</f>
        <v/>
      </c>
      <c r="D69" t="str">
        <f>IFERROR(INDEX(Management!$B$3:$B$50,_xlfn.AGGREGATE(15,6,(ROW(Management!$B$3:$B$50)-ROW(Management!$B$3)+1)/((IF(Management!$C$3:$C$50="Unlimited",10^15,Management!$C$3:$C$50))&gt;='1'!$I69),COLUMN(D68))),"")</f>
        <v/>
      </c>
      <c r="E69" t="str">
        <f>IFERROR(INDEX(Management!$B$3:$B$50,_xlfn.AGGREGATE(15,6,(ROW(Management!$B$3:$B$50)-ROW(Management!$B$3)+1)/((IF(Management!$C$3:$C$50="Unlimited",10^15,Management!$C$3:$C$50))&gt;='1'!$I69),COLUMN(E68))),"")</f>
        <v/>
      </c>
      <c r="F69" t="str">
        <f>IFERROR(INDEX(Management!$B$3:$B$50,_xlfn.AGGREGATE(15,6,(ROW(Management!$B$3:$B$50)-ROW(Management!$B$3)+1)/((IF(Management!$C$3:$C$50="Unlimited",10^15,Management!$C$3:$C$50))&gt;='1'!$I69),COLUMN(F68))),"")</f>
        <v/>
      </c>
      <c r="G69" t="str">
        <f>IFERROR(INDEX(Management!$B$3:$B$50,_xlfn.AGGREGATE(15,6,(ROW(Management!$B$3:$B$50)-ROW(Management!$B$3)+1)/((IF(Management!$C$3:$C$50="Unlimited",10^15,Management!$C$3:$C$50))&gt;='1'!$I69),COLUMN(G68))),"")</f>
        <v/>
      </c>
      <c r="H69" t="str">
        <f>IFERROR(INDEX(Management!$B$3:$B$50,_xlfn.AGGREGATE(15,6,(ROW(Management!$B$3:$B$50)-ROW(Management!$B$3)+1)/((IF(Management!$C$3:$C$50="Unlimited",10^15,Management!$C$3:$C$50))&gt;='1'!$I69),COLUMN(H68))),"")</f>
        <v/>
      </c>
      <c r="I69" t="str">
        <f>IFERROR(INDEX(Management!$B$3:$B$50,_xlfn.AGGREGATE(15,6,(ROW(Management!$B$3:$B$50)-ROW(Management!$B$3)+1)/((IF(Management!$C$3:$C$50="Unlimited",10^15,Management!$C$3:$C$50))&gt;='1'!$I69),COLUMN(I68))),"")</f>
        <v/>
      </c>
      <c r="J69" t="str">
        <f>IFERROR(INDEX(Management!$B$3:$B$50,_xlfn.AGGREGATE(15,6,(ROW(Management!$B$3:$B$50)-ROW(Management!$B$3)+1)/((IF(Management!$C$3:$C$50="Unlimited",10^15,Management!$C$3:$C$50))&gt;='1'!$I69),COLUMN(J68))),"")</f>
        <v/>
      </c>
      <c r="K69" t="str">
        <f>IFERROR(INDEX(Management!$B$3:$B$50,_xlfn.AGGREGATE(15,6,(ROW(Management!$B$3:$B$50)-ROW(Management!$B$3)+1)/((IF(Management!$C$3:$C$50="Unlimited",10^15,Management!$C$3:$C$50))&gt;='1'!$I69),COLUMN(K68))),"")</f>
        <v/>
      </c>
      <c r="L69" t="str">
        <f>IFERROR(INDEX(Management!$B$3:$B$50,_xlfn.AGGREGATE(15,6,(ROW(Management!$B$3:$B$50)-ROW(Management!$B$3)+1)/((IF(Management!$C$3:$C$50="Unlimited",10^15,Management!$C$3:$C$50))&gt;='1'!$I69),COLUMN(L68))),"")</f>
        <v/>
      </c>
      <c r="M69" t="str">
        <f>IFERROR(INDEX(Management!$B$3:$B$50,_xlfn.AGGREGATE(15,6,(ROW(Management!$B$3:$B$50)-ROW(Management!$B$3)+1)/((IF(Management!$C$3:$C$50="Unlimited",10^15,Management!$C$3:$C$50))&gt;='1'!$I69),COLUMN(M68))),"")</f>
        <v/>
      </c>
      <c r="N69" t="str">
        <f>IFERROR(INDEX(Management!$B$3:$B$50,_xlfn.AGGREGATE(15,6,(ROW(Management!$B$3:$B$50)-ROW(Management!$B$3)+1)/((IF(Management!$C$3:$C$50="Unlimited",10^15,Management!$C$3:$C$50))&gt;='1'!$I69),COLUMN(N68))),"")</f>
        <v/>
      </c>
      <c r="O69" t="str">
        <f>IFERROR(INDEX(Management!$B$3:$B$50,_xlfn.AGGREGATE(15,6,(ROW(Management!$B$3:$B$50)-ROW(Management!$B$3)+1)/((IF(Management!$C$3:$C$50="Unlimited",10^15,Management!$C$3:$C$50))&gt;='1'!$I69),COLUMN(O68))),"")</f>
        <v/>
      </c>
      <c r="P69" t="str">
        <f>IFERROR(INDEX(Management!$B$3:$B$50,_xlfn.AGGREGATE(15,6,(ROW(Management!$B$3:$B$50)-ROW(Management!$B$3)+1)/((IF(Management!$C$3:$C$50="Unlimited",10^15,Management!$C$3:$C$50))&gt;='1'!$I69),COLUMN(P68))),"")</f>
        <v/>
      </c>
      <c r="Q69" t="str">
        <f>IFERROR(INDEX(Management!$B$3:$B$50,_xlfn.AGGREGATE(15,6,(ROW(Management!$B$3:$B$50)-ROW(Management!$B$3)+1)/((IF(Management!$C$3:$C$50="Unlimited",10^15,Management!$C$3:$C$50))&gt;='1'!$I69),COLUMN(Q68))),"")</f>
        <v/>
      </c>
      <c r="R69" t="str">
        <f>IFERROR(INDEX(Management!$B$3:$B$50,_xlfn.AGGREGATE(15,6,(ROW(Management!$B$3:$B$50)-ROW(Management!$B$3)+1)/((IF(Management!$C$3:$C$50="Unlimited",10^15,Management!$C$3:$C$50))&gt;='1'!$I69),COLUMN(R68))),"")</f>
        <v/>
      </c>
      <c r="S69" t="str">
        <f>IFERROR(INDEX(Management!$B$3:$B$50,_xlfn.AGGREGATE(15,6,(ROW(Management!$B$3:$B$50)-ROW(Management!$B$3)+1)/((IF(Management!$C$3:$C$50="Unlimited",10^15,Management!$C$3:$C$50))&gt;='1'!$I69),COLUMN(S68))),"")</f>
        <v/>
      </c>
      <c r="T69" t="str">
        <f>IFERROR(INDEX(Management!$B$3:$B$50,_xlfn.AGGREGATE(15,6,(ROW(Management!$B$3:$B$50)-ROW(Management!$B$3)+1)/((IF(Management!$C$3:$C$50="Unlimited",10^15,Management!$C$3:$C$50))&gt;='1'!$I69),COLUMN(T68))),"")</f>
        <v/>
      </c>
    </row>
    <row r="70" spans="1:20">
      <c r="A70" t="str">
        <f>IFERROR(INDEX(Management!$B$3:$B$50,_xlfn.AGGREGATE(15,6,(ROW(Management!$B$3:$B$50)-ROW(Management!$B$3)+1)/((IF(Management!$C$3:$C$50="Unlimited",10^15,Management!$C$3:$C$50))&gt;='1'!$I70),COLUMN(A69))),"")</f>
        <v/>
      </c>
      <c r="B70" t="str">
        <f>IFERROR(INDEX(Management!$B$3:$B$50,_xlfn.AGGREGATE(15,6,(ROW(Management!$B$3:$B$50)-ROW(Management!$B$3)+1)/((IF(Management!$C$3:$C$50="Unlimited",10^15,Management!$C$3:$C$50))&gt;='1'!$I70),COLUMN(B69))),"")</f>
        <v/>
      </c>
      <c r="C70" t="str">
        <f>IFERROR(INDEX(Management!$B$3:$B$50,_xlfn.AGGREGATE(15,6,(ROW(Management!$B$3:$B$50)-ROW(Management!$B$3)+1)/((IF(Management!$C$3:$C$50="Unlimited",10^15,Management!$C$3:$C$50))&gt;='1'!$I70),COLUMN(C69))),"")</f>
        <v/>
      </c>
      <c r="D70" t="str">
        <f>IFERROR(INDEX(Management!$B$3:$B$50,_xlfn.AGGREGATE(15,6,(ROW(Management!$B$3:$B$50)-ROW(Management!$B$3)+1)/((IF(Management!$C$3:$C$50="Unlimited",10^15,Management!$C$3:$C$50))&gt;='1'!$I70),COLUMN(D69))),"")</f>
        <v/>
      </c>
      <c r="E70" t="str">
        <f>IFERROR(INDEX(Management!$B$3:$B$50,_xlfn.AGGREGATE(15,6,(ROW(Management!$B$3:$B$50)-ROW(Management!$B$3)+1)/((IF(Management!$C$3:$C$50="Unlimited",10^15,Management!$C$3:$C$50))&gt;='1'!$I70),COLUMN(E69))),"")</f>
        <v/>
      </c>
      <c r="F70" t="str">
        <f>IFERROR(INDEX(Management!$B$3:$B$50,_xlfn.AGGREGATE(15,6,(ROW(Management!$B$3:$B$50)-ROW(Management!$B$3)+1)/((IF(Management!$C$3:$C$50="Unlimited",10^15,Management!$C$3:$C$50))&gt;='1'!$I70),COLUMN(F69))),"")</f>
        <v/>
      </c>
      <c r="G70" t="str">
        <f>IFERROR(INDEX(Management!$B$3:$B$50,_xlfn.AGGREGATE(15,6,(ROW(Management!$B$3:$B$50)-ROW(Management!$B$3)+1)/((IF(Management!$C$3:$C$50="Unlimited",10^15,Management!$C$3:$C$50))&gt;='1'!$I70),COLUMN(G69))),"")</f>
        <v/>
      </c>
      <c r="H70" t="str">
        <f>IFERROR(INDEX(Management!$B$3:$B$50,_xlfn.AGGREGATE(15,6,(ROW(Management!$B$3:$B$50)-ROW(Management!$B$3)+1)/((IF(Management!$C$3:$C$50="Unlimited",10^15,Management!$C$3:$C$50))&gt;='1'!$I70),COLUMN(H69))),"")</f>
        <v/>
      </c>
      <c r="I70" t="str">
        <f>IFERROR(INDEX(Management!$B$3:$B$50,_xlfn.AGGREGATE(15,6,(ROW(Management!$B$3:$B$50)-ROW(Management!$B$3)+1)/((IF(Management!$C$3:$C$50="Unlimited",10^15,Management!$C$3:$C$50))&gt;='1'!$I70),COLUMN(I69))),"")</f>
        <v/>
      </c>
      <c r="J70" t="str">
        <f>IFERROR(INDEX(Management!$B$3:$B$50,_xlfn.AGGREGATE(15,6,(ROW(Management!$B$3:$B$50)-ROW(Management!$B$3)+1)/((IF(Management!$C$3:$C$50="Unlimited",10^15,Management!$C$3:$C$50))&gt;='1'!$I70),COLUMN(J69))),"")</f>
        <v/>
      </c>
      <c r="K70" t="str">
        <f>IFERROR(INDEX(Management!$B$3:$B$50,_xlfn.AGGREGATE(15,6,(ROW(Management!$B$3:$B$50)-ROW(Management!$B$3)+1)/((IF(Management!$C$3:$C$50="Unlimited",10^15,Management!$C$3:$C$50))&gt;='1'!$I70),COLUMN(K69))),"")</f>
        <v/>
      </c>
      <c r="L70" t="str">
        <f>IFERROR(INDEX(Management!$B$3:$B$50,_xlfn.AGGREGATE(15,6,(ROW(Management!$B$3:$B$50)-ROW(Management!$B$3)+1)/((IF(Management!$C$3:$C$50="Unlimited",10^15,Management!$C$3:$C$50))&gt;='1'!$I70),COLUMN(L69))),"")</f>
        <v/>
      </c>
      <c r="M70" t="str">
        <f>IFERROR(INDEX(Management!$B$3:$B$50,_xlfn.AGGREGATE(15,6,(ROW(Management!$B$3:$B$50)-ROW(Management!$B$3)+1)/((IF(Management!$C$3:$C$50="Unlimited",10^15,Management!$C$3:$C$50))&gt;='1'!$I70),COLUMN(M69))),"")</f>
        <v/>
      </c>
      <c r="N70" t="str">
        <f>IFERROR(INDEX(Management!$B$3:$B$50,_xlfn.AGGREGATE(15,6,(ROW(Management!$B$3:$B$50)-ROW(Management!$B$3)+1)/((IF(Management!$C$3:$C$50="Unlimited",10^15,Management!$C$3:$C$50))&gt;='1'!$I70),COLUMN(N69))),"")</f>
        <v/>
      </c>
      <c r="O70" t="str">
        <f>IFERROR(INDEX(Management!$B$3:$B$50,_xlfn.AGGREGATE(15,6,(ROW(Management!$B$3:$B$50)-ROW(Management!$B$3)+1)/((IF(Management!$C$3:$C$50="Unlimited",10^15,Management!$C$3:$C$50))&gt;='1'!$I70),COLUMN(O69))),"")</f>
        <v/>
      </c>
      <c r="P70" t="str">
        <f>IFERROR(INDEX(Management!$B$3:$B$50,_xlfn.AGGREGATE(15,6,(ROW(Management!$B$3:$B$50)-ROW(Management!$B$3)+1)/((IF(Management!$C$3:$C$50="Unlimited",10^15,Management!$C$3:$C$50))&gt;='1'!$I70),COLUMN(P69))),"")</f>
        <v/>
      </c>
      <c r="Q70" t="str">
        <f>IFERROR(INDEX(Management!$B$3:$B$50,_xlfn.AGGREGATE(15,6,(ROW(Management!$B$3:$B$50)-ROW(Management!$B$3)+1)/((IF(Management!$C$3:$C$50="Unlimited",10^15,Management!$C$3:$C$50))&gt;='1'!$I70),COLUMN(Q69))),"")</f>
        <v/>
      </c>
      <c r="R70" t="str">
        <f>IFERROR(INDEX(Management!$B$3:$B$50,_xlfn.AGGREGATE(15,6,(ROW(Management!$B$3:$B$50)-ROW(Management!$B$3)+1)/((IF(Management!$C$3:$C$50="Unlimited",10^15,Management!$C$3:$C$50))&gt;='1'!$I70),COLUMN(R69))),"")</f>
        <v/>
      </c>
      <c r="S70" t="str">
        <f>IFERROR(INDEX(Management!$B$3:$B$50,_xlfn.AGGREGATE(15,6,(ROW(Management!$B$3:$B$50)-ROW(Management!$B$3)+1)/((IF(Management!$C$3:$C$50="Unlimited",10^15,Management!$C$3:$C$50))&gt;='1'!$I70),COLUMN(S69))),"")</f>
        <v/>
      </c>
      <c r="T70" t="str">
        <f>IFERROR(INDEX(Management!$B$3:$B$50,_xlfn.AGGREGATE(15,6,(ROW(Management!$B$3:$B$50)-ROW(Management!$B$3)+1)/((IF(Management!$C$3:$C$50="Unlimited",10^15,Management!$C$3:$C$50))&gt;='1'!$I70),COLUMN(T69))),"")</f>
        <v/>
      </c>
    </row>
    <row r="71" spans="1:20">
      <c r="A71" t="str">
        <f>IFERROR(INDEX(Management!$B$3:$B$50,_xlfn.AGGREGATE(15,6,(ROW(Management!$B$3:$B$50)-ROW(Management!$B$3)+1)/((IF(Management!$C$3:$C$50="Unlimited",10^15,Management!$C$3:$C$50))&gt;='1'!$I71),COLUMN(A70))),"")</f>
        <v/>
      </c>
      <c r="B71" t="str">
        <f>IFERROR(INDEX(Management!$B$3:$B$50,_xlfn.AGGREGATE(15,6,(ROW(Management!$B$3:$B$50)-ROW(Management!$B$3)+1)/((IF(Management!$C$3:$C$50="Unlimited",10^15,Management!$C$3:$C$50))&gt;='1'!$I71),COLUMN(B70))),"")</f>
        <v/>
      </c>
      <c r="C71" t="str">
        <f>IFERROR(INDEX(Management!$B$3:$B$50,_xlfn.AGGREGATE(15,6,(ROW(Management!$B$3:$B$50)-ROW(Management!$B$3)+1)/((IF(Management!$C$3:$C$50="Unlimited",10^15,Management!$C$3:$C$50))&gt;='1'!$I71),COLUMN(C70))),"")</f>
        <v/>
      </c>
      <c r="D71" t="str">
        <f>IFERROR(INDEX(Management!$B$3:$B$50,_xlfn.AGGREGATE(15,6,(ROW(Management!$B$3:$B$50)-ROW(Management!$B$3)+1)/((IF(Management!$C$3:$C$50="Unlimited",10^15,Management!$C$3:$C$50))&gt;='1'!$I71),COLUMN(D70))),"")</f>
        <v/>
      </c>
      <c r="E71" t="str">
        <f>IFERROR(INDEX(Management!$B$3:$B$50,_xlfn.AGGREGATE(15,6,(ROW(Management!$B$3:$B$50)-ROW(Management!$B$3)+1)/((IF(Management!$C$3:$C$50="Unlimited",10^15,Management!$C$3:$C$50))&gt;='1'!$I71),COLUMN(E70))),"")</f>
        <v/>
      </c>
      <c r="F71" t="str">
        <f>IFERROR(INDEX(Management!$B$3:$B$50,_xlfn.AGGREGATE(15,6,(ROW(Management!$B$3:$B$50)-ROW(Management!$B$3)+1)/((IF(Management!$C$3:$C$50="Unlimited",10^15,Management!$C$3:$C$50))&gt;='1'!$I71),COLUMN(F70))),"")</f>
        <v/>
      </c>
      <c r="G71" t="str">
        <f>IFERROR(INDEX(Management!$B$3:$B$50,_xlfn.AGGREGATE(15,6,(ROW(Management!$B$3:$B$50)-ROW(Management!$B$3)+1)/((IF(Management!$C$3:$C$50="Unlimited",10^15,Management!$C$3:$C$50))&gt;='1'!$I71),COLUMN(G70))),"")</f>
        <v/>
      </c>
      <c r="H71" t="str">
        <f>IFERROR(INDEX(Management!$B$3:$B$50,_xlfn.AGGREGATE(15,6,(ROW(Management!$B$3:$B$50)-ROW(Management!$B$3)+1)/((IF(Management!$C$3:$C$50="Unlimited",10^15,Management!$C$3:$C$50))&gt;='1'!$I71),COLUMN(H70))),"")</f>
        <v/>
      </c>
      <c r="I71" t="str">
        <f>IFERROR(INDEX(Management!$B$3:$B$50,_xlfn.AGGREGATE(15,6,(ROW(Management!$B$3:$B$50)-ROW(Management!$B$3)+1)/((IF(Management!$C$3:$C$50="Unlimited",10^15,Management!$C$3:$C$50))&gt;='1'!$I71),COLUMN(I70))),"")</f>
        <v/>
      </c>
      <c r="J71" t="str">
        <f>IFERROR(INDEX(Management!$B$3:$B$50,_xlfn.AGGREGATE(15,6,(ROW(Management!$B$3:$B$50)-ROW(Management!$B$3)+1)/((IF(Management!$C$3:$C$50="Unlimited",10^15,Management!$C$3:$C$50))&gt;='1'!$I71),COLUMN(J70))),"")</f>
        <v/>
      </c>
      <c r="K71" t="str">
        <f>IFERROR(INDEX(Management!$B$3:$B$50,_xlfn.AGGREGATE(15,6,(ROW(Management!$B$3:$B$50)-ROW(Management!$B$3)+1)/((IF(Management!$C$3:$C$50="Unlimited",10^15,Management!$C$3:$C$50))&gt;='1'!$I71),COLUMN(K70))),"")</f>
        <v/>
      </c>
      <c r="L71" t="str">
        <f>IFERROR(INDEX(Management!$B$3:$B$50,_xlfn.AGGREGATE(15,6,(ROW(Management!$B$3:$B$50)-ROW(Management!$B$3)+1)/((IF(Management!$C$3:$C$50="Unlimited",10^15,Management!$C$3:$C$50))&gt;='1'!$I71),COLUMN(L70))),"")</f>
        <v/>
      </c>
      <c r="M71" t="str">
        <f>IFERROR(INDEX(Management!$B$3:$B$50,_xlfn.AGGREGATE(15,6,(ROW(Management!$B$3:$B$50)-ROW(Management!$B$3)+1)/((IF(Management!$C$3:$C$50="Unlimited",10^15,Management!$C$3:$C$50))&gt;='1'!$I71),COLUMN(M70))),"")</f>
        <v/>
      </c>
      <c r="N71" t="str">
        <f>IFERROR(INDEX(Management!$B$3:$B$50,_xlfn.AGGREGATE(15,6,(ROW(Management!$B$3:$B$50)-ROW(Management!$B$3)+1)/((IF(Management!$C$3:$C$50="Unlimited",10^15,Management!$C$3:$C$50))&gt;='1'!$I71),COLUMN(N70))),"")</f>
        <v/>
      </c>
      <c r="O71" t="str">
        <f>IFERROR(INDEX(Management!$B$3:$B$50,_xlfn.AGGREGATE(15,6,(ROW(Management!$B$3:$B$50)-ROW(Management!$B$3)+1)/((IF(Management!$C$3:$C$50="Unlimited",10^15,Management!$C$3:$C$50))&gt;='1'!$I71),COLUMN(O70))),"")</f>
        <v/>
      </c>
      <c r="P71" t="str">
        <f>IFERROR(INDEX(Management!$B$3:$B$50,_xlfn.AGGREGATE(15,6,(ROW(Management!$B$3:$B$50)-ROW(Management!$B$3)+1)/((IF(Management!$C$3:$C$50="Unlimited",10^15,Management!$C$3:$C$50))&gt;='1'!$I71),COLUMN(P70))),"")</f>
        <v/>
      </c>
      <c r="Q71" t="str">
        <f>IFERROR(INDEX(Management!$B$3:$B$50,_xlfn.AGGREGATE(15,6,(ROW(Management!$B$3:$B$50)-ROW(Management!$B$3)+1)/((IF(Management!$C$3:$C$50="Unlimited",10^15,Management!$C$3:$C$50))&gt;='1'!$I71),COLUMN(Q70))),"")</f>
        <v/>
      </c>
      <c r="R71" t="str">
        <f>IFERROR(INDEX(Management!$B$3:$B$50,_xlfn.AGGREGATE(15,6,(ROW(Management!$B$3:$B$50)-ROW(Management!$B$3)+1)/((IF(Management!$C$3:$C$50="Unlimited",10^15,Management!$C$3:$C$50))&gt;='1'!$I71),COLUMN(R70))),"")</f>
        <v/>
      </c>
      <c r="S71" t="str">
        <f>IFERROR(INDEX(Management!$B$3:$B$50,_xlfn.AGGREGATE(15,6,(ROW(Management!$B$3:$B$50)-ROW(Management!$B$3)+1)/((IF(Management!$C$3:$C$50="Unlimited",10^15,Management!$C$3:$C$50))&gt;='1'!$I71),COLUMN(S70))),"")</f>
        <v/>
      </c>
      <c r="T71" t="str">
        <f>IFERROR(INDEX(Management!$B$3:$B$50,_xlfn.AGGREGATE(15,6,(ROW(Management!$B$3:$B$50)-ROW(Management!$B$3)+1)/((IF(Management!$C$3:$C$50="Unlimited",10^15,Management!$C$3:$C$50))&gt;='1'!$I71),COLUMN(T70))),"")</f>
        <v/>
      </c>
    </row>
    <row r="72" spans="1:20">
      <c r="A72" t="str">
        <f>IFERROR(INDEX(Management!$B$3:$B$50,_xlfn.AGGREGATE(15,6,(ROW(Management!$B$3:$B$50)-ROW(Management!$B$3)+1)/((IF(Management!$C$3:$C$50="Unlimited",10^15,Management!$C$3:$C$50))&gt;='1'!$I72),COLUMN(A71))),"")</f>
        <v/>
      </c>
      <c r="B72" t="str">
        <f>IFERROR(INDEX(Management!$B$3:$B$50,_xlfn.AGGREGATE(15,6,(ROW(Management!$B$3:$B$50)-ROW(Management!$B$3)+1)/((IF(Management!$C$3:$C$50="Unlimited",10^15,Management!$C$3:$C$50))&gt;='1'!$I72),COLUMN(B71))),"")</f>
        <v/>
      </c>
      <c r="C72" t="str">
        <f>IFERROR(INDEX(Management!$B$3:$B$50,_xlfn.AGGREGATE(15,6,(ROW(Management!$B$3:$B$50)-ROW(Management!$B$3)+1)/((IF(Management!$C$3:$C$50="Unlimited",10^15,Management!$C$3:$C$50))&gt;='1'!$I72),COLUMN(C71))),"")</f>
        <v/>
      </c>
      <c r="D72" t="str">
        <f>IFERROR(INDEX(Management!$B$3:$B$50,_xlfn.AGGREGATE(15,6,(ROW(Management!$B$3:$B$50)-ROW(Management!$B$3)+1)/((IF(Management!$C$3:$C$50="Unlimited",10^15,Management!$C$3:$C$50))&gt;='1'!$I72),COLUMN(D71))),"")</f>
        <v/>
      </c>
      <c r="E72" t="str">
        <f>IFERROR(INDEX(Management!$B$3:$B$50,_xlfn.AGGREGATE(15,6,(ROW(Management!$B$3:$B$50)-ROW(Management!$B$3)+1)/((IF(Management!$C$3:$C$50="Unlimited",10^15,Management!$C$3:$C$50))&gt;='1'!$I72),COLUMN(E71))),"")</f>
        <v/>
      </c>
      <c r="F72" t="str">
        <f>IFERROR(INDEX(Management!$B$3:$B$50,_xlfn.AGGREGATE(15,6,(ROW(Management!$B$3:$B$50)-ROW(Management!$B$3)+1)/((IF(Management!$C$3:$C$50="Unlimited",10^15,Management!$C$3:$C$50))&gt;='1'!$I72),COLUMN(F71))),"")</f>
        <v/>
      </c>
      <c r="G72" t="str">
        <f>IFERROR(INDEX(Management!$B$3:$B$50,_xlfn.AGGREGATE(15,6,(ROW(Management!$B$3:$B$50)-ROW(Management!$B$3)+1)/((IF(Management!$C$3:$C$50="Unlimited",10^15,Management!$C$3:$C$50))&gt;='1'!$I72),COLUMN(G71))),"")</f>
        <v/>
      </c>
      <c r="H72" t="str">
        <f>IFERROR(INDEX(Management!$B$3:$B$50,_xlfn.AGGREGATE(15,6,(ROW(Management!$B$3:$B$50)-ROW(Management!$B$3)+1)/((IF(Management!$C$3:$C$50="Unlimited",10^15,Management!$C$3:$C$50))&gt;='1'!$I72),COLUMN(H71))),"")</f>
        <v/>
      </c>
      <c r="I72" t="str">
        <f>IFERROR(INDEX(Management!$B$3:$B$50,_xlfn.AGGREGATE(15,6,(ROW(Management!$B$3:$B$50)-ROW(Management!$B$3)+1)/((IF(Management!$C$3:$C$50="Unlimited",10^15,Management!$C$3:$C$50))&gt;='1'!$I72),COLUMN(I71))),"")</f>
        <v/>
      </c>
      <c r="J72" t="str">
        <f>IFERROR(INDEX(Management!$B$3:$B$50,_xlfn.AGGREGATE(15,6,(ROW(Management!$B$3:$B$50)-ROW(Management!$B$3)+1)/((IF(Management!$C$3:$C$50="Unlimited",10^15,Management!$C$3:$C$50))&gt;='1'!$I72),COLUMN(J71))),"")</f>
        <v/>
      </c>
      <c r="K72" t="str">
        <f>IFERROR(INDEX(Management!$B$3:$B$50,_xlfn.AGGREGATE(15,6,(ROW(Management!$B$3:$B$50)-ROW(Management!$B$3)+1)/((IF(Management!$C$3:$C$50="Unlimited",10^15,Management!$C$3:$C$50))&gt;='1'!$I72),COLUMN(K71))),"")</f>
        <v/>
      </c>
      <c r="L72" t="str">
        <f>IFERROR(INDEX(Management!$B$3:$B$50,_xlfn.AGGREGATE(15,6,(ROW(Management!$B$3:$B$50)-ROW(Management!$B$3)+1)/((IF(Management!$C$3:$C$50="Unlimited",10^15,Management!$C$3:$C$50))&gt;='1'!$I72),COLUMN(L71))),"")</f>
        <v/>
      </c>
      <c r="M72" t="str">
        <f>IFERROR(INDEX(Management!$B$3:$B$50,_xlfn.AGGREGATE(15,6,(ROW(Management!$B$3:$B$50)-ROW(Management!$B$3)+1)/((IF(Management!$C$3:$C$50="Unlimited",10^15,Management!$C$3:$C$50))&gt;='1'!$I72),COLUMN(M71))),"")</f>
        <v/>
      </c>
      <c r="N72" t="str">
        <f>IFERROR(INDEX(Management!$B$3:$B$50,_xlfn.AGGREGATE(15,6,(ROW(Management!$B$3:$B$50)-ROW(Management!$B$3)+1)/((IF(Management!$C$3:$C$50="Unlimited",10^15,Management!$C$3:$C$50))&gt;='1'!$I72),COLUMN(N71))),"")</f>
        <v/>
      </c>
      <c r="O72" t="str">
        <f>IFERROR(INDEX(Management!$B$3:$B$50,_xlfn.AGGREGATE(15,6,(ROW(Management!$B$3:$B$50)-ROW(Management!$B$3)+1)/((IF(Management!$C$3:$C$50="Unlimited",10^15,Management!$C$3:$C$50))&gt;='1'!$I72),COLUMN(O71))),"")</f>
        <v/>
      </c>
      <c r="P72" t="str">
        <f>IFERROR(INDEX(Management!$B$3:$B$50,_xlfn.AGGREGATE(15,6,(ROW(Management!$B$3:$B$50)-ROW(Management!$B$3)+1)/((IF(Management!$C$3:$C$50="Unlimited",10^15,Management!$C$3:$C$50))&gt;='1'!$I72),COLUMN(P71))),"")</f>
        <v/>
      </c>
      <c r="Q72" t="str">
        <f>IFERROR(INDEX(Management!$B$3:$B$50,_xlfn.AGGREGATE(15,6,(ROW(Management!$B$3:$B$50)-ROW(Management!$B$3)+1)/((IF(Management!$C$3:$C$50="Unlimited",10^15,Management!$C$3:$C$50))&gt;='1'!$I72),COLUMN(Q71))),"")</f>
        <v/>
      </c>
      <c r="R72" t="str">
        <f>IFERROR(INDEX(Management!$B$3:$B$50,_xlfn.AGGREGATE(15,6,(ROW(Management!$B$3:$B$50)-ROW(Management!$B$3)+1)/((IF(Management!$C$3:$C$50="Unlimited",10^15,Management!$C$3:$C$50))&gt;='1'!$I72),COLUMN(R71))),"")</f>
        <v/>
      </c>
      <c r="S72" t="str">
        <f>IFERROR(INDEX(Management!$B$3:$B$50,_xlfn.AGGREGATE(15,6,(ROW(Management!$B$3:$B$50)-ROW(Management!$B$3)+1)/((IF(Management!$C$3:$C$50="Unlimited",10^15,Management!$C$3:$C$50))&gt;='1'!$I72),COLUMN(S71))),"")</f>
        <v/>
      </c>
      <c r="T72" t="str">
        <f>IFERROR(INDEX(Management!$B$3:$B$50,_xlfn.AGGREGATE(15,6,(ROW(Management!$B$3:$B$50)-ROW(Management!$B$3)+1)/((IF(Management!$C$3:$C$50="Unlimited",10^15,Management!$C$3:$C$50))&gt;='1'!$I72),COLUMN(T71))),"")</f>
        <v/>
      </c>
    </row>
    <row r="73" spans="1:20">
      <c r="A73" t="str">
        <f>IFERROR(INDEX(Management!$B$3:$B$50,_xlfn.AGGREGATE(15,6,(ROW(Management!$B$3:$B$50)-ROW(Management!$B$3)+1)/((IF(Management!$C$3:$C$50="Unlimited",10^15,Management!$C$3:$C$50))&gt;='1'!$I73),COLUMN(A72))),"")</f>
        <v/>
      </c>
      <c r="B73" t="str">
        <f>IFERROR(INDEX(Management!$B$3:$B$50,_xlfn.AGGREGATE(15,6,(ROW(Management!$B$3:$B$50)-ROW(Management!$B$3)+1)/((IF(Management!$C$3:$C$50="Unlimited",10^15,Management!$C$3:$C$50))&gt;='1'!$I73),COLUMN(B72))),"")</f>
        <v/>
      </c>
      <c r="C73" t="str">
        <f>IFERROR(INDEX(Management!$B$3:$B$50,_xlfn.AGGREGATE(15,6,(ROW(Management!$B$3:$B$50)-ROW(Management!$B$3)+1)/((IF(Management!$C$3:$C$50="Unlimited",10^15,Management!$C$3:$C$50))&gt;='1'!$I73),COLUMN(C72))),"")</f>
        <v/>
      </c>
      <c r="D73" t="str">
        <f>IFERROR(INDEX(Management!$B$3:$B$50,_xlfn.AGGREGATE(15,6,(ROW(Management!$B$3:$B$50)-ROW(Management!$B$3)+1)/((IF(Management!$C$3:$C$50="Unlimited",10^15,Management!$C$3:$C$50))&gt;='1'!$I73),COLUMN(D72))),"")</f>
        <v/>
      </c>
      <c r="E73" t="str">
        <f>IFERROR(INDEX(Management!$B$3:$B$50,_xlfn.AGGREGATE(15,6,(ROW(Management!$B$3:$B$50)-ROW(Management!$B$3)+1)/((IF(Management!$C$3:$C$50="Unlimited",10^15,Management!$C$3:$C$50))&gt;='1'!$I73),COLUMN(E72))),"")</f>
        <v/>
      </c>
      <c r="F73" t="str">
        <f>IFERROR(INDEX(Management!$B$3:$B$50,_xlfn.AGGREGATE(15,6,(ROW(Management!$B$3:$B$50)-ROW(Management!$B$3)+1)/((IF(Management!$C$3:$C$50="Unlimited",10^15,Management!$C$3:$C$50))&gt;='1'!$I73),COLUMN(F72))),"")</f>
        <v/>
      </c>
      <c r="G73" t="str">
        <f>IFERROR(INDEX(Management!$B$3:$B$50,_xlfn.AGGREGATE(15,6,(ROW(Management!$B$3:$B$50)-ROW(Management!$B$3)+1)/((IF(Management!$C$3:$C$50="Unlimited",10^15,Management!$C$3:$C$50))&gt;='1'!$I73),COLUMN(G72))),"")</f>
        <v/>
      </c>
      <c r="H73" t="str">
        <f>IFERROR(INDEX(Management!$B$3:$B$50,_xlfn.AGGREGATE(15,6,(ROW(Management!$B$3:$B$50)-ROW(Management!$B$3)+1)/((IF(Management!$C$3:$C$50="Unlimited",10^15,Management!$C$3:$C$50))&gt;='1'!$I73),COLUMN(H72))),"")</f>
        <v/>
      </c>
      <c r="I73" t="str">
        <f>IFERROR(INDEX(Management!$B$3:$B$50,_xlfn.AGGREGATE(15,6,(ROW(Management!$B$3:$B$50)-ROW(Management!$B$3)+1)/((IF(Management!$C$3:$C$50="Unlimited",10^15,Management!$C$3:$C$50))&gt;='1'!$I73),COLUMN(I72))),"")</f>
        <v/>
      </c>
      <c r="J73" t="str">
        <f>IFERROR(INDEX(Management!$B$3:$B$50,_xlfn.AGGREGATE(15,6,(ROW(Management!$B$3:$B$50)-ROW(Management!$B$3)+1)/((IF(Management!$C$3:$C$50="Unlimited",10^15,Management!$C$3:$C$50))&gt;='1'!$I73),COLUMN(J72))),"")</f>
        <v/>
      </c>
      <c r="K73" t="str">
        <f>IFERROR(INDEX(Management!$B$3:$B$50,_xlfn.AGGREGATE(15,6,(ROW(Management!$B$3:$B$50)-ROW(Management!$B$3)+1)/((IF(Management!$C$3:$C$50="Unlimited",10^15,Management!$C$3:$C$50))&gt;='1'!$I73),COLUMN(K72))),"")</f>
        <v/>
      </c>
      <c r="L73" t="str">
        <f>IFERROR(INDEX(Management!$B$3:$B$50,_xlfn.AGGREGATE(15,6,(ROW(Management!$B$3:$B$50)-ROW(Management!$B$3)+1)/((IF(Management!$C$3:$C$50="Unlimited",10^15,Management!$C$3:$C$50))&gt;='1'!$I73),COLUMN(L72))),"")</f>
        <v/>
      </c>
      <c r="M73" t="str">
        <f>IFERROR(INDEX(Management!$B$3:$B$50,_xlfn.AGGREGATE(15,6,(ROW(Management!$B$3:$B$50)-ROW(Management!$B$3)+1)/((IF(Management!$C$3:$C$50="Unlimited",10^15,Management!$C$3:$C$50))&gt;='1'!$I73),COLUMN(M72))),"")</f>
        <v/>
      </c>
      <c r="N73" t="str">
        <f>IFERROR(INDEX(Management!$B$3:$B$50,_xlfn.AGGREGATE(15,6,(ROW(Management!$B$3:$B$50)-ROW(Management!$B$3)+1)/((IF(Management!$C$3:$C$50="Unlimited",10^15,Management!$C$3:$C$50))&gt;='1'!$I73),COLUMN(N72))),"")</f>
        <v/>
      </c>
      <c r="O73" t="str">
        <f>IFERROR(INDEX(Management!$B$3:$B$50,_xlfn.AGGREGATE(15,6,(ROW(Management!$B$3:$B$50)-ROW(Management!$B$3)+1)/((IF(Management!$C$3:$C$50="Unlimited",10^15,Management!$C$3:$C$50))&gt;='1'!$I73),COLUMN(O72))),"")</f>
        <v/>
      </c>
      <c r="P73" t="str">
        <f>IFERROR(INDEX(Management!$B$3:$B$50,_xlfn.AGGREGATE(15,6,(ROW(Management!$B$3:$B$50)-ROW(Management!$B$3)+1)/((IF(Management!$C$3:$C$50="Unlimited",10^15,Management!$C$3:$C$50))&gt;='1'!$I73),COLUMN(P72))),"")</f>
        <v/>
      </c>
      <c r="Q73" t="str">
        <f>IFERROR(INDEX(Management!$B$3:$B$50,_xlfn.AGGREGATE(15,6,(ROW(Management!$B$3:$B$50)-ROW(Management!$B$3)+1)/((IF(Management!$C$3:$C$50="Unlimited",10^15,Management!$C$3:$C$50))&gt;='1'!$I73),COLUMN(Q72))),"")</f>
        <v/>
      </c>
      <c r="R73" t="str">
        <f>IFERROR(INDEX(Management!$B$3:$B$50,_xlfn.AGGREGATE(15,6,(ROW(Management!$B$3:$B$50)-ROW(Management!$B$3)+1)/((IF(Management!$C$3:$C$50="Unlimited",10^15,Management!$C$3:$C$50))&gt;='1'!$I73),COLUMN(R72))),"")</f>
        <v/>
      </c>
      <c r="S73" t="str">
        <f>IFERROR(INDEX(Management!$B$3:$B$50,_xlfn.AGGREGATE(15,6,(ROW(Management!$B$3:$B$50)-ROW(Management!$B$3)+1)/((IF(Management!$C$3:$C$50="Unlimited",10^15,Management!$C$3:$C$50))&gt;='1'!$I73),COLUMN(S72))),"")</f>
        <v/>
      </c>
      <c r="T73" t="str">
        <f>IFERROR(INDEX(Management!$B$3:$B$50,_xlfn.AGGREGATE(15,6,(ROW(Management!$B$3:$B$50)-ROW(Management!$B$3)+1)/((IF(Management!$C$3:$C$50="Unlimited",10^15,Management!$C$3:$C$50))&gt;='1'!$I73),COLUMN(T72))),"")</f>
        <v/>
      </c>
    </row>
    <row r="74" spans="1:20">
      <c r="A74" t="str">
        <f>IFERROR(INDEX(Management!$B$3:$B$50,_xlfn.AGGREGATE(15,6,(ROW(Management!$B$3:$B$50)-ROW(Management!$B$3)+1)/((IF(Management!$C$3:$C$50="Unlimited",10^15,Management!$C$3:$C$50))&gt;='1'!$I74),COLUMN(A73))),"")</f>
        <v/>
      </c>
      <c r="B74" t="str">
        <f>IFERROR(INDEX(Management!$B$3:$B$50,_xlfn.AGGREGATE(15,6,(ROW(Management!$B$3:$B$50)-ROW(Management!$B$3)+1)/((IF(Management!$C$3:$C$50="Unlimited",10^15,Management!$C$3:$C$50))&gt;='1'!$I74),COLUMN(B73))),"")</f>
        <v/>
      </c>
      <c r="C74" t="str">
        <f>IFERROR(INDEX(Management!$B$3:$B$50,_xlfn.AGGREGATE(15,6,(ROW(Management!$B$3:$B$50)-ROW(Management!$B$3)+1)/((IF(Management!$C$3:$C$50="Unlimited",10^15,Management!$C$3:$C$50))&gt;='1'!$I74),COLUMN(C73))),"")</f>
        <v/>
      </c>
      <c r="D74" t="str">
        <f>IFERROR(INDEX(Management!$B$3:$B$50,_xlfn.AGGREGATE(15,6,(ROW(Management!$B$3:$B$50)-ROW(Management!$B$3)+1)/((IF(Management!$C$3:$C$50="Unlimited",10^15,Management!$C$3:$C$50))&gt;='1'!$I74),COLUMN(D73))),"")</f>
        <v/>
      </c>
      <c r="E74" t="str">
        <f>IFERROR(INDEX(Management!$B$3:$B$50,_xlfn.AGGREGATE(15,6,(ROW(Management!$B$3:$B$50)-ROW(Management!$B$3)+1)/((IF(Management!$C$3:$C$50="Unlimited",10^15,Management!$C$3:$C$50))&gt;='1'!$I74),COLUMN(E73))),"")</f>
        <v/>
      </c>
      <c r="F74" t="str">
        <f>IFERROR(INDEX(Management!$B$3:$B$50,_xlfn.AGGREGATE(15,6,(ROW(Management!$B$3:$B$50)-ROW(Management!$B$3)+1)/((IF(Management!$C$3:$C$50="Unlimited",10^15,Management!$C$3:$C$50))&gt;='1'!$I74),COLUMN(F73))),"")</f>
        <v/>
      </c>
      <c r="G74" t="str">
        <f>IFERROR(INDEX(Management!$B$3:$B$50,_xlfn.AGGREGATE(15,6,(ROW(Management!$B$3:$B$50)-ROW(Management!$B$3)+1)/((IF(Management!$C$3:$C$50="Unlimited",10^15,Management!$C$3:$C$50))&gt;='1'!$I74),COLUMN(G73))),"")</f>
        <v/>
      </c>
      <c r="H74" t="str">
        <f>IFERROR(INDEX(Management!$B$3:$B$50,_xlfn.AGGREGATE(15,6,(ROW(Management!$B$3:$B$50)-ROW(Management!$B$3)+1)/((IF(Management!$C$3:$C$50="Unlimited",10^15,Management!$C$3:$C$50))&gt;='1'!$I74),COLUMN(H73))),"")</f>
        <v/>
      </c>
      <c r="I74" t="str">
        <f>IFERROR(INDEX(Management!$B$3:$B$50,_xlfn.AGGREGATE(15,6,(ROW(Management!$B$3:$B$50)-ROW(Management!$B$3)+1)/((IF(Management!$C$3:$C$50="Unlimited",10^15,Management!$C$3:$C$50))&gt;='1'!$I74),COLUMN(I73))),"")</f>
        <v/>
      </c>
      <c r="J74" t="str">
        <f>IFERROR(INDEX(Management!$B$3:$B$50,_xlfn.AGGREGATE(15,6,(ROW(Management!$B$3:$B$50)-ROW(Management!$B$3)+1)/((IF(Management!$C$3:$C$50="Unlimited",10^15,Management!$C$3:$C$50))&gt;='1'!$I74),COLUMN(J73))),"")</f>
        <v/>
      </c>
      <c r="K74" t="str">
        <f>IFERROR(INDEX(Management!$B$3:$B$50,_xlfn.AGGREGATE(15,6,(ROW(Management!$B$3:$B$50)-ROW(Management!$B$3)+1)/((IF(Management!$C$3:$C$50="Unlimited",10^15,Management!$C$3:$C$50))&gt;='1'!$I74),COLUMN(K73))),"")</f>
        <v/>
      </c>
      <c r="L74" t="str">
        <f>IFERROR(INDEX(Management!$B$3:$B$50,_xlfn.AGGREGATE(15,6,(ROW(Management!$B$3:$B$50)-ROW(Management!$B$3)+1)/((IF(Management!$C$3:$C$50="Unlimited",10^15,Management!$C$3:$C$50))&gt;='1'!$I74),COLUMN(L73))),"")</f>
        <v/>
      </c>
      <c r="M74" t="str">
        <f>IFERROR(INDEX(Management!$B$3:$B$50,_xlfn.AGGREGATE(15,6,(ROW(Management!$B$3:$B$50)-ROW(Management!$B$3)+1)/((IF(Management!$C$3:$C$50="Unlimited",10^15,Management!$C$3:$C$50))&gt;='1'!$I74),COLUMN(M73))),"")</f>
        <v/>
      </c>
      <c r="N74" t="str">
        <f>IFERROR(INDEX(Management!$B$3:$B$50,_xlfn.AGGREGATE(15,6,(ROW(Management!$B$3:$B$50)-ROW(Management!$B$3)+1)/((IF(Management!$C$3:$C$50="Unlimited",10^15,Management!$C$3:$C$50))&gt;='1'!$I74),COLUMN(N73))),"")</f>
        <v/>
      </c>
      <c r="O74" t="str">
        <f>IFERROR(INDEX(Management!$B$3:$B$50,_xlfn.AGGREGATE(15,6,(ROW(Management!$B$3:$B$50)-ROW(Management!$B$3)+1)/((IF(Management!$C$3:$C$50="Unlimited",10^15,Management!$C$3:$C$50))&gt;='1'!$I74),COLUMN(O73))),"")</f>
        <v/>
      </c>
      <c r="P74" t="str">
        <f>IFERROR(INDEX(Management!$B$3:$B$50,_xlfn.AGGREGATE(15,6,(ROW(Management!$B$3:$B$50)-ROW(Management!$B$3)+1)/((IF(Management!$C$3:$C$50="Unlimited",10^15,Management!$C$3:$C$50))&gt;='1'!$I74),COLUMN(P73))),"")</f>
        <v/>
      </c>
      <c r="Q74" t="str">
        <f>IFERROR(INDEX(Management!$B$3:$B$50,_xlfn.AGGREGATE(15,6,(ROW(Management!$B$3:$B$50)-ROW(Management!$B$3)+1)/((IF(Management!$C$3:$C$50="Unlimited",10^15,Management!$C$3:$C$50))&gt;='1'!$I74),COLUMN(Q73))),"")</f>
        <v/>
      </c>
      <c r="R74" t="str">
        <f>IFERROR(INDEX(Management!$B$3:$B$50,_xlfn.AGGREGATE(15,6,(ROW(Management!$B$3:$B$50)-ROW(Management!$B$3)+1)/((IF(Management!$C$3:$C$50="Unlimited",10^15,Management!$C$3:$C$50))&gt;='1'!$I74),COLUMN(R73))),"")</f>
        <v/>
      </c>
      <c r="S74" t="str">
        <f>IFERROR(INDEX(Management!$B$3:$B$50,_xlfn.AGGREGATE(15,6,(ROW(Management!$B$3:$B$50)-ROW(Management!$B$3)+1)/((IF(Management!$C$3:$C$50="Unlimited",10^15,Management!$C$3:$C$50))&gt;='1'!$I74),COLUMN(S73))),"")</f>
        <v/>
      </c>
      <c r="T74" t="str">
        <f>IFERROR(INDEX(Management!$B$3:$B$50,_xlfn.AGGREGATE(15,6,(ROW(Management!$B$3:$B$50)-ROW(Management!$B$3)+1)/((IF(Management!$C$3:$C$50="Unlimited",10^15,Management!$C$3:$C$50))&gt;='1'!$I74),COLUMN(T73))),"")</f>
        <v/>
      </c>
    </row>
    <row r="75" spans="1:20">
      <c r="A75" t="str">
        <f>IFERROR(INDEX(Management!$B$3:$B$50,_xlfn.AGGREGATE(15,6,(ROW(Management!$B$3:$B$50)-ROW(Management!$B$3)+1)/((IF(Management!$C$3:$C$50="Unlimited",10^15,Management!$C$3:$C$50))&gt;='1'!$I75),COLUMN(A74))),"")</f>
        <v/>
      </c>
      <c r="B75" t="str">
        <f>IFERROR(INDEX(Management!$B$3:$B$50,_xlfn.AGGREGATE(15,6,(ROW(Management!$B$3:$B$50)-ROW(Management!$B$3)+1)/((IF(Management!$C$3:$C$50="Unlimited",10^15,Management!$C$3:$C$50))&gt;='1'!$I75),COLUMN(B74))),"")</f>
        <v/>
      </c>
      <c r="C75" t="str">
        <f>IFERROR(INDEX(Management!$B$3:$B$50,_xlfn.AGGREGATE(15,6,(ROW(Management!$B$3:$B$50)-ROW(Management!$B$3)+1)/((IF(Management!$C$3:$C$50="Unlimited",10^15,Management!$C$3:$C$50))&gt;='1'!$I75),COLUMN(C74))),"")</f>
        <v/>
      </c>
      <c r="D75" t="str">
        <f>IFERROR(INDEX(Management!$B$3:$B$50,_xlfn.AGGREGATE(15,6,(ROW(Management!$B$3:$B$50)-ROW(Management!$B$3)+1)/((IF(Management!$C$3:$C$50="Unlimited",10^15,Management!$C$3:$C$50))&gt;='1'!$I75),COLUMN(D74))),"")</f>
        <v/>
      </c>
      <c r="E75" t="str">
        <f>IFERROR(INDEX(Management!$B$3:$B$50,_xlfn.AGGREGATE(15,6,(ROW(Management!$B$3:$B$50)-ROW(Management!$B$3)+1)/((IF(Management!$C$3:$C$50="Unlimited",10^15,Management!$C$3:$C$50))&gt;='1'!$I75),COLUMN(E74))),"")</f>
        <v/>
      </c>
      <c r="F75" t="str">
        <f>IFERROR(INDEX(Management!$B$3:$B$50,_xlfn.AGGREGATE(15,6,(ROW(Management!$B$3:$B$50)-ROW(Management!$B$3)+1)/((IF(Management!$C$3:$C$50="Unlimited",10^15,Management!$C$3:$C$50))&gt;='1'!$I75),COLUMN(F74))),"")</f>
        <v/>
      </c>
      <c r="G75" t="str">
        <f>IFERROR(INDEX(Management!$B$3:$B$50,_xlfn.AGGREGATE(15,6,(ROW(Management!$B$3:$B$50)-ROW(Management!$B$3)+1)/((IF(Management!$C$3:$C$50="Unlimited",10^15,Management!$C$3:$C$50))&gt;='1'!$I75),COLUMN(G74))),"")</f>
        <v/>
      </c>
      <c r="H75" t="str">
        <f>IFERROR(INDEX(Management!$B$3:$B$50,_xlfn.AGGREGATE(15,6,(ROW(Management!$B$3:$B$50)-ROW(Management!$B$3)+1)/((IF(Management!$C$3:$C$50="Unlimited",10^15,Management!$C$3:$C$50))&gt;='1'!$I75),COLUMN(H74))),"")</f>
        <v/>
      </c>
      <c r="I75" t="str">
        <f>IFERROR(INDEX(Management!$B$3:$B$50,_xlfn.AGGREGATE(15,6,(ROW(Management!$B$3:$B$50)-ROW(Management!$B$3)+1)/((IF(Management!$C$3:$C$50="Unlimited",10^15,Management!$C$3:$C$50))&gt;='1'!$I75),COLUMN(I74))),"")</f>
        <v/>
      </c>
      <c r="J75" t="str">
        <f>IFERROR(INDEX(Management!$B$3:$B$50,_xlfn.AGGREGATE(15,6,(ROW(Management!$B$3:$B$50)-ROW(Management!$B$3)+1)/((IF(Management!$C$3:$C$50="Unlimited",10^15,Management!$C$3:$C$50))&gt;='1'!$I75),COLUMN(J74))),"")</f>
        <v/>
      </c>
      <c r="K75" t="str">
        <f>IFERROR(INDEX(Management!$B$3:$B$50,_xlfn.AGGREGATE(15,6,(ROW(Management!$B$3:$B$50)-ROW(Management!$B$3)+1)/((IF(Management!$C$3:$C$50="Unlimited",10^15,Management!$C$3:$C$50))&gt;='1'!$I75),COLUMN(K74))),"")</f>
        <v/>
      </c>
      <c r="L75" t="str">
        <f>IFERROR(INDEX(Management!$B$3:$B$50,_xlfn.AGGREGATE(15,6,(ROW(Management!$B$3:$B$50)-ROW(Management!$B$3)+1)/((IF(Management!$C$3:$C$50="Unlimited",10^15,Management!$C$3:$C$50))&gt;='1'!$I75),COLUMN(L74))),"")</f>
        <v/>
      </c>
      <c r="M75" t="str">
        <f>IFERROR(INDEX(Management!$B$3:$B$50,_xlfn.AGGREGATE(15,6,(ROW(Management!$B$3:$B$50)-ROW(Management!$B$3)+1)/((IF(Management!$C$3:$C$50="Unlimited",10^15,Management!$C$3:$C$50))&gt;='1'!$I75),COLUMN(M74))),"")</f>
        <v/>
      </c>
      <c r="N75" t="str">
        <f>IFERROR(INDEX(Management!$B$3:$B$50,_xlfn.AGGREGATE(15,6,(ROW(Management!$B$3:$B$50)-ROW(Management!$B$3)+1)/((IF(Management!$C$3:$C$50="Unlimited",10^15,Management!$C$3:$C$50))&gt;='1'!$I75),COLUMN(N74))),"")</f>
        <v/>
      </c>
      <c r="O75" t="str">
        <f>IFERROR(INDEX(Management!$B$3:$B$50,_xlfn.AGGREGATE(15,6,(ROW(Management!$B$3:$B$50)-ROW(Management!$B$3)+1)/((IF(Management!$C$3:$C$50="Unlimited",10^15,Management!$C$3:$C$50))&gt;='1'!$I75),COLUMN(O74))),"")</f>
        <v/>
      </c>
      <c r="P75" t="str">
        <f>IFERROR(INDEX(Management!$B$3:$B$50,_xlfn.AGGREGATE(15,6,(ROW(Management!$B$3:$B$50)-ROW(Management!$B$3)+1)/((IF(Management!$C$3:$C$50="Unlimited",10^15,Management!$C$3:$C$50))&gt;='1'!$I75),COLUMN(P74))),"")</f>
        <v/>
      </c>
      <c r="Q75" t="str">
        <f>IFERROR(INDEX(Management!$B$3:$B$50,_xlfn.AGGREGATE(15,6,(ROW(Management!$B$3:$B$50)-ROW(Management!$B$3)+1)/((IF(Management!$C$3:$C$50="Unlimited",10^15,Management!$C$3:$C$50))&gt;='1'!$I75),COLUMN(Q74))),"")</f>
        <v/>
      </c>
      <c r="R75" t="str">
        <f>IFERROR(INDEX(Management!$B$3:$B$50,_xlfn.AGGREGATE(15,6,(ROW(Management!$B$3:$B$50)-ROW(Management!$B$3)+1)/((IF(Management!$C$3:$C$50="Unlimited",10^15,Management!$C$3:$C$50))&gt;='1'!$I75),COLUMN(R74))),"")</f>
        <v/>
      </c>
      <c r="S75" t="str">
        <f>IFERROR(INDEX(Management!$B$3:$B$50,_xlfn.AGGREGATE(15,6,(ROW(Management!$B$3:$B$50)-ROW(Management!$B$3)+1)/((IF(Management!$C$3:$C$50="Unlimited",10^15,Management!$C$3:$C$50))&gt;='1'!$I75),COLUMN(S74))),"")</f>
        <v/>
      </c>
      <c r="T75" t="str">
        <f>IFERROR(INDEX(Management!$B$3:$B$50,_xlfn.AGGREGATE(15,6,(ROW(Management!$B$3:$B$50)-ROW(Management!$B$3)+1)/((IF(Management!$C$3:$C$50="Unlimited",10^15,Management!$C$3:$C$50))&gt;='1'!$I75),COLUMN(T74))),"")</f>
        <v/>
      </c>
    </row>
    <row r="76" spans="1:20">
      <c r="A76" t="str">
        <f>IFERROR(INDEX(Management!$B$3:$B$50,_xlfn.AGGREGATE(15,6,(ROW(Management!$B$3:$B$50)-ROW(Management!$B$3)+1)/((IF(Management!$C$3:$C$50="Unlimited",10^15,Management!$C$3:$C$50))&gt;='1'!$I76),COLUMN(A75))),"")</f>
        <v/>
      </c>
      <c r="B76" t="str">
        <f>IFERROR(INDEX(Management!$B$3:$B$50,_xlfn.AGGREGATE(15,6,(ROW(Management!$B$3:$B$50)-ROW(Management!$B$3)+1)/((IF(Management!$C$3:$C$50="Unlimited",10^15,Management!$C$3:$C$50))&gt;='1'!$I76),COLUMN(B75))),"")</f>
        <v/>
      </c>
      <c r="C76" t="str">
        <f>IFERROR(INDEX(Management!$B$3:$B$50,_xlfn.AGGREGATE(15,6,(ROW(Management!$B$3:$B$50)-ROW(Management!$B$3)+1)/((IF(Management!$C$3:$C$50="Unlimited",10^15,Management!$C$3:$C$50))&gt;='1'!$I76),COLUMN(C75))),"")</f>
        <v/>
      </c>
      <c r="D76" t="str">
        <f>IFERROR(INDEX(Management!$B$3:$B$50,_xlfn.AGGREGATE(15,6,(ROW(Management!$B$3:$B$50)-ROW(Management!$B$3)+1)/((IF(Management!$C$3:$C$50="Unlimited",10^15,Management!$C$3:$C$50))&gt;='1'!$I76),COLUMN(D75))),"")</f>
        <v/>
      </c>
      <c r="E76" t="str">
        <f>IFERROR(INDEX(Management!$B$3:$B$50,_xlfn.AGGREGATE(15,6,(ROW(Management!$B$3:$B$50)-ROW(Management!$B$3)+1)/((IF(Management!$C$3:$C$50="Unlimited",10^15,Management!$C$3:$C$50))&gt;='1'!$I76),COLUMN(E75))),"")</f>
        <v/>
      </c>
      <c r="F76" t="str">
        <f>IFERROR(INDEX(Management!$B$3:$B$50,_xlfn.AGGREGATE(15,6,(ROW(Management!$B$3:$B$50)-ROW(Management!$B$3)+1)/((IF(Management!$C$3:$C$50="Unlimited",10^15,Management!$C$3:$C$50))&gt;='1'!$I76),COLUMN(F75))),"")</f>
        <v/>
      </c>
      <c r="G76" t="str">
        <f>IFERROR(INDEX(Management!$B$3:$B$50,_xlfn.AGGREGATE(15,6,(ROW(Management!$B$3:$B$50)-ROW(Management!$B$3)+1)/((IF(Management!$C$3:$C$50="Unlimited",10^15,Management!$C$3:$C$50))&gt;='1'!$I76),COLUMN(G75))),"")</f>
        <v/>
      </c>
      <c r="H76" t="str">
        <f>IFERROR(INDEX(Management!$B$3:$B$50,_xlfn.AGGREGATE(15,6,(ROW(Management!$B$3:$B$50)-ROW(Management!$B$3)+1)/((IF(Management!$C$3:$C$50="Unlimited",10^15,Management!$C$3:$C$50))&gt;='1'!$I76),COLUMN(H75))),"")</f>
        <v/>
      </c>
      <c r="I76" t="str">
        <f>IFERROR(INDEX(Management!$B$3:$B$50,_xlfn.AGGREGATE(15,6,(ROW(Management!$B$3:$B$50)-ROW(Management!$B$3)+1)/((IF(Management!$C$3:$C$50="Unlimited",10^15,Management!$C$3:$C$50))&gt;='1'!$I76),COLUMN(I75))),"")</f>
        <v/>
      </c>
      <c r="J76" t="str">
        <f>IFERROR(INDEX(Management!$B$3:$B$50,_xlfn.AGGREGATE(15,6,(ROW(Management!$B$3:$B$50)-ROW(Management!$B$3)+1)/((IF(Management!$C$3:$C$50="Unlimited",10^15,Management!$C$3:$C$50))&gt;='1'!$I76),COLUMN(J75))),"")</f>
        <v/>
      </c>
      <c r="K76" t="str">
        <f>IFERROR(INDEX(Management!$B$3:$B$50,_xlfn.AGGREGATE(15,6,(ROW(Management!$B$3:$B$50)-ROW(Management!$B$3)+1)/((IF(Management!$C$3:$C$50="Unlimited",10^15,Management!$C$3:$C$50))&gt;='1'!$I76),COLUMN(K75))),"")</f>
        <v/>
      </c>
      <c r="L76" t="str">
        <f>IFERROR(INDEX(Management!$B$3:$B$50,_xlfn.AGGREGATE(15,6,(ROW(Management!$B$3:$B$50)-ROW(Management!$B$3)+1)/((IF(Management!$C$3:$C$50="Unlimited",10^15,Management!$C$3:$C$50))&gt;='1'!$I76),COLUMN(L75))),"")</f>
        <v/>
      </c>
      <c r="M76" t="str">
        <f>IFERROR(INDEX(Management!$B$3:$B$50,_xlfn.AGGREGATE(15,6,(ROW(Management!$B$3:$B$50)-ROW(Management!$B$3)+1)/((IF(Management!$C$3:$C$50="Unlimited",10^15,Management!$C$3:$C$50))&gt;='1'!$I76),COLUMN(M75))),"")</f>
        <v/>
      </c>
      <c r="N76" t="str">
        <f>IFERROR(INDEX(Management!$B$3:$B$50,_xlfn.AGGREGATE(15,6,(ROW(Management!$B$3:$B$50)-ROW(Management!$B$3)+1)/((IF(Management!$C$3:$C$50="Unlimited",10^15,Management!$C$3:$C$50))&gt;='1'!$I76),COLUMN(N75))),"")</f>
        <v/>
      </c>
      <c r="O76" t="str">
        <f>IFERROR(INDEX(Management!$B$3:$B$50,_xlfn.AGGREGATE(15,6,(ROW(Management!$B$3:$B$50)-ROW(Management!$B$3)+1)/((IF(Management!$C$3:$C$50="Unlimited",10^15,Management!$C$3:$C$50))&gt;='1'!$I76),COLUMN(O75))),"")</f>
        <v/>
      </c>
      <c r="P76" t="str">
        <f>IFERROR(INDEX(Management!$B$3:$B$50,_xlfn.AGGREGATE(15,6,(ROW(Management!$B$3:$B$50)-ROW(Management!$B$3)+1)/((IF(Management!$C$3:$C$50="Unlimited",10^15,Management!$C$3:$C$50))&gt;='1'!$I76),COLUMN(P75))),"")</f>
        <v/>
      </c>
      <c r="Q76" t="str">
        <f>IFERROR(INDEX(Management!$B$3:$B$50,_xlfn.AGGREGATE(15,6,(ROW(Management!$B$3:$B$50)-ROW(Management!$B$3)+1)/((IF(Management!$C$3:$C$50="Unlimited",10^15,Management!$C$3:$C$50))&gt;='1'!$I76),COLUMN(Q75))),"")</f>
        <v/>
      </c>
      <c r="R76" t="str">
        <f>IFERROR(INDEX(Management!$B$3:$B$50,_xlfn.AGGREGATE(15,6,(ROW(Management!$B$3:$B$50)-ROW(Management!$B$3)+1)/((IF(Management!$C$3:$C$50="Unlimited",10^15,Management!$C$3:$C$50))&gt;='1'!$I76),COLUMN(R75))),"")</f>
        <v/>
      </c>
      <c r="S76" t="str">
        <f>IFERROR(INDEX(Management!$B$3:$B$50,_xlfn.AGGREGATE(15,6,(ROW(Management!$B$3:$B$50)-ROW(Management!$B$3)+1)/((IF(Management!$C$3:$C$50="Unlimited",10^15,Management!$C$3:$C$50))&gt;='1'!$I76),COLUMN(S75))),"")</f>
        <v/>
      </c>
      <c r="T76" t="str">
        <f>IFERROR(INDEX(Management!$B$3:$B$50,_xlfn.AGGREGATE(15,6,(ROW(Management!$B$3:$B$50)-ROW(Management!$B$3)+1)/((IF(Management!$C$3:$C$50="Unlimited",10^15,Management!$C$3:$C$50))&gt;='1'!$I76),COLUMN(T75))),"")</f>
        <v/>
      </c>
    </row>
    <row r="77" spans="1:20">
      <c r="A77" t="str">
        <f>IFERROR(INDEX(Management!$B$3:$B$50,_xlfn.AGGREGATE(15,6,(ROW(Management!$B$3:$B$50)-ROW(Management!$B$3)+1)/((IF(Management!$C$3:$C$50="Unlimited",10^15,Management!$C$3:$C$50))&gt;='1'!$I77),COLUMN(A76))),"")</f>
        <v/>
      </c>
      <c r="B77" t="str">
        <f>IFERROR(INDEX(Management!$B$3:$B$50,_xlfn.AGGREGATE(15,6,(ROW(Management!$B$3:$B$50)-ROW(Management!$B$3)+1)/((IF(Management!$C$3:$C$50="Unlimited",10^15,Management!$C$3:$C$50))&gt;='1'!$I77),COLUMN(B76))),"")</f>
        <v/>
      </c>
      <c r="C77" t="str">
        <f>IFERROR(INDEX(Management!$B$3:$B$50,_xlfn.AGGREGATE(15,6,(ROW(Management!$B$3:$B$50)-ROW(Management!$B$3)+1)/((IF(Management!$C$3:$C$50="Unlimited",10^15,Management!$C$3:$C$50))&gt;='1'!$I77),COLUMN(C76))),"")</f>
        <v/>
      </c>
      <c r="D77" t="str">
        <f>IFERROR(INDEX(Management!$B$3:$B$50,_xlfn.AGGREGATE(15,6,(ROW(Management!$B$3:$B$50)-ROW(Management!$B$3)+1)/((IF(Management!$C$3:$C$50="Unlimited",10^15,Management!$C$3:$C$50))&gt;='1'!$I77),COLUMN(D76))),"")</f>
        <v/>
      </c>
      <c r="E77" t="str">
        <f>IFERROR(INDEX(Management!$B$3:$B$50,_xlfn.AGGREGATE(15,6,(ROW(Management!$B$3:$B$50)-ROW(Management!$B$3)+1)/((IF(Management!$C$3:$C$50="Unlimited",10^15,Management!$C$3:$C$50))&gt;='1'!$I77),COLUMN(E76))),"")</f>
        <v/>
      </c>
      <c r="F77" t="str">
        <f>IFERROR(INDEX(Management!$B$3:$B$50,_xlfn.AGGREGATE(15,6,(ROW(Management!$B$3:$B$50)-ROW(Management!$B$3)+1)/((IF(Management!$C$3:$C$50="Unlimited",10^15,Management!$C$3:$C$50))&gt;='1'!$I77),COLUMN(F76))),"")</f>
        <v/>
      </c>
      <c r="G77" t="str">
        <f>IFERROR(INDEX(Management!$B$3:$B$50,_xlfn.AGGREGATE(15,6,(ROW(Management!$B$3:$B$50)-ROW(Management!$B$3)+1)/((IF(Management!$C$3:$C$50="Unlimited",10^15,Management!$C$3:$C$50))&gt;='1'!$I77),COLUMN(G76))),"")</f>
        <v/>
      </c>
      <c r="H77" t="str">
        <f>IFERROR(INDEX(Management!$B$3:$B$50,_xlfn.AGGREGATE(15,6,(ROW(Management!$B$3:$B$50)-ROW(Management!$B$3)+1)/((IF(Management!$C$3:$C$50="Unlimited",10^15,Management!$C$3:$C$50))&gt;='1'!$I77),COLUMN(H76))),"")</f>
        <v/>
      </c>
      <c r="I77" t="str">
        <f>IFERROR(INDEX(Management!$B$3:$B$50,_xlfn.AGGREGATE(15,6,(ROW(Management!$B$3:$B$50)-ROW(Management!$B$3)+1)/((IF(Management!$C$3:$C$50="Unlimited",10^15,Management!$C$3:$C$50))&gt;='1'!$I77),COLUMN(I76))),"")</f>
        <v/>
      </c>
      <c r="J77" t="str">
        <f>IFERROR(INDEX(Management!$B$3:$B$50,_xlfn.AGGREGATE(15,6,(ROW(Management!$B$3:$B$50)-ROW(Management!$B$3)+1)/((IF(Management!$C$3:$C$50="Unlimited",10^15,Management!$C$3:$C$50))&gt;='1'!$I77),COLUMN(J76))),"")</f>
        <v/>
      </c>
      <c r="K77" t="str">
        <f>IFERROR(INDEX(Management!$B$3:$B$50,_xlfn.AGGREGATE(15,6,(ROW(Management!$B$3:$B$50)-ROW(Management!$B$3)+1)/((IF(Management!$C$3:$C$50="Unlimited",10^15,Management!$C$3:$C$50))&gt;='1'!$I77),COLUMN(K76))),"")</f>
        <v/>
      </c>
      <c r="L77" t="str">
        <f>IFERROR(INDEX(Management!$B$3:$B$50,_xlfn.AGGREGATE(15,6,(ROW(Management!$B$3:$B$50)-ROW(Management!$B$3)+1)/((IF(Management!$C$3:$C$50="Unlimited",10^15,Management!$C$3:$C$50))&gt;='1'!$I77),COLUMN(L76))),"")</f>
        <v/>
      </c>
      <c r="M77" t="str">
        <f>IFERROR(INDEX(Management!$B$3:$B$50,_xlfn.AGGREGATE(15,6,(ROW(Management!$B$3:$B$50)-ROW(Management!$B$3)+1)/((IF(Management!$C$3:$C$50="Unlimited",10^15,Management!$C$3:$C$50))&gt;='1'!$I77),COLUMN(M76))),"")</f>
        <v/>
      </c>
      <c r="N77" t="str">
        <f>IFERROR(INDEX(Management!$B$3:$B$50,_xlfn.AGGREGATE(15,6,(ROW(Management!$B$3:$B$50)-ROW(Management!$B$3)+1)/((IF(Management!$C$3:$C$50="Unlimited",10^15,Management!$C$3:$C$50))&gt;='1'!$I77),COLUMN(N76))),"")</f>
        <v/>
      </c>
      <c r="O77" t="str">
        <f>IFERROR(INDEX(Management!$B$3:$B$50,_xlfn.AGGREGATE(15,6,(ROW(Management!$B$3:$B$50)-ROW(Management!$B$3)+1)/((IF(Management!$C$3:$C$50="Unlimited",10^15,Management!$C$3:$C$50))&gt;='1'!$I77),COLUMN(O76))),"")</f>
        <v/>
      </c>
      <c r="P77" t="str">
        <f>IFERROR(INDEX(Management!$B$3:$B$50,_xlfn.AGGREGATE(15,6,(ROW(Management!$B$3:$B$50)-ROW(Management!$B$3)+1)/((IF(Management!$C$3:$C$50="Unlimited",10^15,Management!$C$3:$C$50))&gt;='1'!$I77),COLUMN(P76))),"")</f>
        <v/>
      </c>
      <c r="Q77" t="str">
        <f>IFERROR(INDEX(Management!$B$3:$B$50,_xlfn.AGGREGATE(15,6,(ROW(Management!$B$3:$B$50)-ROW(Management!$B$3)+1)/((IF(Management!$C$3:$C$50="Unlimited",10^15,Management!$C$3:$C$50))&gt;='1'!$I77),COLUMN(Q76))),"")</f>
        <v/>
      </c>
      <c r="R77" t="str">
        <f>IFERROR(INDEX(Management!$B$3:$B$50,_xlfn.AGGREGATE(15,6,(ROW(Management!$B$3:$B$50)-ROW(Management!$B$3)+1)/((IF(Management!$C$3:$C$50="Unlimited",10^15,Management!$C$3:$C$50))&gt;='1'!$I77),COLUMN(R76))),"")</f>
        <v/>
      </c>
      <c r="S77" t="str">
        <f>IFERROR(INDEX(Management!$B$3:$B$50,_xlfn.AGGREGATE(15,6,(ROW(Management!$B$3:$B$50)-ROW(Management!$B$3)+1)/((IF(Management!$C$3:$C$50="Unlimited",10^15,Management!$C$3:$C$50))&gt;='1'!$I77),COLUMN(S76))),"")</f>
        <v/>
      </c>
      <c r="T77" t="str">
        <f>IFERROR(INDEX(Management!$B$3:$B$50,_xlfn.AGGREGATE(15,6,(ROW(Management!$B$3:$B$50)-ROW(Management!$B$3)+1)/((IF(Management!$C$3:$C$50="Unlimited",10^15,Management!$C$3:$C$50))&gt;='1'!$I77),COLUMN(T76))),"")</f>
        <v/>
      </c>
    </row>
    <row r="78" spans="1:20">
      <c r="A78" t="str">
        <f>IFERROR(INDEX(Management!$B$3:$B$50,_xlfn.AGGREGATE(15,6,(ROW(Management!$B$3:$B$50)-ROW(Management!$B$3)+1)/((IF(Management!$C$3:$C$50="Unlimited",10^15,Management!$C$3:$C$50))&gt;='1'!$I78),COLUMN(A77))),"")</f>
        <v/>
      </c>
      <c r="B78" t="str">
        <f>IFERROR(INDEX(Management!$B$3:$B$50,_xlfn.AGGREGATE(15,6,(ROW(Management!$B$3:$B$50)-ROW(Management!$B$3)+1)/((IF(Management!$C$3:$C$50="Unlimited",10^15,Management!$C$3:$C$50))&gt;='1'!$I78),COLUMN(B77))),"")</f>
        <v/>
      </c>
      <c r="C78" t="str">
        <f>IFERROR(INDEX(Management!$B$3:$B$50,_xlfn.AGGREGATE(15,6,(ROW(Management!$B$3:$B$50)-ROW(Management!$B$3)+1)/((IF(Management!$C$3:$C$50="Unlimited",10^15,Management!$C$3:$C$50))&gt;='1'!$I78),COLUMN(C77))),"")</f>
        <v/>
      </c>
      <c r="D78" t="str">
        <f>IFERROR(INDEX(Management!$B$3:$B$50,_xlfn.AGGREGATE(15,6,(ROW(Management!$B$3:$B$50)-ROW(Management!$B$3)+1)/((IF(Management!$C$3:$C$50="Unlimited",10^15,Management!$C$3:$C$50))&gt;='1'!$I78),COLUMN(D77))),"")</f>
        <v/>
      </c>
      <c r="E78" t="str">
        <f>IFERROR(INDEX(Management!$B$3:$B$50,_xlfn.AGGREGATE(15,6,(ROW(Management!$B$3:$B$50)-ROW(Management!$B$3)+1)/((IF(Management!$C$3:$C$50="Unlimited",10^15,Management!$C$3:$C$50))&gt;='1'!$I78),COLUMN(E77))),"")</f>
        <v/>
      </c>
      <c r="F78" t="str">
        <f>IFERROR(INDEX(Management!$B$3:$B$50,_xlfn.AGGREGATE(15,6,(ROW(Management!$B$3:$B$50)-ROW(Management!$B$3)+1)/((IF(Management!$C$3:$C$50="Unlimited",10^15,Management!$C$3:$C$50))&gt;='1'!$I78),COLUMN(F77))),"")</f>
        <v/>
      </c>
      <c r="G78" t="str">
        <f>IFERROR(INDEX(Management!$B$3:$B$50,_xlfn.AGGREGATE(15,6,(ROW(Management!$B$3:$B$50)-ROW(Management!$B$3)+1)/((IF(Management!$C$3:$C$50="Unlimited",10^15,Management!$C$3:$C$50))&gt;='1'!$I78),COLUMN(G77))),"")</f>
        <v/>
      </c>
      <c r="H78" t="str">
        <f>IFERROR(INDEX(Management!$B$3:$B$50,_xlfn.AGGREGATE(15,6,(ROW(Management!$B$3:$B$50)-ROW(Management!$B$3)+1)/((IF(Management!$C$3:$C$50="Unlimited",10^15,Management!$C$3:$C$50))&gt;='1'!$I78),COLUMN(H77))),"")</f>
        <v/>
      </c>
      <c r="I78" t="str">
        <f>IFERROR(INDEX(Management!$B$3:$B$50,_xlfn.AGGREGATE(15,6,(ROW(Management!$B$3:$B$50)-ROW(Management!$B$3)+1)/((IF(Management!$C$3:$C$50="Unlimited",10^15,Management!$C$3:$C$50))&gt;='1'!$I78),COLUMN(I77))),"")</f>
        <v/>
      </c>
      <c r="J78" t="str">
        <f>IFERROR(INDEX(Management!$B$3:$B$50,_xlfn.AGGREGATE(15,6,(ROW(Management!$B$3:$B$50)-ROW(Management!$B$3)+1)/((IF(Management!$C$3:$C$50="Unlimited",10^15,Management!$C$3:$C$50))&gt;='1'!$I78),COLUMN(J77))),"")</f>
        <v/>
      </c>
      <c r="K78" t="str">
        <f>IFERROR(INDEX(Management!$B$3:$B$50,_xlfn.AGGREGATE(15,6,(ROW(Management!$B$3:$B$50)-ROW(Management!$B$3)+1)/((IF(Management!$C$3:$C$50="Unlimited",10^15,Management!$C$3:$C$50))&gt;='1'!$I78),COLUMN(K77))),"")</f>
        <v/>
      </c>
      <c r="L78" t="str">
        <f>IFERROR(INDEX(Management!$B$3:$B$50,_xlfn.AGGREGATE(15,6,(ROW(Management!$B$3:$B$50)-ROW(Management!$B$3)+1)/((IF(Management!$C$3:$C$50="Unlimited",10^15,Management!$C$3:$C$50))&gt;='1'!$I78),COLUMN(L77))),"")</f>
        <v/>
      </c>
      <c r="M78" t="str">
        <f>IFERROR(INDEX(Management!$B$3:$B$50,_xlfn.AGGREGATE(15,6,(ROW(Management!$B$3:$B$50)-ROW(Management!$B$3)+1)/((IF(Management!$C$3:$C$50="Unlimited",10^15,Management!$C$3:$C$50))&gt;='1'!$I78),COLUMN(M77))),"")</f>
        <v/>
      </c>
      <c r="N78" t="str">
        <f>IFERROR(INDEX(Management!$B$3:$B$50,_xlfn.AGGREGATE(15,6,(ROW(Management!$B$3:$B$50)-ROW(Management!$B$3)+1)/((IF(Management!$C$3:$C$50="Unlimited",10^15,Management!$C$3:$C$50))&gt;='1'!$I78),COLUMN(N77))),"")</f>
        <v/>
      </c>
      <c r="O78" t="str">
        <f>IFERROR(INDEX(Management!$B$3:$B$50,_xlfn.AGGREGATE(15,6,(ROW(Management!$B$3:$B$50)-ROW(Management!$B$3)+1)/((IF(Management!$C$3:$C$50="Unlimited",10^15,Management!$C$3:$C$50))&gt;='1'!$I78),COLUMN(O77))),"")</f>
        <v/>
      </c>
      <c r="P78" t="str">
        <f>IFERROR(INDEX(Management!$B$3:$B$50,_xlfn.AGGREGATE(15,6,(ROW(Management!$B$3:$B$50)-ROW(Management!$B$3)+1)/((IF(Management!$C$3:$C$50="Unlimited",10^15,Management!$C$3:$C$50))&gt;='1'!$I78),COLUMN(P77))),"")</f>
        <v/>
      </c>
      <c r="Q78" t="str">
        <f>IFERROR(INDEX(Management!$B$3:$B$50,_xlfn.AGGREGATE(15,6,(ROW(Management!$B$3:$B$50)-ROW(Management!$B$3)+1)/((IF(Management!$C$3:$C$50="Unlimited",10^15,Management!$C$3:$C$50))&gt;='1'!$I78),COLUMN(Q77))),"")</f>
        <v/>
      </c>
      <c r="R78" t="str">
        <f>IFERROR(INDEX(Management!$B$3:$B$50,_xlfn.AGGREGATE(15,6,(ROW(Management!$B$3:$B$50)-ROW(Management!$B$3)+1)/((IF(Management!$C$3:$C$50="Unlimited",10^15,Management!$C$3:$C$50))&gt;='1'!$I78),COLUMN(R77))),"")</f>
        <v/>
      </c>
      <c r="S78" t="str">
        <f>IFERROR(INDEX(Management!$B$3:$B$50,_xlfn.AGGREGATE(15,6,(ROW(Management!$B$3:$B$50)-ROW(Management!$B$3)+1)/((IF(Management!$C$3:$C$50="Unlimited",10^15,Management!$C$3:$C$50))&gt;='1'!$I78),COLUMN(S77))),"")</f>
        <v/>
      </c>
      <c r="T78" t="str">
        <f>IFERROR(INDEX(Management!$B$3:$B$50,_xlfn.AGGREGATE(15,6,(ROW(Management!$B$3:$B$50)-ROW(Management!$B$3)+1)/((IF(Management!$C$3:$C$50="Unlimited",10^15,Management!$C$3:$C$50))&gt;='1'!$I78),COLUMN(T77))),"")</f>
        <v/>
      </c>
    </row>
    <row r="79" spans="1:20">
      <c r="A79" t="str">
        <f>IFERROR(INDEX(Management!$B$3:$B$50,_xlfn.AGGREGATE(15,6,(ROW(Management!$B$3:$B$50)-ROW(Management!$B$3)+1)/((IF(Management!$C$3:$C$50="Unlimited",10^15,Management!$C$3:$C$50))&gt;='1'!$I79),COLUMN(A78))),"")</f>
        <v/>
      </c>
      <c r="B79" t="str">
        <f>IFERROR(INDEX(Management!$B$3:$B$50,_xlfn.AGGREGATE(15,6,(ROW(Management!$B$3:$B$50)-ROW(Management!$B$3)+1)/((IF(Management!$C$3:$C$50="Unlimited",10^15,Management!$C$3:$C$50))&gt;='1'!$I79),COLUMN(B78))),"")</f>
        <v/>
      </c>
      <c r="C79" t="str">
        <f>IFERROR(INDEX(Management!$B$3:$B$50,_xlfn.AGGREGATE(15,6,(ROW(Management!$B$3:$B$50)-ROW(Management!$B$3)+1)/((IF(Management!$C$3:$C$50="Unlimited",10^15,Management!$C$3:$C$50))&gt;='1'!$I79),COLUMN(C78))),"")</f>
        <v/>
      </c>
      <c r="D79" t="str">
        <f>IFERROR(INDEX(Management!$B$3:$B$50,_xlfn.AGGREGATE(15,6,(ROW(Management!$B$3:$B$50)-ROW(Management!$B$3)+1)/((IF(Management!$C$3:$C$50="Unlimited",10^15,Management!$C$3:$C$50))&gt;='1'!$I79),COLUMN(D78))),"")</f>
        <v/>
      </c>
      <c r="E79" t="str">
        <f>IFERROR(INDEX(Management!$B$3:$B$50,_xlfn.AGGREGATE(15,6,(ROW(Management!$B$3:$B$50)-ROW(Management!$B$3)+1)/((IF(Management!$C$3:$C$50="Unlimited",10^15,Management!$C$3:$C$50))&gt;='1'!$I79),COLUMN(E78))),"")</f>
        <v/>
      </c>
      <c r="F79" t="str">
        <f>IFERROR(INDEX(Management!$B$3:$B$50,_xlfn.AGGREGATE(15,6,(ROW(Management!$B$3:$B$50)-ROW(Management!$B$3)+1)/((IF(Management!$C$3:$C$50="Unlimited",10^15,Management!$C$3:$C$50))&gt;='1'!$I79),COLUMN(F78))),"")</f>
        <v/>
      </c>
      <c r="G79" t="str">
        <f>IFERROR(INDEX(Management!$B$3:$B$50,_xlfn.AGGREGATE(15,6,(ROW(Management!$B$3:$B$50)-ROW(Management!$B$3)+1)/((IF(Management!$C$3:$C$50="Unlimited",10^15,Management!$C$3:$C$50))&gt;='1'!$I79),COLUMN(G78))),"")</f>
        <v/>
      </c>
      <c r="H79" t="str">
        <f>IFERROR(INDEX(Management!$B$3:$B$50,_xlfn.AGGREGATE(15,6,(ROW(Management!$B$3:$B$50)-ROW(Management!$B$3)+1)/((IF(Management!$C$3:$C$50="Unlimited",10^15,Management!$C$3:$C$50))&gt;='1'!$I79),COLUMN(H78))),"")</f>
        <v/>
      </c>
      <c r="I79" t="str">
        <f>IFERROR(INDEX(Management!$B$3:$B$50,_xlfn.AGGREGATE(15,6,(ROW(Management!$B$3:$B$50)-ROW(Management!$B$3)+1)/((IF(Management!$C$3:$C$50="Unlimited",10^15,Management!$C$3:$C$50))&gt;='1'!$I79),COLUMN(I78))),"")</f>
        <v/>
      </c>
      <c r="J79" t="str">
        <f>IFERROR(INDEX(Management!$B$3:$B$50,_xlfn.AGGREGATE(15,6,(ROW(Management!$B$3:$B$50)-ROW(Management!$B$3)+1)/((IF(Management!$C$3:$C$50="Unlimited",10^15,Management!$C$3:$C$50))&gt;='1'!$I79),COLUMN(J78))),"")</f>
        <v/>
      </c>
      <c r="K79" t="str">
        <f>IFERROR(INDEX(Management!$B$3:$B$50,_xlfn.AGGREGATE(15,6,(ROW(Management!$B$3:$B$50)-ROW(Management!$B$3)+1)/((IF(Management!$C$3:$C$50="Unlimited",10^15,Management!$C$3:$C$50))&gt;='1'!$I79),COLUMN(K78))),"")</f>
        <v/>
      </c>
      <c r="L79" t="str">
        <f>IFERROR(INDEX(Management!$B$3:$B$50,_xlfn.AGGREGATE(15,6,(ROW(Management!$B$3:$B$50)-ROW(Management!$B$3)+1)/((IF(Management!$C$3:$C$50="Unlimited",10^15,Management!$C$3:$C$50))&gt;='1'!$I79),COLUMN(L78))),"")</f>
        <v/>
      </c>
      <c r="M79" t="str">
        <f>IFERROR(INDEX(Management!$B$3:$B$50,_xlfn.AGGREGATE(15,6,(ROW(Management!$B$3:$B$50)-ROW(Management!$B$3)+1)/((IF(Management!$C$3:$C$50="Unlimited",10^15,Management!$C$3:$C$50))&gt;='1'!$I79),COLUMN(M78))),"")</f>
        <v/>
      </c>
      <c r="N79" t="str">
        <f>IFERROR(INDEX(Management!$B$3:$B$50,_xlfn.AGGREGATE(15,6,(ROW(Management!$B$3:$B$50)-ROW(Management!$B$3)+1)/((IF(Management!$C$3:$C$50="Unlimited",10^15,Management!$C$3:$C$50))&gt;='1'!$I79),COLUMN(N78))),"")</f>
        <v/>
      </c>
      <c r="O79" t="str">
        <f>IFERROR(INDEX(Management!$B$3:$B$50,_xlfn.AGGREGATE(15,6,(ROW(Management!$B$3:$B$50)-ROW(Management!$B$3)+1)/((IF(Management!$C$3:$C$50="Unlimited",10^15,Management!$C$3:$C$50))&gt;='1'!$I79),COLUMN(O78))),"")</f>
        <v/>
      </c>
      <c r="P79" t="str">
        <f>IFERROR(INDEX(Management!$B$3:$B$50,_xlfn.AGGREGATE(15,6,(ROW(Management!$B$3:$B$50)-ROW(Management!$B$3)+1)/((IF(Management!$C$3:$C$50="Unlimited",10^15,Management!$C$3:$C$50))&gt;='1'!$I79),COLUMN(P78))),"")</f>
        <v/>
      </c>
      <c r="Q79" t="str">
        <f>IFERROR(INDEX(Management!$B$3:$B$50,_xlfn.AGGREGATE(15,6,(ROW(Management!$B$3:$B$50)-ROW(Management!$B$3)+1)/((IF(Management!$C$3:$C$50="Unlimited",10^15,Management!$C$3:$C$50))&gt;='1'!$I79),COLUMN(Q78))),"")</f>
        <v/>
      </c>
      <c r="R79" t="str">
        <f>IFERROR(INDEX(Management!$B$3:$B$50,_xlfn.AGGREGATE(15,6,(ROW(Management!$B$3:$B$50)-ROW(Management!$B$3)+1)/((IF(Management!$C$3:$C$50="Unlimited",10^15,Management!$C$3:$C$50))&gt;='1'!$I79),COLUMN(R78))),"")</f>
        <v/>
      </c>
      <c r="S79" t="str">
        <f>IFERROR(INDEX(Management!$B$3:$B$50,_xlfn.AGGREGATE(15,6,(ROW(Management!$B$3:$B$50)-ROW(Management!$B$3)+1)/((IF(Management!$C$3:$C$50="Unlimited",10^15,Management!$C$3:$C$50))&gt;='1'!$I79),COLUMN(S78))),"")</f>
        <v/>
      </c>
      <c r="T79" t="str">
        <f>IFERROR(INDEX(Management!$B$3:$B$50,_xlfn.AGGREGATE(15,6,(ROW(Management!$B$3:$B$50)-ROW(Management!$B$3)+1)/((IF(Management!$C$3:$C$50="Unlimited",10^15,Management!$C$3:$C$50))&gt;='1'!$I79),COLUMN(T78))),"")</f>
        <v/>
      </c>
    </row>
    <row r="80" spans="1:20">
      <c r="A80" t="str">
        <f>IFERROR(INDEX(Management!$B$3:$B$50,_xlfn.AGGREGATE(15,6,(ROW(Management!$B$3:$B$50)-ROW(Management!$B$3)+1)/((IF(Management!$C$3:$C$50="Unlimited",10^15,Management!$C$3:$C$50))&gt;='1'!$I80),COLUMN(A79))),"")</f>
        <v/>
      </c>
      <c r="B80" t="str">
        <f>IFERROR(INDEX(Management!$B$3:$B$50,_xlfn.AGGREGATE(15,6,(ROW(Management!$B$3:$B$50)-ROW(Management!$B$3)+1)/((IF(Management!$C$3:$C$50="Unlimited",10^15,Management!$C$3:$C$50))&gt;='1'!$I80),COLUMN(B79))),"")</f>
        <v/>
      </c>
      <c r="C80" t="str">
        <f>IFERROR(INDEX(Management!$B$3:$B$50,_xlfn.AGGREGATE(15,6,(ROW(Management!$B$3:$B$50)-ROW(Management!$B$3)+1)/((IF(Management!$C$3:$C$50="Unlimited",10^15,Management!$C$3:$C$50))&gt;='1'!$I80),COLUMN(C79))),"")</f>
        <v/>
      </c>
      <c r="D80" t="str">
        <f>IFERROR(INDEX(Management!$B$3:$B$50,_xlfn.AGGREGATE(15,6,(ROW(Management!$B$3:$B$50)-ROW(Management!$B$3)+1)/((IF(Management!$C$3:$C$50="Unlimited",10^15,Management!$C$3:$C$50))&gt;='1'!$I80),COLUMN(D79))),"")</f>
        <v/>
      </c>
      <c r="E80" t="str">
        <f>IFERROR(INDEX(Management!$B$3:$B$50,_xlfn.AGGREGATE(15,6,(ROW(Management!$B$3:$B$50)-ROW(Management!$B$3)+1)/((IF(Management!$C$3:$C$50="Unlimited",10^15,Management!$C$3:$C$50))&gt;='1'!$I80),COLUMN(E79))),"")</f>
        <v/>
      </c>
      <c r="F80" t="str">
        <f>IFERROR(INDEX(Management!$B$3:$B$50,_xlfn.AGGREGATE(15,6,(ROW(Management!$B$3:$B$50)-ROW(Management!$B$3)+1)/((IF(Management!$C$3:$C$50="Unlimited",10^15,Management!$C$3:$C$50))&gt;='1'!$I80),COLUMN(F79))),"")</f>
        <v/>
      </c>
      <c r="G80" t="str">
        <f>IFERROR(INDEX(Management!$B$3:$B$50,_xlfn.AGGREGATE(15,6,(ROW(Management!$B$3:$B$50)-ROW(Management!$B$3)+1)/((IF(Management!$C$3:$C$50="Unlimited",10^15,Management!$C$3:$C$50))&gt;='1'!$I80),COLUMN(G79))),"")</f>
        <v/>
      </c>
      <c r="H80" t="str">
        <f>IFERROR(INDEX(Management!$B$3:$B$50,_xlfn.AGGREGATE(15,6,(ROW(Management!$B$3:$B$50)-ROW(Management!$B$3)+1)/((IF(Management!$C$3:$C$50="Unlimited",10^15,Management!$C$3:$C$50))&gt;='1'!$I80),COLUMN(H79))),"")</f>
        <v/>
      </c>
      <c r="I80" t="str">
        <f>IFERROR(INDEX(Management!$B$3:$B$50,_xlfn.AGGREGATE(15,6,(ROW(Management!$B$3:$B$50)-ROW(Management!$B$3)+1)/((IF(Management!$C$3:$C$50="Unlimited",10^15,Management!$C$3:$C$50))&gt;='1'!$I80),COLUMN(I79))),"")</f>
        <v/>
      </c>
      <c r="J80" t="str">
        <f>IFERROR(INDEX(Management!$B$3:$B$50,_xlfn.AGGREGATE(15,6,(ROW(Management!$B$3:$B$50)-ROW(Management!$B$3)+1)/((IF(Management!$C$3:$C$50="Unlimited",10^15,Management!$C$3:$C$50))&gt;='1'!$I80),COLUMN(J79))),"")</f>
        <v/>
      </c>
      <c r="K80" t="str">
        <f>IFERROR(INDEX(Management!$B$3:$B$50,_xlfn.AGGREGATE(15,6,(ROW(Management!$B$3:$B$50)-ROW(Management!$B$3)+1)/((IF(Management!$C$3:$C$50="Unlimited",10^15,Management!$C$3:$C$50))&gt;='1'!$I80),COLUMN(K79))),"")</f>
        <v/>
      </c>
      <c r="L80" t="str">
        <f>IFERROR(INDEX(Management!$B$3:$B$50,_xlfn.AGGREGATE(15,6,(ROW(Management!$B$3:$B$50)-ROW(Management!$B$3)+1)/((IF(Management!$C$3:$C$50="Unlimited",10^15,Management!$C$3:$C$50))&gt;='1'!$I80),COLUMN(L79))),"")</f>
        <v/>
      </c>
      <c r="M80" t="str">
        <f>IFERROR(INDEX(Management!$B$3:$B$50,_xlfn.AGGREGATE(15,6,(ROW(Management!$B$3:$B$50)-ROW(Management!$B$3)+1)/((IF(Management!$C$3:$C$50="Unlimited",10^15,Management!$C$3:$C$50))&gt;='1'!$I80),COLUMN(M79))),"")</f>
        <v/>
      </c>
      <c r="N80" t="str">
        <f>IFERROR(INDEX(Management!$B$3:$B$50,_xlfn.AGGREGATE(15,6,(ROW(Management!$B$3:$B$50)-ROW(Management!$B$3)+1)/((IF(Management!$C$3:$C$50="Unlimited",10^15,Management!$C$3:$C$50))&gt;='1'!$I80),COLUMN(N79))),"")</f>
        <v/>
      </c>
      <c r="O80" t="str">
        <f>IFERROR(INDEX(Management!$B$3:$B$50,_xlfn.AGGREGATE(15,6,(ROW(Management!$B$3:$B$50)-ROW(Management!$B$3)+1)/((IF(Management!$C$3:$C$50="Unlimited",10^15,Management!$C$3:$C$50))&gt;='1'!$I80),COLUMN(O79))),"")</f>
        <v/>
      </c>
      <c r="P80" t="str">
        <f>IFERROR(INDEX(Management!$B$3:$B$50,_xlfn.AGGREGATE(15,6,(ROW(Management!$B$3:$B$50)-ROW(Management!$B$3)+1)/((IF(Management!$C$3:$C$50="Unlimited",10^15,Management!$C$3:$C$50))&gt;='1'!$I80),COLUMN(P79))),"")</f>
        <v/>
      </c>
      <c r="Q80" t="str">
        <f>IFERROR(INDEX(Management!$B$3:$B$50,_xlfn.AGGREGATE(15,6,(ROW(Management!$B$3:$B$50)-ROW(Management!$B$3)+1)/((IF(Management!$C$3:$C$50="Unlimited",10^15,Management!$C$3:$C$50))&gt;='1'!$I80),COLUMN(Q79))),"")</f>
        <v/>
      </c>
      <c r="R80" t="str">
        <f>IFERROR(INDEX(Management!$B$3:$B$50,_xlfn.AGGREGATE(15,6,(ROW(Management!$B$3:$B$50)-ROW(Management!$B$3)+1)/((IF(Management!$C$3:$C$50="Unlimited",10^15,Management!$C$3:$C$50))&gt;='1'!$I80),COLUMN(R79))),"")</f>
        <v/>
      </c>
      <c r="S80" t="str">
        <f>IFERROR(INDEX(Management!$B$3:$B$50,_xlfn.AGGREGATE(15,6,(ROW(Management!$B$3:$B$50)-ROW(Management!$B$3)+1)/((IF(Management!$C$3:$C$50="Unlimited",10^15,Management!$C$3:$C$50))&gt;='1'!$I80),COLUMN(S79))),"")</f>
        <v/>
      </c>
      <c r="T80" t="str">
        <f>IFERROR(INDEX(Management!$B$3:$B$50,_xlfn.AGGREGATE(15,6,(ROW(Management!$B$3:$B$50)-ROW(Management!$B$3)+1)/((IF(Management!$C$3:$C$50="Unlimited",10^15,Management!$C$3:$C$50))&gt;='1'!$I80),COLUMN(T79))),"")</f>
        <v/>
      </c>
    </row>
    <row r="81" spans="1:20">
      <c r="A81" t="str">
        <f>IFERROR(INDEX(Management!$B$3:$B$50,_xlfn.AGGREGATE(15,6,(ROW(Management!$B$3:$B$50)-ROW(Management!$B$3)+1)/((IF(Management!$C$3:$C$50="Unlimited",10^15,Management!$C$3:$C$50))&gt;='1'!$I81),COLUMN(A80))),"")</f>
        <v/>
      </c>
      <c r="B81" t="str">
        <f>IFERROR(INDEX(Management!$B$3:$B$50,_xlfn.AGGREGATE(15,6,(ROW(Management!$B$3:$B$50)-ROW(Management!$B$3)+1)/((IF(Management!$C$3:$C$50="Unlimited",10^15,Management!$C$3:$C$50))&gt;='1'!$I81),COLUMN(B80))),"")</f>
        <v/>
      </c>
      <c r="C81" t="str">
        <f>IFERROR(INDEX(Management!$B$3:$B$50,_xlfn.AGGREGATE(15,6,(ROW(Management!$B$3:$B$50)-ROW(Management!$B$3)+1)/((IF(Management!$C$3:$C$50="Unlimited",10^15,Management!$C$3:$C$50))&gt;='1'!$I81),COLUMN(C80))),"")</f>
        <v/>
      </c>
      <c r="D81" t="str">
        <f>IFERROR(INDEX(Management!$B$3:$B$50,_xlfn.AGGREGATE(15,6,(ROW(Management!$B$3:$B$50)-ROW(Management!$B$3)+1)/((IF(Management!$C$3:$C$50="Unlimited",10^15,Management!$C$3:$C$50))&gt;='1'!$I81),COLUMN(D80))),"")</f>
        <v/>
      </c>
      <c r="E81" t="str">
        <f>IFERROR(INDEX(Management!$B$3:$B$50,_xlfn.AGGREGATE(15,6,(ROW(Management!$B$3:$B$50)-ROW(Management!$B$3)+1)/((IF(Management!$C$3:$C$50="Unlimited",10^15,Management!$C$3:$C$50))&gt;='1'!$I81),COLUMN(E80))),"")</f>
        <v/>
      </c>
      <c r="F81" t="str">
        <f>IFERROR(INDEX(Management!$B$3:$B$50,_xlfn.AGGREGATE(15,6,(ROW(Management!$B$3:$B$50)-ROW(Management!$B$3)+1)/((IF(Management!$C$3:$C$50="Unlimited",10^15,Management!$C$3:$C$50))&gt;='1'!$I81),COLUMN(F80))),"")</f>
        <v/>
      </c>
      <c r="G81" t="str">
        <f>IFERROR(INDEX(Management!$B$3:$B$50,_xlfn.AGGREGATE(15,6,(ROW(Management!$B$3:$B$50)-ROW(Management!$B$3)+1)/((IF(Management!$C$3:$C$50="Unlimited",10^15,Management!$C$3:$C$50))&gt;='1'!$I81),COLUMN(G80))),"")</f>
        <v/>
      </c>
      <c r="H81" t="str">
        <f>IFERROR(INDEX(Management!$B$3:$B$50,_xlfn.AGGREGATE(15,6,(ROW(Management!$B$3:$B$50)-ROW(Management!$B$3)+1)/((IF(Management!$C$3:$C$50="Unlimited",10^15,Management!$C$3:$C$50))&gt;='1'!$I81),COLUMN(H80))),"")</f>
        <v/>
      </c>
      <c r="I81" t="str">
        <f>IFERROR(INDEX(Management!$B$3:$B$50,_xlfn.AGGREGATE(15,6,(ROW(Management!$B$3:$B$50)-ROW(Management!$B$3)+1)/((IF(Management!$C$3:$C$50="Unlimited",10^15,Management!$C$3:$C$50))&gt;='1'!$I81),COLUMN(I80))),"")</f>
        <v/>
      </c>
      <c r="J81" t="str">
        <f>IFERROR(INDEX(Management!$B$3:$B$50,_xlfn.AGGREGATE(15,6,(ROW(Management!$B$3:$B$50)-ROW(Management!$B$3)+1)/((IF(Management!$C$3:$C$50="Unlimited",10^15,Management!$C$3:$C$50))&gt;='1'!$I81),COLUMN(J80))),"")</f>
        <v/>
      </c>
      <c r="K81" t="str">
        <f>IFERROR(INDEX(Management!$B$3:$B$50,_xlfn.AGGREGATE(15,6,(ROW(Management!$B$3:$B$50)-ROW(Management!$B$3)+1)/((IF(Management!$C$3:$C$50="Unlimited",10^15,Management!$C$3:$C$50))&gt;='1'!$I81),COLUMN(K80))),"")</f>
        <v/>
      </c>
      <c r="L81" t="str">
        <f>IFERROR(INDEX(Management!$B$3:$B$50,_xlfn.AGGREGATE(15,6,(ROW(Management!$B$3:$B$50)-ROW(Management!$B$3)+1)/((IF(Management!$C$3:$C$50="Unlimited",10^15,Management!$C$3:$C$50))&gt;='1'!$I81),COLUMN(L80))),"")</f>
        <v/>
      </c>
      <c r="M81" t="str">
        <f>IFERROR(INDEX(Management!$B$3:$B$50,_xlfn.AGGREGATE(15,6,(ROW(Management!$B$3:$B$50)-ROW(Management!$B$3)+1)/((IF(Management!$C$3:$C$50="Unlimited",10^15,Management!$C$3:$C$50))&gt;='1'!$I81),COLUMN(M80))),"")</f>
        <v/>
      </c>
      <c r="N81" t="str">
        <f>IFERROR(INDEX(Management!$B$3:$B$50,_xlfn.AGGREGATE(15,6,(ROW(Management!$B$3:$B$50)-ROW(Management!$B$3)+1)/((IF(Management!$C$3:$C$50="Unlimited",10^15,Management!$C$3:$C$50))&gt;='1'!$I81),COLUMN(N80))),"")</f>
        <v/>
      </c>
      <c r="O81" t="str">
        <f>IFERROR(INDEX(Management!$B$3:$B$50,_xlfn.AGGREGATE(15,6,(ROW(Management!$B$3:$B$50)-ROW(Management!$B$3)+1)/((IF(Management!$C$3:$C$50="Unlimited",10^15,Management!$C$3:$C$50))&gt;='1'!$I81),COLUMN(O80))),"")</f>
        <v/>
      </c>
      <c r="P81" t="str">
        <f>IFERROR(INDEX(Management!$B$3:$B$50,_xlfn.AGGREGATE(15,6,(ROW(Management!$B$3:$B$50)-ROW(Management!$B$3)+1)/((IF(Management!$C$3:$C$50="Unlimited",10^15,Management!$C$3:$C$50))&gt;='1'!$I81),COLUMN(P80))),"")</f>
        <v/>
      </c>
      <c r="Q81" t="str">
        <f>IFERROR(INDEX(Management!$B$3:$B$50,_xlfn.AGGREGATE(15,6,(ROW(Management!$B$3:$B$50)-ROW(Management!$B$3)+1)/((IF(Management!$C$3:$C$50="Unlimited",10^15,Management!$C$3:$C$50))&gt;='1'!$I81),COLUMN(Q80))),"")</f>
        <v/>
      </c>
      <c r="R81" t="str">
        <f>IFERROR(INDEX(Management!$B$3:$B$50,_xlfn.AGGREGATE(15,6,(ROW(Management!$B$3:$B$50)-ROW(Management!$B$3)+1)/((IF(Management!$C$3:$C$50="Unlimited",10^15,Management!$C$3:$C$50))&gt;='1'!$I81),COLUMN(R80))),"")</f>
        <v/>
      </c>
      <c r="S81" t="str">
        <f>IFERROR(INDEX(Management!$B$3:$B$50,_xlfn.AGGREGATE(15,6,(ROW(Management!$B$3:$B$50)-ROW(Management!$B$3)+1)/((IF(Management!$C$3:$C$50="Unlimited",10^15,Management!$C$3:$C$50))&gt;='1'!$I81),COLUMN(S80))),"")</f>
        <v/>
      </c>
      <c r="T81" t="str">
        <f>IFERROR(INDEX(Management!$B$3:$B$50,_xlfn.AGGREGATE(15,6,(ROW(Management!$B$3:$B$50)-ROW(Management!$B$3)+1)/((IF(Management!$C$3:$C$50="Unlimited",10^15,Management!$C$3:$C$50))&gt;='1'!$I81),COLUMN(T80))),"")</f>
        <v/>
      </c>
    </row>
    <row r="82" spans="1:20">
      <c r="A82" t="str">
        <f>IFERROR(INDEX(Management!$B$3:$B$50,_xlfn.AGGREGATE(15,6,(ROW(Management!$B$3:$B$50)-ROW(Management!$B$3)+1)/((IF(Management!$C$3:$C$50="Unlimited",10^15,Management!$C$3:$C$50))&gt;='1'!$I82),COLUMN(A81))),"")</f>
        <v/>
      </c>
      <c r="B82" t="str">
        <f>IFERROR(INDEX(Management!$B$3:$B$50,_xlfn.AGGREGATE(15,6,(ROW(Management!$B$3:$B$50)-ROW(Management!$B$3)+1)/((IF(Management!$C$3:$C$50="Unlimited",10^15,Management!$C$3:$C$50))&gt;='1'!$I82),COLUMN(B81))),"")</f>
        <v/>
      </c>
      <c r="C82" t="str">
        <f>IFERROR(INDEX(Management!$B$3:$B$50,_xlfn.AGGREGATE(15,6,(ROW(Management!$B$3:$B$50)-ROW(Management!$B$3)+1)/((IF(Management!$C$3:$C$50="Unlimited",10^15,Management!$C$3:$C$50))&gt;='1'!$I82),COLUMN(C81))),"")</f>
        <v/>
      </c>
      <c r="D82" t="str">
        <f>IFERROR(INDEX(Management!$B$3:$B$50,_xlfn.AGGREGATE(15,6,(ROW(Management!$B$3:$B$50)-ROW(Management!$B$3)+1)/((IF(Management!$C$3:$C$50="Unlimited",10^15,Management!$C$3:$C$50))&gt;='1'!$I82),COLUMN(D81))),"")</f>
        <v/>
      </c>
      <c r="E82" t="str">
        <f>IFERROR(INDEX(Management!$B$3:$B$50,_xlfn.AGGREGATE(15,6,(ROW(Management!$B$3:$B$50)-ROW(Management!$B$3)+1)/((IF(Management!$C$3:$C$50="Unlimited",10^15,Management!$C$3:$C$50))&gt;='1'!$I82),COLUMN(E81))),"")</f>
        <v/>
      </c>
      <c r="F82" t="str">
        <f>IFERROR(INDEX(Management!$B$3:$B$50,_xlfn.AGGREGATE(15,6,(ROW(Management!$B$3:$B$50)-ROW(Management!$B$3)+1)/((IF(Management!$C$3:$C$50="Unlimited",10^15,Management!$C$3:$C$50))&gt;='1'!$I82),COLUMN(F81))),"")</f>
        <v/>
      </c>
      <c r="G82" t="str">
        <f>IFERROR(INDEX(Management!$B$3:$B$50,_xlfn.AGGREGATE(15,6,(ROW(Management!$B$3:$B$50)-ROW(Management!$B$3)+1)/((IF(Management!$C$3:$C$50="Unlimited",10^15,Management!$C$3:$C$50))&gt;='1'!$I82),COLUMN(G81))),"")</f>
        <v/>
      </c>
      <c r="H82" t="str">
        <f>IFERROR(INDEX(Management!$B$3:$B$50,_xlfn.AGGREGATE(15,6,(ROW(Management!$B$3:$B$50)-ROW(Management!$B$3)+1)/((IF(Management!$C$3:$C$50="Unlimited",10^15,Management!$C$3:$C$50))&gt;='1'!$I82),COLUMN(H81))),"")</f>
        <v/>
      </c>
      <c r="I82" t="str">
        <f>IFERROR(INDEX(Management!$B$3:$B$50,_xlfn.AGGREGATE(15,6,(ROW(Management!$B$3:$B$50)-ROW(Management!$B$3)+1)/((IF(Management!$C$3:$C$50="Unlimited",10^15,Management!$C$3:$C$50))&gt;='1'!$I82),COLUMN(I81))),"")</f>
        <v/>
      </c>
      <c r="J82" t="str">
        <f>IFERROR(INDEX(Management!$B$3:$B$50,_xlfn.AGGREGATE(15,6,(ROW(Management!$B$3:$B$50)-ROW(Management!$B$3)+1)/((IF(Management!$C$3:$C$50="Unlimited",10^15,Management!$C$3:$C$50))&gt;='1'!$I82),COLUMN(J81))),"")</f>
        <v/>
      </c>
      <c r="K82" t="str">
        <f>IFERROR(INDEX(Management!$B$3:$B$50,_xlfn.AGGREGATE(15,6,(ROW(Management!$B$3:$B$50)-ROW(Management!$B$3)+1)/((IF(Management!$C$3:$C$50="Unlimited",10^15,Management!$C$3:$C$50))&gt;='1'!$I82),COLUMN(K81))),"")</f>
        <v/>
      </c>
      <c r="L82" t="str">
        <f>IFERROR(INDEX(Management!$B$3:$B$50,_xlfn.AGGREGATE(15,6,(ROW(Management!$B$3:$B$50)-ROW(Management!$B$3)+1)/((IF(Management!$C$3:$C$50="Unlimited",10^15,Management!$C$3:$C$50))&gt;='1'!$I82),COLUMN(L81))),"")</f>
        <v/>
      </c>
      <c r="M82" t="str">
        <f>IFERROR(INDEX(Management!$B$3:$B$50,_xlfn.AGGREGATE(15,6,(ROW(Management!$B$3:$B$50)-ROW(Management!$B$3)+1)/((IF(Management!$C$3:$C$50="Unlimited",10^15,Management!$C$3:$C$50))&gt;='1'!$I82),COLUMN(M81))),"")</f>
        <v/>
      </c>
      <c r="N82" t="str">
        <f>IFERROR(INDEX(Management!$B$3:$B$50,_xlfn.AGGREGATE(15,6,(ROW(Management!$B$3:$B$50)-ROW(Management!$B$3)+1)/((IF(Management!$C$3:$C$50="Unlimited",10^15,Management!$C$3:$C$50))&gt;='1'!$I82),COLUMN(N81))),"")</f>
        <v/>
      </c>
      <c r="O82" t="str">
        <f>IFERROR(INDEX(Management!$B$3:$B$50,_xlfn.AGGREGATE(15,6,(ROW(Management!$B$3:$B$50)-ROW(Management!$B$3)+1)/((IF(Management!$C$3:$C$50="Unlimited",10^15,Management!$C$3:$C$50))&gt;='1'!$I82),COLUMN(O81))),"")</f>
        <v/>
      </c>
      <c r="P82" t="str">
        <f>IFERROR(INDEX(Management!$B$3:$B$50,_xlfn.AGGREGATE(15,6,(ROW(Management!$B$3:$B$50)-ROW(Management!$B$3)+1)/((IF(Management!$C$3:$C$50="Unlimited",10^15,Management!$C$3:$C$50))&gt;='1'!$I82),COLUMN(P81))),"")</f>
        <v/>
      </c>
      <c r="Q82" t="str">
        <f>IFERROR(INDEX(Management!$B$3:$B$50,_xlfn.AGGREGATE(15,6,(ROW(Management!$B$3:$B$50)-ROW(Management!$B$3)+1)/((IF(Management!$C$3:$C$50="Unlimited",10^15,Management!$C$3:$C$50))&gt;='1'!$I82),COLUMN(Q81))),"")</f>
        <v/>
      </c>
      <c r="R82" t="str">
        <f>IFERROR(INDEX(Management!$B$3:$B$50,_xlfn.AGGREGATE(15,6,(ROW(Management!$B$3:$B$50)-ROW(Management!$B$3)+1)/((IF(Management!$C$3:$C$50="Unlimited",10^15,Management!$C$3:$C$50))&gt;='1'!$I82),COLUMN(R81))),"")</f>
        <v/>
      </c>
      <c r="S82" t="str">
        <f>IFERROR(INDEX(Management!$B$3:$B$50,_xlfn.AGGREGATE(15,6,(ROW(Management!$B$3:$B$50)-ROW(Management!$B$3)+1)/((IF(Management!$C$3:$C$50="Unlimited",10^15,Management!$C$3:$C$50))&gt;='1'!$I82),COLUMN(S81))),"")</f>
        <v/>
      </c>
      <c r="T82" t="str">
        <f>IFERROR(INDEX(Management!$B$3:$B$50,_xlfn.AGGREGATE(15,6,(ROW(Management!$B$3:$B$50)-ROW(Management!$B$3)+1)/((IF(Management!$C$3:$C$50="Unlimited",10^15,Management!$C$3:$C$50))&gt;='1'!$I82),COLUMN(T81))),"")</f>
        <v/>
      </c>
    </row>
    <row r="83" spans="1:20">
      <c r="A83" t="str">
        <f>IFERROR(INDEX(Management!$B$3:$B$50,_xlfn.AGGREGATE(15,6,(ROW(Management!$B$3:$B$50)-ROW(Management!$B$3)+1)/((IF(Management!$C$3:$C$50="Unlimited",10^15,Management!$C$3:$C$50))&gt;='1'!$I83),COLUMN(A82))),"")</f>
        <v/>
      </c>
      <c r="B83" t="str">
        <f>IFERROR(INDEX(Management!$B$3:$B$50,_xlfn.AGGREGATE(15,6,(ROW(Management!$B$3:$B$50)-ROW(Management!$B$3)+1)/((IF(Management!$C$3:$C$50="Unlimited",10^15,Management!$C$3:$C$50))&gt;='1'!$I83),COLUMN(B82))),"")</f>
        <v/>
      </c>
      <c r="C83" t="str">
        <f>IFERROR(INDEX(Management!$B$3:$B$50,_xlfn.AGGREGATE(15,6,(ROW(Management!$B$3:$B$50)-ROW(Management!$B$3)+1)/((IF(Management!$C$3:$C$50="Unlimited",10^15,Management!$C$3:$C$50))&gt;='1'!$I83),COLUMN(C82))),"")</f>
        <v/>
      </c>
      <c r="D83" t="str">
        <f>IFERROR(INDEX(Management!$B$3:$B$50,_xlfn.AGGREGATE(15,6,(ROW(Management!$B$3:$B$50)-ROW(Management!$B$3)+1)/((IF(Management!$C$3:$C$50="Unlimited",10^15,Management!$C$3:$C$50))&gt;='1'!$I83),COLUMN(D82))),"")</f>
        <v/>
      </c>
      <c r="E83" t="str">
        <f>IFERROR(INDEX(Management!$B$3:$B$50,_xlfn.AGGREGATE(15,6,(ROW(Management!$B$3:$B$50)-ROW(Management!$B$3)+1)/((IF(Management!$C$3:$C$50="Unlimited",10^15,Management!$C$3:$C$50))&gt;='1'!$I83),COLUMN(E82))),"")</f>
        <v/>
      </c>
      <c r="F83" t="str">
        <f>IFERROR(INDEX(Management!$B$3:$B$50,_xlfn.AGGREGATE(15,6,(ROW(Management!$B$3:$B$50)-ROW(Management!$B$3)+1)/((IF(Management!$C$3:$C$50="Unlimited",10^15,Management!$C$3:$C$50))&gt;='1'!$I83),COLUMN(F82))),"")</f>
        <v/>
      </c>
      <c r="G83" t="str">
        <f>IFERROR(INDEX(Management!$B$3:$B$50,_xlfn.AGGREGATE(15,6,(ROW(Management!$B$3:$B$50)-ROW(Management!$B$3)+1)/((IF(Management!$C$3:$C$50="Unlimited",10^15,Management!$C$3:$C$50))&gt;='1'!$I83),COLUMN(G82))),"")</f>
        <v/>
      </c>
      <c r="H83" t="str">
        <f>IFERROR(INDEX(Management!$B$3:$B$50,_xlfn.AGGREGATE(15,6,(ROW(Management!$B$3:$B$50)-ROW(Management!$B$3)+1)/((IF(Management!$C$3:$C$50="Unlimited",10^15,Management!$C$3:$C$50))&gt;='1'!$I83),COLUMN(H82))),"")</f>
        <v/>
      </c>
      <c r="I83" t="str">
        <f>IFERROR(INDEX(Management!$B$3:$B$50,_xlfn.AGGREGATE(15,6,(ROW(Management!$B$3:$B$50)-ROW(Management!$B$3)+1)/((IF(Management!$C$3:$C$50="Unlimited",10^15,Management!$C$3:$C$50))&gt;='1'!$I83),COLUMN(I82))),"")</f>
        <v/>
      </c>
      <c r="J83" t="str">
        <f>IFERROR(INDEX(Management!$B$3:$B$50,_xlfn.AGGREGATE(15,6,(ROW(Management!$B$3:$B$50)-ROW(Management!$B$3)+1)/((IF(Management!$C$3:$C$50="Unlimited",10^15,Management!$C$3:$C$50))&gt;='1'!$I83),COLUMN(J82))),"")</f>
        <v/>
      </c>
      <c r="K83" t="str">
        <f>IFERROR(INDEX(Management!$B$3:$B$50,_xlfn.AGGREGATE(15,6,(ROW(Management!$B$3:$B$50)-ROW(Management!$B$3)+1)/((IF(Management!$C$3:$C$50="Unlimited",10^15,Management!$C$3:$C$50))&gt;='1'!$I83),COLUMN(K82))),"")</f>
        <v/>
      </c>
      <c r="L83" t="str">
        <f>IFERROR(INDEX(Management!$B$3:$B$50,_xlfn.AGGREGATE(15,6,(ROW(Management!$B$3:$B$50)-ROW(Management!$B$3)+1)/((IF(Management!$C$3:$C$50="Unlimited",10^15,Management!$C$3:$C$50))&gt;='1'!$I83),COLUMN(L82))),"")</f>
        <v/>
      </c>
      <c r="M83" t="str">
        <f>IFERROR(INDEX(Management!$B$3:$B$50,_xlfn.AGGREGATE(15,6,(ROW(Management!$B$3:$B$50)-ROW(Management!$B$3)+1)/((IF(Management!$C$3:$C$50="Unlimited",10^15,Management!$C$3:$C$50))&gt;='1'!$I83),COLUMN(M82))),"")</f>
        <v/>
      </c>
      <c r="N83" t="str">
        <f>IFERROR(INDEX(Management!$B$3:$B$50,_xlfn.AGGREGATE(15,6,(ROW(Management!$B$3:$B$50)-ROW(Management!$B$3)+1)/((IF(Management!$C$3:$C$50="Unlimited",10^15,Management!$C$3:$C$50))&gt;='1'!$I83),COLUMN(N82))),"")</f>
        <v/>
      </c>
      <c r="O83" t="str">
        <f>IFERROR(INDEX(Management!$B$3:$B$50,_xlfn.AGGREGATE(15,6,(ROW(Management!$B$3:$B$50)-ROW(Management!$B$3)+1)/((IF(Management!$C$3:$C$50="Unlimited",10^15,Management!$C$3:$C$50))&gt;='1'!$I83),COLUMN(O82))),"")</f>
        <v/>
      </c>
      <c r="P83" t="str">
        <f>IFERROR(INDEX(Management!$B$3:$B$50,_xlfn.AGGREGATE(15,6,(ROW(Management!$B$3:$B$50)-ROW(Management!$B$3)+1)/((IF(Management!$C$3:$C$50="Unlimited",10^15,Management!$C$3:$C$50))&gt;='1'!$I83),COLUMN(P82))),"")</f>
        <v/>
      </c>
      <c r="Q83" t="str">
        <f>IFERROR(INDEX(Management!$B$3:$B$50,_xlfn.AGGREGATE(15,6,(ROW(Management!$B$3:$B$50)-ROW(Management!$B$3)+1)/((IF(Management!$C$3:$C$50="Unlimited",10^15,Management!$C$3:$C$50))&gt;='1'!$I83),COLUMN(Q82))),"")</f>
        <v/>
      </c>
      <c r="R83" t="str">
        <f>IFERROR(INDEX(Management!$B$3:$B$50,_xlfn.AGGREGATE(15,6,(ROW(Management!$B$3:$B$50)-ROW(Management!$B$3)+1)/((IF(Management!$C$3:$C$50="Unlimited",10^15,Management!$C$3:$C$50))&gt;='1'!$I83),COLUMN(R82))),"")</f>
        <v/>
      </c>
      <c r="S83" t="str">
        <f>IFERROR(INDEX(Management!$B$3:$B$50,_xlfn.AGGREGATE(15,6,(ROW(Management!$B$3:$B$50)-ROW(Management!$B$3)+1)/((IF(Management!$C$3:$C$50="Unlimited",10^15,Management!$C$3:$C$50))&gt;='1'!$I83),COLUMN(S82))),"")</f>
        <v/>
      </c>
      <c r="T83" t="str">
        <f>IFERROR(INDEX(Management!$B$3:$B$50,_xlfn.AGGREGATE(15,6,(ROW(Management!$B$3:$B$50)-ROW(Management!$B$3)+1)/((IF(Management!$C$3:$C$50="Unlimited",10^15,Management!$C$3:$C$50))&gt;='1'!$I83),COLUMN(T82))),"")</f>
        <v/>
      </c>
    </row>
    <row r="84" spans="1:20">
      <c r="A84" t="str">
        <f>IFERROR(INDEX(Management!$B$3:$B$50,_xlfn.AGGREGATE(15,6,(ROW(Management!$B$3:$B$50)-ROW(Management!$B$3)+1)/((IF(Management!$C$3:$C$50="Unlimited",10^15,Management!$C$3:$C$50))&gt;='1'!$I84),COLUMN(A83))),"")</f>
        <v/>
      </c>
      <c r="B84" t="str">
        <f>IFERROR(INDEX(Management!$B$3:$B$50,_xlfn.AGGREGATE(15,6,(ROW(Management!$B$3:$B$50)-ROW(Management!$B$3)+1)/((IF(Management!$C$3:$C$50="Unlimited",10^15,Management!$C$3:$C$50))&gt;='1'!$I84),COLUMN(B83))),"")</f>
        <v/>
      </c>
      <c r="C84" t="str">
        <f>IFERROR(INDEX(Management!$B$3:$B$50,_xlfn.AGGREGATE(15,6,(ROW(Management!$B$3:$B$50)-ROW(Management!$B$3)+1)/((IF(Management!$C$3:$C$50="Unlimited",10^15,Management!$C$3:$C$50))&gt;='1'!$I84),COLUMN(C83))),"")</f>
        <v/>
      </c>
      <c r="D84" t="str">
        <f>IFERROR(INDEX(Management!$B$3:$B$50,_xlfn.AGGREGATE(15,6,(ROW(Management!$B$3:$B$50)-ROW(Management!$B$3)+1)/((IF(Management!$C$3:$C$50="Unlimited",10^15,Management!$C$3:$C$50))&gt;='1'!$I84),COLUMN(D83))),"")</f>
        <v/>
      </c>
      <c r="E84" t="str">
        <f>IFERROR(INDEX(Management!$B$3:$B$50,_xlfn.AGGREGATE(15,6,(ROW(Management!$B$3:$B$50)-ROW(Management!$B$3)+1)/((IF(Management!$C$3:$C$50="Unlimited",10^15,Management!$C$3:$C$50))&gt;='1'!$I84),COLUMN(E83))),"")</f>
        <v/>
      </c>
      <c r="F84" t="str">
        <f>IFERROR(INDEX(Management!$B$3:$B$50,_xlfn.AGGREGATE(15,6,(ROW(Management!$B$3:$B$50)-ROW(Management!$B$3)+1)/((IF(Management!$C$3:$C$50="Unlimited",10^15,Management!$C$3:$C$50))&gt;='1'!$I84),COLUMN(F83))),"")</f>
        <v/>
      </c>
      <c r="G84" t="str">
        <f>IFERROR(INDEX(Management!$B$3:$B$50,_xlfn.AGGREGATE(15,6,(ROW(Management!$B$3:$B$50)-ROW(Management!$B$3)+1)/((IF(Management!$C$3:$C$50="Unlimited",10^15,Management!$C$3:$C$50))&gt;='1'!$I84),COLUMN(G83))),"")</f>
        <v/>
      </c>
      <c r="H84" t="str">
        <f>IFERROR(INDEX(Management!$B$3:$B$50,_xlfn.AGGREGATE(15,6,(ROW(Management!$B$3:$B$50)-ROW(Management!$B$3)+1)/((IF(Management!$C$3:$C$50="Unlimited",10^15,Management!$C$3:$C$50))&gt;='1'!$I84),COLUMN(H83))),"")</f>
        <v/>
      </c>
      <c r="I84" t="str">
        <f>IFERROR(INDEX(Management!$B$3:$B$50,_xlfn.AGGREGATE(15,6,(ROW(Management!$B$3:$B$50)-ROW(Management!$B$3)+1)/((IF(Management!$C$3:$C$50="Unlimited",10^15,Management!$C$3:$C$50))&gt;='1'!$I84),COLUMN(I83))),"")</f>
        <v/>
      </c>
      <c r="J84" t="str">
        <f>IFERROR(INDEX(Management!$B$3:$B$50,_xlfn.AGGREGATE(15,6,(ROW(Management!$B$3:$B$50)-ROW(Management!$B$3)+1)/((IF(Management!$C$3:$C$50="Unlimited",10^15,Management!$C$3:$C$50))&gt;='1'!$I84),COLUMN(J83))),"")</f>
        <v/>
      </c>
      <c r="K84" t="str">
        <f>IFERROR(INDEX(Management!$B$3:$B$50,_xlfn.AGGREGATE(15,6,(ROW(Management!$B$3:$B$50)-ROW(Management!$B$3)+1)/((IF(Management!$C$3:$C$50="Unlimited",10^15,Management!$C$3:$C$50))&gt;='1'!$I84),COLUMN(K83))),"")</f>
        <v/>
      </c>
      <c r="L84" t="str">
        <f>IFERROR(INDEX(Management!$B$3:$B$50,_xlfn.AGGREGATE(15,6,(ROW(Management!$B$3:$B$50)-ROW(Management!$B$3)+1)/((IF(Management!$C$3:$C$50="Unlimited",10^15,Management!$C$3:$C$50))&gt;='1'!$I84),COLUMN(L83))),"")</f>
        <v/>
      </c>
      <c r="M84" t="str">
        <f>IFERROR(INDEX(Management!$B$3:$B$50,_xlfn.AGGREGATE(15,6,(ROW(Management!$B$3:$B$50)-ROW(Management!$B$3)+1)/((IF(Management!$C$3:$C$50="Unlimited",10^15,Management!$C$3:$C$50))&gt;='1'!$I84),COLUMN(M83))),"")</f>
        <v/>
      </c>
      <c r="N84" t="str">
        <f>IFERROR(INDEX(Management!$B$3:$B$50,_xlfn.AGGREGATE(15,6,(ROW(Management!$B$3:$B$50)-ROW(Management!$B$3)+1)/((IF(Management!$C$3:$C$50="Unlimited",10^15,Management!$C$3:$C$50))&gt;='1'!$I84),COLUMN(N83))),"")</f>
        <v/>
      </c>
      <c r="O84" t="str">
        <f>IFERROR(INDEX(Management!$B$3:$B$50,_xlfn.AGGREGATE(15,6,(ROW(Management!$B$3:$B$50)-ROW(Management!$B$3)+1)/((IF(Management!$C$3:$C$50="Unlimited",10^15,Management!$C$3:$C$50))&gt;='1'!$I84),COLUMN(O83))),"")</f>
        <v/>
      </c>
      <c r="P84" t="str">
        <f>IFERROR(INDEX(Management!$B$3:$B$50,_xlfn.AGGREGATE(15,6,(ROW(Management!$B$3:$B$50)-ROW(Management!$B$3)+1)/((IF(Management!$C$3:$C$50="Unlimited",10^15,Management!$C$3:$C$50))&gt;='1'!$I84),COLUMN(P83))),"")</f>
        <v/>
      </c>
      <c r="Q84" t="str">
        <f>IFERROR(INDEX(Management!$B$3:$B$50,_xlfn.AGGREGATE(15,6,(ROW(Management!$B$3:$B$50)-ROW(Management!$B$3)+1)/((IF(Management!$C$3:$C$50="Unlimited",10^15,Management!$C$3:$C$50))&gt;='1'!$I84),COLUMN(Q83))),"")</f>
        <v/>
      </c>
      <c r="R84" t="str">
        <f>IFERROR(INDEX(Management!$B$3:$B$50,_xlfn.AGGREGATE(15,6,(ROW(Management!$B$3:$B$50)-ROW(Management!$B$3)+1)/((IF(Management!$C$3:$C$50="Unlimited",10^15,Management!$C$3:$C$50))&gt;='1'!$I84),COLUMN(R83))),"")</f>
        <v/>
      </c>
      <c r="S84" t="str">
        <f>IFERROR(INDEX(Management!$B$3:$B$50,_xlfn.AGGREGATE(15,6,(ROW(Management!$B$3:$B$50)-ROW(Management!$B$3)+1)/((IF(Management!$C$3:$C$50="Unlimited",10^15,Management!$C$3:$C$50))&gt;='1'!$I84),COLUMN(S83))),"")</f>
        <v/>
      </c>
      <c r="T84" t="str">
        <f>IFERROR(INDEX(Management!$B$3:$B$50,_xlfn.AGGREGATE(15,6,(ROW(Management!$B$3:$B$50)-ROW(Management!$B$3)+1)/((IF(Management!$C$3:$C$50="Unlimited",10^15,Management!$C$3:$C$50))&gt;='1'!$I84),COLUMN(T83))),"")</f>
        <v/>
      </c>
    </row>
    <row r="85" spans="1:20">
      <c r="A85" t="str">
        <f>IFERROR(INDEX(Management!$B$3:$B$50,_xlfn.AGGREGATE(15,6,(ROW(Management!$B$3:$B$50)-ROW(Management!$B$3)+1)/((IF(Management!$C$3:$C$50="Unlimited",10^15,Management!$C$3:$C$50))&gt;='1'!$I85),COLUMN(A84))),"")</f>
        <v/>
      </c>
      <c r="B85" t="str">
        <f>IFERROR(INDEX(Management!$B$3:$B$50,_xlfn.AGGREGATE(15,6,(ROW(Management!$B$3:$B$50)-ROW(Management!$B$3)+1)/((IF(Management!$C$3:$C$50="Unlimited",10^15,Management!$C$3:$C$50))&gt;='1'!$I85),COLUMN(B84))),"")</f>
        <v/>
      </c>
      <c r="C85" t="str">
        <f>IFERROR(INDEX(Management!$B$3:$B$50,_xlfn.AGGREGATE(15,6,(ROW(Management!$B$3:$B$50)-ROW(Management!$B$3)+1)/((IF(Management!$C$3:$C$50="Unlimited",10^15,Management!$C$3:$C$50))&gt;='1'!$I85),COLUMN(C84))),"")</f>
        <v/>
      </c>
      <c r="D85" t="str">
        <f>IFERROR(INDEX(Management!$B$3:$B$50,_xlfn.AGGREGATE(15,6,(ROW(Management!$B$3:$B$50)-ROW(Management!$B$3)+1)/((IF(Management!$C$3:$C$50="Unlimited",10^15,Management!$C$3:$C$50))&gt;='1'!$I85),COLUMN(D84))),"")</f>
        <v/>
      </c>
      <c r="E85" t="str">
        <f>IFERROR(INDEX(Management!$B$3:$B$50,_xlfn.AGGREGATE(15,6,(ROW(Management!$B$3:$B$50)-ROW(Management!$B$3)+1)/((IF(Management!$C$3:$C$50="Unlimited",10^15,Management!$C$3:$C$50))&gt;='1'!$I85),COLUMN(E84))),"")</f>
        <v/>
      </c>
      <c r="F85" t="str">
        <f>IFERROR(INDEX(Management!$B$3:$B$50,_xlfn.AGGREGATE(15,6,(ROW(Management!$B$3:$B$50)-ROW(Management!$B$3)+1)/((IF(Management!$C$3:$C$50="Unlimited",10^15,Management!$C$3:$C$50))&gt;='1'!$I85),COLUMN(F84))),"")</f>
        <v/>
      </c>
      <c r="G85" t="str">
        <f>IFERROR(INDEX(Management!$B$3:$B$50,_xlfn.AGGREGATE(15,6,(ROW(Management!$B$3:$B$50)-ROW(Management!$B$3)+1)/((IF(Management!$C$3:$C$50="Unlimited",10^15,Management!$C$3:$C$50))&gt;='1'!$I85),COLUMN(G84))),"")</f>
        <v/>
      </c>
      <c r="H85" t="str">
        <f>IFERROR(INDEX(Management!$B$3:$B$50,_xlfn.AGGREGATE(15,6,(ROW(Management!$B$3:$B$50)-ROW(Management!$B$3)+1)/((IF(Management!$C$3:$C$50="Unlimited",10^15,Management!$C$3:$C$50))&gt;='1'!$I85),COLUMN(H84))),"")</f>
        <v/>
      </c>
      <c r="I85" t="str">
        <f>IFERROR(INDEX(Management!$B$3:$B$50,_xlfn.AGGREGATE(15,6,(ROW(Management!$B$3:$B$50)-ROW(Management!$B$3)+1)/((IF(Management!$C$3:$C$50="Unlimited",10^15,Management!$C$3:$C$50))&gt;='1'!$I85),COLUMN(I84))),"")</f>
        <v/>
      </c>
      <c r="J85" t="str">
        <f>IFERROR(INDEX(Management!$B$3:$B$50,_xlfn.AGGREGATE(15,6,(ROW(Management!$B$3:$B$50)-ROW(Management!$B$3)+1)/((IF(Management!$C$3:$C$50="Unlimited",10^15,Management!$C$3:$C$50))&gt;='1'!$I85),COLUMN(J84))),"")</f>
        <v/>
      </c>
      <c r="K85" t="str">
        <f>IFERROR(INDEX(Management!$B$3:$B$50,_xlfn.AGGREGATE(15,6,(ROW(Management!$B$3:$B$50)-ROW(Management!$B$3)+1)/((IF(Management!$C$3:$C$50="Unlimited",10^15,Management!$C$3:$C$50))&gt;='1'!$I85),COLUMN(K84))),"")</f>
        <v/>
      </c>
      <c r="L85" t="str">
        <f>IFERROR(INDEX(Management!$B$3:$B$50,_xlfn.AGGREGATE(15,6,(ROW(Management!$B$3:$B$50)-ROW(Management!$B$3)+1)/((IF(Management!$C$3:$C$50="Unlimited",10^15,Management!$C$3:$C$50))&gt;='1'!$I85),COLUMN(L84))),"")</f>
        <v/>
      </c>
      <c r="M85" t="str">
        <f>IFERROR(INDEX(Management!$B$3:$B$50,_xlfn.AGGREGATE(15,6,(ROW(Management!$B$3:$B$50)-ROW(Management!$B$3)+1)/((IF(Management!$C$3:$C$50="Unlimited",10^15,Management!$C$3:$C$50))&gt;='1'!$I85),COLUMN(M84))),"")</f>
        <v/>
      </c>
      <c r="N85" t="str">
        <f>IFERROR(INDEX(Management!$B$3:$B$50,_xlfn.AGGREGATE(15,6,(ROW(Management!$B$3:$B$50)-ROW(Management!$B$3)+1)/((IF(Management!$C$3:$C$50="Unlimited",10^15,Management!$C$3:$C$50))&gt;='1'!$I85),COLUMN(N84))),"")</f>
        <v/>
      </c>
      <c r="O85" t="str">
        <f>IFERROR(INDEX(Management!$B$3:$B$50,_xlfn.AGGREGATE(15,6,(ROW(Management!$B$3:$B$50)-ROW(Management!$B$3)+1)/((IF(Management!$C$3:$C$50="Unlimited",10^15,Management!$C$3:$C$50))&gt;='1'!$I85),COLUMN(O84))),"")</f>
        <v/>
      </c>
      <c r="P85" t="str">
        <f>IFERROR(INDEX(Management!$B$3:$B$50,_xlfn.AGGREGATE(15,6,(ROW(Management!$B$3:$B$50)-ROW(Management!$B$3)+1)/((IF(Management!$C$3:$C$50="Unlimited",10^15,Management!$C$3:$C$50))&gt;='1'!$I85),COLUMN(P84))),"")</f>
        <v/>
      </c>
      <c r="Q85" t="str">
        <f>IFERROR(INDEX(Management!$B$3:$B$50,_xlfn.AGGREGATE(15,6,(ROW(Management!$B$3:$B$50)-ROW(Management!$B$3)+1)/((IF(Management!$C$3:$C$50="Unlimited",10^15,Management!$C$3:$C$50))&gt;='1'!$I85),COLUMN(Q84))),"")</f>
        <v/>
      </c>
      <c r="R85" t="str">
        <f>IFERROR(INDEX(Management!$B$3:$B$50,_xlfn.AGGREGATE(15,6,(ROW(Management!$B$3:$B$50)-ROW(Management!$B$3)+1)/((IF(Management!$C$3:$C$50="Unlimited",10^15,Management!$C$3:$C$50))&gt;='1'!$I85),COLUMN(R84))),"")</f>
        <v/>
      </c>
      <c r="S85" t="str">
        <f>IFERROR(INDEX(Management!$B$3:$B$50,_xlfn.AGGREGATE(15,6,(ROW(Management!$B$3:$B$50)-ROW(Management!$B$3)+1)/((IF(Management!$C$3:$C$50="Unlimited",10^15,Management!$C$3:$C$50))&gt;='1'!$I85),COLUMN(S84))),"")</f>
        <v/>
      </c>
      <c r="T85" t="str">
        <f>IFERROR(INDEX(Management!$B$3:$B$50,_xlfn.AGGREGATE(15,6,(ROW(Management!$B$3:$B$50)-ROW(Management!$B$3)+1)/((IF(Management!$C$3:$C$50="Unlimited",10^15,Management!$C$3:$C$50))&gt;='1'!$I85),COLUMN(T84))),"")</f>
        <v/>
      </c>
    </row>
    <row r="86" spans="1:20">
      <c r="A86" t="str">
        <f>IFERROR(INDEX(Management!$B$3:$B$50,_xlfn.AGGREGATE(15,6,(ROW(Management!$B$3:$B$50)-ROW(Management!$B$3)+1)/((IF(Management!$C$3:$C$50="Unlimited",10^15,Management!$C$3:$C$50))&gt;='1'!$I86),COLUMN(A85))),"")</f>
        <v/>
      </c>
      <c r="B86" t="str">
        <f>IFERROR(INDEX(Management!$B$3:$B$50,_xlfn.AGGREGATE(15,6,(ROW(Management!$B$3:$B$50)-ROW(Management!$B$3)+1)/((IF(Management!$C$3:$C$50="Unlimited",10^15,Management!$C$3:$C$50))&gt;='1'!$I86),COLUMN(B85))),"")</f>
        <v/>
      </c>
      <c r="C86" t="str">
        <f>IFERROR(INDEX(Management!$B$3:$B$50,_xlfn.AGGREGATE(15,6,(ROW(Management!$B$3:$B$50)-ROW(Management!$B$3)+1)/((IF(Management!$C$3:$C$50="Unlimited",10^15,Management!$C$3:$C$50))&gt;='1'!$I86),COLUMN(C85))),"")</f>
        <v/>
      </c>
      <c r="D86" t="str">
        <f>IFERROR(INDEX(Management!$B$3:$B$50,_xlfn.AGGREGATE(15,6,(ROW(Management!$B$3:$B$50)-ROW(Management!$B$3)+1)/((IF(Management!$C$3:$C$50="Unlimited",10^15,Management!$C$3:$C$50))&gt;='1'!$I86),COLUMN(D85))),"")</f>
        <v/>
      </c>
      <c r="E86" t="str">
        <f>IFERROR(INDEX(Management!$B$3:$B$50,_xlfn.AGGREGATE(15,6,(ROW(Management!$B$3:$B$50)-ROW(Management!$B$3)+1)/((IF(Management!$C$3:$C$50="Unlimited",10^15,Management!$C$3:$C$50))&gt;='1'!$I86),COLUMN(E85))),"")</f>
        <v/>
      </c>
      <c r="F86" t="str">
        <f>IFERROR(INDEX(Management!$B$3:$B$50,_xlfn.AGGREGATE(15,6,(ROW(Management!$B$3:$B$50)-ROW(Management!$B$3)+1)/((IF(Management!$C$3:$C$50="Unlimited",10^15,Management!$C$3:$C$50))&gt;='1'!$I86),COLUMN(F85))),"")</f>
        <v/>
      </c>
      <c r="G86" t="str">
        <f>IFERROR(INDEX(Management!$B$3:$B$50,_xlfn.AGGREGATE(15,6,(ROW(Management!$B$3:$B$50)-ROW(Management!$B$3)+1)/((IF(Management!$C$3:$C$50="Unlimited",10^15,Management!$C$3:$C$50))&gt;='1'!$I86),COLUMN(G85))),"")</f>
        <v/>
      </c>
      <c r="H86" t="str">
        <f>IFERROR(INDEX(Management!$B$3:$B$50,_xlfn.AGGREGATE(15,6,(ROW(Management!$B$3:$B$50)-ROW(Management!$B$3)+1)/((IF(Management!$C$3:$C$50="Unlimited",10^15,Management!$C$3:$C$50))&gt;='1'!$I86),COLUMN(H85))),"")</f>
        <v/>
      </c>
      <c r="I86" t="str">
        <f>IFERROR(INDEX(Management!$B$3:$B$50,_xlfn.AGGREGATE(15,6,(ROW(Management!$B$3:$B$50)-ROW(Management!$B$3)+1)/((IF(Management!$C$3:$C$50="Unlimited",10^15,Management!$C$3:$C$50))&gt;='1'!$I86),COLUMN(I85))),"")</f>
        <v/>
      </c>
      <c r="J86" t="str">
        <f>IFERROR(INDEX(Management!$B$3:$B$50,_xlfn.AGGREGATE(15,6,(ROW(Management!$B$3:$B$50)-ROW(Management!$B$3)+1)/((IF(Management!$C$3:$C$50="Unlimited",10^15,Management!$C$3:$C$50))&gt;='1'!$I86),COLUMN(J85))),"")</f>
        <v/>
      </c>
      <c r="K86" t="str">
        <f>IFERROR(INDEX(Management!$B$3:$B$50,_xlfn.AGGREGATE(15,6,(ROW(Management!$B$3:$B$50)-ROW(Management!$B$3)+1)/((IF(Management!$C$3:$C$50="Unlimited",10^15,Management!$C$3:$C$50))&gt;='1'!$I86),COLUMN(K85))),"")</f>
        <v/>
      </c>
      <c r="L86" t="str">
        <f>IFERROR(INDEX(Management!$B$3:$B$50,_xlfn.AGGREGATE(15,6,(ROW(Management!$B$3:$B$50)-ROW(Management!$B$3)+1)/((IF(Management!$C$3:$C$50="Unlimited",10^15,Management!$C$3:$C$50))&gt;='1'!$I86),COLUMN(L85))),"")</f>
        <v/>
      </c>
      <c r="M86" t="str">
        <f>IFERROR(INDEX(Management!$B$3:$B$50,_xlfn.AGGREGATE(15,6,(ROW(Management!$B$3:$B$50)-ROW(Management!$B$3)+1)/((IF(Management!$C$3:$C$50="Unlimited",10^15,Management!$C$3:$C$50))&gt;='1'!$I86),COLUMN(M85))),"")</f>
        <v/>
      </c>
      <c r="N86" t="str">
        <f>IFERROR(INDEX(Management!$B$3:$B$50,_xlfn.AGGREGATE(15,6,(ROW(Management!$B$3:$B$50)-ROW(Management!$B$3)+1)/((IF(Management!$C$3:$C$50="Unlimited",10^15,Management!$C$3:$C$50))&gt;='1'!$I86),COLUMN(N85))),"")</f>
        <v/>
      </c>
      <c r="O86" t="str">
        <f>IFERROR(INDEX(Management!$B$3:$B$50,_xlfn.AGGREGATE(15,6,(ROW(Management!$B$3:$B$50)-ROW(Management!$B$3)+1)/((IF(Management!$C$3:$C$50="Unlimited",10^15,Management!$C$3:$C$50))&gt;='1'!$I86),COLUMN(O85))),"")</f>
        <v/>
      </c>
      <c r="P86" t="str">
        <f>IFERROR(INDEX(Management!$B$3:$B$50,_xlfn.AGGREGATE(15,6,(ROW(Management!$B$3:$B$50)-ROW(Management!$B$3)+1)/((IF(Management!$C$3:$C$50="Unlimited",10^15,Management!$C$3:$C$50))&gt;='1'!$I86),COLUMN(P85))),"")</f>
        <v/>
      </c>
      <c r="Q86" t="str">
        <f>IFERROR(INDEX(Management!$B$3:$B$50,_xlfn.AGGREGATE(15,6,(ROW(Management!$B$3:$B$50)-ROW(Management!$B$3)+1)/((IF(Management!$C$3:$C$50="Unlimited",10^15,Management!$C$3:$C$50))&gt;='1'!$I86),COLUMN(Q85))),"")</f>
        <v/>
      </c>
      <c r="R86" t="str">
        <f>IFERROR(INDEX(Management!$B$3:$B$50,_xlfn.AGGREGATE(15,6,(ROW(Management!$B$3:$B$50)-ROW(Management!$B$3)+1)/((IF(Management!$C$3:$C$50="Unlimited",10^15,Management!$C$3:$C$50))&gt;='1'!$I86),COLUMN(R85))),"")</f>
        <v/>
      </c>
      <c r="S86" t="str">
        <f>IFERROR(INDEX(Management!$B$3:$B$50,_xlfn.AGGREGATE(15,6,(ROW(Management!$B$3:$B$50)-ROW(Management!$B$3)+1)/((IF(Management!$C$3:$C$50="Unlimited",10^15,Management!$C$3:$C$50))&gt;='1'!$I86),COLUMN(S85))),"")</f>
        <v/>
      </c>
      <c r="T86" t="str">
        <f>IFERROR(INDEX(Management!$B$3:$B$50,_xlfn.AGGREGATE(15,6,(ROW(Management!$B$3:$B$50)-ROW(Management!$B$3)+1)/((IF(Management!$C$3:$C$50="Unlimited",10^15,Management!$C$3:$C$50))&gt;='1'!$I86),COLUMN(T85))),"")</f>
        <v/>
      </c>
    </row>
    <row r="87" spans="1:20">
      <c r="A87" t="str">
        <f>IFERROR(INDEX(Management!$B$3:$B$50,_xlfn.AGGREGATE(15,6,(ROW(Management!$B$3:$B$50)-ROW(Management!$B$3)+1)/((IF(Management!$C$3:$C$50="Unlimited",10^15,Management!$C$3:$C$50))&gt;='1'!$I87),COLUMN(A86))),"")</f>
        <v/>
      </c>
      <c r="B87" t="str">
        <f>IFERROR(INDEX(Management!$B$3:$B$50,_xlfn.AGGREGATE(15,6,(ROW(Management!$B$3:$B$50)-ROW(Management!$B$3)+1)/((IF(Management!$C$3:$C$50="Unlimited",10^15,Management!$C$3:$C$50))&gt;='1'!$I87),COLUMN(B86))),"")</f>
        <v/>
      </c>
      <c r="C87" t="str">
        <f>IFERROR(INDEX(Management!$B$3:$B$50,_xlfn.AGGREGATE(15,6,(ROW(Management!$B$3:$B$50)-ROW(Management!$B$3)+1)/((IF(Management!$C$3:$C$50="Unlimited",10^15,Management!$C$3:$C$50))&gt;='1'!$I87),COLUMN(C86))),"")</f>
        <v/>
      </c>
      <c r="D87" t="str">
        <f>IFERROR(INDEX(Management!$B$3:$B$50,_xlfn.AGGREGATE(15,6,(ROW(Management!$B$3:$B$50)-ROW(Management!$B$3)+1)/((IF(Management!$C$3:$C$50="Unlimited",10^15,Management!$C$3:$C$50))&gt;='1'!$I87),COLUMN(D86))),"")</f>
        <v/>
      </c>
      <c r="E87" t="str">
        <f>IFERROR(INDEX(Management!$B$3:$B$50,_xlfn.AGGREGATE(15,6,(ROW(Management!$B$3:$B$50)-ROW(Management!$B$3)+1)/((IF(Management!$C$3:$C$50="Unlimited",10^15,Management!$C$3:$C$50))&gt;='1'!$I87),COLUMN(E86))),"")</f>
        <v/>
      </c>
      <c r="F87" t="str">
        <f>IFERROR(INDEX(Management!$B$3:$B$50,_xlfn.AGGREGATE(15,6,(ROW(Management!$B$3:$B$50)-ROW(Management!$B$3)+1)/((IF(Management!$C$3:$C$50="Unlimited",10^15,Management!$C$3:$C$50))&gt;='1'!$I87),COLUMN(F86))),"")</f>
        <v/>
      </c>
      <c r="G87" t="str">
        <f>IFERROR(INDEX(Management!$B$3:$B$50,_xlfn.AGGREGATE(15,6,(ROW(Management!$B$3:$B$50)-ROW(Management!$B$3)+1)/((IF(Management!$C$3:$C$50="Unlimited",10^15,Management!$C$3:$C$50))&gt;='1'!$I87),COLUMN(G86))),"")</f>
        <v/>
      </c>
      <c r="H87" t="str">
        <f>IFERROR(INDEX(Management!$B$3:$B$50,_xlfn.AGGREGATE(15,6,(ROW(Management!$B$3:$B$50)-ROW(Management!$B$3)+1)/((IF(Management!$C$3:$C$50="Unlimited",10^15,Management!$C$3:$C$50))&gt;='1'!$I87),COLUMN(H86))),"")</f>
        <v/>
      </c>
      <c r="I87" t="str">
        <f>IFERROR(INDEX(Management!$B$3:$B$50,_xlfn.AGGREGATE(15,6,(ROW(Management!$B$3:$B$50)-ROW(Management!$B$3)+1)/((IF(Management!$C$3:$C$50="Unlimited",10^15,Management!$C$3:$C$50))&gt;='1'!$I87),COLUMN(I86))),"")</f>
        <v/>
      </c>
      <c r="J87" t="str">
        <f>IFERROR(INDEX(Management!$B$3:$B$50,_xlfn.AGGREGATE(15,6,(ROW(Management!$B$3:$B$50)-ROW(Management!$B$3)+1)/((IF(Management!$C$3:$C$50="Unlimited",10^15,Management!$C$3:$C$50))&gt;='1'!$I87),COLUMN(J86))),"")</f>
        <v/>
      </c>
      <c r="K87" t="str">
        <f>IFERROR(INDEX(Management!$B$3:$B$50,_xlfn.AGGREGATE(15,6,(ROW(Management!$B$3:$B$50)-ROW(Management!$B$3)+1)/((IF(Management!$C$3:$C$50="Unlimited",10^15,Management!$C$3:$C$50))&gt;='1'!$I87),COLUMN(K86))),"")</f>
        <v/>
      </c>
      <c r="L87" t="str">
        <f>IFERROR(INDEX(Management!$B$3:$B$50,_xlfn.AGGREGATE(15,6,(ROW(Management!$B$3:$B$50)-ROW(Management!$B$3)+1)/((IF(Management!$C$3:$C$50="Unlimited",10^15,Management!$C$3:$C$50))&gt;='1'!$I87),COLUMN(L86))),"")</f>
        <v/>
      </c>
      <c r="M87" t="str">
        <f>IFERROR(INDEX(Management!$B$3:$B$50,_xlfn.AGGREGATE(15,6,(ROW(Management!$B$3:$B$50)-ROW(Management!$B$3)+1)/((IF(Management!$C$3:$C$50="Unlimited",10^15,Management!$C$3:$C$50))&gt;='1'!$I87),COLUMN(M86))),"")</f>
        <v/>
      </c>
      <c r="N87" t="str">
        <f>IFERROR(INDEX(Management!$B$3:$B$50,_xlfn.AGGREGATE(15,6,(ROW(Management!$B$3:$B$50)-ROW(Management!$B$3)+1)/((IF(Management!$C$3:$C$50="Unlimited",10^15,Management!$C$3:$C$50))&gt;='1'!$I87),COLUMN(N86))),"")</f>
        <v/>
      </c>
      <c r="O87" t="str">
        <f>IFERROR(INDEX(Management!$B$3:$B$50,_xlfn.AGGREGATE(15,6,(ROW(Management!$B$3:$B$50)-ROW(Management!$B$3)+1)/((IF(Management!$C$3:$C$50="Unlimited",10^15,Management!$C$3:$C$50))&gt;='1'!$I87),COLUMN(O86))),"")</f>
        <v/>
      </c>
      <c r="P87" t="str">
        <f>IFERROR(INDEX(Management!$B$3:$B$50,_xlfn.AGGREGATE(15,6,(ROW(Management!$B$3:$B$50)-ROW(Management!$B$3)+1)/((IF(Management!$C$3:$C$50="Unlimited",10^15,Management!$C$3:$C$50))&gt;='1'!$I87),COLUMN(P86))),"")</f>
        <v/>
      </c>
      <c r="Q87" t="str">
        <f>IFERROR(INDEX(Management!$B$3:$B$50,_xlfn.AGGREGATE(15,6,(ROW(Management!$B$3:$B$50)-ROW(Management!$B$3)+1)/((IF(Management!$C$3:$C$50="Unlimited",10^15,Management!$C$3:$C$50))&gt;='1'!$I87),COLUMN(Q86))),"")</f>
        <v/>
      </c>
      <c r="R87" t="str">
        <f>IFERROR(INDEX(Management!$B$3:$B$50,_xlfn.AGGREGATE(15,6,(ROW(Management!$B$3:$B$50)-ROW(Management!$B$3)+1)/((IF(Management!$C$3:$C$50="Unlimited",10^15,Management!$C$3:$C$50))&gt;='1'!$I87),COLUMN(R86))),"")</f>
        <v/>
      </c>
      <c r="S87" t="str">
        <f>IFERROR(INDEX(Management!$B$3:$B$50,_xlfn.AGGREGATE(15,6,(ROW(Management!$B$3:$B$50)-ROW(Management!$B$3)+1)/((IF(Management!$C$3:$C$50="Unlimited",10^15,Management!$C$3:$C$50))&gt;='1'!$I87),COLUMN(S86))),"")</f>
        <v/>
      </c>
      <c r="T87" t="str">
        <f>IFERROR(INDEX(Management!$B$3:$B$50,_xlfn.AGGREGATE(15,6,(ROW(Management!$B$3:$B$50)-ROW(Management!$B$3)+1)/((IF(Management!$C$3:$C$50="Unlimited",10^15,Management!$C$3:$C$50))&gt;='1'!$I87),COLUMN(T86))),"")</f>
        <v/>
      </c>
    </row>
    <row r="88" spans="1:20">
      <c r="A88" t="str">
        <f>IFERROR(INDEX(Management!$B$3:$B$50,_xlfn.AGGREGATE(15,6,(ROW(Management!$B$3:$B$50)-ROW(Management!$B$3)+1)/((IF(Management!$C$3:$C$50="Unlimited",10^15,Management!$C$3:$C$50))&gt;='1'!$I88),COLUMN(A87))),"")</f>
        <v/>
      </c>
      <c r="B88" t="str">
        <f>IFERROR(INDEX(Management!$B$3:$B$50,_xlfn.AGGREGATE(15,6,(ROW(Management!$B$3:$B$50)-ROW(Management!$B$3)+1)/((IF(Management!$C$3:$C$50="Unlimited",10^15,Management!$C$3:$C$50))&gt;='1'!$I88),COLUMN(B87))),"")</f>
        <v/>
      </c>
      <c r="C88" t="str">
        <f>IFERROR(INDEX(Management!$B$3:$B$50,_xlfn.AGGREGATE(15,6,(ROW(Management!$B$3:$B$50)-ROW(Management!$B$3)+1)/((IF(Management!$C$3:$C$50="Unlimited",10^15,Management!$C$3:$C$50))&gt;='1'!$I88),COLUMN(C87))),"")</f>
        <v/>
      </c>
      <c r="D88" t="str">
        <f>IFERROR(INDEX(Management!$B$3:$B$50,_xlfn.AGGREGATE(15,6,(ROW(Management!$B$3:$B$50)-ROW(Management!$B$3)+1)/((IF(Management!$C$3:$C$50="Unlimited",10^15,Management!$C$3:$C$50))&gt;='1'!$I88),COLUMN(D87))),"")</f>
        <v/>
      </c>
      <c r="E88" t="str">
        <f>IFERROR(INDEX(Management!$B$3:$B$50,_xlfn.AGGREGATE(15,6,(ROW(Management!$B$3:$B$50)-ROW(Management!$B$3)+1)/((IF(Management!$C$3:$C$50="Unlimited",10^15,Management!$C$3:$C$50))&gt;='1'!$I88),COLUMN(E87))),"")</f>
        <v/>
      </c>
      <c r="F88" t="str">
        <f>IFERROR(INDEX(Management!$B$3:$B$50,_xlfn.AGGREGATE(15,6,(ROW(Management!$B$3:$B$50)-ROW(Management!$B$3)+1)/((IF(Management!$C$3:$C$50="Unlimited",10^15,Management!$C$3:$C$50))&gt;='1'!$I88),COLUMN(F87))),"")</f>
        <v/>
      </c>
      <c r="G88" t="str">
        <f>IFERROR(INDEX(Management!$B$3:$B$50,_xlfn.AGGREGATE(15,6,(ROW(Management!$B$3:$B$50)-ROW(Management!$B$3)+1)/((IF(Management!$C$3:$C$50="Unlimited",10^15,Management!$C$3:$C$50))&gt;='1'!$I88),COLUMN(G87))),"")</f>
        <v/>
      </c>
      <c r="H88" t="str">
        <f>IFERROR(INDEX(Management!$B$3:$B$50,_xlfn.AGGREGATE(15,6,(ROW(Management!$B$3:$B$50)-ROW(Management!$B$3)+1)/((IF(Management!$C$3:$C$50="Unlimited",10^15,Management!$C$3:$C$50))&gt;='1'!$I88),COLUMN(H87))),"")</f>
        <v/>
      </c>
      <c r="I88" t="str">
        <f>IFERROR(INDEX(Management!$B$3:$B$50,_xlfn.AGGREGATE(15,6,(ROW(Management!$B$3:$B$50)-ROW(Management!$B$3)+1)/((IF(Management!$C$3:$C$50="Unlimited",10^15,Management!$C$3:$C$50))&gt;='1'!$I88),COLUMN(I87))),"")</f>
        <v/>
      </c>
      <c r="J88" t="str">
        <f>IFERROR(INDEX(Management!$B$3:$B$50,_xlfn.AGGREGATE(15,6,(ROW(Management!$B$3:$B$50)-ROW(Management!$B$3)+1)/((IF(Management!$C$3:$C$50="Unlimited",10^15,Management!$C$3:$C$50))&gt;='1'!$I88),COLUMN(J87))),"")</f>
        <v/>
      </c>
      <c r="K88" t="str">
        <f>IFERROR(INDEX(Management!$B$3:$B$50,_xlfn.AGGREGATE(15,6,(ROW(Management!$B$3:$B$50)-ROW(Management!$B$3)+1)/((IF(Management!$C$3:$C$50="Unlimited",10^15,Management!$C$3:$C$50))&gt;='1'!$I88),COLUMN(K87))),"")</f>
        <v/>
      </c>
      <c r="L88" t="str">
        <f>IFERROR(INDEX(Management!$B$3:$B$50,_xlfn.AGGREGATE(15,6,(ROW(Management!$B$3:$B$50)-ROW(Management!$B$3)+1)/((IF(Management!$C$3:$C$50="Unlimited",10^15,Management!$C$3:$C$50))&gt;='1'!$I88),COLUMN(L87))),"")</f>
        <v/>
      </c>
      <c r="M88" t="str">
        <f>IFERROR(INDEX(Management!$B$3:$B$50,_xlfn.AGGREGATE(15,6,(ROW(Management!$B$3:$B$50)-ROW(Management!$B$3)+1)/((IF(Management!$C$3:$C$50="Unlimited",10^15,Management!$C$3:$C$50))&gt;='1'!$I88),COLUMN(M87))),"")</f>
        <v/>
      </c>
      <c r="N88" t="str">
        <f>IFERROR(INDEX(Management!$B$3:$B$50,_xlfn.AGGREGATE(15,6,(ROW(Management!$B$3:$B$50)-ROW(Management!$B$3)+1)/((IF(Management!$C$3:$C$50="Unlimited",10^15,Management!$C$3:$C$50))&gt;='1'!$I88),COLUMN(N87))),"")</f>
        <v/>
      </c>
      <c r="O88" t="str">
        <f>IFERROR(INDEX(Management!$B$3:$B$50,_xlfn.AGGREGATE(15,6,(ROW(Management!$B$3:$B$50)-ROW(Management!$B$3)+1)/((IF(Management!$C$3:$C$50="Unlimited",10^15,Management!$C$3:$C$50))&gt;='1'!$I88),COLUMN(O87))),"")</f>
        <v/>
      </c>
      <c r="P88" t="str">
        <f>IFERROR(INDEX(Management!$B$3:$B$50,_xlfn.AGGREGATE(15,6,(ROW(Management!$B$3:$B$50)-ROW(Management!$B$3)+1)/((IF(Management!$C$3:$C$50="Unlimited",10^15,Management!$C$3:$C$50))&gt;='1'!$I88),COLUMN(P87))),"")</f>
        <v/>
      </c>
      <c r="Q88" t="str">
        <f>IFERROR(INDEX(Management!$B$3:$B$50,_xlfn.AGGREGATE(15,6,(ROW(Management!$B$3:$B$50)-ROW(Management!$B$3)+1)/((IF(Management!$C$3:$C$50="Unlimited",10^15,Management!$C$3:$C$50))&gt;='1'!$I88),COLUMN(Q87))),"")</f>
        <v/>
      </c>
      <c r="R88" t="str">
        <f>IFERROR(INDEX(Management!$B$3:$B$50,_xlfn.AGGREGATE(15,6,(ROW(Management!$B$3:$B$50)-ROW(Management!$B$3)+1)/((IF(Management!$C$3:$C$50="Unlimited",10^15,Management!$C$3:$C$50))&gt;='1'!$I88),COLUMN(R87))),"")</f>
        <v/>
      </c>
      <c r="S88" t="str">
        <f>IFERROR(INDEX(Management!$B$3:$B$50,_xlfn.AGGREGATE(15,6,(ROW(Management!$B$3:$B$50)-ROW(Management!$B$3)+1)/((IF(Management!$C$3:$C$50="Unlimited",10^15,Management!$C$3:$C$50))&gt;='1'!$I88),COLUMN(S87))),"")</f>
        <v/>
      </c>
      <c r="T88" t="str">
        <f>IFERROR(INDEX(Management!$B$3:$B$50,_xlfn.AGGREGATE(15,6,(ROW(Management!$B$3:$B$50)-ROW(Management!$B$3)+1)/((IF(Management!$C$3:$C$50="Unlimited",10^15,Management!$C$3:$C$50))&gt;='1'!$I88),COLUMN(T87))),"")</f>
        <v/>
      </c>
    </row>
    <row r="89" spans="1:20">
      <c r="A89" t="str">
        <f>IFERROR(INDEX(Management!$B$3:$B$50,_xlfn.AGGREGATE(15,6,(ROW(Management!$B$3:$B$50)-ROW(Management!$B$3)+1)/((IF(Management!$C$3:$C$50="Unlimited",10^15,Management!$C$3:$C$50))&gt;='1'!$I89),COLUMN(A88))),"")</f>
        <v/>
      </c>
      <c r="B89" t="str">
        <f>IFERROR(INDEX(Management!$B$3:$B$50,_xlfn.AGGREGATE(15,6,(ROW(Management!$B$3:$B$50)-ROW(Management!$B$3)+1)/((IF(Management!$C$3:$C$50="Unlimited",10^15,Management!$C$3:$C$50))&gt;='1'!$I89),COLUMN(B88))),"")</f>
        <v/>
      </c>
      <c r="C89" t="str">
        <f>IFERROR(INDEX(Management!$B$3:$B$50,_xlfn.AGGREGATE(15,6,(ROW(Management!$B$3:$B$50)-ROW(Management!$B$3)+1)/((IF(Management!$C$3:$C$50="Unlimited",10^15,Management!$C$3:$C$50))&gt;='1'!$I89),COLUMN(C88))),"")</f>
        <v/>
      </c>
      <c r="D89" t="str">
        <f>IFERROR(INDEX(Management!$B$3:$B$50,_xlfn.AGGREGATE(15,6,(ROW(Management!$B$3:$B$50)-ROW(Management!$B$3)+1)/((IF(Management!$C$3:$C$50="Unlimited",10^15,Management!$C$3:$C$50))&gt;='1'!$I89),COLUMN(D88))),"")</f>
        <v/>
      </c>
      <c r="E89" t="str">
        <f>IFERROR(INDEX(Management!$B$3:$B$50,_xlfn.AGGREGATE(15,6,(ROW(Management!$B$3:$B$50)-ROW(Management!$B$3)+1)/((IF(Management!$C$3:$C$50="Unlimited",10^15,Management!$C$3:$C$50))&gt;='1'!$I89),COLUMN(E88))),"")</f>
        <v/>
      </c>
      <c r="F89" t="str">
        <f>IFERROR(INDEX(Management!$B$3:$B$50,_xlfn.AGGREGATE(15,6,(ROW(Management!$B$3:$B$50)-ROW(Management!$B$3)+1)/((IF(Management!$C$3:$C$50="Unlimited",10^15,Management!$C$3:$C$50))&gt;='1'!$I89),COLUMN(F88))),"")</f>
        <v/>
      </c>
      <c r="G89" t="str">
        <f>IFERROR(INDEX(Management!$B$3:$B$50,_xlfn.AGGREGATE(15,6,(ROW(Management!$B$3:$B$50)-ROW(Management!$B$3)+1)/((IF(Management!$C$3:$C$50="Unlimited",10^15,Management!$C$3:$C$50))&gt;='1'!$I89),COLUMN(G88))),"")</f>
        <v/>
      </c>
      <c r="H89" t="str">
        <f>IFERROR(INDEX(Management!$B$3:$B$50,_xlfn.AGGREGATE(15,6,(ROW(Management!$B$3:$B$50)-ROW(Management!$B$3)+1)/((IF(Management!$C$3:$C$50="Unlimited",10^15,Management!$C$3:$C$50))&gt;='1'!$I89),COLUMN(H88))),"")</f>
        <v/>
      </c>
      <c r="I89" t="str">
        <f>IFERROR(INDEX(Management!$B$3:$B$50,_xlfn.AGGREGATE(15,6,(ROW(Management!$B$3:$B$50)-ROW(Management!$B$3)+1)/((IF(Management!$C$3:$C$50="Unlimited",10^15,Management!$C$3:$C$50))&gt;='1'!$I89),COLUMN(I88))),"")</f>
        <v/>
      </c>
      <c r="J89" t="str">
        <f>IFERROR(INDEX(Management!$B$3:$B$50,_xlfn.AGGREGATE(15,6,(ROW(Management!$B$3:$B$50)-ROW(Management!$B$3)+1)/((IF(Management!$C$3:$C$50="Unlimited",10^15,Management!$C$3:$C$50))&gt;='1'!$I89),COLUMN(J88))),"")</f>
        <v/>
      </c>
      <c r="K89" t="str">
        <f>IFERROR(INDEX(Management!$B$3:$B$50,_xlfn.AGGREGATE(15,6,(ROW(Management!$B$3:$B$50)-ROW(Management!$B$3)+1)/((IF(Management!$C$3:$C$50="Unlimited",10^15,Management!$C$3:$C$50))&gt;='1'!$I89),COLUMN(K88))),"")</f>
        <v/>
      </c>
      <c r="L89" t="str">
        <f>IFERROR(INDEX(Management!$B$3:$B$50,_xlfn.AGGREGATE(15,6,(ROW(Management!$B$3:$B$50)-ROW(Management!$B$3)+1)/((IF(Management!$C$3:$C$50="Unlimited",10^15,Management!$C$3:$C$50))&gt;='1'!$I89),COLUMN(L88))),"")</f>
        <v/>
      </c>
      <c r="M89" t="str">
        <f>IFERROR(INDEX(Management!$B$3:$B$50,_xlfn.AGGREGATE(15,6,(ROW(Management!$B$3:$B$50)-ROW(Management!$B$3)+1)/((IF(Management!$C$3:$C$50="Unlimited",10^15,Management!$C$3:$C$50))&gt;='1'!$I89),COLUMN(M88))),"")</f>
        <v/>
      </c>
      <c r="N89" t="str">
        <f>IFERROR(INDEX(Management!$B$3:$B$50,_xlfn.AGGREGATE(15,6,(ROW(Management!$B$3:$B$50)-ROW(Management!$B$3)+1)/((IF(Management!$C$3:$C$50="Unlimited",10^15,Management!$C$3:$C$50))&gt;='1'!$I89),COLUMN(N88))),"")</f>
        <v/>
      </c>
      <c r="O89" t="str">
        <f>IFERROR(INDEX(Management!$B$3:$B$50,_xlfn.AGGREGATE(15,6,(ROW(Management!$B$3:$B$50)-ROW(Management!$B$3)+1)/((IF(Management!$C$3:$C$50="Unlimited",10^15,Management!$C$3:$C$50))&gt;='1'!$I89),COLUMN(O88))),"")</f>
        <v/>
      </c>
      <c r="P89" t="str">
        <f>IFERROR(INDEX(Management!$B$3:$B$50,_xlfn.AGGREGATE(15,6,(ROW(Management!$B$3:$B$50)-ROW(Management!$B$3)+1)/((IF(Management!$C$3:$C$50="Unlimited",10^15,Management!$C$3:$C$50))&gt;='1'!$I89),COLUMN(P88))),"")</f>
        <v/>
      </c>
      <c r="Q89" t="str">
        <f>IFERROR(INDEX(Management!$B$3:$B$50,_xlfn.AGGREGATE(15,6,(ROW(Management!$B$3:$B$50)-ROW(Management!$B$3)+1)/((IF(Management!$C$3:$C$50="Unlimited",10^15,Management!$C$3:$C$50))&gt;='1'!$I89),COLUMN(Q88))),"")</f>
        <v/>
      </c>
      <c r="R89" t="str">
        <f>IFERROR(INDEX(Management!$B$3:$B$50,_xlfn.AGGREGATE(15,6,(ROW(Management!$B$3:$B$50)-ROW(Management!$B$3)+1)/((IF(Management!$C$3:$C$50="Unlimited",10^15,Management!$C$3:$C$50))&gt;='1'!$I89),COLUMN(R88))),"")</f>
        <v/>
      </c>
      <c r="S89" t="str">
        <f>IFERROR(INDEX(Management!$B$3:$B$50,_xlfn.AGGREGATE(15,6,(ROW(Management!$B$3:$B$50)-ROW(Management!$B$3)+1)/((IF(Management!$C$3:$C$50="Unlimited",10^15,Management!$C$3:$C$50))&gt;='1'!$I89),COLUMN(S88))),"")</f>
        <v/>
      </c>
      <c r="T89" t="str">
        <f>IFERROR(INDEX(Management!$B$3:$B$50,_xlfn.AGGREGATE(15,6,(ROW(Management!$B$3:$B$50)-ROW(Management!$B$3)+1)/((IF(Management!$C$3:$C$50="Unlimited",10^15,Management!$C$3:$C$50))&gt;='1'!$I89),COLUMN(T88))),"")</f>
        <v/>
      </c>
    </row>
    <row r="90" spans="1:20">
      <c r="A90" t="str">
        <f>IFERROR(INDEX(Management!$B$3:$B$50,_xlfn.AGGREGATE(15,6,(ROW(Management!$B$3:$B$50)-ROW(Management!$B$3)+1)/((IF(Management!$C$3:$C$50="Unlimited",10^15,Management!$C$3:$C$50))&gt;='1'!$I90),COLUMN(A89))),"")</f>
        <v/>
      </c>
      <c r="B90" t="str">
        <f>IFERROR(INDEX(Management!$B$3:$B$50,_xlfn.AGGREGATE(15,6,(ROW(Management!$B$3:$B$50)-ROW(Management!$B$3)+1)/((IF(Management!$C$3:$C$50="Unlimited",10^15,Management!$C$3:$C$50))&gt;='1'!$I90),COLUMN(B89))),"")</f>
        <v/>
      </c>
      <c r="C90" t="str">
        <f>IFERROR(INDEX(Management!$B$3:$B$50,_xlfn.AGGREGATE(15,6,(ROW(Management!$B$3:$B$50)-ROW(Management!$B$3)+1)/((IF(Management!$C$3:$C$50="Unlimited",10^15,Management!$C$3:$C$50))&gt;='1'!$I90),COLUMN(C89))),"")</f>
        <v/>
      </c>
      <c r="D90" t="str">
        <f>IFERROR(INDEX(Management!$B$3:$B$50,_xlfn.AGGREGATE(15,6,(ROW(Management!$B$3:$B$50)-ROW(Management!$B$3)+1)/((IF(Management!$C$3:$C$50="Unlimited",10^15,Management!$C$3:$C$50))&gt;='1'!$I90),COLUMN(D89))),"")</f>
        <v/>
      </c>
      <c r="E90" t="str">
        <f>IFERROR(INDEX(Management!$B$3:$B$50,_xlfn.AGGREGATE(15,6,(ROW(Management!$B$3:$B$50)-ROW(Management!$B$3)+1)/((IF(Management!$C$3:$C$50="Unlimited",10^15,Management!$C$3:$C$50))&gt;='1'!$I90),COLUMN(E89))),"")</f>
        <v/>
      </c>
      <c r="F90" t="str">
        <f>IFERROR(INDEX(Management!$B$3:$B$50,_xlfn.AGGREGATE(15,6,(ROW(Management!$B$3:$B$50)-ROW(Management!$B$3)+1)/((IF(Management!$C$3:$C$50="Unlimited",10^15,Management!$C$3:$C$50))&gt;='1'!$I90),COLUMN(F89))),"")</f>
        <v/>
      </c>
      <c r="G90" t="str">
        <f>IFERROR(INDEX(Management!$B$3:$B$50,_xlfn.AGGREGATE(15,6,(ROW(Management!$B$3:$B$50)-ROW(Management!$B$3)+1)/((IF(Management!$C$3:$C$50="Unlimited",10^15,Management!$C$3:$C$50))&gt;='1'!$I90),COLUMN(G89))),"")</f>
        <v/>
      </c>
      <c r="H90" t="str">
        <f>IFERROR(INDEX(Management!$B$3:$B$50,_xlfn.AGGREGATE(15,6,(ROW(Management!$B$3:$B$50)-ROW(Management!$B$3)+1)/((IF(Management!$C$3:$C$50="Unlimited",10^15,Management!$C$3:$C$50))&gt;='1'!$I90),COLUMN(H89))),"")</f>
        <v/>
      </c>
      <c r="I90" t="str">
        <f>IFERROR(INDEX(Management!$B$3:$B$50,_xlfn.AGGREGATE(15,6,(ROW(Management!$B$3:$B$50)-ROW(Management!$B$3)+1)/((IF(Management!$C$3:$C$50="Unlimited",10^15,Management!$C$3:$C$50))&gt;='1'!$I90),COLUMN(I89))),"")</f>
        <v/>
      </c>
      <c r="J90" t="str">
        <f>IFERROR(INDEX(Management!$B$3:$B$50,_xlfn.AGGREGATE(15,6,(ROW(Management!$B$3:$B$50)-ROW(Management!$B$3)+1)/((IF(Management!$C$3:$C$50="Unlimited",10^15,Management!$C$3:$C$50))&gt;='1'!$I90),COLUMN(J89))),"")</f>
        <v/>
      </c>
      <c r="K90" t="str">
        <f>IFERROR(INDEX(Management!$B$3:$B$50,_xlfn.AGGREGATE(15,6,(ROW(Management!$B$3:$B$50)-ROW(Management!$B$3)+1)/((IF(Management!$C$3:$C$50="Unlimited",10^15,Management!$C$3:$C$50))&gt;='1'!$I90),COLUMN(K89))),"")</f>
        <v/>
      </c>
      <c r="L90" t="str">
        <f>IFERROR(INDEX(Management!$B$3:$B$50,_xlfn.AGGREGATE(15,6,(ROW(Management!$B$3:$B$50)-ROW(Management!$B$3)+1)/((IF(Management!$C$3:$C$50="Unlimited",10^15,Management!$C$3:$C$50))&gt;='1'!$I90),COLUMN(L89))),"")</f>
        <v/>
      </c>
      <c r="M90" t="str">
        <f>IFERROR(INDEX(Management!$B$3:$B$50,_xlfn.AGGREGATE(15,6,(ROW(Management!$B$3:$B$50)-ROW(Management!$B$3)+1)/((IF(Management!$C$3:$C$50="Unlimited",10^15,Management!$C$3:$C$50))&gt;='1'!$I90),COLUMN(M89))),"")</f>
        <v/>
      </c>
      <c r="N90" t="str">
        <f>IFERROR(INDEX(Management!$B$3:$B$50,_xlfn.AGGREGATE(15,6,(ROW(Management!$B$3:$B$50)-ROW(Management!$B$3)+1)/((IF(Management!$C$3:$C$50="Unlimited",10^15,Management!$C$3:$C$50))&gt;='1'!$I90),COLUMN(N89))),"")</f>
        <v/>
      </c>
      <c r="O90" t="str">
        <f>IFERROR(INDEX(Management!$B$3:$B$50,_xlfn.AGGREGATE(15,6,(ROW(Management!$B$3:$B$50)-ROW(Management!$B$3)+1)/((IF(Management!$C$3:$C$50="Unlimited",10^15,Management!$C$3:$C$50))&gt;='1'!$I90),COLUMN(O89))),"")</f>
        <v/>
      </c>
      <c r="P90" t="str">
        <f>IFERROR(INDEX(Management!$B$3:$B$50,_xlfn.AGGREGATE(15,6,(ROW(Management!$B$3:$B$50)-ROW(Management!$B$3)+1)/((IF(Management!$C$3:$C$50="Unlimited",10^15,Management!$C$3:$C$50))&gt;='1'!$I90),COLUMN(P89))),"")</f>
        <v/>
      </c>
      <c r="Q90" t="str">
        <f>IFERROR(INDEX(Management!$B$3:$B$50,_xlfn.AGGREGATE(15,6,(ROW(Management!$B$3:$B$50)-ROW(Management!$B$3)+1)/((IF(Management!$C$3:$C$50="Unlimited",10^15,Management!$C$3:$C$50))&gt;='1'!$I90),COLUMN(Q89))),"")</f>
        <v/>
      </c>
      <c r="R90" t="str">
        <f>IFERROR(INDEX(Management!$B$3:$B$50,_xlfn.AGGREGATE(15,6,(ROW(Management!$B$3:$B$50)-ROW(Management!$B$3)+1)/((IF(Management!$C$3:$C$50="Unlimited",10^15,Management!$C$3:$C$50))&gt;='1'!$I90),COLUMN(R89))),"")</f>
        <v/>
      </c>
      <c r="S90" t="str">
        <f>IFERROR(INDEX(Management!$B$3:$B$50,_xlfn.AGGREGATE(15,6,(ROW(Management!$B$3:$B$50)-ROW(Management!$B$3)+1)/((IF(Management!$C$3:$C$50="Unlimited",10^15,Management!$C$3:$C$50))&gt;='1'!$I90),COLUMN(S89))),"")</f>
        <v/>
      </c>
      <c r="T90" t="str">
        <f>IFERROR(INDEX(Management!$B$3:$B$50,_xlfn.AGGREGATE(15,6,(ROW(Management!$B$3:$B$50)-ROW(Management!$B$3)+1)/((IF(Management!$C$3:$C$50="Unlimited",10^15,Management!$C$3:$C$50))&gt;='1'!$I90),COLUMN(T89))),"")</f>
        <v/>
      </c>
    </row>
    <row r="91" spans="1:20">
      <c r="A91" t="str">
        <f>IFERROR(INDEX(Management!$B$3:$B$50,_xlfn.AGGREGATE(15,6,(ROW(Management!$B$3:$B$50)-ROW(Management!$B$3)+1)/((IF(Management!$C$3:$C$50="Unlimited",10^15,Management!$C$3:$C$50))&gt;='1'!$I91),COLUMN(A90))),"")</f>
        <v/>
      </c>
      <c r="B91" t="str">
        <f>IFERROR(INDEX(Management!$B$3:$B$50,_xlfn.AGGREGATE(15,6,(ROW(Management!$B$3:$B$50)-ROW(Management!$B$3)+1)/((IF(Management!$C$3:$C$50="Unlimited",10^15,Management!$C$3:$C$50))&gt;='1'!$I91),COLUMN(B90))),"")</f>
        <v/>
      </c>
      <c r="C91" t="str">
        <f>IFERROR(INDEX(Management!$B$3:$B$50,_xlfn.AGGREGATE(15,6,(ROW(Management!$B$3:$B$50)-ROW(Management!$B$3)+1)/((IF(Management!$C$3:$C$50="Unlimited",10^15,Management!$C$3:$C$50))&gt;='1'!$I91),COLUMN(C90))),"")</f>
        <v/>
      </c>
      <c r="D91" t="str">
        <f>IFERROR(INDEX(Management!$B$3:$B$50,_xlfn.AGGREGATE(15,6,(ROW(Management!$B$3:$B$50)-ROW(Management!$B$3)+1)/((IF(Management!$C$3:$C$50="Unlimited",10^15,Management!$C$3:$C$50))&gt;='1'!$I91),COLUMN(D90))),"")</f>
        <v/>
      </c>
      <c r="E91" t="str">
        <f>IFERROR(INDEX(Management!$B$3:$B$50,_xlfn.AGGREGATE(15,6,(ROW(Management!$B$3:$B$50)-ROW(Management!$B$3)+1)/((IF(Management!$C$3:$C$50="Unlimited",10^15,Management!$C$3:$C$50))&gt;='1'!$I91),COLUMN(E90))),"")</f>
        <v/>
      </c>
      <c r="F91" t="str">
        <f>IFERROR(INDEX(Management!$B$3:$B$50,_xlfn.AGGREGATE(15,6,(ROW(Management!$B$3:$B$50)-ROW(Management!$B$3)+1)/((IF(Management!$C$3:$C$50="Unlimited",10^15,Management!$C$3:$C$50))&gt;='1'!$I91),COLUMN(F90))),"")</f>
        <v/>
      </c>
      <c r="G91" t="str">
        <f>IFERROR(INDEX(Management!$B$3:$B$50,_xlfn.AGGREGATE(15,6,(ROW(Management!$B$3:$B$50)-ROW(Management!$B$3)+1)/((IF(Management!$C$3:$C$50="Unlimited",10^15,Management!$C$3:$C$50))&gt;='1'!$I91),COLUMN(G90))),"")</f>
        <v/>
      </c>
      <c r="H91" t="str">
        <f>IFERROR(INDEX(Management!$B$3:$B$50,_xlfn.AGGREGATE(15,6,(ROW(Management!$B$3:$B$50)-ROW(Management!$B$3)+1)/((IF(Management!$C$3:$C$50="Unlimited",10^15,Management!$C$3:$C$50))&gt;='1'!$I91),COLUMN(H90))),"")</f>
        <v/>
      </c>
      <c r="I91" t="str">
        <f>IFERROR(INDEX(Management!$B$3:$B$50,_xlfn.AGGREGATE(15,6,(ROW(Management!$B$3:$B$50)-ROW(Management!$B$3)+1)/((IF(Management!$C$3:$C$50="Unlimited",10^15,Management!$C$3:$C$50))&gt;='1'!$I91),COLUMN(I90))),"")</f>
        <v/>
      </c>
      <c r="J91" t="str">
        <f>IFERROR(INDEX(Management!$B$3:$B$50,_xlfn.AGGREGATE(15,6,(ROW(Management!$B$3:$B$50)-ROW(Management!$B$3)+1)/((IF(Management!$C$3:$C$50="Unlimited",10^15,Management!$C$3:$C$50))&gt;='1'!$I91),COLUMN(J90))),"")</f>
        <v/>
      </c>
      <c r="K91" t="str">
        <f>IFERROR(INDEX(Management!$B$3:$B$50,_xlfn.AGGREGATE(15,6,(ROW(Management!$B$3:$B$50)-ROW(Management!$B$3)+1)/((IF(Management!$C$3:$C$50="Unlimited",10^15,Management!$C$3:$C$50))&gt;='1'!$I91),COLUMN(K90))),"")</f>
        <v/>
      </c>
      <c r="L91" t="str">
        <f>IFERROR(INDEX(Management!$B$3:$B$50,_xlfn.AGGREGATE(15,6,(ROW(Management!$B$3:$B$50)-ROW(Management!$B$3)+1)/((IF(Management!$C$3:$C$50="Unlimited",10^15,Management!$C$3:$C$50))&gt;='1'!$I91),COLUMN(L90))),"")</f>
        <v/>
      </c>
      <c r="M91" t="str">
        <f>IFERROR(INDEX(Management!$B$3:$B$50,_xlfn.AGGREGATE(15,6,(ROW(Management!$B$3:$B$50)-ROW(Management!$B$3)+1)/((IF(Management!$C$3:$C$50="Unlimited",10^15,Management!$C$3:$C$50))&gt;='1'!$I91),COLUMN(M90))),"")</f>
        <v/>
      </c>
      <c r="N91" t="str">
        <f>IFERROR(INDEX(Management!$B$3:$B$50,_xlfn.AGGREGATE(15,6,(ROW(Management!$B$3:$B$50)-ROW(Management!$B$3)+1)/((IF(Management!$C$3:$C$50="Unlimited",10^15,Management!$C$3:$C$50))&gt;='1'!$I91),COLUMN(N90))),"")</f>
        <v/>
      </c>
      <c r="O91" t="str">
        <f>IFERROR(INDEX(Management!$B$3:$B$50,_xlfn.AGGREGATE(15,6,(ROW(Management!$B$3:$B$50)-ROW(Management!$B$3)+1)/((IF(Management!$C$3:$C$50="Unlimited",10^15,Management!$C$3:$C$50))&gt;='1'!$I91),COLUMN(O90))),"")</f>
        <v/>
      </c>
      <c r="P91" t="str">
        <f>IFERROR(INDEX(Management!$B$3:$B$50,_xlfn.AGGREGATE(15,6,(ROW(Management!$B$3:$B$50)-ROW(Management!$B$3)+1)/((IF(Management!$C$3:$C$50="Unlimited",10^15,Management!$C$3:$C$50))&gt;='1'!$I91),COLUMN(P90))),"")</f>
        <v/>
      </c>
      <c r="Q91" t="str">
        <f>IFERROR(INDEX(Management!$B$3:$B$50,_xlfn.AGGREGATE(15,6,(ROW(Management!$B$3:$B$50)-ROW(Management!$B$3)+1)/((IF(Management!$C$3:$C$50="Unlimited",10^15,Management!$C$3:$C$50))&gt;='1'!$I91),COLUMN(Q90))),"")</f>
        <v/>
      </c>
      <c r="R91" t="str">
        <f>IFERROR(INDEX(Management!$B$3:$B$50,_xlfn.AGGREGATE(15,6,(ROW(Management!$B$3:$B$50)-ROW(Management!$B$3)+1)/((IF(Management!$C$3:$C$50="Unlimited",10^15,Management!$C$3:$C$50))&gt;='1'!$I91),COLUMN(R90))),"")</f>
        <v/>
      </c>
      <c r="S91" t="str">
        <f>IFERROR(INDEX(Management!$B$3:$B$50,_xlfn.AGGREGATE(15,6,(ROW(Management!$B$3:$B$50)-ROW(Management!$B$3)+1)/((IF(Management!$C$3:$C$50="Unlimited",10^15,Management!$C$3:$C$50))&gt;='1'!$I91),COLUMN(S90))),"")</f>
        <v/>
      </c>
      <c r="T91" t="str">
        <f>IFERROR(INDEX(Management!$B$3:$B$50,_xlfn.AGGREGATE(15,6,(ROW(Management!$B$3:$B$50)-ROW(Management!$B$3)+1)/((IF(Management!$C$3:$C$50="Unlimited",10^15,Management!$C$3:$C$50))&gt;='1'!$I91),COLUMN(T90))),"")</f>
        <v/>
      </c>
    </row>
    <row r="92" spans="1:20">
      <c r="A92" t="str">
        <f>IFERROR(INDEX(Management!$B$3:$B$50,_xlfn.AGGREGATE(15,6,(ROW(Management!$B$3:$B$50)-ROW(Management!$B$3)+1)/((IF(Management!$C$3:$C$50="Unlimited",10^15,Management!$C$3:$C$50))&gt;='1'!$I92),COLUMN(A91))),"")</f>
        <v/>
      </c>
      <c r="B92" t="str">
        <f>IFERROR(INDEX(Management!$B$3:$B$50,_xlfn.AGGREGATE(15,6,(ROW(Management!$B$3:$B$50)-ROW(Management!$B$3)+1)/((IF(Management!$C$3:$C$50="Unlimited",10^15,Management!$C$3:$C$50))&gt;='1'!$I92),COLUMN(B91))),"")</f>
        <v/>
      </c>
      <c r="C92" t="str">
        <f>IFERROR(INDEX(Management!$B$3:$B$50,_xlfn.AGGREGATE(15,6,(ROW(Management!$B$3:$B$50)-ROW(Management!$B$3)+1)/((IF(Management!$C$3:$C$50="Unlimited",10^15,Management!$C$3:$C$50))&gt;='1'!$I92),COLUMN(C91))),"")</f>
        <v/>
      </c>
      <c r="D92" t="str">
        <f>IFERROR(INDEX(Management!$B$3:$B$50,_xlfn.AGGREGATE(15,6,(ROW(Management!$B$3:$B$50)-ROW(Management!$B$3)+1)/((IF(Management!$C$3:$C$50="Unlimited",10^15,Management!$C$3:$C$50))&gt;='1'!$I92),COLUMN(D91))),"")</f>
        <v/>
      </c>
      <c r="E92" t="str">
        <f>IFERROR(INDEX(Management!$B$3:$B$50,_xlfn.AGGREGATE(15,6,(ROW(Management!$B$3:$B$50)-ROW(Management!$B$3)+1)/((IF(Management!$C$3:$C$50="Unlimited",10^15,Management!$C$3:$C$50))&gt;='1'!$I92),COLUMN(E91))),"")</f>
        <v/>
      </c>
      <c r="F92" t="str">
        <f>IFERROR(INDEX(Management!$B$3:$B$50,_xlfn.AGGREGATE(15,6,(ROW(Management!$B$3:$B$50)-ROW(Management!$B$3)+1)/((IF(Management!$C$3:$C$50="Unlimited",10^15,Management!$C$3:$C$50))&gt;='1'!$I92),COLUMN(F91))),"")</f>
        <v/>
      </c>
      <c r="G92" t="str">
        <f>IFERROR(INDEX(Management!$B$3:$B$50,_xlfn.AGGREGATE(15,6,(ROW(Management!$B$3:$B$50)-ROW(Management!$B$3)+1)/((IF(Management!$C$3:$C$50="Unlimited",10^15,Management!$C$3:$C$50))&gt;='1'!$I92),COLUMN(G91))),"")</f>
        <v/>
      </c>
      <c r="H92" t="str">
        <f>IFERROR(INDEX(Management!$B$3:$B$50,_xlfn.AGGREGATE(15,6,(ROW(Management!$B$3:$B$50)-ROW(Management!$B$3)+1)/((IF(Management!$C$3:$C$50="Unlimited",10^15,Management!$C$3:$C$50))&gt;='1'!$I92),COLUMN(H91))),"")</f>
        <v/>
      </c>
      <c r="I92" t="str">
        <f>IFERROR(INDEX(Management!$B$3:$B$50,_xlfn.AGGREGATE(15,6,(ROW(Management!$B$3:$B$50)-ROW(Management!$B$3)+1)/((IF(Management!$C$3:$C$50="Unlimited",10^15,Management!$C$3:$C$50))&gt;='1'!$I92),COLUMN(I91))),"")</f>
        <v/>
      </c>
      <c r="J92" t="str">
        <f>IFERROR(INDEX(Management!$B$3:$B$50,_xlfn.AGGREGATE(15,6,(ROW(Management!$B$3:$B$50)-ROW(Management!$B$3)+1)/((IF(Management!$C$3:$C$50="Unlimited",10^15,Management!$C$3:$C$50))&gt;='1'!$I92),COLUMN(J91))),"")</f>
        <v/>
      </c>
      <c r="K92" t="str">
        <f>IFERROR(INDEX(Management!$B$3:$B$50,_xlfn.AGGREGATE(15,6,(ROW(Management!$B$3:$B$50)-ROW(Management!$B$3)+1)/((IF(Management!$C$3:$C$50="Unlimited",10^15,Management!$C$3:$C$50))&gt;='1'!$I92),COLUMN(K91))),"")</f>
        <v/>
      </c>
      <c r="L92" t="str">
        <f>IFERROR(INDEX(Management!$B$3:$B$50,_xlfn.AGGREGATE(15,6,(ROW(Management!$B$3:$B$50)-ROW(Management!$B$3)+1)/((IF(Management!$C$3:$C$50="Unlimited",10^15,Management!$C$3:$C$50))&gt;='1'!$I92),COLUMN(L91))),"")</f>
        <v/>
      </c>
      <c r="M92" t="str">
        <f>IFERROR(INDEX(Management!$B$3:$B$50,_xlfn.AGGREGATE(15,6,(ROW(Management!$B$3:$B$50)-ROW(Management!$B$3)+1)/((IF(Management!$C$3:$C$50="Unlimited",10^15,Management!$C$3:$C$50))&gt;='1'!$I92),COLUMN(M91))),"")</f>
        <v/>
      </c>
      <c r="N92" t="str">
        <f>IFERROR(INDEX(Management!$B$3:$B$50,_xlfn.AGGREGATE(15,6,(ROW(Management!$B$3:$B$50)-ROW(Management!$B$3)+1)/((IF(Management!$C$3:$C$50="Unlimited",10^15,Management!$C$3:$C$50))&gt;='1'!$I92),COLUMN(N91))),"")</f>
        <v/>
      </c>
      <c r="O92" t="str">
        <f>IFERROR(INDEX(Management!$B$3:$B$50,_xlfn.AGGREGATE(15,6,(ROW(Management!$B$3:$B$50)-ROW(Management!$B$3)+1)/((IF(Management!$C$3:$C$50="Unlimited",10^15,Management!$C$3:$C$50))&gt;='1'!$I92),COLUMN(O91))),"")</f>
        <v/>
      </c>
      <c r="P92" t="str">
        <f>IFERROR(INDEX(Management!$B$3:$B$50,_xlfn.AGGREGATE(15,6,(ROW(Management!$B$3:$B$50)-ROW(Management!$B$3)+1)/((IF(Management!$C$3:$C$50="Unlimited",10^15,Management!$C$3:$C$50))&gt;='1'!$I92),COLUMN(P91))),"")</f>
        <v/>
      </c>
      <c r="Q92" t="str">
        <f>IFERROR(INDEX(Management!$B$3:$B$50,_xlfn.AGGREGATE(15,6,(ROW(Management!$B$3:$B$50)-ROW(Management!$B$3)+1)/((IF(Management!$C$3:$C$50="Unlimited",10^15,Management!$C$3:$C$50))&gt;='1'!$I92),COLUMN(Q91))),"")</f>
        <v/>
      </c>
      <c r="R92" t="str">
        <f>IFERROR(INDEX(Management!$B$3:$B$50,_xlfn.AGGREGATE(15,6,(ROW(Management!$B$3:$B$50)-ROW(Management!$B$3)+1)/((IF(Management!$C$3:$C$50="Unlimited",10^15,Management!$C$3:$C$50))&gt;='1'!$I92),COLUMN(R91))),"")</f>
        <v/>
      </c>
      <c r="S92" t="str">
        <f>IFERROR(INDEX(Management!$B$3:$B$50,_xlfn.AGGREGATE(15,6,(ROW(Management!$B$3:$B$50)-ROW(Management!$B$3)+1)/((IF(Management!$C$3:$C$50="Unlimited",10^15,Management!$C$3:$C$50))&gt;='1'!$I92),COLUMN(S91))),"")</f>
        <v/>
      </c>
      <c r="T92" t="str">
        <f>IFERROR(INDEX(Management!$B$3:$B$50,_xlfn.AGGREGATE(15,6,(ROW(Management!$B$3:$B$50)-ROW(Management!$B$3)+1)/((IF(Management!$C$3:$C$50="Unlimited",10^15,Management!$C$3:$C$50))&gt;='1'!$I92),COLUMN(T91))),"")</f>
        <v/>
      </c>
    </row>
    <row r="93" spans="1:20">
      <c r="A93" t="str">
        <f>IFERROR(INDEX(Management!$B$3:$B$50,_xlfn.AGGREGATE(15,6,(ROW(Management!$B$3:$B$50)-ROW(Management!$B$3)+1)/((IF(Management!$C$3:$C$50="Unlimited",10^15,Management!$C$3:$C$50))&gt;='1'!$I93),COLUMN(A92))),"")</f>
        <v/>
      </c>
      <c r="B93" t="str">
        <f>IFERROR(INDEX(Management!$B$3:$B$50,_xlfn.AGGREGATE(15,6,(ROW(Management!$B$3:$B$50)-ROW(Management!$B$3)+1)/((IF(Management!$C$3:$C$50="Unlimited",10^15,Management!$C$3:$C$50))&gt;='1'!$I93),COLUMN(B92))),"")</f>
        <v/>
      </c>
      <c r="C93" t="str">
        <f>IFERROR(INDEX(Management!$B$3:$B$50,_xlfn.AGGREGATE(15,6,(ROW(Management!$B$3:$B$50)-ROW(Management!$B$3)+1)/((IF(Management!$C$3:$C$50="Unlimited",10^15,Management!$C$3:$C$50))&gt;='1'!$I93),COLUMN(C92))),"")</f>
        <v/>
      </c>
      <c r="D93" t="str">
        <f>IFERROR(INDEX(Management!$B$3:$B$50,_xlfn.AGGREGATE(15,6,(ROW(Management!$B$3:$B$50)-ROW(Management!$B$3)+1)/((IF(Management!$C$3:$C$50="Unlimited",10^15,Management!$C$3:$C$50))&gt;='1'!$I93),COLUMN(D92))),"")</f>
        <v/>
      </c>
      <c r="E93" t="str">
        <f>IFERROR(INDEX(Management!$B$3:$B$50,_xlfn.AGGREGATE(15,6,(ROW(Management!$B$3:$B$50)-ROW(Management!$B$3)+1)/((IF(Management!$C$3:$C$50="Unlimited",10^15,Management!$C$3:$C$50))&gt;='1'!$I93),COLUMN(E92))),"")</f>
        <v/>
      </c>
      <c r="F93" t="str">
        <f>IFERROR(INDEX(Management!$B$3:$B$50,_xlfn.AGGREGATE(15,6,(ROW(Management!$B$3:$B$50)-ROW(Management!$B$3)+1)/((IF(Management!$C$3:$C$50="Unlimited",10^15,Management!$C$3:$C$50))&gt;='1'!$I93),COLUMN(F92))),"")</f>
        <v/>
      </c>
      <c r="G93" t="str">
        <f>IFERROR(INDEX(Management!$B$3:$B$50,_xlfn.AGGREGATE(15,6,(ROW(Management!$B$3:$B$50)-ROW(Management!$B$3)+1)/((IF(Management!$C$3:$C$50="Unlimited",10^15,Management!$C$3:$C$50))&gt;='1'!$I93),COLUMN(G92))),"")</f>
        <v/>
      </c>
      <c r="H93" t="str">
        <f>IFERROR(INDEX(Management!$B$3:$B$50,_xlfn.AGGREGATE(15,6,(ROW(Management!$B$3:$B$50)-ROW(Management!$B$3)+1)/((IF(Management!$C$3:$C$50="Unlimited",10^15,Management!$C$3:$C$50))&gt;='1'!$I93),COLUMN(H92))),"")</f>
        <v/>
      </c>
      <c r="I93" t="str">
        <f>IFERROR(INDEX(Management!$B$3:$B$50,_xlfn.AGGREGATE(15,6,(ROW(Management!$B$3:$B$50)-ROW(Management!$B$3)+1)/((IF(Management!$C$3:$C$50="Unlimited",10^15,Management!$C$3:$C$50))&gt;='1'!$I93),COLUMN(I92))),"")</f>
        <v/>
      </c>
      <c r="J93" t="str">
        <f>IFERROR(INDEX(Management!$B$3:$B$50,_xlfn.AGGREGATE(15,6,(ROW(Management!$B$3:$B$50)-ROW(Management!$B$3)+1)/((IF(Management!$C$3:$C$50="Unlimited",10^15,Management!$C$3:$C$50))&gt;='1'!$I93),COLUMN(J92))),"")</f>
        <v/>
      </c>
      <c r="K93" t="str">
        <f>IFERROR(INDEX(Management!$B$3:$B$50,_xlfn.AGGREGATE(15,6,(ROW(Management!$B$3:$B$50)-ROW(Management!$B$3)+1)/((IF(Management!$C$3:$C$50="Unlimited",10^15,Management!$C$3:$C$50))&gt;='1'!$I93),COLUMN(K92))),"")</f>
        <v/>
      </c>
      <c r="L93" t="str">
        <f>IFERROR(INDEX(Management!$B$3:$B$50,_xlfn.AGGREGATE(15,6,(ROW(Management!$B$3:$B$50)-ROW(Management!$B$3)+1)/((IF(Management!$C$3:$C$50="Unlimited",10^15,Management!$C$3:$C$50))&gt;='1'!$I93),COLUMN(L92))),"")</f>
        <v/>
      </c>
      <c r="M93" t="str">
        <f>IFERROR(INDEX(Management!$B$3:$B$50,_xlfn.AGGREGATE(15,6,(ROW(Management!$B$3:$B$50)-ROW(Management!$B$3)+1)/((IF(Management!$C$3:$C$50="Unlimited",10^15,Management!$C$3:$C$50))&gt;='1'!$I93),COLUMN(M92))),"")</f>
        <v/>
      </c>
      <c r="N93" t="str">
        <f>IFERROR(INDEX(Management!$B$3:$B$50,_xlfn.AGGREGATE(15,6,(ROW(Management!$B$3:$B$50)-ROW(Management!$B$3)+1)/((IF(Management!$C$3:$C$50="Unlimited",10^15,Management!$C$3:$C$50))&gt;='1'!$I93),COLUMN(N92))),"")</f>
        <v/>
      </c>
      <c r="O93" t="str">
        <f>IFERROR(INDEX(Management!$B$3:$B$50,_xlfn.AGGREGATE(15,6,(ROW(Management!$B$3:$B$50)-ROW(Management!$B$3)+1)/((IF(Management!$C$3:$C$50="Unlimited",10^15,Management!$C$3:$C$50))&gt;='1'!$I93),COLUMN(O92))),"")</f>
        <v/>
      </c>
      <c r="P93" t="str">
        <f>IFERROR(INDEX(Management!$B$3:$B$50,_xlfn.AGGREGATE(15,6,(ROW(Management!$B$3:$B$50)-ROW(Management!$B$3)+1)/((IF(Management!$C$3:$C$50="Unlimited",10^15,Management!$C$3:$C$50))&gt;='1'!$I93),COLUMN(P92))),"")</f>
        <v/>
      </c>
      <c r="Q93" t="str">
        <f>IFERROR(INDEX(Management!$B$3:$B$50,_xlfn.AGGREGATE(15,6,(ROW(Management!$B$3:$B$50)-ROW(Management!$B$3)+1)/((IF(Management!$C$3:$C$50="Unlimited",10^15,Management!$C$3:$C$50))&gt;='1'!$I93),COLUMN(Q92))),"")</f>
        <v/>
      </c>
      <c r="R93" t="str">
        <f>IFERROR(INDEX(Management!$B$3:$B$50,_xlfn.AGGREGATE(15,6,(ROW(Management!$B$3:$B$50)-ROW(Management!$B$3)+1)/((IF(Management!$C$3:$C$50="Unlimited",10^15,Management!$C$3:$C$50))&gt;='1'!$I93),COLUMN(R92))),"")</f>
        <v/>
      </c>
      <c r="S93" t="str">
        <f>IFERROR(INDEX(Management!$B$3:$B$50,_xlfn.AGGREGATE(15,6,(ROW(Management!$B$3:$B$50)-ROW(Management!$B$3)+1)/((IF(Management!$C$3:$C$50="Unlimited",10^15,Management!$C$3:$C$50))&gt;='1'!$I93),COLUMN(S92))),"")</f>
        <v/>
      </c>
      <c r="T93" t="str">
        <f>IFERROR(INDEX(Management!$B$3:$B$50,_xlfn.AGGREGATE(15,6,(ROW(Management!$B$3:$B$50)-ROW(Management!$B$3)+1)/((IF(Management!$C$3:$C$50="Unlimited",10^15,Management!$C$3:$C$50))&gt;='1'!$I93),COLUMN(T92))),"")</f>
        <v/>
      </c>
    </row>
    <row r="94" spans="1:20">
      <c r="A94" t="str">
        <f>IFERROR(INDEX(Management!$B$3:$B$50,_xlfn.AGGREGATE(15,6,(ROW(Management!$B$3:$B$50)-ROW(Management!$B$3)+1)/((IF(Management!$C$3:$C$50="Unlimited",10^15,Management!$C$3:$C$50))&gt;='1'!$I94),COLUMN(A93))),"")</f>
        <v/>
      </c>
      <c r="B94" t="str">
        <f>IFERROR(INDEX(Management!$B$3:$B$50,_xlfn.AGGREGATE(15,6,(ROW(Management!$B$3:$B$50)-ROW(Management!$B$3)+1)/((IF(Management!$C$3:$C$50="Unlimited",10^15,Management!$C$3:$C$50))&gt;='1'!$I94),COLUMN(B93))),"")</f>
        <v/>
      </c>
      <c r="C94" t="str">
        <f>IFERROR(INDEX(Management!$B$3:$B$50,_xlfn.AGGREGATE(15,6,(ROW(Management!$B$3:$B$50)-ROW(Management!$B$3)+1)/((IF(Management!$C$3:$C$50="Unlimited",10^15,Management!$C$3:$C$50))&gt;='1'!$I94),COLUMN(C93))),"")</f>
        <v/>
      </c>
      <c r="D94" t="str">
        <f>IFERROR(INDEX(Management!$B$3:$B$50,_xlfn.AGGREGATE(15,6,(ROW(Management!$B$3:$B$50)-ROW(Management!$B$3)+1)/((IF(Management!$C$3:$C$50="Unlimited",10^15,Management!$C$3:$C$50))&gt;='1'!$I94),COLUMN(D93))),"")</f>
        <v/>
      </c>
      <c r="E94" t="str">
        <f>IFERROR(INDEX(Management!$B$3:$B$50,_xlfn.AGGREGATE(15,6,(ROW(Management!$B$3:$B$50)-ROW(Management!$B$3)+1)/((IF(Management!$C$3:$C$50="Unlimited",10^15,Management!$C$3:$C$50))&gt;='1'!$I94),COLUMN(E93))),"")</f>
        <v/>
      </c>
      <c r="F94" t="str">
        <f>IFERROR(INDEX(Management!$B$3:$B$50,_xlfn.AGGREGATE(15,6,(ROW(Management!$B$3:$B$50)-ROW(Management!$B$3)+1)/((IF(Management!$C$3:$C$50="Unlimited",10^15,Management!$C$3:$C$50))&gt;='1'!$I94),COLUMN(F93))),"")</f>
        <v/>
      </c>
      <c r="G94" t="str">
        <f>IFERROR(INDEX(Management!$B$3:$B$50,_xlfn.AGGREGATE(15,6,(ROW(Management!$B$3:$B$50)-ROW(Management!$B$3)+1)/((IF(Management!$C$3:$C$50="Unlimited",10^15,Management!$C$3:$C$50))&gt;='1'!$I94),COLUMN(G93))),"")</f>
        <v/>
      </c>
      <c r="H94" t="str">
        <f>IFERROR(INDEX(Management!$B$3:$B$50,_xlfn.AGGREGATE(15,6,(ROW(Management!$B$3:$B$50)-ROW(Management!$B$3)+1)/((IF(Management!$C$3:$C$50="Unlimited",10^15,Management!$C$3:$C$50))&gt;='1'!$I94),COLUMN(H93))),"")</f>
        <v/>
      </c>
      <c r="I94" t="str">
        <f>IFERROR(INDEX(Management!$B$3:$B$50,_xlfn.AGGREGATE(15,6,(ROW(Management!$B$3:$B$50)-ROW(Management!$B$3)+1)/((IF(Management!$C$3:$C$50="Unlimited",10^15,Management!$C$3:$C$50))&gt;='1'!$I94),COLUMN(I93))),"")</f>
        <v/>
      </c>
      <c r="J94" t="str">
        <f>IFERROR(INDEX(Management!$B$3:$B$50,_xlfn.AGGREGATE(15,6,(ROW(Management!$B$3:$B$50)-ROW(Management!$B$3)+1)/((IF(Management!$C$3:$C$50="Unlimited",10^15,Management!$C$3:$C$50))&gt;='1'!$I94),COLUMN(J93))),"")</f>
        <v/>
      </c>
      <c r="K94" t="str">
        <f>IFERROR(INDEX(Management!$B$3:$B$50,_xlfn.AGGREGATE(15,6,(ROW(Management!$B$3:$B$50)-ROW(Management!$B$3)+1)/((IF(Management!$C$3:$C$50="Unlimited",10^15,Management!$C$3:$C$50))&gt;='1'!$I94),COLUMN(K93))),"")</f>
        <v/>
      </c>
      <c r="L94" t="str">
        <f>IFERROR(INDEX(Management!$B$3:$B$50,_xlfn.AGGREGATE(15,6,(ROW(Management!$B$3:$B$50)-ROW(Management!$B$3)+1)/((IF(Management!$C$3:$C$50="Unlimited",10^15,Management!$C$3:$C$50))&gt;='1'!$I94),COLUMN(L93))),"")</f>
        <v/>
      </c>
      <c r="M94" t="str">
        <f>IFERROR(INDEX(Management!$B$3:$B$50,_xlfn.AGGREGATE(15,6,(ROW(Management!$B$3:$B$50)-ROW(Management!$B$3)+1)/((IF(Management!$C$3:$C$50="Unlimited",10^15,Management!$C$3:$C$50))&gt;='1'!$I94),COLUMN(M93))),"")</f>
        <v/>
      </c>
      <c r="N94" t="str">
        <f>IFERROR(INDEX(Management!$B$3:$B$50,_xlfn.AGGREGATE(15,6,(ROW(Management!$B$3:$B$50)-ROW(Management!$B$3)+1)/((IF(Management!$C$3:$C$50="Unlimited",10^15,Management!$C$3:$C$50))&gt;='1'!$I94),COLUMN(N93))),"")</f>
        <v/>
      </c>
      <c r="O94" t="str">
        <f>IFERROR(INDEX(Management!$B$3:$B$50,_xlfn.AGGREGATE(15,6,(ROW(Management!$B$3:$B$50)-ROW(Management!$B$3)+1)/((IF(Management!$C$3:$C$50="Unlimited",10^15,Management!$C$3:$C$50))&gt;='1'!$I94),COLUMN(O93))),"")</f>
        <v/>
      </c>
      <c r="P94" t="str">
        <f>IFERROR(INDEX(Management!$B$3:$B$50,_xlfn.AGGREGATE(15,6,(ROW(Management!$B$3:$B$50)-ROW(Management!$B$3)+1)/((IF(Management!$C$3:$C$50="Unlimited",10^15,Management!$C$3:$C$50))&gt;='1'!$I94),COLUMN(P93))),"")</f>
        <v/>
      </c>
      <c r="Q94" t="str">
        <f>IFERROR(INDEX(Management!$B$3:$B$50,_xlfn.AGGREGATE(15,6,(ROW(Management!$B$3:$B$50)-ROW(Management!$B$3)+1)/((IF(Management!$C$3:$C$50="Unlimited",10^15,Management!$C$3:$C$50))&gt;='1'!$I94),COLUMN(Q93))),"")</f>
        <v/>
      </c>
      <c r="R94" t="str">
        <f>IFERROR(INDEX(Management!$B$3:$B$50,_xlfn.AGGREGATE(15,6,(ROW(Management!$B$3:$B$50)-ROW(Management!$B$3)+1)/((IF(Management!$C$3:$C$50="Unlimited",10^15,Management!$C$3:$C$50))&gt;='1'!$I94),COLUMN(R93))),"")</f>
        <v/>
      </c>
      <c r="S94" t="str">
        <f>IFERROR(INDEX(Management!$B$3:$B$50,_xlfn.AGGREGATE(15,6,(ROW(Management!$B$3:$B$50)-ROW(Management!$B$3)+1)/((IF(Management!$C$3:$C$50="Unlimited",10^15,Management!$C$3:$C$50))&gt;='1'!$I94),COLUMN(S93))),"")</f>
        <v/>
      </c>
      <c r="T94" t="str">
        <f>IFERROR(INDEX(Management!$B$3:$B$50,_xlfn.AGGREGATE(15,6,(ROW(Management!$B$3:$B$50)-ROW(Management!$B$3)+1)/((IF(Management!$C$3:$C$50="Unlimited",10^15,Management!$C$3:$C$50))&gt;='1'!$I94),COLUMN(T93))),"")</f>
        <v/>
      </c>
    </row>
    <row r="95" spans="1:20">
      <c r="A95" t="str">
        <f>IFERROR(INDEX(Management!$B$3:$B$50,_xlfn.AGGREGATE(15,6,(ROW(Management!$B$3:$B$50)-ROW(Management!$B$3)+1)/((IF(Management!$C$3:$C$50="Unlimited",10^15,Management!$C$3:$C$50))&gt;='1'!$I95),COLUMN(A94))),"")</f>
        <v/>
      </c>
      <c r="B95" t="str">
        <f>IFERROR(INDEX(Management!$B$3:$B$50,_xlfn.AGGREGATE(15,6,(ROW(Management!$B$3:$B$50)-ROW(Management!$B$3)+1)/((IF(Management!$C$3:$C$50="Unlimited",10^15,Management!$C$3:$C$50))&gt;='1'!$I95),COLUMN(B94))),"")</f>
        <v/>
      </c>
      <c r="C95" t="str">
        <f>IFERROR(INDEX(Management!$B$3:$B$50,_xlfn.AGGREGATE(15,6,(ROW(Management!$B$3:$B$50)-ROW(Management!$B$3)+1)/((IF(Management!$C$3:$C$50="Unlimited",10^15,Management!$C$3:$C$50))&gt;='1'!$I95),COLUMN(C94))),"")</f>
        <v/>
      </c>
      <c r="D95" t="str">
        <f>IFERROR(INDEX(Management!$B$3:$B$50,_xlfn.AGGREGATE(15,6,(ROW(Management!$B$3:$B$50)-ROW(Management!$B$3)+1)/((IF(Management!$C$3:$C$50="Unlimited",10^15,Management!$C$3:$C$50))&gt;='1'!$I95),COLUMN(D94))),"")</f>
        <v/>
      </c>
      <c r="E95" t="str">
        <f>IFERROR(INDEX(Management!$B$3:$B$50,_xlfn.AGGREGATE(15,6,(ROW(Management!$B$3:$B$50)-ROW(Management!$B$3)+1)/((IF(Management!$C$3:$C$50="Unlimited",10^15,Management!$C$3:$C$50))&gt;='1'!$I95),COLUMN(E94))),"")</f>
        <v/>
      </c>
      <c r="F95" t="str">
        <f>IFERROR(INDEX(Management!$B$3:$B$50,_xlfn.AGGREGATE(15,6,(ROW(Management!$B$3:$B$50)-ROW(Management!$B$3)+1)/((IF(Management!$C$3:$C$50="Unlimited",10^15,Management!$C$3:$C$50))&gt;='1'!$I95),COLUMN(F94))),"")</f>
        <v/>
      </c>
      <c r="G95" t="str">
        <f>IFERROR(INDEX(Management!$B$3:$B$50,_xlfn.AGGREGATE(15,6,(ROW(Management!$B$3:$B$50)-ROW(Management!$B$3)+1)/((IF(Management!$C$3:$C$50="Unlimited",10^15,Management!$C$3:$C$50))&gt;='1'!$I95),COLUMN(G94))),"")</f>
        <v/>
      </c>
      <c r="H95" t="str">
        <f>IFERROR(INDEX(Management!$B$3:$B$50,_xlfn.AGGREGATE(15,6,(ROW(Management!$B$3:$B$50)-ROW(Management!$B$3)+1)/((IF(Management!$C$3:$C$50="Unlimited",10^15,Management!$C$3:$C$50))&gt;='1'!$I95),COLUMN(H94))),"")</f>
        <v/>
      </c>
      <c r="I95" t="str">
        <f>IFERROR(INDEX(Management!$B$3:$B$50,_xlfn.AGGREGATE(15,6,(ROW(Management!$B$3:$B$50)-ROW(Management!$B$3)+1)/((IF(Management!$C$3:$C$50="Unlimited",10^15,Management!$C$3:$C$50))&gt;='1'!$I95),COLUMN(I94))),"")</f>
        <v/>
      </c>
      <c r="J95" t="str">
        <f>IFERROR(INDEX(Management!$B$3:$B$50,_xlfn.AGGREGATE(15,6,(ROW(Management!$B$3:$B$50)-ROW(Management!$B$3)+1)/((IF(Management!$C$3:$C$50="Unlimited",10^15,Management!$C$3:$C$50))&gt;='1'!$I95),COLUMN(J94))),"")</f>
        <v/>
      </c>
      <c r="K95" t="str">
        <f>IFERROR(INDEX(Management!$B$3:$B$50,_xlfn.AGGREGATE(15,6,(ROW(Management!$B$3:$B$50)-ROW(Management!$B$3)+1)/((IF(Management!$C$3:$C$50="Unlimited",10^15,Management!$C$3:$C$50))&gt;='1'!$I95),COLUMN(K94))),"")</f>
        <v/>
      </c>
      <c r="L95" t="str">
        <f>IFERROR(INDEX(Management!$B$3:$B$50,_xlfn.AGGREGATE(15,6,(ROW(Management!$B$3:$B$50)-ROW(Management!$B$3)+1)/((IF(Management!$C$3:$C$50="Unlimited",10^15,Management!$C$3:$C$50))&gt;='1'!$I95),COLUMN(L94))),"")</f>
        <v/>
      </c>
      <c r="M95" t="str">
        <f>IFERROR(INDEX(Management!$B$3:$B$50,_xlfn.AGGREGATE(15,6,(ROW(Management!$B$3:$B$50)-ROW(Management!$B$3)+1)/((IF(Management!$C$3:$C$50="Unlimited",10^15,Management!$C$3:$C$50))&gt;='1'!$I95),COLUMN(M94))),"")</f>
        <v/>
      </c>
      <c r="N95" t="str">
        <f>IFERROR(INDEX(Management!$B$3:$B$50,_xlfn.AGGREGATE(15,6,(ROW(Management!$B$3:$B$50)-ROW(Management!$B$3)+1)/((IF(Management!$C$3:$C$50="Unlimited",10^15,Management!$C$3:$C$50))&gt;='1'!$I95),COLUMN(N94))),"")</f>
        <v/>
      </c>
      <c r="O95" t="str">
        <f>IFERROR(INDEX(Management!$B$3:$B$50,_xlfn.AGGREGATE(15,6,(ROW(Management!$B$3:$B$50)-ROW(Management!$B$3)+1)/((IF(Management!$C$3:$C$50="Unlimited",10^15,Management!$C$3:$C$50))&gt;='1'!$I95),COLUMN(O94))),"")</f>
        <v/>
      </c>
      <c r="P95" t="str">
        <f>IFERROR(INDEX(Management!$B$3:$B$50,_xlfn.AGGREGATE(15,6,(ROW(Management!$B$3:$B$50)-ROW(Management!$B$3)+1)/((IF(Management!$C$3:$C$50="Unlimited",10^15,Management!$C$3:$C$50))&gt;='1'!$I95),COLUMN(P94))),"")</f>
        <v/>
      </c>
      <c r="Q95" t="str">
        <f>IFERROR(INDEX(Management!$B$3:$B$50,_xlfn.AGGREGATE(15,6,(ROW(Management!$B$3:$B$50)-ROW(Management!$B$3)+1)/((IF(Management!$C$3:$C$50="Unlimited",10^15,Management!$C$3:$C$50))&gt;='1'!$I95),COLUMN(Q94))),"")</f>
        <v/>
      </c>
      <c r="R95" t="str">
        <f>IFERROR(INDEX(Management!$B$3:$B$50,_xlfn.AGGREGATE(15,6,(ROW(Management!$B$3:$B$50)-ROW(Management!$B$3)+1)/((IF(Management!$C$3:$C$50="Unlimited",10^15,Management!$C$3:$C$50))&gt;='1'!$I95),COLUMN(R94))),"")</f>
        <v/>
      </c>
      <c r="S95" t="str">
        <f>IFERROR(INDEX(Management!$B$3:$B$50,_xlfn.AGGREGATE(15,6,(ROW(Management!$B$3:$B$50)-ROW(Management!$B$3)+1)/((IF(Management!$C$3:$C$50="Unlimited",10^15,Management!$C$3:$C$50))&gt;='1'!$I95),COLUMN(S94))),"")</f>
        <v/>
      </c>
      <c r="T95" t="str">
        <f>IFERROR(INDEX(Management!$B$3:$B$50,_xlfn.AGGREGATE(15,6,(ROW(Management!$B$3:$B$50)-ROW(Management!$B$3)+1)/((IF(Management!$C$3:$C$50="Unlimited",10^15,Management!$C$3:$C$50))&gt;='1'!$I95),COLUMN(T94))),"")</f>
        <v/>
      </c>
    </row>
    <row r="96" spans="1:20">
      <c r="A96" t="str">
        <f>IFERROR(INDEX(Management!$B$3:$B$50,_xlfn.AGGREGATE(15,6,(ROW(Management!$B$3:$B$50)-ROW(Management!$B$3)+1)/((IF(Management!$C$3:$C$50="Unlimited",10^15,Management!$C$3:$C$50))&gt;='1'!$I96),COLUMN(A95))),"")</f>
        <v/>
      </c>
      <c r="B96" t="str">
        <f>IFERROR(INDEX(Management!$B$3:$B$50,_xlfn.AGGREGATE(15,6,(ROW(Management!$B$3:$B$50)-ROW(Management!$B$3)+1)/((IF(Management!$C$3:$C$50="Unlimited",10^15,Management!$C$3:$C$50))&gt;='1'!$I96),COLUMN(B95))),"")</f>
        <v/>
      </c>
      <c r="C96" t="str">
        <f>IFERROR(INDEX(Management!$B$3:$B$50,_xlfn.AGGREGATE(15,6,(ROW(Management!$B$3:$B$50)-ROW(Management!$B$3)+1)/((IF(Management!$C$3:$C$50="Unlimited",10^15,Management!$C$3:$C$50))&gt;='1'!$I96),COLUMN(C95))),"")</f>
        <v/>
      </c>
      <c r="D96" t="str">
        <f>IFERROR(INDEX(Management!$B$3:$B$50,_xlfn.AGGREGATE(15,6,(ROW(Management!$B$3:$B$50)-ROW(Management!$B$3)+1)/((IF(Management!$C$3:$C$50="Unlimited",10^15,Management!$C$3:$C$50))&gt;='1'!$I96),COLUMN(D95))),"")</f>
        <v/>
      </c>
      <c r="E96" t="str">
        <f>IFERROR(INDEX(Management!$B$3:$B$50,_xlfn.AGGREGATE(15,6,(ROW(Management!$B$3:$B$50)-ROW(Management!$B$3)+1)/((IF(Management!$C$3:$C$50="Unlimited",10^15,Management!$C$3:$C$50))&gt;='1'!$I96),COLUMN(E95))),"")</f>
        <v/>
      </c>
      <c r="F96" t="str">
        <f>IFERROR(INDEX(Management!$B$3:$B$50,_xlfn.AGGREGATE(15,6,(ROW(Management!$B$3:$B$50)-ROW(Management!$B$3)+1)/((IF(Management!$C$3:$C$50="Unlimited",10^15,Management!$C$3:$C$50))&gt;='1'!$I96),COLUMN(F95))),"")</f>
        <v/>
      </c>
      <c r="G96" t="str">
        <f>IFERROR(INDEX(Management!$B$3:$B$50,_xlfn.AGGREGATE(15,6,(ROW(Management!$B$3:$B$50)-ROW(Management!$B$3)+1)/((IF(Management!$C$3:$C$50="Unlimited",10^15,Management!$C$3:$C$50))&gt;='1'!$I96),COLUMN(G95))),"")</f>
        <v/>
      </c>
      <c r="H96" t="str">
        <f>IFERROR(INDEX(Management!$B$3:$B$50,_xlfn.AGGREGATE(15,6,(ROW(Management!$B$3:$B$50)-ROW(Management!$B$3)+1)/((IF(Management!$C$3:$C$50="Unlimited",10^15,Management!$C$3:$C$50))&gt;='1'!$I96),COLUMN(H95))),"")</f>
        <v/>
      </c>
      <c r="I96" t="str">
        <f>IFERROR(INDEX(Management!$B$3:$B$50,_xlfn.AGGREGATE(15,6,(ROW(Management!$B$3:$B$50)-ROW(Management!$B$3)+1)/((IF(Management!$C$3:$C$50="Unlimited",10^15,Management!$C$3:$C$50))&gt;='1'!$I96),COLUMN(I95))),"")</f>
        <v/>
      </c>
      <c r="J96" t="str">
        <f>IFERROR(INDEX(Management!$B$3:$B$50,_xlfn.AGGREGATE(15,6,(ROW(Management!$B$3:$B$50)-ROW(Management!$B$3)+1)/((IF(Management!$C$3:$C$50="Unlimited",10^15,Management!$C$3:$C$50))&gt;='1'!$I96),COLUMN(J95))),"")</f>
        <v/>
      </c>
      <c r="K96" t="str">
        <f>IFERROR(INDEX(Management!$B$3:$B$50,_xlfn.AGGREGATE(15,6,(ROW(Management!$B$3:$B$50)-ROW(Management!$B$3)+1)/((IF(Management!$C$3:$C$50="Unlimited",10^15,Management!$C$3:$C$50))&gt;='1'!$I96),COLUMN(K95))),"")</f>
        <v/>
      </c>
      <c r="L96" t="str">
        <f>IFERROR(INDEX(Management!$B$3:$B$50,_xlfn.AGGREGATE(15,6,(ROW(Management!$B$3:$B$50)-ROW(Management!$B$3)+1)/((IF(Management!$C$3:$C$50="Unlimited",10^15,Management!$C$3:$C$50))&gt;='1'!$I96),COLUMN(L95))),"")</f>
        <v/>
      </c>
      <c r="M96" t="str">
        <f>IFERROR(INDEX(Management!$B$3:$B$50,_xlfn.AGGREGATE(15,6,(ROW(Management!$B$3:$B$50)-ROW(Management!$B$3)+1)/((IF(Management!$C$3:$C$50="Unlimited",10^15,Management!$C$3:$C$50))&gt;='1'!$I96),COLUMN(M95))),"")</f>
        <v/>
      </c>
      <c r="N96" t="str">
        <f>IFERROR(INDEX(Management!$B$3:$B$50,_xlfn.AGGREGATE(15,6,(ROW(Management!$B$3:$B$50)-ROW(Management!$B$3)+1)/((IF(Management!$C$3:$C$50="Unlimited",10^15,Management!$C$3:$C$50))&gt;='1'!$I96),COLUMN(N95))),"")</f>
        <v/>
      </c>
      <c r="O96" t="str">
        <f>IFERROR(INDEX(Management!$B$3:$B$50,_xlfn.AGGREGATE(15,6,(ROW(Management!$B$3:$B$50)-ROW(Management!$B$3)+1)/((IF(Management!$C$3:$C$50="Unlimited",10^15,Management!$C$3:$C$50))&gt;='1'!$I96),COLUMN(O95))),"")</f>
        <v/>
      </c>
      <c r="P96" t="str">
        <f>IFERROR(INDEX(Management!$B$3:$B$50,_xlfn.AGGREGATE(15,6,(ROW(Management!$B$3:$B$50)-ROW(Management!$B$3)+1)/((IF(Management!$C$3:$C$50="Unlimited",10^15,Management!$C$3:$C$50))&gt;='1'!$I96),COLUMN(P95))),"")</f>
        <v/>
      </c>
      <c r="Q96" t="str">
        <f>IFERROR(INDEX(Management!$B$3:$B$50,_xlfn.AGGREGATE(15,6,(ROW(Management!$B$3:$B$50)-ROW(Management!$B$3)+1)/((IF(Management!$C$3:$C$50="Unlimited",10^15,Management!$C$3:$C$50))&gt;='1'!$I96),COLUMN(Q95))),"")</f>
        <v/>
      </c>
      <c r="R96" t="str">
        <f>IFERROR(INDEX(Management!$B$3:$B$50,_xlfn.AGGREGATE(15,6,(ROW(Management!$B$3:$B$50)-ROW(Management!$B$3)+1)/((IF(Management!$C$3:$C$50="Unlimited",10^15,Management!$C$3:$C$50))&gt;='1'!$I96),COLUMN(R95))),"")</f>
        <v/>
      </c>
      <c r="S96" t="str">
        <f>IFERROR(INDEX(Management!$B$3:$B$50,_xlfn.AGGREGATE(15,6,(ROW(Management!$B$3:$B$50)-ROW(Management!$B$3)+1)/((IF(Management!$C$3:$C$50="Unlimited",10^15,Management!$C$3:$C$50))&gt;='1'!$I96),COLUMN(S95))),"")</f>
        <v/>
      </c>
      <c r="T96" t="str">
        <f>IFERROR(INDEX(Management!$B$3:$B$50,_xlfn.AGGREGATE(15,6,(ROW(Management!$B$3:$B$50)-ROW(Management!$B$3)+1)/((IF(Management!$C$3:$C$50="Unlimited",10^15,Management!$C$3:$C$50))&gt;='1'!$I96),COLUMN(T95))),"")</f>
        <v/>
      </c>
    </row>
    <row r="97" spans="1:20">
      <c r="A97" t="str">
        <f>IFERROR(INDEX(Management!$B$3:$B$50,_xlfn.AGGREGATE(15,6,(ROW(Management!$B$3:$B$50)-ROW(Management!$B$3)+1)/((IF(Management!$C$3:$C$50="Unlimited",10^15,Management!$C$3:$C$50))&gt;='1'!$I97),COLUMN(A96))),"")</f>
        <v/>
      </c>
      <c r="B97" t="str">
        <f>IFERROR(INDEX(Management!$B$3:$B$50,_xlfn.AGGREGATE(15,6,(ROW(Management!$B$3:$B$50)-ROW(Management!$B$3)+1)/((IF(Management!$C$3:$C$50="Unlimited",10^15,Management!$C$3:$C$50))&gt;='1'!$I97),COLUMN(B96))),"")</f>
        <v/>
      </c>
      <c r="C97" t="str">
        <f>IFERROR(INDEX(Management!$B$3:$B$50,_xlfn.AGGREGATE(15,6,(ROW(Management!$B$3:$B$50)-ROW(Management!$B$3)+1)/((IF(Management!$C$3:$C$50="Unlimited",10^15,Management!$C$3:$C$50))&gt;='1'!$I97),COLUMN(C96))),"")</f>
        <v/>
      </c>
      <c r="D97" t="str">
        <f>IFERROR(INDEX(Management!$B$3:$B$50,_xlfn.AGGREGATE(15,6,(ROW(Management!$B$3:$B$50)-ROW(Management!$B$3)+1)/((IF(Management!$C$3:$C$50="Unlimited",10^15,Management!$C$3:$C$50))&gt;='1'!$I97),COLUMN(D96))),"")</f>
        <v/>
      </c>
      <c r="E97" t="str">
        <f>IFERROR(INDEX(Management!$B$3:$B$50,_xlfn.AGGREGATE(15,6,(ROW(Management!$B$3:$B$50)-ROW(Management!$B$3)+1)/((IF(Management!$C$3:$C$50="Unlimited",10^15,Management!$C$3:$C$50))&gt;='1'!$I97),COLUMN(E96))),"")</f>
        <v/>
      </c>
      <c r="F97" t="str">
        <f>IFERROR(INDEX(Management!$B$3:$B$50,_xlfn.AGGREGATE(15,6,(ROW(Management!$B$3:$B$50)-ROW(Management!$B$3)+1)/((IF(Management!$C$3:$C$50="Unlimited",10^15,Management!$C$3:$C$50))&gt;='1'!$I97),COLUMN(F96))),"")</f>
        <v/>
      </c>
      <c r="G97" t="str">
        <f>IFERROR(INDEX(Management!$B$3:$B$50,_xlfn.AGGREGATE(15,6,(ROW(Management!$B$3:$B$50)-ROW(Management!$B$3)+1)/((IF(Management!$C$3:$C$50="Unlimited",10^15,Management!$C$3:$C$50))&gt;='1'!$I97),COLUMN(G96))),"")</f>
        <v/>
      </c>
      <c r="H97" t="str">
        <f>IFERROR(INDEX(Management!$B$3:$B$50,_xlfn.AGGREGATE(15,6,(ROW(Management!$B$3:$B$50)-ROW(Management!$B$3)+1)/((IF(Management!$C$3:$C$50="Unlimited",10^15,Management!$C$3:$C$50))&gt;='1'!$I97),COLUMN(H96))),"")</f>
        <v/>
      </c>
      <c r="I97" t="str">
        <f>IFERROR(INDEX(Management!$B$3:$B$50,_xlfn.AGGREGATE(15,6,(ROW(Management!$B$3:$B$50)-ROW(Management!$B$3)+1)/((IF(Management!$C$3:$C$50="Unlimited",10^15,Management!$C$3:$C$50))&gt;='1'!$I97),COLUMN(I96))),"")</f>
        <v/>
      </c>
      <c r="J97" t="str">
        <f>IFERROR(INDEX(Management!$B$3:$B$50,_xlfn.AGGREGATE(15,6,(ROW(Management!$B$3:$B$50)-ROW(Management!$B$3)+1)/((IF(Management!$C$3:$C$50="Unlimited",10^15,Management!$C$3:$C$50))&gt;='1'!$I97),COLUMN(J96))),"")</f>
        <v/>
      </c>
      <c r="K97" t="str">
        <f>IFERROR(INDEX(Management!$B$3:$B$50,_xlfn.AGGREGATE(15,6,(ROW(Management!$B$3:$B$50)-ROW(Management!$B$3)+1)/((IF(Management!$C$3:$C$50="Unlimited",10^15,Management!$C$3:$C$50))&gt;='1'!$I97),COLUMN(K96))),"")</f>
        <v/>
      </c>
      <c r="L97" t="str">
        <f>IFERROR(INDEX(Management!$B$3:$B$50,_xlfn.AGGREGATE(15,6,(ROW(Management!$B$3:$B$50)-ROW(Management!$B$3)+1)/((IF(Management!$C$3:$C$50="Unlimited",10^15,Management!$C$3:$C$50))&gt;='1'!$I97),COLUMN(L96))),"")</f>
        <v/>
      </c>
      <c r="M97" t="str">
        <f>IFERROR(INDEX(Management!$B$3:$B$50,_xlfn.AGGREGATE(15,6,(ROW(Management!$B$3:$B$50)-ROW(Management!$B$3)+1)/((IF(Management!$C$3:$C$50="Unlimited",10^15,Management!$C$3:$C$50))&gt;='1'!$I97),COLUMN(M96))),"")</f>
        <v/>
      </c>
      <c r="N97" t="str">
        <f>IFERROR(INDEX(Management!$B$3:$B$50,_xlfn.AGGREGATE(15,6,(ROW(Management!$B$3:$B$50)-ROW(Management!$B$3)+1)/((IF(Management!$C$3:$C$50="Unlimited",10^15,Management!$C$3:$C$50))&gt;='1'!$I97),COLUMN(N96))),"")</f>
        <v/>
      </c>
      <c r="O97" t="str">
        <f>IFERROR(INDEX(Management!$B$3:$B$50,_xlfn.AGGREGATE(15,6,(ROW(Management!$B$3:$B$50)-ROW(Management!$B$3)+1)/((IF(Management!$C$3:$C$50="Unlimited",10^15,Management!$C$3:$C$50))&gt;='1'!$I97),COLUMN(O96))),"")</f>
        <v/>
      </c>
      <c r="P97" t="str">
        <f>IFERROR(INDEX(Management!$B$3:$B$50,_xlfn.AGGREGATE(15,6,(ROW(Management!$B$3:$B$50)-ROW(Management!$B$3)+1)/((IF(Management!$C$3:$C$50="Unlimited",10^15,Management!$C$3:$C$50))&gt;='1'!$I97),COLUMN(P96))),"")</f>
        <v/>
      </c>
      <c r="Q97" t="str">
        <f>IFERROR(INDEX(Management!$B$3:$B$50,_xlfn.AGGREGATE(15,6,(ROW(Management!$B$3:$B$50)-ROW(Management!$B$3)+1)/((IF(Management!$C$3:$C$50="Unlimited",10^15,Management!$C$3:$C$50))&gt;='1'!$I97),COLUMN(Q96))),"")</f>
        <v/>
      </c>
      <c r="R97" t="str">
        <f>IFERROR(INDEX(Management!$B$3:$B$50,_xlfn.AGGREGATE(15,6,(ROW(Management!$B$3:$B$50)-ROW(Management!$B$3)+1)/((IF(Management!$C$3:$C$50="Unlimited",10^15,Management!$C$3:$C$50))&gt;='1'!$I97),COLUMN(R96))),"")</f>
        <v/>
      </c>
      <c r="S97" t="str">
        <f>IFERROR(INDEX(Management!$B$3:$B$50,_xlfn.AGGREGATE(15,6,(ROW(Management!$B$3:$B$50)-ROW(Management!$B$3)+1)/((IF(Management!$C$3:$C$50="Unlimited",10^15,Management!$C$3:$C$50))&gt;='1'!$I97),COLUMN(S96))),"")</f>
        <v/>
      </c>
      <c r="T97" t="str">
        <f>IFERROR(INDEX(Management!$B$3:$B$50,_xlfn.AGGREGATE(15,6,(ROW(Management!$B$3:$B$50)-ROW(Management!$B$3)+1)/((IF(Management!$C$3:$C$50="Unlimited",10^15,Management!$C$3:$C$50))&gt;='1'!$I97),COLUMN(T96))),"")</f>
        <v/>
      </c>
    </row>
    <row r="98" spans="1:20">
      <c r="A98" t="str">
        <f>IFERROR(INDEX(Management!$B$3:$B$50,_xlfn.AGGREGATE(15,6,(ROW(Management!$B$3:$B$50)-ROW(Management!$B$3)+1)/((IF(Management!$C$3:$C$50="Unlimited",10^15,Management!$C$3:$C$50))&gt;='1'!$I98),COLUMN(A97))),"")</f>
        <v/>
      </c>
      <c r="B98" t="str">
        <f>IFERROR(INDEX(Management!$B$3:$B$50,_xlfn.AGGREGATE(15,6,(ROW(Management!$B$3:$B$50)-ROW(Management!$B$3)+1)/((IF(Management!$C$3:$C$50="Unlimited",10^15,Management!$C$3:$C$50))&gt;='1'!$I98),COLUMN(B97))),"")</f>
        <v/>
      </c>
      <c r="C98" t="str">
        <f>IFERROR(INDEX(Management!$B$3:$B$50,_xlfn.AGGREGATE(15,6,(ROW(Management!$B$3:$B$50)-ROW(Management!$B$3)+1)/((IF(Management!$C$3:$C$50="Unlimited",10^15,Management!$C$3:$C$50))&gt;='1'!$I98),COLUMN(C97))),"")</f>
        <v/>
      </c>
      <c r="D98" t="str">
        <f>IFERROR(INDEX(Management!$B$3:$B$50,_xlfn.AGGREGATE(15,6,(ROW(Management!$B$3:$B$50)-ROW(Management!$B$3)+1)/((IF(Management!$C$3:$C$50="Unlimited",10^15,Management!$C$3:$C$50))&gt;='1'!$I98),COLUMN(D97))),"")</f>
        <v/>
      </c>
      <c r="E98" t="str">
        <f>IFERROR(INDEX(Management!$B$3:$B$50,_xlfn.AGGREGATE(15,6,(ROW(Management!$B$3:$B$50)-ROW(Management!$B$3)+1)/((IF(Management!$C$3:$C$50="Unlimited",10^15,Management!$C$3:$C$50))&gt;='1'!$I98),COLUMN(E97))),"")</f>
        <v/>
      </c>
      <c r="F98" t="str">
        <f>IFERROR(INDEX(Management!$B$3:$B$50,_xlfn.AGGREGATE(15,6,(ROW(Management!$B$3:$B$50)-ROW(Management!$B$3)+1)/((IF(Management!$C$3:$C$50="Unlimited",10^15,Management!$C$3:$C$50))&gt;='1'!$I98),COLUMN(F97))),"")</f>
        <v/>
      </c>
      <c r="G98" t="str">
        <f>IFERROR(INDEX(Management!$B$3:$B$50,_xlfn.AGGREGATE(15,6,(ROW(Management!$B$3:$B$50)-ROW(Management!$B$3)+1)/((IF(Management!$C$3:$C$50="Unlimited",10^15,Management!$C$3:$C$50))&gt;='1'!$I98),COLUMN(G97))),"")</f>
        <v/>
      </c>
      <c r="H98" t="str">
        <f>IFERROR(INDEX(Management!$B$3:$B$50,_xlfn.AGGREGATE(15,6,(ROW(Management!$B$3:$B$50)-ROW(Management!$B$3)+1)/((IF(Management!$C$3:$C$50="Unlimited",10^15,Management!$C$3:$C$50))&gt;='1'!$I98),COLUMN(H97))),"")</f>
        <v/>
      </c>
      <c r="I98" t="str">
        <f>IFERROR(INDEX(Management!$B$3:$B$50,_xlfn.AGGREGATE(15,6,(ROW(Management!$B$3:$B$50)-ROW(Management!$B$3)+1)/((IF(Management!$C$3:$C$50="Unlimited",10^15,Management!$C$3:$C$50))&gt;='1'!$I98),COLUMN(I97))),"")</f>
        <v/>
      </c>
      <c r="J98" t="str">
        <f>IFERROR(INDEX(Management!$B$3:$B$50,_xlfn.AGGREGATE(15,6,(ROW(Management!$B$3:$B$50)-ROW(Management!$B$3)+1)/((IF(Management!$C$3:$C$50="Unlimited",10^15,Management!$C$3:$C$50))&gt;='1'!$I98),COLUMN(J97))),"")</f>
        <v/>
      </c>
      <c r="K98" t="str">
        <f>IFERROR(INDEX(Management!$B$3:$B$50,_xlfn.AGGREGATE(15,6,(ROW(Management!$B$3:$B$50)-ROW(Management!$B$3)+1)/((IF(Management!$C$3:$C$50="Unlimited",10^15,Management!$C$3:$C$50))&gt;='1'!$I98),COLUMN(K97))),"")</f>
        <v/>
      </c>
      <c r="L98" t="str">
        <f>IFERROR(INDEX(Management!$B$3:$B$50,_xlfn.AGGREGATE(15,6,(ROW(Management!$B$3:$B$50)-ROW(Management!$B$3)+1)/((IF(Management!$C$3:$C$50="Unlimited",10^15,Management!$C$3:$C$50))&gt;='1'!$I98),COLUMN(L97))),"")</f>
        <v/>
      </c>
      <c r="M98" t="str">
        <f>IFERROR(INDEX(Management!$B$3:$B$50,_xlfn.AGGREGATE(15,6,(ROW(Management!$B$3:$B$50)-ROW(Management!$B$3)+1)/((IF(Management!$C$3:$C$50="Unlimited",10^15,Management!$C$3:$C$50))&gt;='1'!$I98),COLUMN(M97))),"")</f>
        <v/>
      </c>
      <c r="N98" t="str">
        <f>IFERROR(INDEX(Management!$B$3:$B$50,_xlfn.AGGREGATE(15,6,(ROW(Management!$B$3:$B$50)-ROW(Management!$B$3)+1)/((IF(Management!$C$3:$C$50="Unlimited",10^15,Management!$C$3:$C$50))&gt;='1'!$I98),COLUMN(N97))),"")</f>
        <v/>
      </c>
      <c r="O98" t="str">
        <f>IFERROR(INDEX(Management!$B$3:$B$50,_xlfn.AGGREGATE(15,6,(ROW(Management!$B$3:$B$50)-ROW(Management!$B$3)+1)/((IF(Management!$C$3:$C$50="Unlimited",10^15,Management!$C$3:$C$50))&gt;='1'!$I98),COLUMN(O97))),"")</f>
        <v/>
      </c>
      <c r="P98" t="str">
        <f>IFERROR(INDEX(Management!$B$3:$B$50,_xlfn.AGGREGATE(15,6,(ROW(Management!$B$3:$B$50)-ROW(Management!$B$3)+1)/((IF(Management!$C$3:$C$50="Unlimited",10^15,Management!$C$3:$C$50))&gt;='1'!$I98),COLUMN(P97))),"")</f>
        <v/>
      </c>
      <c r="Q98" t="str">
        <f>IFERROR(INDEX(Management!$B$3:$B$50,_xlfn.AGGREGATE(15,6,(ROW(Management!$B$3:$B$50)-ROW(Management!$B$3)+1)/((IF(Management!$C$3:$C$50="Unlimited",10^15,Management!$C$3:$C$50))&gt;='1'!$I98),COLUMN(Q97))),"")</f>
        <v/>
      </c>
      <c r="R98" t="str">
        <f>IFERROR(INDEX(Management!$B$3:$B$50,_xlfn.AGGREGATE(15,6,(ROW(Management!$B$3:$B$50)-ROW(Management!$B$3)+1)/((IF(Management!$C$3:$C$50="Unlimited",10^15,Management!$C$3:$C$50))&gt;='1'!$I98),COLUMN(R97))),"")</f>
        <v/>
      </c>
      <c r="S98" t="str">
        <f>IFERROR(INDEX(Management!$B$3:$B$50,_xlfn.AGGREGATE(15,6,(ROW(Management!$B$3:$B$50)-ROW(Management!$B$3)+1)/((IF(Management!$C$3:$C$50="Unlimited",10^15,Management!$C$3:$C$50))&gt;='1'!$I98),COLUMN(S97))),"")</f>
        <v/>
      </c>
      <c r="T98" t="str">
        <f>IFERROR(INDEX(Management!$B$3:$B$50,_xlfn.AGGREGATE(15,6,(ROW(Management!$B$3:$B$50)-ROW(Management!$B$3)+1)/((IF(Management!$C$3:$C$50="Unlimited",10^15,Management!$C$3:$C$50))&gt;='1'!$I98),COLUMN(T97))),"")</f>
        <v/>
      </c>
    </row>
    <row r="99" spans="1:20">
      <c r="A99" t="str">
        <f>IFERROR(INDEX(Management!$B$3:$B$50,_xlfn.AGGREGATE(15,6,(ROW(Management!$B$3:$B$50)-ROW(Management!$B$3)+1)/((IF(Management!$C$3:$C$50="Unlimited",10^15,Management!$C$3:$C$50))&gt;='1'!$I99),COLUMN(A98))),"")</f>
        <v/>
      </c>
      <c r="B99" t="str">
        <f>IFERROR(INDEX(Management!$B$3:$B$50,_xlfn.AGGREGATE(15,6,(ROW(Management!$B$3:$B$50)-ROW(Management!$B$3)+1)/((IF(Management!$C$3:$C$50="Unlimited",10^15,Management!$C$3:$C$50))&gt;='1'!$I99),COLUMN(B98))),"")</f>
        <v/>
      </c>
      <c r="C99" t="str">
        <f>IFERROR(INDEX(Management!$B$3:$B$50,_xlfn.AGGREGATE(15,6,(ROW(Management!$B$3:$B$50)-ROW(Management!$B$3)+1)/((IF(Management!$C$3:$C$50="Unlimited",10^15,Management!$C$3:$C$50))&gt;='1'!$I99),COLUMN(C98))),"")</f>
        <v/>
      </c>
      <c r="D99" t="str">
        <f>IFERROR(INDEX(Management!$B$3:$B$50,_xlfn.AGGREGATE(15,6,(ROW(Management!$B$3:$B$50)-ROW(Management!$B$3)+1)/((IF(Management!$C$3:$C$50="Unlimited",10^15,Management!$C$3:$C$50))&gt;='1'!$I99),COLUMN(D98))),"")</f>
        <v/>
      </c>
      <c r="E99" t="str">
        <f>IFERROR(INDEX(Management!$B$3:$B$50,_xlfn.AGGREGATE(15,6,(ROW(Management!$B$3:$B$50)-ROW(Management!$B$3)+1)/((IF(Management!$C$3:$C$50="Unlimited",10^15,Management!$C$3:$C$50))&gt;='1'!$I99),COLUMN(E98))),"")</f>
        <v/>
      </c>
      <c r="F99" t="str">
        <f>IFERROR(INDEX(Management!$B$3:$B$50,_xlfn.AGGREGATE(15,6,(ROW(Management!$B$3:$B$50)-ROW(Management!$B$3)+1)/((IF(Management!$C$3:$C$50="Unlimited",10^15,Management!$C$3:$C$50))&gt;='1'!$I99),COLUMN(F98))),"")</f>
        <v/>
      </c>
      <c r="G99" t="str">
        <f>IFERROR(INDEX(Management!$B$3:$B$50,_xlfn.AGGREGATE(15,6,(ROW(Management!$B$3:$B$50)-ROW(Management!$B$3)+1)/((IF(Management!$C$3:$C$50="Unlimited",10^15,Management!$C$3:$C$50))&gt;='1'!$I99),COLUMN(G98))),"")</f>
        <v/>
      </c>
      <c r="H99" t="str">
        <f>IFERROR(INDEX(Management!$B$3:$B$50,_xlfn.AGGREGATE(15,6,(ROW(Management!$B$3:$B$50)-ROW(Management!$B$3)+1)/((IF(Management!$C$3:$C$50="Unlimited",10^15,Management!$C$3:$C$50))&gt;='1'!$I99),COLUMN(H98))),"")</f>
        <v/>
      </c>
      <c r="I99" t="str">
        <f>IFERROR(INDEX(Management!$B$3:$B$50,_xlfn.AGGREGATE(15,6,(ROW(Management!$B$3:$B$50)-ROW(Management!$B$3)+1)/((IF(Management!$C$3:$C$50="Unlimited",10^15,Management!$C$3:$C$50))&gt;='1'!$I99),COLUMN(I98))),"")</f>
        <v/>
      </c>
      <c r="J99" t="str">
        <f>IFERROR(INDEX(Management!$B$3:$B$50,_xlfn.AGGREGATE(15,6,(ROW(Management!$B$3:$B$50)-ROW(Management!$B$3)+1)/((IF(Management!$C$3:$C$50="Unlimited",10^15,Management!$C$3:$C$50))&gt;='1'!$I99),COLUMN(J98))),"")</f>
        <v/>
      </c>
      <c r="K99" t="str">
        <f>IFERROR(INDEX(Management!$B$3:$B$50,_xlfn.AGGREGATE(15,6,(ROW(Management!$B$3:$B$50)-ROW(Management!$B$3)+1)/((IF(Management!$C$3:$C$50="Unlimited",10^15,Management!$C$3:$C$50))&gt;='1'!$I99),COLUMN(K98))),"")</f>
        <v/>
      </c>
      <c r="L99" t="str">
        <f>IFERROR(INDEX(Management!$B$3:$B$50,_xlfn.AGGREGATE(15,6,(ROW(Management!$B$3:$B$50)-ROW(Management!$B$3)+1)/((IF(Management!$C$3:$C$50="Unlimited",10^15,Management!$C$3:$C$50))&gt;='1'!$I99),COLUMN(L98))),"")</f>
        <v/>
      </c>
      <c r="M99" t="str">
        <f>IFERROR(INDEX(Management!$B$3:$B$50,_xlfn.AGGREGATE(15,6,(ROW(Management!$B$3:$B$50)-ROW(Management!$B$3)+1)/((IF(Management!$C$3:$C$50="Unlimited",10^15,Management!$C$3:$C$50))&gt;='1'!$I99),COLUMN(M98))),"")</f>
        <v/>
      </c>
      <c r="N99" t="str">
        <f>IFERROR(INDEX(Management!$B$3:$B$50,_xlfn.AGGREGATE(15,6,(ROW(Management!$B$3:$B$50)-ROW(Management!$B$3)+1)/((IF(Management!$C$3:$C$50="Unlimited",10^15,Management!$C$3:$C$50))&gt;='1'!$I99),COLUMN(N98))),"")</f>
        <v/>
      </c>
      <c r="O99" t="str">
        <f>IFERROR(INDEX(Management!$B$3:$B$50,_xlfn.AGGREGATE(15,6,(ROW(Management!$B$3:$B$50)-ROW(Management!$B$3)+1)/((IF(Management!$C$3:$C$50="Unlimited",10^15,Management!$C$3:$C$50))&gt;='1'!$I99),COLUMN(O98))),"")</f>
        <v/>
      </c>
      <c r="P99" t="str">
        <f>IFERROR(INDEX(Management!$B$3:$B$50,_xlfn.AGGREGATE(15,6,(ROW(Management!$B$3:$B$50)-ROW(Management!$B$3)+1)/((IF(Management!$C$3:$C$50="Unlimited",10^15,Management!$C$3:$C$50))&gt;='1'!$I99),COLUMN(P98))),"")</f>
        <v/>
      </c>
      <c r="Q99" t="str">
        <f>IFERROR(INDEX(Management!$B$3:$B$50,_xlfn.AGGREGATE(15,6,(ROW(Management!$B$3:$B$50)-ROW(Management!$B$3)+1)/((IF(Management!$C$3:$C$50="Unlimited",10^15,Management!$C$3:$C$50))&gt;='1'!$I99),COLUMN(Q98))),"")</f>
        <v/>
      </c>
      <c r="R99" t="str">
        <f>IFERROR(INDEX(Management!$B$3:$B$50,_xlfn.AGGREGATE(15,6,(ROW(Management!$B$3:$B$50)-ROW(Management!$B$3)+1)/((IF(Management!$C$3:$C$50="Unlimited",10^15,Management!$C$3:$C$50))&gt;='1'!$I99),COLUMN(R98))),"")</f>
        <v/>
      </c>
      <c r="S99" t="str">
        <f>IFERROR(INDEX(Management!$B$3:$B$50,_xlfn.AGGREGATE(15,6,(ROW(Management!$B$3:$B$50)-ROW(Management!$B$3)+1)/((IF(Management!$C$3:$C$50="Unlimited",10^15,Management!$C$3:$C$50))&gt;='1'!$I99),COLUMN(S98))),"")</f>
        <v/>
      </c>
      <c r="T99" t="str">
        <f>IFERROR(INDEX(Management!$B$3:$B$50,_xlfn.AGGREGATE(15,6,(ROW(Management!$B$3:$B$50)-ROW(Management!$B$3)+1)/((IF(Management!$C$3:$C$50="Unlimited",10^15,Management!$C$3:$C$50))&gt;='1'!$I99),COLUMN(T98))),"")</f>
        <v/>
      </c>
    </row>
    <row r="100" spans="1:20">
      <c r="A100" t="str">
        <f>IFERROR(INDEX(Management!$B$3:$B$50,_xlfn.AGGREGATE(15,6,(ROW(Management!$B$3:$B$50)-ROW(Management!$B$3)+1)/((IF(Management!$C$3:$C$50="Unlimited",10^15,Management!$C$3:$C$50))&gt;='1'!$I100),COLUMN(A99))),"")</f>
        <v/>
      </c>
      <c r="B100" t="str">
        <f>IFERROR(INDEX(Management!$B$3:$B$50,_xlfn.AGGREGATE(15,6,(ROW(Management!$B$3:$B$50)-ROW(Management!$B$3)+1)/((IF(Management!$C$3:$C$50="Unlimited",10^15,Management!$C$3:$C$50))&gt;='1'!$I100),COLUMN(B99))),"")</f>
        <v/>
      </c>
      <c r="C100" t="str">
        <f>IFERROR(INDEX(Management!$B$3:$B$50,_xlfn.AGGREGATE(15,6,(ROW(Management!$B$3:$B$50)-ROW(Management!$B$3)+1)/((IF(Management!$C$3:$C$50="Unlimited",10^15,Management!$C$3:$C$50))&gt;='1'!$I100),COLUMN(C99))),"")</f>
        <v/>
      </c>
      <c r="D100" t="str">
        <f>IFERROR(INDEX(Management!$B$3:$B$50,_xlfn.AGGREGATE(15,6,(ROW(Management!$B$3:$B$50)-ROW(Management!$B$3)+1)/((IF(Management!$C$3:$C$50="Unlimited",10^15,Management!$C$3:$C$50))&gt;='1'!$I100),COLUMN(D99))),"")</f>
        <v/>
      </c>
      <c r="E100" t="str">
        <f>IFERROR(INDEX(Management!$B$3:$B$50,_xlfn.AGGREGATE(15,6,(ROW(Management!$B$3:$B$50)-ROW(Management!$B$3)+1)/((IF(Management!$C$3:$C$50="Unlimited",10^15,Management!$C$3:$C$50))&gt;='1'!$I100),COLUMN(E99))),"")</f>
        <v/>
      </c>
      <c r="F100" t="str">
        <f>IFERROR(INDEX(Management!$B$3:$B$50,_xlfn.AGGREGATE(15,6,(ROW(Management!$B$3:$B$50)-ROW(Management!$B$3)+1)/((IF(Management!$C$3:$C$50="Unlimited",10^15,Management!$C$3:$C$50))&gt;='1'!$I100),COLUMN(F99))),"")</f>
        <v/>
      </c>
      <c r="G100" t="str">
        <f>IFERROR(INDEX(Management!$B$3:$B$50,_xlfn.AGGREGATE(15,6,(ROW(Management!$B$3:$B$50)-ROW(Management!$B$3)+1)/((IF(Management!$C$3:$C$50="Unlimited",10^15,Management!$C$3:$C$50))&gt;='1'!$I100),COLUMN(G99))),"")</f>
        <v/>
      </c>
      <c r="H100" t="str">
        <f>IFERROR(INDEX(Management!$B$3:$B$50,_xlfn.AGGREGATE(15,6,(ROW(Management!$B$3:$B$50)-ROW(Management!$B$3)+1)/((IF(Management!$C$3:$C$50="Unlimited",10^15,Management!$C$3:$C$50))&gt;='1'!$I100),COLUMN(H99))),"")</f>
        <v/>
      </c>
      <c r="I100" t="str">
        <f>IFERROR(INDEX(Management!$B$3:$B$50,_xlfn.AGGREGATE(15,6,(ROW(Management!$B$3:$B$50)-ROW(Management!$B$3)+1)/((IF(Management!$C$3:$C$50="Unlimited",10^15,Management!$C$3:$C$50))&gt;='1'!$I100),COLUMN(I99))),"")</f>
        <v/>
      </c>
      <c r="J100" t="str">
        <f>IFERROR(INDEX(Management!$B$3:$B$50,_xlfn.AGGREGATE(15,6,(ROW(Management!$B$3:$B$50)-ROW(Management!$B$3)+1)/((IF(Management!$C$3:$C$50="Unlimited",10^15,Management!$C$3:$C$50))&gt;='1'!$I100),COLUMN(J99))),"")</f>
        <v/>
      </c>
      <c r="K100" t="str">
        <f>IFERROR(INDEX(Management!$B$3:$B$50,_xlfn.AGGREGATE(15,6,(ROW(Management!$B$3:$B$50)-ROW(Management!$B$3)+1)/((IF(Management!$C$3:$C$50="Unlimited",10^15,Management!$C$3:$C$50))&gt;='1'!$I100),COLUMN(K99))),"")</f>
        <v/>
      </c>
      <c r="L100" t="str">
        <f>IFERROR(INDEX(Management!$B$3:$B$50,_xlfn.AGGREGATE(15,6,(ROW(Management!$B$3:$B$50)-ROW(Management!$B$3)+1)/((IF(Management!$C$3:$C$50="Unlimited",10^15,Management!$C$3:$C$50))&gt;='1'!$I100),COLUMN(L99))),"")</f>
        <v/>
      </c>
      <c r="M100" t="str">
        <f>IFERROR(INDEX(Management!$B$3:$B$50,_xlfn.AGGREGATE(15,6,(ROW(Management!$B$3:$B$50)-ROW(Management!$B$3)+1)/((IF(Management!$C$3:$C$50="Unlimited",10^15,Management!$C$3:$C$50))&gt;='1'!$I100),COLUMN(M99))),"")</f>
        <v/>
      </c>
      <c r="N100" t="str">
        <f>IFERROR(INDEX(Management!$B$3:$B$50,_xlfn.AGGREGATE(15,6,(ROW(Management!$B$3:$B$50)-ROW(Management!$B$3)+1)/((IF(Management!$C$3:$C$50="Unlimited",10^15,Management!$C$3:$C$50))&gt;='1'!$I100),COLUMN(N99))),"")</f>
        <v/>
      </c>
      <c r="O100" t="str">
        <f>IFERROR(INDEX(Management!$B$3:$B$50,_xlfn.AGGREGATE(15,6,(ROW(Management!$B$3:$B$50)-ROW(Management!$B$3)+1)/((IF(Management!$C$3:$C$50="Unlimited",10^15,Management!$C$3:$C$50))&gt;='1'!$I100),COLUMN(O99))),"")</f>
        <v/>
      </c>
      <c r="P100" t="str">
        <f>IFERROR(INDEX(Management!$B$3:$B$50,_xlfn.AGGREGATE(15,6,(ROW(Management!$B$3:$B$50)-ROW(Management!$B$3)+1)/((IF(Management!$C$3:$C$50="Unlimited",10^15,Management!$C$3:$C$50))&gt;='1'!$I100),COLUMN(P99))),"")</f>
        <v/>
      </c>
      <c r="Q100" t="str">
        <f>IFERROR(INDEX(Management!$B$3:$B$50,_xlfn.AGGREGATE(15,6,(ROW(Management!$B$3:$B$50)-ROW(Management!$B$3)+1)/((IF(Management!$C$3:$C$50="Unlimited",10^15,Management!$C$3:$C$50))&gt;='1'!$I100),COLUMN(Q99))),"")</f>
        <v/>
      </c>
      <c r="R100" t="str">
        <f>IFERROR(INDEX(Management!$B$3:$B$50,_xlfn.AGGREGATE(15,6,(ROW(Management!$B$3:$B$50)-ROW(Management!$B$3)+1)/((IF(Management!$C$3:$C$50="Unlimited",10^15,Management!$C$3:$C$50))&gt;='1'!$I100),COLUMN(R99))),"")</f>
        <v/>
      </c>
      <c r="S100" t="str">
        <f>IFERROR(INDEX(Management!$B$3:$B$50,_xlfn.AGGREGATE(15,6,(ROW(Management!$B$3:$B$50)-ROW(Management!$B$3)+1)/((IF(Management!$C$3:$C$50="Unlimited",10^15,Management!$C$3:$C$50))&gt;='1'!$I100),COLUMN(S99))),"")</f>
        <v/>
      </c>
      <c r="T100" t="str">
        <f>IFERROR(INDEX(Management!$B$3:$B$50,_xlfn.AGGREGATE(15,6,(ROW(Management!$B$3:$B$50)-ROW(Management!$B$3)+1)/((IF(Management!$C$3:$C$50="Unlimited",10^15,Management!$C$3:$C$50))&gt;='1'!$I100),COLUMN(T99))),"")</f>
        <v/>
      </c>
    </row>
    <row r="101" spans="1:20">
      <c r="A101" t="str">
        <f>IFERROR(INDEX(Management!$B$3:$B$50,_xlfn.AGGREGATE(15,6,(ROW(Management!$B$3:$B$50)-ROW(Management!$B$3)+1)/((IF(Management!$C$3:$C$50="Unlimited",10^15,Management!$C$3:$C$50))&gt;='1'!$I101),COLUMN(A100))),"")</f>
        <v/>
      </c>
      <c r="B101" t="str">
        <f>IFERROR(INDEX(Management!$B$3:$B$50,_xlfn.AGGREGATE(15,6,(ROW(Management!$B$3:$B$50)-ROW(Management!$B$3)+1)/((IF(Management!$C$3:$C$50="Unlimited",10^15,Management!$C$3:$C$50))&gt;='1'!$I101),COLUMN(B100))),"")</f>
        <v/>
      </c>
      <c r="C101" t="str">
        <f>IFERROR(INDEX(Management!$B$3:$B$50,_xlfn.AGGREGATE(15,6,(ROW(Management!$B$3:$B$50)-ROW(Management!$B$3)+1)/((IF(Management!$C$3:$C$50="Unlimited",10^15,Management!$C$3:$C$50))&gt;='1'!$I101),COLUMN(C100))),"")</f>
        <v/>
      </c>
      <c r="D101" t="str">
        <f>IFERROR(INDEX(Management!$B$3:$B$50,_xlfn.AGGREGATE(15,6,(ROW(Management!$B$3:$B$50)-ROW(Management!$B$3)+1)/((IF(Management!$C$3:$C$50="Unlimited",10^15,Management!$C$3:$C$50))&gt;='1'!$I101),COLUMN(D100))),"")</f>
        <v/>
      </c>
      <c r="E101" t="str">
        <f>IFERROR(INDEX(Management!$B$3:$B$50,_xlfn.AGGREGATE(15,6,(ROW(Management!$B$3:$B$50)-ROW(Management!$B$3)+1)/((IF(Management!$C$3:$C$50="Unlimited",10^15,Management!$C$3:$C$50))&gt;='1'!$I101),COLUMN(E100))),"")</f>
        <v/>
      </c>
      <c r="F101" t="str">
        <f>IFERROR(INDEX(Management!$B$3:$B$50,_xlfn.AGGREGATE(15,6,(ROW(Management!$B$3:$B$50)-ROW(Management!$B$3)+1)/((IF(Management!$C$3:$C$50="Unlimited",10^15,Management!$C$3:$C$50))&gt;='1'!$I101),COLUMN(F100))),"")</f>
        <v/>
      </c>
      <c r="G101" t="str">
        <f>IFERROR(INDEX(Management!$B$3:$B$50,_xlfn.AGGREGATE(15,6,(ROW(Management!$B$3:$B$50)-ROW(Management!$B$3)+1)/((IF(Management!$C$3:$C$50="Unlimited",10^15,Management!$C$3:$C$50))&gt;='1'!$I101),COLUMN(G100))),"")</f>
        <v/>
      </c>
      <c r="H101" t="str">
        <f>IFERROR(INDEX(Management!$B$3:$B$50,_xlfn.AGGREGATE(15,6,(ROW(Management!$B$3:$B$50)-ROW(Management!$B$3)+1)/((IF(Management!$C$3:$C$50="Unlimited",10^15,Management!$C$3:$C$50))&gt;='1'!$I101),COLUMN(H100))),"")</f>
        <v/>
      </c>
      <c r="I101" t="str">
        <f>IFERROR(INDEX(Management!$B$3:$B$50,_xlfn.AGGREGATE(15,6,(ROW(Management!$B$3:$B$50)-ROW(Management!$B$3)+1)/((IF(Management!$C$3:$C$50="Unlimited",10^15,Management!$C$3:$C$50))&gt;='1'!$I101),COLUMN(I100))),"")</f>
        <v/>
      </c>
      <c r="J101" t="str">
        <f>IFERROR(INDEX(Management!$B$3:$B$50,_xlfn.AGGREGATE(15,6,(ROW(Management!$B$3:$B$50)-ROW(Management!$B$3)+1)/((IF(Management!$C$3:$C$50="Unlimited",10^15,Management!$C$3:$C$50))&gt;='1'!$I101),COLUMN(J100))),"")</f>
        <v/>
      </c>
      <c r="K101" t="str">
        <f>IFERROR(INDEX(Management!$B$3:$B$50,_xlfn.AGGREGATE(15,6,(ROW(Management!$B$3:$B$50)-ROW(Management!$B$3)+1)/((IF(Management!$C$3:$C$50="Unlimited",10^15,Management!$C$3:$C$50))&gt;='1'!$I101),COLUMN(K100))),"")</f>
        <v/>
      </c>
      <c r="L101" t="str">
        <f>IFERROR(INDEX(Management!$B$3:$B$50,_xlfn.AGGREGATE(15,6,(ROW(Management!$B$3:$B$50)-ROW(Management!$B$3)+1)/((IF(Management!$C$3:$C$50="Unlimited",10^15,Management!$C$3:$C$50))&gt;='1'!$I101),COLUMN(L100))),"")</f>
        <v/>
      </c>
      <c r="M101" t="str">
        <f>IFERROR(INDEX(Management!$B$3:$B$50,_xlfn.AGGREGATE(15,6,(ROW(Management!$B$3:$B$50)-ROW(Management!$B$3)+1)/((IF(Management!$C$3:$C$50="Unlimited",10^15,Management!$C$3:$C$50))&gt;='1'!$I101),COLUMN(M100))),"")</f>
        <v/>
      </c>
      <c r="N101" t="str">
        <f>IFERROR(INDEX(Management!$B$3:$B$50,_xlfn.AGGREGATE(15,6,(ROW(Management!$B$3:$B$50)-ROW(Management!$B$3)+1)/((IF(Management!$C$3:$C$50="Unlimited",10^15,Management!$C$3:$C$50))&gt;='1'!$I101),COLUMN(N100))),"")</f>
        <v/>
      </c>
      <c r="O101" t="str">
        <f>IFERROR(INDEX(Management!$B$3:$B$50,_xlfn.AGGREGATE(15,6,(ROW(Management!$B$3:$B$50)-ROW(Management!$B$3)+1)/((IF(Management!$C$3:$C$50="Unlimited",10^15,Management!$C$3:$C$50))&gt;='1'!$I101),COLUMN(O100))),"")</f>
        <v/>
      </c>
      <c r="P101" t="str">
        <f>IFERROR(INDEX(Management!$B$3:$B$50,_xlfn.AGGREGATE(15,6,(ROW(Management!$B$3:$B$50)-ROW(Management!$B$3)+1)/((IF(Management!$C$3:$C$50="Unlimited",10^15,Management!$C$3:$C$50))&gt;='1'!$I101),COLUMN(P100))),"")</f>
        <v/>
      </c>
      <c r="Q101" t="str">
        <f>IFERROR(INDEX(Management!$B$3:$B$50,_xlfn.AGGREGATE(15,6,(ROW(Management!$B$3:$B$50)-ROW(Management!$B$3)+1)/((IF(Management!$C$3:$C$50="Unlimited",10^15,Management!$C$3:$C$50))&gt;='1'!$I101),COLUMN(Q100))),"")</f>
        <v/>
      </c>
      <c r="R101" t="str">
        <f>IFERROR(INDEX(Management!$B$3:$B$50,_xlfn.AGGREGATE(15,6,(ROW(Management!$B$3:$B$50)-ROW(Management!$B$3)+1)/((IF(Management!$C$3:$C$50="Unlimited",10^15,Management!$C$3:$C$50))&gt;='1'!$I101),COLUMN(R100))),"")</f>
        <v/>
      </c>
      <c r="S101" t="str">
        <f>IFERROR(INDEX(Management!$B$3:$B$50,_xlfn.AGGREGATE(15,6,(ROW(Management!$B$3:$B$50)-ROW(Management!$B$3)+1)/((IF(Management!$C$3:$C$50="Unlimited",10^15,Management!$C$3:$C$50))&gt;='1'!$I101),COLUMN(S100))),"")</f>
        <v/>
      </c>
      <c r="T101" t="str">
        <f>IFERROR(INDEX(Management!$B$3:$B$50,_xlfn.AGGREGATE(15,6,(ROW(Management!$B$3:$B$50)-ROW(Management!$B$3)+1)/((IF(Management!$C$3:$C$50="Unlimited",10^15,Management!$C$3:$C$50))&gt;='1'!$I101),COLUMN(T100))),"")</f>
        <v/>
      </c>
    </row>
    <row r="102" spans="1:20">
      <c r="A102" t="str">
        <f>IFERROR(INDEX(Management!$B$3:$B$50,_xlfn.AGGREGATE(15,6,(ROW(Management!$B$3:$B$50)-ROW(Management!$B$3)+1)/((IF(Management!$C$3:$C$50="Unlimited",10^15,Management!$C$3:$C$50))&gt;='1'!$I102),COLUMN(A101))),"")</f>
        <v/>
      </c>
      <c r="B102" t="str">
        <f>IFERROR(INDEX(Management!$B$3:$B$50,_xlfn.AGGREGATE(15,6,(ROW(Management!$B$3:$B$50)-ROW(Management!$B$3)+1)/((IF(Management!$C$3:$C$50="Unlimited",10^15,Management!$C$3:$C$50))&gt;='1'!$I102),COLUMN(B101))),"")</f>
        <v/>
      </c>
      <c r="C102" t="str">
        <f>IFERROR(INDEX(Management!$B$3:$B$50,_xlfn.AGGREGATE(15,6,(ROW(Management!$B$3:$B$50)-ROW(Management!$B$3)+1)/((IF(Management!$C$3:$C$50="Unlimited",10^15,Management!$C$3:$C$50))&gt;='1'!$I102),COLUMN(C101))),"")</f>
        <v/>
      </c>
      <c r="D102" t="str">
        <f>IFERROR(INDEX(Management!$B$3:$B$50,_xlfn.AGGREGATE(15,6,(ROW(Management!$B$3:$B$50)-ROW(Management!$B$3)+1)/((IF(Management!$C$3:$C$50="Unlimited",10^15,Management!$C$3:$C$50))&gt;='1'!$I102),COLUMN(D101))),"")</f>
        <v/>
      </c>
      <c r="E102" t="str">
        <f>IFERROR(INDEX(Management!$B$3:$B$50,_xlfn.AGGREGATE(15,6,(ROW(Management!$B$3:$B$50)-ROW(Management!$B$3)+1)/((IF(Management!$C$3:$C$50="Unlimited",10^15,Management!$C$3:$C$50))&gt;='1'!$I102),COLUMN(E101))),"")</f>
        <v/>
      </c>
      <c r="F102" t="str">
        <f>IFERROR(INDEX(Management!$B$3:$B$50,_xlfn.AGGREGATE(15,6,(ROW(Management!$B$3:$B$50)-ROW(Management!$B$3)+1)/((IF(Management!$C$3:$C$50="Unlimited",10^15,Management!$C$3:$C$50))&gt;='1'!$I102),COLUMN(F101))),"")</f>
        <v/>
      </c>
      <c r="G102" t="str">
        <f>IFERROR(INDEX(Management!$B$3:$B$50,_xlfn.AGGREGATE(15,6,(ROW(Management!$B$3:$B$50)-ROW(Management!$B$3)+1)/((IF(Management!$C$3:$C$50="Unlimited",10^15,Management!$C$3:$C$50))&gt;='1'!$I102),COLUMN(G101))),"")</f>
        <v/>
      </c>
      <c r="H102" t="str">
        <f>IFERROR(INDEX(Management!$B$3:$B$50,_xlfn.AGGREGATE(15,6,(ROW(Management!$B$3:$B$50)-ROW(Management!$B$3)+1)/((IF(Management!$C$3:$C$50="Unlimited",10^15,Management!$C$3:$C$50))&gt;='1'!$I102),COLUMN(H101))),"")</f>
        <v/>
      </c>
      <c r="I102" t="str">
        <f>IFERROR(INDEX(Management!$B$3:$B$50,_xlfn.AGGREGATE(15,6,(ROW(Management!$B$3:$B$50)-ROW(Management!$B$3)+1)/((IF(Management!$C$3:$C$50="Unlimited",10^15,Management!$C$3:$C$50))&gt;='1'!$I102),COLUMN(I101))),"")</f>
        <v/>
      </c>
      <c r="J102" t="str">
        <f>IFERROR(INDEX(Management!$B$3:$B$50,_xlfn.AGGREGATE(15,6,(ROW(Management!$B$3:$B$50)-ROW(Management!$B$3)+1)/((IF(Management!$C$3:$C$50="Unlimited",10^15,Management!$C$3:$C$50))&gt;='1'!$I102),COLUMN(J101))),"")</f>
        <v/>
      </c>
      <c r="K102" t="str">
        <f>IFERROR(INDEX(Management!$B$3:$B$50,_xlfn.AGGREGATE(15,6,(ROW(Management!$B$3:$B$50)-ROW(Management!$B$3)+1)/((IF(Management!$C$3:$C$50="Unlimited",10^15,Management!$C$3:$C$50))&gt;='1'!$I102),COLUMN(K101))),"")</f>
        <v/>
      </c>
      <c r="L102" t="str">
        <f>IFERROR(INDEX(Management!$B$3:$B$50,_xlfn.AGGREGATE(15,6,(ROW(Management!$B$3:$B$50)-ROW(Management!$B$3)+1)/((IF(Management!$C$3:$C$50="Unlimited",10^15,Management!$C$3:$C$50))&gt;='1'!$I102),COLUMN(L101))),"")</f>
        <v/>
      </c>
      <c r="M102" t="str">
        <f>IFERROR(INDEX(Management!$B$3:$B$50,_xlfn.AGGREGATE(15,6,(ROW(Management!$B$3:$B$50)-ROW(Management!$B$3)+1)/((IF(Management!$C$3:$C$50="Unlimited",10^15,Management!$C$3:$C$50))&gt;='1'!$I102),COLUMN(M101))),"")</f>
        <v/>
      </c>
      <c r="N102" t="str">
        <f>IFERROR(INDEX(Management!$B$3:$B$50,_xlfn.AGGREGATE(15,6,(ROW(Management!$B$3:$B$50)-ROW(Management!$B$3)+1)/((IF(Management!$C$3:$C$50="Unlimited",10^15,Management!$C$3:$C$50))&gt;='1'!$I102),COLUMN(N101))),"")</f>
        <v/>
      </c>
      <c r="O102" t="str">
        <f>IFERROR(INDEX(Management!$B$3:$B$50,_xlfn.AGGREGATE(15,6,(ROW(Management!$B$3:$B$50)-ROW(Management!$B$3)+1)/((IF(Management!$C$3:$C$50="Unlimited",10^15,Management!$C$3:$C$50))&gt;='1'!$I102),COLUMN(O101))),"")</f>
        <v/>
      </c>
      <c r="P102" t="str">
        <f>IFERROR(INDEX(Management!$B$3:$B$50,_xlfn.AGGREGATE(15,6,(ROW(Management!$B$3:$B$50)-ROW(Management!$B$3)+1)/((IF(Management!$C$3:$C$50="Unlimited",10^15,Management!$C$3:$C$50))&gt;='1'!$I102),COLUMN(P101))),"")</f>
        <v/>
      </c>
      <c r="Q102" t="str">
        <f>IFERROR(INDEX(Management!$B$3:$B$50,_xlfn.AGGREGATE(15,6,(ROW(Management!$B$3:$B$50)-ROW(Management!$B$3)+1)/((IF(Management!$C$3:$C$50="Unlimited",10^15,Management!$C$3:$C$50))&gt;='1'!$I102),COLUMN(Q101))),"")</f>
        <v/>
      </c>
      <c r="R102" t="str">
        <f>IFERROR(INDEX(Management!$B$3:$B$50,_xlfn.AGGREGATE(15,6,(ROW(Management!$B$3:$B$50)-ROW(Management!$B$3)+1)/((IF(Management!$C$3:$C$50="Unlimited",10^15,Management!$C$3:$C$50))&gt;='1'!$I102),COLUMN(R101))),"")</f>
        <v/>
      </c>
      <c r="S102" t="str">
        <f>IFERROR(INDEX(Management!$B$3:$B$50,_xlfn.AGGREGATE(15,6,(ROW(Management!$B$3:$B$50)-ROW(Management!$B$3)+1)/((IF(Management!$C$3:$C$50="Unlimited",10^15,Management!$C$3:$C$50))&gt;='1'!$I102),COLUMN(S101))),"")</f>
        <v/>
      </c>
      <c r="T102" t="str">
        <f>IFERROR(INDEX(Management!$B$3:$B$50,_xlfn.AGGREGATE(15,6,(ROW(Management!$B$3:$B$50)-ROW(Management!$B$3)+1)/((IF(Management!$C$3:$C$50="Unlimited",10^15,Management!$C$3:$C$50))&gt;='1'!$I102),COLUMN(T101))),"")</f>
        <v/>
      </c>
    </row>
    <row r="103" spans="1:20">
      <c r="A103" t="str">
        <f>IFERROR(INDEX(Management!$B$3:$B$50,_xlfn.AGGREGATE(15,6,(ROW(Management!$B$3:$B$50)-ROW(Management!$B$3)+1)/((IF(Management!$C$3:$C$50="Unlimited",10^15,Management!$C$3:$C$50))&gt;='1'!$I103),COLUMN(A102))),"")</f>
        <v/>
      </c>
      <c r="B103" t="str">
        <f>IFERROR(INDEX(Management!$B$3:$B$50,_xlfn.AGGREGATE(15,6,(ROW(Management!$B$3:$B$50)-ROW(Management!$B$3)+1)/((IF(Management!$C$3:$C$50="Unlimited",10^15,Management!$C$3:$C$50))&gt;='1'!$I103),COLUMN(B102))),"")</f>
        <v/>
      </c>
      <c r="C103" t="str">
        <f>IFERROR(INDEX(Management!$B$3:$B$50,_xlfn.AGGREGATE(15,6,(ROW(Management!$B$3:$B$50)-ROW(Management!$B$3)+1)/((IF(Management!$C$3:$C$50="Unlimited",10^15,Management!$C$3:$C$50))&gt;='1'!$I103),COLUMN(C102))),"")</f>
        <v/>
      </c>
      <c r="D103" t="str">
        <f>IFERROR(INDEX(Management!$B$3:$B$50,_xlfn.AGGREGATE(15,6,(ROW(Management!$B$3:$B$50)-ROW(Management!$B$3)+1)/((IF(Management!$C$3:$C$50="Unlimited",10^15,Management!$C$3:$C$50))&gt;='1'!$I103),COLUMN(D102))),"")</f>
        <v/>
      </c>
      <c r="E103" t="str">
        <f>IFERROR(INDEX(Management!$B$3:$B$50,_xlfn.AGGREGATE(15,6,(ROW(Management!$B$3:$B$50)-ROW(Management!$B$3)+1)/((IF(Management!$C$3:$C$50="Unlimited",10^15,Management!$C$3:$C$50))&gt;='1'!$I103),COLUMN(E102))),"")</f>
        <v/>
      </c>
      <c r="F103" t="str">
        <f>IFERROR(INDEX(Management!$B$3:$B$50,_xlfn.AGGREGATE(15,6,(ROW(Management!$B$3:$B$50)-ROW(Management!$B$3)+1)/((IF(Management!$C$3:$C$50="Unlimited",10^15,Management!$C$3:$C$50))&gt;='1'!$I103),COLUMN(F102))),"")</f>
        <v/>
      </c>
      <c r="G103" t="str">
        <f>IFERROR(INDEX(Management!$B$3:$B$50,_xlfn.AGGREGATE(15,6,(ROW(Management!$B$3:$B$50)-ROW(Management!$B$3)+1)/((IF(Management!$C$3:$C$50="Unlimited",10^15,Management!$C$3:$C$50))&gt;='1'!$I103),COLUMN(G102))),"")</f>
        <v/>
      </c>
      <c r="H103" t="str">
        <f>IFERROR(INDEX(Management!$B$3:$B$50,_xlfn.AGGREGATE(15,6,(ROW(Management!$B$3:$B$50)-ROW(Management!$B$3)+1)/((IF(Management!$C$3:$C$50="Unlimited",10^15,Management!$C$3:$C$50))&gt;='1'!$I103),COLUMN(H102))),"")</f>
        <v/>
      </c>
      <c r="I103" t="str">
        <f>IFERROR(INDEX(Management!$B$3:$B$50,_xlfn.AGGREGATE(15,6,(ROW(Management!$B$3:$B$50)-ROW(Management!$B$3)+1)/((IF(Management!$C$3:$C$50="Unlimited",10^15,Management!$C$3:$C$50))&gt;='1'!$I103),COLUMN(I102))),"")</f>
        <v/>
      </c>
      <c r="J103" t="str">
        <f>IFERROR(INDEX(Management!$B$3:$B$50,_xlfn.AGGREGATE(15,6,(ROW(Management!$B$3:$B$50)-ROW(Management!$B$3)+1)/((IF(Management!$C$3:$C$50="Unlimited",10^15,Management!$C$3:$C$50))&gt;='1'!$I103),COLUMN(J102))),"")</f>
        <v/>
      </c>
      <c r="K103" t="str">
        <f>IFERROR(INDEX(Management!$B$3:$B$50,_xlfn.AGGREGATE(15,6,(ROW(Management!$B$3:$B$50)-ROW(Management!$B$3)+1)/((IF(Management!$C$3:$C$50="Unlimited",10^15,Management!$C$3:$C$50))&gt;='1'!$I103),COLUMN(K102))),"")</f>
        <v/>
      </c>
      <c r="L103" t="str">
        <f>IFERROR(INDEX(Management!$B$3:$B$50,_xlfn.AGGREGATE(15,6,(ROW(Management!$B$3:$B$50)-ROW(Management!$B$3)+1)/((IF(Management!$C$3:$C$50="Unlimited",10^15,Management!$C$3:$C$50))&gt;='1'!$I103),COLUMN(L102))),"")</f>
        <v/>
      </c>
      <c r="M103" t="str">
        <f>IFERROR(INDEX(Management!$B$3:$B$50,_xlfn.AGGREGATE(15,6,(ROW(Management!$B$3:$B$50)-ROW(Management!$B$3)+1)/((IF(Management!$C$3:$C$50="Unlimited",10^15,Management!$C$3:$C$50))&gt;='1'!$I103),COLUMN(M102))),"")</f>
        <v/>
      </c>
      <c r="N103" t="str">
        <f>IFERROR(INDEX(Management!$B$3:$B$50,_xlfn.AGGREGATE(15,6,(ROW(Management!$B$3:$B$50)-ROW(Management!$B$3)+1)/((IF(Management!$C$3:$C$50="Unlimited",10^15,Management!$C$3:$C$50))&gt;='1'!$I103),COLUMN(N102))),"")</f>
        <v/>
      </c>
      <c r="O103" t="str">
        <f>IFERROR(INDEX(Management!$B$3:$B$50,_xlfn.AGGREGATE(15,6,(ROW(Management!$B$3:$B$50)-ROW(Management!$B$3)+1)/((IF(Management!$C$3:$C$50="Unlimited",10^15,Management!$C$3:$C$50))&gt;='1'!$I103),COLUMN(O102))),"")</f>
        <v/>
      </c>
      <c r="P103" t="str">
        <f>IFERROR(INDEX(Management!$B$3:$B$50,_xlfn.AGGREGATE(15,6,(ROW(Management!$B$3:$B$50)-ROW(Management!$B$3)+1)/((IF(Management!$C$3:$C$50="Unlimited",10^15,Management!$C$3:$C$50))&gt;='1'!$I103),COLUMN(P102))),"")</f>
        <v/>
      </c>
      <c r="Q103" t="str">
        <f>IFERROR(INDEX(Management!$B$3:$B$50,_xlfn.AGGREGATE(15,6,(ROW(Management!$B$3:$B$50)-ROW(Management!$B$3)+1)/((IF(Management!$C$3:$C$50="Unlimited",10^15,Management!$C$3:$C$50))&gt;='1'!$I103),COLUMN(Q102))),"")</f>
        <v/>
      </c>
      <c r="R103" t="str">
        <f>IFERROR(INDEX(Management!$B$3:$B$50,_xlfn.AGGREGATE(15,6,(ROW(Management!$B$3:$B$50)-ROW(Management!$B$3)+1)/((IF(Management!$C$3:$C$50="Unlimited",10^15,Management!$C$3:$C$50))&gt;='1'!$I103),COLUMN(R102))),"")</f>
        <v/>
      </c>
      <c r="S103" t="str">
        <f>IFERROR(INDEX(Management!$B$3:$B$50,_xlfn.AGGREGATE(15,6,(ROW(Management!$B$3:$B$50)-ROW(Management!$B$3)+1)/((IF(Management!$C$3:$C$50="Unlimited",10^15,Management!$C$3:$C$50))&gt;='1'!$I103),COLUMN(S102))),"")</f>
        <v/>
      </c>
      <c r="T103" t="str">
        <f>IFERROR(INDEX(Management!$B$3:$B$50,_xlfn.AGGREGATE(15,6,(ROW(Management!$B$3:$B$50)-ROW(Management!$B$3)+1)/((IF(Management!$C$3:$C$50="Unlimited",10^15,Management!$C$3:$C$50))&gt;='1'!$I103),COLUMN(T102))),"")</f>
        <v/>
      </c>
    </row>
    <row r="104" spans="1:20">
      <c r="A104" t="str">
        <f>IFERROR(INDEX(Management!$B$3:$B$50,_xlfn.AGGREGATE(15,6,(ROW(Management!$B$3:$B$50)-ROW(Management!$B$3)+1)/((IF(Management!$C$3:$C$50="Unlimited",10^15,Management!$C$3:$C$50))&gt;='1'!$I104),COLUMN(A103))),"")</f>
        <v/>
      </c>
      <c r="B104" t="str">
        <f>IFERROR(INDEX(Management!$B$3:$B$50,_xlfn.AGGREGATE(15,6,(ROW(Management!$B$3:$B$50)-ROW(Management!$B$3)+1)/((IF(Management!$C$3:$C$50="Unlimited",10^15,Management!$C$3:$C$50))&gt;='1'!$I104),COLUMN(B103))),"")</f>
        <v/>
      </c>
      <c r="C104" t="str">
        <f>IFERROR(INDEX(Management!$B$3:$B$50,_xlfn.AGGREGATE(15,6,(ROW(Management!$B$3:$B$50)-ROW(Management!$B$3)+1)/((IF(Management!$C$3:$C$50="Unlimited",10^15,Management!$C$3:$C$50))&gt;='1'!$I104),COLUMN(C103))),"")</f>
        <v/>
      </c>
      <c r="D104" t="str">
        <f>IFERROR(INDEX(Management!$B$3:$B$50,_xlfn.AGGREGATE(15,6,(ROW(Management!$B$3:$B$50)-ROW(Management!$B$3)+1)/((IF(Management!$C$3:$C$50="Unlimited",10^15,Management!$C$3:$C$50))&gt;='1'!$I104),COLUMN(D103))),"")</f>
        <v/>
      </c>
      <c r="E104" t="str">
        <f>IFERROR(INDEX(Management!$B$3:$B$50,_xlfn.AGGREGATE(15,6,(ROW(Management!$B$3:$B$50)-ROW(Management!$B$3)+1)/((IF(Management!$C$3:$C$50="Unlimited",10^15,Management!$C$3:$C$50))&gt;='1'!$I104),COLUMN(E103))),"")</f>
        <v/>
      </c>
      <c r="F104" t="str">
        <f>IFERROR(INDEX(Management!$B$3:$B$50,_xlfn.AGGREGATE(15,6,(ROW(Management!$B$3:$B$50)-ROW(Management!$B$3)+1)/((IF(Management!$C$3:$C$50="Unlimited",10^15,Management!$C$3:$C$50))&gt;='1'!$I104),COLUMN(F103))),"")</f>
        <v/>
      </c>
      <c r="G104" t="str">
        <f>IFERROR(INDEX(Management!$B$3:$B$50,_xlfn.AGGREGATE(15,6,(ROW(Management!$B$3:$B$50)-ROW(Management!$B$3)+1)/((IF(Management!$C$3:$C$50="Unlimited",10^15,Management!$C$3:$C$50))&gt;='1'!$I104),COLUMN(G103))),"")</f>
        <v/>
      </c>
      <c r="H104" t="str">
        <f>IFERROR(INDEX(Management!$B$3:$B$50,_xlfn.AGGREGATE(15,6,(ROW(Management!$B$3:$B$50)-ROW(Management!$B$3)+1)/((IF(Management!$C$3:$C$50="Unlimited",10^15,Management!$C$3:$C$50))&gt;='1'!$I104),COLUMN(H103))),"")</f>
        <v/>
      </c>
      <c r="I104" t="str">
        <f>IFERROR(INDEX(Management!$B$3:$B$50,_xlfn.AGGREGATE(15,6,(ROW(Management!$B$3:$B$50)-ROW(Management!$B$3)+1)/((IF(Management!$C$3:$C$50="Unlimited",10^15,Management!$C$3:$C$50))&gt;='1'!$I104),COLUMN(I103))),"")</f>
        <v/>
      </c>
      <c r="J104" t="str">
        <f>IFERROR(INDEX(Management!$B$3:$B$50,_xlfn.AGGREGATE(15,6,(ROW(Management!$B$3:$B$50)-ROW(Management!$B$3)+1)/((IF(Management!$C$3:$C$50="Unlimited",10^15,Management!$C$3:$C$50))&gt;='1'!$I104),COLUMN(J103))),"")</f>
        <v/>
      </c>
      <c r="K104" t="str">
        <f>IFERROR(INDEX(Management!$B$3:$B$50,_xlfn.AGGREGATE(15,6,(ROW(Management!$B$3:$B$50)-ROW(Management!$B$3)+1)/((IF(Management!$C$3:$C$50="Unlimited",10^15,Management!$C$3:$C$50))&gt;='1'!$I104),COLUMN(K103))),"")</f>
        <v/>
      </c>
      <c r="L104" t="str">
        <f>IFERROR(INDEX(Management!$B$3:$B$50,_xlfn.AGGREGATE(15,6,(ROW(Management!$B$3:$B$50)-ROW(Management!$B$3)+1)/((IF(Management!$C$3:$C$50="Unlimited",10^15,Management!$C$3:$C$50))&gt;='1'!$I104),COLUMN(L103))),"")</f>
        <v/>
      </c>
      <c r="M104" t="str">
        <f>IFERROR(INDEX(Management!$B$3:$B$50,_xlfn.AGGREGATE(15,6,(ROW(Management!$B$3:$B$50)-ROW(Management!$B$3)+1)/((IF(Management!$C$3:$C$50="Unlimited",10^15,Management!$C$3:$C$50))&gt;='1'!$I104),COLUMN(M103))),"")</f>
        <v/>
      </c>
      <c r="N104" t="str">
        <f>IFERROR(INDEX(Management!$B$3:$B$50,_xlfn.AGGREGATE(15,6,(ROW(Management!$B$3:$B$50)-ROW(Management!$B$3)+1)/((IF(Management!$C$3:$C$50="Unlimited",10^15,Management!$C$3:$C$50))&gt;='1'!$I104),COLUMN(N103))),"")</f>
        <v/>
      </c>
      <c r="O104" t="str">
        <f>IFERROR(INDEX(Management!$B$3:$B$50,_xlfn.AGGREGATE(15,6,(ROW(Management!$B$3:$B$50)-ROW(Management!$B$3)+1)/((IF(Management!$C$3:$C$50="Unlimited",10^15,Management!$C$3:$C$50))&gt;='1'!$I104),COLUMN(O103))),"")</f>
        <v/>
      </c>
      <c r="P104" t="str">
        <f>IFERROR(INDEX(Management!$B$3:$B$50,_xlfn.AGGREGATE(15,6,(ROW(Management!$B$3:$B$50)-ROW(Management!$B$3)+1)/((IF(Management!$C$3:$C$50="Unlimited",10^15,Management!$C$3:$C$50))&gt;='1'!$I104),COLUMN(P103))),"")</f>
        <v/>
      </c>
      <c r="Q104" t="str">
        <f>IFERROR(INDEX(Management!$B$3:$B$50,_xlfn.AGGREGATE(15,6,(ROW(Management!$B$3:$B$50)-ROW(Management!$B$3)+1)/((IF(Management!$C$3:$C$50="Unlimited",10^15,Management!$C$3:$C$50))&gt;='1'!$I104),COLUMN(Q103))),"")</f>
        <v/>
      </c>
      <c r="R104" t="str">
        <f>IFERROR(INDEX(Management!$B$3:$B$50,_xlfn.AGGREGATE(15,6,(ROW(Management!$B$3:$B$50)-ROW(Management!$B$3)+1)/((IF(Management!$C$3:$C$50="Unlimited",10^15,Management!$C$3:$C$50))&gt;='1'!$I104),COLUMN(R103))),"")</f>
        <v/>
      </c>
      <c r="S104" t="str">
        <f>IFERROR(INDEX(Management!$B$3:$B$50,_xlfn.AGGREGATE(15,6,(ROW(Management!$B$3:$B$50)-ROW(Management!$B$3)+1)/((IF(Management!$C$3:$C$50="Unlimited",10^15,Management!$C$3:$C$50))&gt;='1'!$I104),COLUMN(S103))),"")</f>
        <v/>
      </c>
      <c r="T104" t="str">
        <f>IFERROR(INDEX(Management!$B$3:$B$50,_xlfn.AGGREGATE(15,6,(ROW(Management!$B$3:$B$50)-ROW(Management!$B$3)+1)/((IF(Management!$C$3:$C$50="Unlimited",10^15,Management!$C$3:$C$50))&gt;='1'!$I104),COLUMN(T103))),"")</f>
        <v/>
      </c>
    </row>
    <row r="105" spans="1:20">
      <c r="A105" t="str">
        <f>IFERROR(INDEX(Management!$B$3:$B$50,_xlfn.AGGREGATE(15,6,(ROW(Management!$B$3:$B$50)-ROW(Management!$B$3)+1)/((IF(Management!$C$3:$C$50="Unlimited",10^15,Management!$C$3:$C$50))&gt;='1'!$I105),COLUMN(A104))),"")</f>
        <v/>
      </c>
      <c r="B105" t="str">
        <f>IFERROR(INDEX(Management!$B$3:$B$50,_xlfn.AGGREGATE(15,6,(ROW(Management!$B$3:$B$50)-ROW(Management!$B$3)+1)/((IF(Management!$C$3:$C$50="Unlimited",10^15,Management!$C$3:$C$50))&gt;='1'!$I105),COLUMN(B104))),"")</f>
        <v/>
      </c>
      <c r="C105" t="str">
        <f>IFERROR(INDEX(Management!$B$3:$B$50,_xlfn.AGGREGATE(15,6,(ROW(Management!$B$3:$B$50)-ROW(Management!$B$3)+1)/((IF(Management!$C$3:$C$50="Unlimited",10^15,Management!$C$3:$C$50))&gt;='1'!$I105),COLUMN(C104))),"")</f>
        <v/>
      </c>
      <c r="D105" t="str">
        <f>IFERROR(INDEX(Management!$B$3:$B$50,_xlfn.AGGREGATE(15,6,(ROW(Management!$B$3:$B$50)-ROW(Management!$B$3)+1)/((IF(Management!$C$3:$C$50="Unlimited",10^15,Management!$C$3:$C$50))&gt;='1'!$I105),COLUMN(D104))),"")</f>
        <v/>
      </c>
      <c r="E105" t="str">
        <f>IFERROR(INDEX(Management!$B$3:$B$50,_xlfn.AGGREGATE(15,6,(ROW(Management!$B$3:$B$50)-ROW(Management!$B$3)+1)/((IF(Management!$C$3:$C$50="Unlimited",10^15,Management!$C$3:$C$50))&gt;='1'!$I105),COLUMN(E104))),"")</f>
        <v/>
      </c>
      <c r="F105" t="str">
        <f>IFERROR(INDEX(Management!$B$3:$B$50,_xlfn.AGGREGATE(15,6,(ROW(Management!$B$3:$B$50)-ROW(Management!$B$3)+1)/((IF(Management!$C$3:$C$50="Unlimited",10^15,Management!$C$3:$C$50))&gt;='1'!$I105),COLUMN(F104))),"")</f>
        <v/>
      </c>
      <c r="G105" t="str">
        <f>IFERROR(INDEX(Management!$B$3:$B$50,_xlfn.AGGREGATE(15,6,(ROW(Management!$B$3:$B$50)-ROW(Management!$B$3)+1)/((IF(Management!$C$3:$C$50="Unlimited",10^15,Management!$C$3:$C$50))&gt;='1'!$I105),COLUMN(G104))),"")</f>
        <v/>
      </c>
      <c r="H105" t="str">
        <f>IFERROR(INDEX(Management!$B$3:$B$50,_xlfn.AGGREGATE(15,6,(ROW(Management!$B$3:$B$50)-ROW(Management!$B$3)+1)/((IF(Management!$C$3:$C$50="Unlimited",10^15,Management!$C$3:$C$50))&gt;='1'!$I105),COLUMN(H104))),"")</f>
        <v/>
      </c>
      <c r="I105" t="str">
        <f>IFERROR(INDEX(Management!$B$3:$B$50,_xlfn.AGGREGATE(15,6,(ROW(Management!$B$3:$B$50)-ROW(Management!$B$3)+1)/((IF(Management!$C$3:$C$50="Unlimited",10^15,Management!$C$3:$C$50))&gt;='1'!$I105),COLUMN(I104))),"")</f>
        <v/>
      </c>
      <c r="J105" t="str">
        <f>IFERROR(INDEX(Management!$B$3:$B$50,_xlfn.AGGREGATE(15,6,(ROW(Management!$B$3:$B$50)-ROW(Management!$B$3)+1)/((IF(Management!$C$3:$C$50="Unlimited",10^15,Management!$C$3:$C$50))&gt;='1'!$I105),COLUMN(J104))),"")</f>
        <v/>
      </c>
      <c r="K105" t="str">
        <f>IFERROR(INDEX(Management!$B$3:$B$50,_xlfn.AGGREGATE(15,6,(ROW(Management!$B$3:$B$50)-ROW(Management!$B$3)+1)/((IF(Management!$C$3:$C$50="Unlimited",10^15,Management!$C$3:$C$50))&gt;='1'!$I105),COLUMN(K104))),"")</f>
        <v/>
      </c>
      <c r="L105" t="str">
        <f>IFERROR(INDEX(Management!$B$3:$B$50,_xlfn.AGGREGATE(15,6,(ROW(Management!$B$3:$B$50)-ROW(Management!$B$3)+1)/((IF(Management!$C$3:$C$50="Unlimited",10^15,Management!$C$3:$C$50))&gt;='1'!$I105),COLUMN(L104))),"")</f>
        <v/>
      </c>
      <c r="M105" t="str">
        <f>IFERROR(INDEX(Management!$B$3:$B$50,_xlfn.AGGREGATE(15,6,(ROW(Management!$B$3:$B$50)-ROW(Management!$B$3)+1)/((IF(Management!$C$3:$C$50="Unlimited",10^15,Management!$C$3:$C$50))&gt;='1'!$I105),COLUMN(M104))),"")</f>
        <v/>
      </c>
      <c r="N105" t="str">
        <f>IFERROR(INDEX(Management!$B$3:$B$50,_xlfn.AGGREGATE(15,6,(ROW(Management!$B$3:$B$50)-ROW(Management!$B$3)+1)/((IF(Management!$C$3:$C$50="Unlimited",10^15,Management!$C$3:$C$50))&gt;='1'!$I105),COLUMN(N104))),"")</f>
        <v/>
      </c>
      <c r="O105" t="str">
        <f>IFERROR(INDEX(Management!$B$3:$B$50,_xlfn.AGGREGATE(15,6,(ROW(Management!$B$3:$B$50)-ROW(Management!$B$3)+1)/((IF(Management!$C$3:$C$50="Unlimited",10^15,Management!$C$3:$C$50))&gt;='1'!$I105),COLUMN(O104))),"")</f>
        <v/>
      </c>
      <c r="P105" t="str">
        <f>IFERROR(INDEX(Management!$B$3:$B$50,_xlfn.AGGREGATE(15,6,(ROW(Management!$B$3:$B$50)-ROW(Management!$B$3)+1)/((IF(Management!$C$3:$C$50="Unlimited",10^15,Management!$C$3:$C$50))&gt;='1'!$I105),COLUMN(P104))),"")</f>
        <v/>
      </c>
      <c r="Q105" t="str">
        <f>IFERROR(INDEX(Management!$B$3:$B$50,_xlfn.AGGREGATE(15,6,(ROW(Management!$B$3:$B$50)-ROW(Management!$B$3)+1)/((IF(Management!$C$3:$C$50="Unlimited",10^15,Management!$C$3:$C$50))&gt;='1'!$I105),COLUMN(Q104))),"")</f>
        <v/>
      </c>
      <c r="R105" t="str">
        <f>IFERROR(INDEX(Management!$B$3:$B$50,_xlfn.AGGREGATE(15,6,(ROW(Management!$B$3:$B$50)-ROW(Management!$B$3)+1)/((IF(Management!$C$3:$C$50="Unlimited",10^15,Management!$C$3:$C$50))&gt;='1'!$I105),COLUMN(R104))),"")</f>
        <v/>
      </c>
      <c r="S105" t="str">
        <f>IFERROR(INDEX(Management!$B$3:$B$50,_xlfn.AGGREGATE(15,6,(ROW(Management!$B$3:$B$50)-ROW(Management!$B$3)+1)/((IF(Management!$C$3:$C$50="Unlimited",10^15,Management!$C$3:$C$50))&gt;='1'!$I105),COLUMN(S104))),"")</f>
        <v/>
      </c>
      <c r="T105" t="str">
        <f>IFERROR(INDEX(Management!$B$3:$B$50,_xlfn.AGGREGATE(15,6,(ROW(Management!$B$3:$B$50)-ROW(Management!$B$3)+1)/((IF(Management!$C$3:$C$50="Unlimited",10^15,Management!$C$3:$C$50))&gt;='1'!$I105),COLUMN(T104))),"")</f>
        <v/>
      </c>
    </row>
    <row r="106" spans="1:20">
      <c r="A106" t="str">
        <f>IFERROR(INDEX(Management!$B$3:$B$50,_xlfn.AGGREGATE(15,6,(ROW(Management!$B$3:$B$50)-ROW(Management!$B$3)+1)/((IF(Management!$C$3:$C$50="Unlimited",10^15,Management!$C$3:$C$50))&gt;='1'!$I106),COLUMN(A105))),"")</f>
        <v/>
      </c>
      <c r="B106" t="str">
        <f>IFERROR(INDEX(Management!$B$3:$B$50,_xlfn.AGGREGATE(15,6,(ROW(Management!$B$3:$B$50)-ROW(Management!$B$3)+1)/((IF(Management!$C$3:$C$50="Unlimited",10^15,Management!$C$3:$C$50))&gt;='1'!$I106),COLUMN(B105))),"")</f>
        <v/>
      </c>
      <c r="C106" t="str">
        <f>IFERROR(INDEX(Management!$B$3:$B$50,_xlfn.AGGREGATE(15,6,(ROW(Management!$B$3:$B$50)-ROW(Management!$B$3)+1)/((IF(Management!$C$3:$C$50="Unlimited",10^15,Management!$C$3:$C$50))&gt;='1'!$I106),COLUMN(C105))),"")</f>
        <v/>
      </c>
      <c r="D106" t="str">
        <f>IFERROR(INDEX(Management!$B$3:$B$50,_xlfn.AGGREGATE(15,6,(ROW(Management!$B$3:$B$50)-ROW(Management!$B$3)+1)/((IF(Management!$C$3:$C$50="Unlimited",10^15,Management!$C$3:$C$50))&gt;='1'!$I106),COLUMN(D105))),"")</f>
        <v/>
      </c>
      <c r="E106" t="str">
        <f>IFERROR(INDEX(Management!$B$3:$B$50,_xlfn.AGGREGATE(15,6,(ROW(Management!$B$3:$B$50)-ROW(Management!$B$3)+1)/((IF(Management!$C$3:$C$50="Unlimited",10^15,Management!$C$3:$C$50))&gt;='1'!$I106),COLUMN(E105))),"")</f>
        <v/>
      </c>
      <c r="F106" t="str">
        <f>IFERROR(INDEX(Management!$B$3:$B$50,_xlfn.AGGREGATE(15,6,(ROW(Management!$B$3:$B$50)-ROW(Management!$B$3)+1)/((IF(Management!$C$3:$C$50="Unlimited",10^15,Management!$C$3:$C$50))&gt;='1'!$I106),COLUMN(F105))),"")</f>
        <v/>
      </c>
      <c r="G106" t="str">
        <f>IFERROR(INDEX(Management!$B$3:$B$50,_xlfn.AGGREGATE(15,6,(ROW(Management!$B$3:$B$50)-ROW(Management!$B$3)+1)/((IF(Management!$C$3:$C$50="Unlimited",10^15,Management!$C$3:$C$50))&gt;='1'!$I106),COLUMN(G105))),"")</f>
        <v/>
      </c>
      <c r="H106" t="str">
        <f>IFERROR(INDEX(Management!$B$3:$B$50,_xlfn.AGGREGATE(15,6,(ROW(Management!$B$3:$B$50)-ROW(Management!$B$3)+1)/((IF(Management!$C$3:$C$50="Unlimited",10^15,Management!$C$3:$C$50))&gt;='1'!$I106),COLUMN(H105))),"")</f>
        <v/>
      </c>
      <c r="I106" t="str">
        <f>IFERROR(INDEX(Management!$B$3:$B$50,_xlfn.AGGREGATE(15,6,(ROW(Management!$B$3:$B$50)-ROW(Management!$B$3)+1)/((IF(Management!$C$3:$C$50="Unlimited",10^15,Management!$C$3:$C$50))&gt;='1'!$I106),COLUMN(I105))),"")</f>
        <v/>
      </c>
      <c r="J106" t="str">
        <f>IFERROR(INDEX(Management!$B$3:$B$50,_xlfn.AGGREGATE(15,6,(ROW(Management!$B$3:$B$50)-ROW(Management!$B$3)+1)/((IF(Management!$C$3:$C$50="Unlimited",10^15,Management!$C$3:$C$50))&gt;='1'!$I106),COLUMN(J105))),"")</f>
        <v/>
      </c>
      <c r="K106" t="str">
        <f>IFERROR(INDEX(Management!$B$3:$B$50,_xlfn.AGGREGATE(15,6,(ROW(Management!$B$3:$B$50)-ROW(Management!$B$3)+1)/((IF(Management!$C$3:$C$50="Unlimited",10^15,Management!$C$3:$C$50))&gt;='1'!$I106),COLUMN(K105))),"")</f>
        <v/>
      </c>
      <c r="L106" t="str">
        <f>IFERROR(INDEX(Management!$B$3:$B$50,_xlfn.AGGREGATE(15,6,(ROW(Management!$B$3:$B$50)-ROW(Management!$B$3)+1)/((IF(Management!$C$3:$C$50="Unlimited",10^15,Management!$C$3:$C$50))&gt;='1'!$I106),COLUMN(L105))),"")</f>
        <v/>
      </c>
      <c r="M106" t="str">
        <f>IFERROR(INDEX(Management!$B$3:$B$50,_xlfn.AGGREGATE(15,6,(ROW(Management!$B$3:$B$50)-ROW(Management!$B$3)+1)/((IF(Management!$C$3:$C$50="Unlimited",10^15,Management!$C$3:$C$50))&gt;='1'!$I106),COLUMN(M105))),"")</f>
        <v/>
      </c>
      <c r="N106" t="str">
        <f>IFERROR(INDEX(Management!$B$3:$B$50,_xlfn.AGGREGATE(15,6,(ROW(Management!$B$3:$B$50)-ROW(Management!$B$3)+1)/((IF(Management!$C$3:$C$50="Unlimited",10^15,Management!$C$3:$C$50))&gt;='1'!$I106),COLUMN(N105))),"")</f>
        <v/>
      </c>
      <c r="O106" t="str">
        <f>IFERROR(INDEX(Management!$B$3:$B$50,_xlfn.AGGREGATE(15,6,(ROW(Management!$B$3:$B$50)-ROW(Management!$B$3)+1)/((IF(Management!$C$3:$C$50="Unlimited",10^15,Management!$C$3:$C$50))&gt;='1'!$I106),COLUMN(O105))),"")</f>
        <v/>
      </c>
      <c r="P106" t="str">
        <f>IFERROR(INDEX(Management!$B$3:$B$50,_xlfn.AGGREGATE(15,6,(ROW(Management!$B$3:$B$50)-ROW(Management!$B$3)+1)/((IF(Management!$C$3:$C$50="Unlimited",10^15,Management!$C$3:$C$50))&gt;='1'!$I106),COLUMN(P105))),"")</f>
        <v/>
      </c>
      <c r="Q106" t="str">
        <f>IFERROR(INDEX(Management!$B$3:$B$50,_xlfn.AGGREGATE(15,6,(ROW(Management!$B$3:$B$50)-ROW(Management!$B$3)+1)/((IF(Management!$C$3:$C$50="Unlimited",10^15,Management!$C$3:$C$50))&gt;='1'!$I106),COLUMN(Q105))),"")</f>
        <v/>
      </c>
      <c r="R106" t="str">
        <f>IFERROR(INDEX(Management!$B$3:$B$50,_xlfn.AGGREGATE(15,6,(ROW(Management!$B$3:$B$50)-ROW(Management!$B$3)+1)/((IF(Management!$C$3:$C$50="Unlimited",10^15,Management!$C$3:$C$50))&gt;='1'!$I106),COLUMN(R105))),"")</f>
        <v/>
      </c>
      <c r="S106" t="str">
        <f>IFERROR(INDEX(Management!$B$3:$B$50,_xlfn.AGGREGATE(15,6,(ROW(Management!$B$3:$B$50)-ROW(Management!$B$3)+1)/((IF(Management!$C$3:$C$50="Unlimited",10^15,Management!$C$3:$C$50))&gt;='1'!$I106),COLUMN(S105))),"")</f>
        <v/>
      </c>
      <c r="T106" t="str">
        <f>IFERROR(INDEX(Management!$B$3:$B$50,_xlfn.AGGREGATE(15,6,(ROW(Management!$B$3:$B$50)-ROW(Management!$B$3)+1)/((IF(Management!$C$3:$C$50="Unlimited",10^15,Management!$C$3:$C$50))&gt;='1'!$I106),COLUMN(T105))),"")</f>
        <v/>
      </c>
    </row>
    <row r="107" spans="1:20">
      <c r="A107" t="str">
        <f>IFERROR(INDEX(Management!$B$3:$B$50,_xlfn.AGGREGATE(15,6,(ROW(Management!$B$3:$B$50)-ROW(Management!$B$3)+1)/((IF(Management!$C$3:$C$50="Unlimited",10^15,Management!$C$3:$C$50))&gt;='1'!$I107),COLUMN(A106))),"")</f>
        <v/>
      </c>
      <c r="B107" t="str">
        <f>IFERROR(INDEX(Management!$B$3:$B$50,_xlfn.AGGREGATE(15,6,(ROW(Management!$B$3:$B$50)-ROW(Management!$B$3)+1)/((IF(Management!$C$3:$C$50="Unlimited",10^15,Management!$C$3:$C$50))&gt;='1'!$I107),COLUMN(B106))),"")</f>
        <v/>
      </c>
      <c r="C107" t="str">
        <f>IFERROR(INDEX(Management!$B$3:$B$50,_xlfn.AGGREGATE(15,6,(ROW(Management!$B$3:$B$50)-ROW(Management!$B$3)+1)/((IF(Management!$C$3:$C$50="Unlimited",10^15,Management!$C$3:$C$50))&gt;='1'!$I107),COLUMN(C106))),"")</f>
        <v/>
      </c>
      <c r="D107" t="str">
        <f>IFERROR(INDEX(Management!$B$3:$B$50,_xlfn.AGGREGATE(15,6,(ROW(Management!$B$3:$B$50)-ROW(Management!$B$3)+1)/((IF(Management!$C$3:$C$50="Unlimited",10^15,Management!$C$3:$C$50))&gt;='1'!$I107),COLUMN(D106))),"")</f>
        <v/>
      </c>
      <c r="E107" t="str">
        <f>IFERROR(INDEX(Management!$B$3:$B$50,_xlfn.AGGREGATE(15,6,(ROW(Management!$B$3:$B$50)-ROW(Management!$B$3)+1)/((IF(Management!$C$3:$C$50="Unlimited",10^15,Management!$C$3:$C$50))&gt;='1'!$I107),COLUMN(E106))),"")</f>
        <v/>
      </c>
      <c r="F107" t="str">
        <f>IFERROR(INDEX(Management!$B$3:$B$50,_xlfn.AGGREGATE(15,6,(ROW(Management!$B$3:$B$50)-ROW(Management!$B$3)+1)/((IF(Management!$C$3:$C$50="Unlimited",10^15,Management!$C$3:$C$50))&gt;='1'!$I107),COLUMN(F106))),"")</f>
        <v/>
      </c>
      <c r="G107" t="str">
        <f>IFERROR(INDEX(Management!$B$3:$B$50,_xlfn.AGGREGATE(15,6,(ROW(Management!$B$3:$B$50)-ROW(Management!$B$3)+1)/((IF(Management!$C$3:$C$50="Unlimited",10^15,Management!$C$3:$C$50))&gt;='1'!$I107),COLUMN(G106))),"")</f>
        <v/>
      </c>
      <c r="H107" t="str">
        <f>IFERROR(INDEX(Management!$B$3:$B$50,_xlfn.AGGREGATE(15,6,(ROW(Management!$B$3:$B$50)-ROW(Management!$B$3)+1)/((IF(Management!$C$3:$C$50="Unlimited",10^15,Management!$C$3:$C$50))&gt;='1'!$I107),COLUMN(H106))),"")</f>
        <v/>
      </c>
      <c r="I107" t="str">
        <f>IFERROR(INDEX(Management!$B$3:$B$50,_xlfn.AGGREGATE(15,6,(ROW(Management!$B$3:$B$50)-ROW(Management!$B$3)+1)/((IF(Management!$C$3:$C$50="Unlimited",10^15,Management!$C$3:$C$50))&gt;='1'!$I107),COLUMN(I106))),"")</f>
        <v/>
      </c>
      <c r="J107" t="str">
        <f>IFERROR(INDEX(Management!$B$3:$B$50,_xlfn.AGGREGATE(15,6,(ROW(Management!$B$3:$B$50)-ROW(Management!$B$3)+1)/((IF(Management!$C$3:$C$50="Unlimited",10^15,Management!$C$3:$C$50))&gt;='1'!$I107),COLUMN(J106))),"")</f>
        <v/>
      </c>
      <c r="K107" t="str">
        <f>IFERROR(INDEX(Management!$B$3:$B$50,_xlfn.AGGREGATE(15,6,(ROW(Management!$B$3:$B$50)-ROW(Management!$B$3)+1)/((IF(Management!$C$3:$C$50="Unlimited",10^15,Management!$C$3:$C$50))&gt;='1'!$I107),COLUMN(K106))),"")</f>
        <v/>
      </c>
      <c r="L107" t="str">
        <f>IFERROR(INDEX(Management!$B$3:$B$50,_xlfn.AGGREGATE(15,6,(ROW(Management!$B$3:$B$50)-ROW(Management!$B$3)+1)/((IF(Management!$C$3:$C$50="Unlimited",10^15,Management!$C$3:$C$50))&gt;='1'!$I107),COLUMN(L106))),"")</f>
        <v/>
      </c>
      <c r="M107" t="str">
        <f>IFERROR(INDEX(Management!$B$3:$B$50,_xlfn.AGGREGATE(15,6,(ROW(Management!$B$3:$B$50)-ROW(Management!$B$3)+1)/((IF(Management!$C$3:$C$50="Unlimited",10^15,Management!$C$3:$C$50))&gt;='1'!$I107),COLUMN(M106))),"")</f>
        <v/>
      </c>
      <c r="N107" t="str">
        <f>IFERROR(INDEX(Management!$B$3:$B$50,_xlfn.AGGREGATE(15,6,(ROW(Management!$B$3:$B$50)-ROW(Management!$B$3)+1)/((IF(Management!$C$3:$C$50="Unlimited",10^15,Management!$C$3:$C$50))&gt;='1'!$I107),COLUMN(N106))),"")</f>
        <v/>
      </c>
      <c r="O107" t="str">
        <f>IFERROR(INDEX(Management!$B$3:$B$50,_xlfn.AGGREGATE(15,6,(ROW(Management!$B$3:$B$50)-ROW(Management!$B$3)+1)/((IF(Management!$C$3:$C$50="Unlimited",10^15,Management!$C$3:$C$50))&gt;='1'!$I107),COLUMN(O106))),"")</f>
        <v/>
      </c>
      <c r="P107" t="str">
        <f>IFERROR(INDEX(Management!$B$3:$B$50,_xlfn.AGGREGATE(15,6,(ROW(Management!$B$3:$B$50)-ROW(Management!$B$3)+1)/((IF(Management!$C$3:$C$50="Unlimited",10^15,Management!$C$3:$C$50))&gt;='1'!$I107),COLUMN(P106))),"")</f>
        <v/>
      </c>
      <c r="Q107" t="str">
        <f>IFERROR(INDEX(Management!$B$3:$B$50,_xlfn.AGGREGATE(15,6,(ROW(Management!$B$3:$B$50)-ROW(Management!$B$3)+1)/((IF(Management!$C$3:$C$50="Unlimited",10^15,Management!$C$3:$C$50))&gt;='1'!$I107),COLUMN(Q106))),"")</f>
        <v/>
      </c>
      <c r="R107" t="str">
        <f>IFERROR(INDEX(Management!$B$3:$B$50,_xlfn.AGGREGATE(15,6,(ROW(Management!$B$3:$B$50)-ROW(Management!$B$3)+1)/((IF(Management!$C$3:$C$50="Unlimited",10^15,Management!$C$3:$C$50))&gt;='1'!$I107),COLUMN(R106))),"")</f>
        <v/>
      </c>
      <c r="S107" t="str">
        <f>IFERROR(INDEX(Management!$B$3:$B$50,_xlfn.AGGREGATE(15,6,(ROW(Management!$B$3:$B$50)-ROW(Management!$B$3)+1)/((IF(Management!$C$3:$C$50="Unlimited",10^15,Management!$C$3:$C$50))&gt;='1'!$I107),COLUMN(S106))),"")</f>
        <v/>
      </c>
      <c r="T107" t="str">
        <f>IFERROR(INDEX(Management!$B$3:$B$50,_xlfn.AGGREGATE(15,6,(ROW(Management!$B$3:$B$50)-ROW(Management!$B$3)+1)/((IF(Management!$C$3:$C$50="Unlimited",10^15,Management!$C$3:$C$50))&gt;='1'!$I107),COLUMN(T106))),"")</f>
        <v/>
      </c>
    </row>
    <row r="108" spans="1:20">
      <c r="A108" t="str">
        <f>IFERROR(INDEX(Management!$B$3:$B$50,_xlfn.AGGREGATE(15,6,(ROW(Management!$B$3:$B$50)-ROW(Management!$B$3)+1)/((IF(Management!$C$3:$C$50="Unlimited",10^15,Management!$C$3:$C$50))&gt;='1'!$I108),COLUMN(A107))),"")</f>
        <v/>
      </c>
      <c r="B108" t="str">
        <f>IFERROR(INDEX(Management!$B$3:$B$50,_xlfn.AGGREGATE(15,6,(ROW(Management!$B$3:$B$50)-ROW(Management!$B$3)+1)/((IF(Management!$C$3:$C$50="Unlimited",10^15,Management!$C$3:$C$50))&gt;='1'!$I108),COLUMN(B107))),"")</f>
        <v/>
      </c>
      <c r="C108" t="str">
        <f>IFERROR(INDEX(Management!$B$3:$B$50,_xlfn.AGGREGATE(15,6,(ROW(Management!$B$3:$B$50)-ROW(Management!$B$3)+1)/((IF(Management!$C$3:$C$50="Unlimited",10^15,Management!$C$3:$C$50))&gt;='1'!$I108),COLUMN(C107))),"")</f>
        <v/>
      </c>
      <c r="D108" t="str">
        <f>IFERROR(INDEX(Management!$B$3:$B$50,_xlfn.AGGREGATE(15,6,(ROW(Management!$B$3:$B$50)-ROW(Management!$B$3)+1)/((IF(Management!$C$3:$C$50="Unlimited",10^15,Management!$C$3:$C$50))&gt;='1'!$I108),COLUMN(D107))),"")</f>
        <v/>
      </c>
      <c r="E108" t="str">
        <f>IFERROR(INDEX(Management!$B$3:$B$50,_xlfn.AGGREGATE(15,6,(ROW(Management!$B$3:$B$50)-ROW(Management!$B$3)+1)/((IF(Management!$C$3:$C$50="Unlimited",10^15,Management!$C$3:$C$50))&gt;='1'!$I108),COLUMN(E107))),"")</f>
        <v/>
      </c>
      <c r="F108" t="str">
        <f>IFERROR(INDEX(Management!$B$3:$B$50,_xlfn.AGGREGATE(15,6,(ROW(Management!$B$3:$B$50)-ROW(Management!$B$3)+1)/((IF(Management!$C$3:$C$50="Unlimited",10^15,Management!$C$3:$C$50))&gt;='1'!$I108),COLUMN(F107))),"")</f>
        <v/>
      </c>
      <c r="G108" t="str">
        <f>IFERROR(INDEX(Management!$B$3:$B$50,_xlfn.AGGREGATE(15,6,(ROW(Management!$B$3:$B$50)-ROW(Management!$B$3)+1)/((IF(Management!$C$3:$C$50="Unlimited",10^15,Management!$C$3:$C$50))&gt;='1'!$I108),COLUMN(G107))),"")</f>
        <v/>
      </c>
      <c r="H108" t="str">
        <f>IFERROR(INDEX(Management!$B$3:$B$50,_xlfn.AGGREGATE(15,6,(ROW(Management!$B$3:$B$50)-ROW(Management!$B$3)+1)/((IF(Management!$C$3:$C$50="Unlimited",10^15,Management!$C$3:$C$50))&gt;='1'!$I108),COLUMN(H107))),"")</f>
        <v/>
      </c>
      <c r="I108" t="str">
        <f>IFERROR(INDEX(Management!$B$3:$B$50,_xlfn.AGGREGATE(15,6,(ROW(Management!$B$3:$B$50)-ROW(Management!$B$3)+1)/((IF(Management!$C$3:$C$50="Unlimited",10^15,Management!$C$3:$C$50))&gt;='1'!$I108),COLUMN(I107))),"")</f>
        <v/>
      </c>
      <c r="J108" t="str">
        <f>IFERROR(INDEX(Management!$B$3:$B$50,_xlfn.AGGREGATE(15,6,(ROW(Management!$B$3:$B$50)-ROW(Management!$B$3)+1)/((IF(Management!$C$3:$C$50="Unlimited",10^15,Management!$C$3:$C$50))&gt;='1'!$I108),COLUMN(J107))),"")</f>
        <v/>
      </c>
      <c r="K108" t="str">
        <f>IFERROR(INDEX(Management!$B$3:$B$50,_xlfn.AGGREGATE(15,6,(ROW(Management!$B$3:$B$50)-ROW(Management!$B$3)+1)/((IF(Management!$C$3:$C$50="Unlimited",10^15,Management!$C$3:$C$50))&gt;='1'!$I108),COLUMN(K107))),"")</f>
        <v/>
      </c>
      <c r="L108" t="str">
        <f>IFERROR(INDEX(Management!$B$3:$B$50,_xlfn.AGGREGATE(15,6,(ROW(Management!$B$3:$B$50)-ROW(Management!$B$3)+1)/((IF(Management!$C$3:$C$50="Unlimited",10^15,Management!$C$3:$C$50))&gt;='1'!$I108),COLUMN(L107))),"")</f>
        <v/>
      </c>
      <c r="M108" t="str">
        <f>IFERROR(INDEX(Management!$B$3:$B$50,_xlfn.AGGREGATE(15,6,(ROW(Management!$B$3:$B$50)-ROW(Management!$B$3)+1)/((IF(Management!$C$3:$C$50="Unlimited",10^15,Management!$C$3:$C$50))&gt;='1'!$I108),COLUMN(M107))),"")</f>
        <v/>
      </c>
      <c r="N108" t="str">
        <f>IFERROR(INDEX(Management!$B$3:$B$50,_xlfn.AGGREGATE(15,6,(ROW(Management!$B$3:$B$50)-ROW(Management!$B$3)+1)/((IF(Management!$C$3:$C$50="Unlimited",10^15,Management!$C$3:$C$50))&gt;='1'!$I108),COLUMN(N107))),"")</f>
        <v/>
      </c>
      <c r="O108" t="str">
        <f>IFERROR(INDEX(Management!$B$3:$B$50,_xlfn.AGGREGATE(15,6,(ROW(Management!$B$3:$B$50)-ROW(Management!$B$3)+1)/((IF(Management!$C$3:$C$50="Unlimited",10^15,Management!$C$3:$C$50))&gt;='1'!$I108),COLUMN(O107))),"")</f>
        <v/>
      </c>
      <c r="P108" t="str">
        <f>IFERROR(INDEX(Management!$B$3:$B$50,_xlfn.AGGREGATE(15,6,(ROW(Management!$B$3:$B$50)-ROW(Management!$B$3)+1)/((IF(Management!$C$3:$C$50="Unlimited",10^15,Management!$C$3:$C$50))&gt;='1'!$I108),COLUMN(P107))),"")</f>
        <v/>
      </c>
      <c r="Q108" t="str">
        <f>IFERROR(INDEX(Management!$B$3:$B$50,_xlfn.AGGREGATE(15,6,(ROW(Management!$B$3:$B$50)-ROW(Management!$B$3)+1)/((IF(Management!$C$3:$C$50="Unlimited",10^15,Management!$C$3:$C$50))&gt;='1'!$I108),COLUMN(Q107))),"")</f>
        <v/>
      </c>
      <c r="R108" t="str">
        <f>IFERROR(INDEX(Management!$B$3:$B$50,_xlfn.AGGREGATE(15,6,(ROW(Management!$B$3:$B$50)-ROW(Management!$B$3)+1)/((IF(Management!$C$3:$C$50="Unlimited",10^15,Management!$C$3:$C$50))&gt;='1'!$I108),COLUMN(R107))),"")</f>
        <v/>
      </c>
      <c r="S108" t="str">
        <f>IFERROR(INDEX(Management!$B$3:$B$50,_xlfn.AGGREGATE(15,6,(ROW(Management!$B$3:$B$50)-ROW(Management!$B$3)+1)/((IF(Management!$C$3:$C$50="Unlimited",10^15,Management!$C$3:$C$50))&gt;='1'!$I108),COLUMN(S107))),"")</f>
        <v/>
      </c>
      <c r="T108" t="str">
        <f>IFERROR(INDEX(Management!$B$3:$B$50,_xlfn.AGGREGATE(15,6,(ROW(Management!$B$3:$B$50)-ROW(Management!$B$3)+1)/((IF(Management!$C$3:$C$50="Unlimited",10^15,Management!$C$3:$C$50))&gt;='1'!$I108),COLUMN(T107))),"")</f>
        <v/>
      </c>
    </row>
    <row r="109" spans="1:20">
      <c r="A109" t="str">
        <f>IFERROR(INDEX(Management!$B$3:$B$50,_xlfn.AGGREGATE(15,6,(ROW(Management!$B$3:$B$50)-ROW(Management!$B$3)+1)/((IF(Management!$C$3:$C$50="Unlimited",10^15,Management!$C$3:$C$50))&gt;='1'!$I109),COLUMN(A108))),"")</f>
        <v/>
      </c>
      <c r="B109" t="str">
        <f>IFERROR(INDEX(Management!$B$3:$B$50,_xlfn.AGGREGATE(15,6,(ROW(Management!$B$3:$B$50)-ROW(Management!$B$3)+1)/((IF(Management!$C$3:$C$50="Unlimited",10^15,Management!$C$3:$C$50))&gt;='1'!$I109),COLUMN(B108))),"")</f>
        <v/>
      </c>
      <c r="C109" t="str">
        <f>IFERROR(INDEX(Management!$B$3:$B$50,_xlfn.AGGREGATE(15,6,(ROW(Management!$B$3:$B$50)-ROW(Management!$B$3)+1)/((IF(Management!$C$3:$C$50="Unlimited",10^15,Management!$C$3:$C$50))&gt;='1'!$I109),COLUMN(C108))),"")</f>
        <v/>
      </c>
      <c r="D109" t="str">
        <f>IFERROR(INDEX(Management!$B$3:$B$50,_xlfn.AGGREGATE(15,6,(ROW(Management!$B$3:$B$50)-ROW(Management!$B$3)+1)/((IF(Management!$C$3:$C$50="Unlimited",10^15,Management!$C$3:$C$50))&gt;='1'!$I109),COLUMN(D108))),"")</f>
        <v/>
      </c>
      <c r="E109" t="str">
        <f>IFERROR(INDEX(Management!$B$3:$B$50,_xlfn.AGGREGATE(15,6,(ROW(Management!$B$3:$B$50)-ROW(Management!$B$3)+1)/((IF(Management!$C$3:$C$50="Unlimited",10^15,Management!$C$3:$C$50))&gt;='1'!$I109),COLUMN(E108))),"")</f>
        <v/>
      </c>
      <c r="F109" t="str">
        <f>IFERROR(INDEX(Management!$B$3:$B$50,_xlfn.AGGREGATE(15,6,(ROW(Management!$B$3:$B$50)-ROW(Management!$B$3)+1)/((IF(Management!$C$3:$C$50="Unlimited",10^15,Management!$C$3:$C$50))&gt;='1'!$I109),COLUMN(F108))),"")</f>
        <v/>
      </c>
      <c r="G109" t="str">
        <f>IFERROR(INDEX(Management!$B$3:$B$50,_xlfn.AGGREGATE(15,6,(ROW(Management!$B$3:$B$50)-ROW(Management!$B$3)+1)/((IF(Management!$C$3:$C$50="Unlimited",10^15,Management!$C$3:$C$50))&gt;='1'!$I109),COLUMN(G108))),"")</f>
        <v/>
      </c>
      <c r="H109" t="str">
        <f>IFERROR(INDEX(Management!$B$3:$B$50,_xlfn.AGGREGATE(15,6,(ROW(Management!$B$3:$B$50)-ROW(Management!$B$3)+1)/((IF(Management!$C$3:$C$50="Unlimited",10^15,Management!$C$3:$C$50))&gt;='1'!$I109),COLUMN(H108))),"")</f>
        <v/>
      </c>
      <c r="I109" t="str">
        <f>IFERROR(INDEX(Management!$B$3:$B$50,_xlfn.AGGREGATE(15,6,(ROW(Management!$B$3:$B$50)-ROW(Management!$B$3)+1)/((IF(Management!$C$3:$C$50="Unlimited",10^15,Management!$C$3:$C$50))&gt;='1'!$I109),COLUMN(I108))),"")</f>
        <v/>
      </c>
      <c r="J109" t="str">
        <f>IFERROR(INDEX(Management!$B$3:$B$50,_xlfn.AGGREGATE(15,6,(ROW(Management!$B$3:$B$50)-ROW(Management!$B$3)+1)/((IF(Management!$C$3:$C$50="Unlimited",10^15,Management!$C$3:$C$50))&gt;='1'!$I109),COLUMN(J108))),"")</f>
        <v/>
      </c>
      <c r="K109" t="str">
        <f>IFERROR(INDEX(Management!$B$3:$B$50,_xlfn.AGGREGATE(15,6,(ROW(Management!$B$3:$B$50)-ROW(Management!$B$3)+1)/((IF(Management!$C$3:$C$50="Unlimited",10^15,Management!$C$3:$C$50))&gt;='1'!$I109),COLUMN(K108))),"")</f>
        <v/>
      </c>
      <c r="L109" t="str">
        <f>IFERROR(INDEX(Management!$B$3:$B$50,_xlfn.AGGREGATE(15,6,(ROW(Management!$B$3:$B$50)-ROW(Management!$B$3)+1)/((IF(Management!$C$3:$C$50="Unlimited",10^15,Management!$C$3:$C$50))&gt;='1'!$I109),COLUMN(L108))),"")</f>
        <v/>
      </c>
      <c r="M109" t="str">
        <f>IFERROR(INDEX(Management!$B$3:$B$50,_xlfn.AGGREGATE(15,6,(ROW(Management!$B$3:$B$50)-ROW(Management!$B$3)+1)/((IF(Management!$C$3:$C$50="Unlimited",10^15,Management!$C$3:$C$50))&gt;='1'!$I109),COLUMN(M108))),"")</f>
        <v/>
      </c>
      <c r="N109" t="str">
        <f>IFERROR(INDEX(Management!$B$3:$B$50,_xlfn.AGGREGATE(15,6,(ROW(Management!$B$3:$B$50)-ROW(Management!$B$3)+1)/((IF(Management!$C$3:$C$50="Unlimited",10^15,Management!$C$3:$C$50))&gt;='1'!$I109),COLUMN(N108))),"")</f>
        <v/>
      </c>
      <c r="O109" t="str">
        <f>IFERROR(INDEX(Management!$B$3:$B$50,_xlfn.AGGREGATE(15,6,(ROW(Management!$B$3:$B$50)-ROW(Management!$B$3)+1)/((IF(Management!$C$3:$C$50="Unlimited",10^15,Management!$C$3:$C$50))&gt;='1'!$I109),COLUMN(O108))),"")</f>
        <v/>
      </c>
      <c r="P109" t="str">
        <f>IFERROR(INDEX(Management!$B$3:$B$50,_xlfn.AGGREGATE(15,6,(ROW(Management!$B$3:$B$50)-ROW(Management!$B$3)+1)/((IF(Management!$C$3:$C$50="Unlimited",10^15,Management!$C$3:$C$50))&gt;='1'!$I109),COLUMN(P108))),"")</f>
        <v/>
      </c>
      <c r="Q109" t="str">
        <f>IFERROR(INDEX(Management!$B$3:$B$50,_xlfn.AGGREGATE(15,6,(ROW(Management!$B$3:$B$50)-ROW(Management!$B$3)+1)/((IF(Management!$C$3:$C$50="Unlimited",10^15,Management!$C$3:$C$50))&gt;='1'!$I109),COLUMN(Q108))),"")</f>
        <v/>
      </c>
      <c r="R109" t="str">
        <f>IFERROR(INDEX(Management!$B$3:$B$50,_xlfn.AGGREGATE(15,6,(ROW(Management!$B$3:$B$50)-ROW(Management!$B$3)+1)/((IF(Management!$C$3:$C$50="Unlimited",10^15,Management!$C$3:$C$50))&gt;='1'!$I109),COLUMN(R108))),"")</f>
        <v/>
      </c>
      <c r="S109" t="str">
        <f>IFERROR(INDEX(Management!$B$3:$B$50,_xlfn.AGGREGATE(15,6,(ROW(Management!$B$3:$B$50)-ROW(Management!$B$3)+1)/((IF(Management!$C$3:$C$50="Unlimited",10^15,Management!$C$3:$C$50))&gt;='1'!$I109),COLUMN(S108))),"")</f>
        <v/>
      </c>
      <c r="T109" t="str">
        <f>IFERROR(INDEX(Management!$B$3:$B$50,_xlfn.AGGREGATE(15,6,(ROW(Management!$B$3:$B$50)-ROW(Management!$B$3)+1)/((IF(Management!$C$3:$C$50="Unlimited",10^15,Management!$C$3:$C$50))&gt;='1'!$I109),COLUMN(T108))),"")</f>
        <v/>
      </c>
    </row>
    <row r="110" spans="1:20">
      <c r="A110" t="str">
        <f>IFERROR(INDEX(Management!$B$3:$B$50,_xlfn.AGGREGATE(15,6,(ROW(Management!$B$3:$B$50)-ROW(Management!$B$3)+1)/((IF(Management!$C$3:$C$50="Unlimited",10^15,Management!$C$3:$C$50))&gt;='1'!$I110),COLUMN(A109))),"")</f>
        <v/>
      </c>
      <c r="B110" t="str">
        <f>IFERROR(INDEX(Management!$B$3:$B$50,_xlfn.AGGREGATE(15,6,(ROW(Management!$B$3:$B$50)-ROW(Management!$B$3)+1)/((IF(Management!$C$3:$C$50="Unlimited",10^15,Management!$C$3:$C$50))&gt;='1'!$I110),COLUMN(B109))),"")</f>
        <v/>
      </c>
      <c r="C110" t="str">
        <f>IFERROR(INDEX(Management!$B$3:$B$50,_xlfn.AGGREGATE(15,6,(ROW(Management!$B$3:$B$50)-ROW(Management!$B$3)+1)/((IF(Management!$C$3:$C$50="Unlimited",10^15,Management!$C$3:$C$50))&gt;='1'!$I110),COLUMN(C109))),"")</f>
        <v/>
      </c>
      <c r="D110" t="str">
        <f>IFERROR(INDEX(Management!$B$3:$B$50,_xlfn.AGGREGATE(15,6,(ROW(Management!$B$3:$B$50)-ROW(Management!$B$3)+1)/((IF(Management!$C$3:$C$50="Unlimited",10^15,Management!$C$3:$C$50))&gt;='1'!$I110),COLUMN(D109))),"")</f>
        <v/>
      </c>
      <c r="E110" t="str">
        <f>IFERROR(INDEX(Management!$B$3:$B$50,_xlfn.AGGREGATE(15,6,(ROW(Management!$B$3:$B$50)-ROW(Management!$B$3)+1)/((IF(Management!$C$3:$C$50="Unlimited",10^15,Management!$C$3:$C$50))&gt;='1'!$I110),COLUMN(E109))),"")</f>
        <v/>
      </c>
      <c r="F110" t="str">
        <f>IFERROR(INDEX(Management!$B$3:$B$50,_xlfn.AGGREGATE(15,6,(ROW(Management!$B$3:$B$50)-ROW(Management!$B$3)+1)/((IF(Management!$C$3:$C$50="Unlimited",10^15,Management!$C$3:$C$50))&gt;='1'!$I110),COLUMN(F109))),"")</f>
        <v/>
      </c>
      <c r="G110" t="str">
        <f>IFERROR(INDEX(Management!$B$3:$B$50,_xlfn.AGGREGATE(15,6,(ROW(Management!$B$3:$B$50)-ROW(Management!$B$3)+1)/((IF(Management!$C$3:$C$50="Unlimited",10^15,Management!$C$3:$C$50))&gt;='1'!$I110),COLUMN(G109))),"")</f>
        <v/>
      </c>
      <c r="H110" t="str">
        <f>IFERROR(INDEX(Management!$B$3:$B$50,_xlfn.AGGREGATE(15,6,(ROW(Management!$B$3:$B$50)-ROW(Management!$B$3)+1)/((IF(Management!$C$3:$C$50="Unlimited",10^15,Management!$C$3:$C$50))&gt;='1'!$I110),COLUMN(H109))),"")</f>
        <v/>
      </c>
      <c r="I110" t="str">
        <f>IFERROR(INDEX(Management!$B$3:$B$50,_xlfn.AGGREGATE(15,6,(ROW(Management!$B$3:$B$50)-ROW(Management!$B$3)+1)/((IF(Management!$C$3:$C$50="Unlimited",10^15,Management!$C$3:$C$50))&gt;='1'!$I110),COLUMN(I109))),"")</f>
        <v/>
      </c>
      <c r="J110" t="str">
        <f>IFERROR(INDEX(Management!$B$3:$B$50,_xlfn.AGGREGATE(15,6,(ROW(Management!$B$3:$B$50)-ROW(Management!$B$3)+1)/((IF(Management!$C$3:$C$50="Unlimited",10^15,Management!$C$3:$C$50))&gt;='1'!$I110),COLUMN(J109))),"")</f>
        <v/>
      </c>
      <c r="K110" t="str">
        <f>IFERROR(INDEX(Management!$B$3:$B$50,_xlfn.AGGREGATE(15,6,(ROW(Management!$B$3:$B$50)-ROW(Management!$B$3)+1)/((IF(Management!$C$3:$C$50="Unlimited",10^15,Management!$C$3:$C$50))&gt;='1'!$I110),COLUMN(K109))),"")</f>
        <v/>
      </c>
      <c r="L110" t="str">
        <f>IFERROR(INDEX(Management!$B$3:$B$50,_xlfn.AGGREGATE(15,6,(ROW(Management!$B$3:$B$50)-ROW(Management!$B$3)+1)/((IF(Management!$C$3:$C$50="Unlimited",10^15,Management!$C$3:$C$50))&gt;='1'!$I110),COLUMN(L109))),"")</f>
        <v/>
      </c>
      <c r="M110" t="str">
        <f>IFERROR(INDEX(Management!$B$3:$B$50,_xlfn.AGGREGATE(15,6,(ROW(Management!$B$3:$B$50)-ROW(Management!$B$3)+1)/((IF(Management!$C$3:$C$50="Unlimited",10^15,Management!$C$3:$C$50))&gt;='1'!$I110),COLUMN(M109))),"")</f>
        <v/>
      </c>
      <c r="N110" t="str">
        <f>IFERROR(INDEX(Management!$B$3:$B$50,_xlfn.AGGREGATE(15,6,(ROW(Management!$B$3:$B$50)-ROW(Management!$B$3)+1)/((IF(Management!$C$3:$C$50="Unlimited",10^15,Management!$C$3:$C$50))&gt;='1'!$I110),COLUMN(N109))),"")</f>
        <v/>
      </c>
      <c r="O110" t="str">
        <f>IFERROR(INDEX(Management!$B$3:$B$50,_xlfn.AGGREGATE(15,6,(ROW(Management!$B$3:$B$50)-ROW(Management!$B$3)+1)/((IF(Management!$C$3:$C$50="Unlimited",10^15,Management!$C$3:$C$50))&gt;='1'!$I110),COLUMN(O109))),"")</f>
        <v/>
      </c>
      <c r="P110" t="str">
        <f>IFERROR(INDEX(Management!$B$3:$B$50,_xlfn.AGGREGATE(15,6,(ROW(Management!$B$3:$B$50)-ROW(Management!$B$3)+1)/((IF(Management!$C$3:$C$50="Unlimited",10^15,Management!$C$3:$C$50))&gt;='1'!$I110),COLUMN(P109))),"")</f>
        <v/>
      </c>
      <c r="Q110" t="str">
        <f>IFERROR(INDEX(Management!$B$3:$B$50,_xlfn.AGGREGATE(15,6,(ROW(Management!$B$3:$B$50)-ROW(Management!$B$3)+1)/((IF(Management!$C$3:$C$50="Unlimited",10^15,Management!$C$3:$C$50))&gt;='1'!$I110),COLUMN(Q109))),"")</f>
        <v/>
      </c>
      <c r="R110" t="str">
        <f>IFERROR(INDEX(Management!$B$3:$B$50,_xlfn.AGGREGATE(15,6,(ROW(Management!$B$3:$B$50)-ROW(Management!$B$3)+1)/((IF(Management!$C$3:$C$50="Unlimited",10^15,Management!$C$3:$C$50))&gt;='1'!$I110),COLUMN(R109))),"")</f>
        <v/>
      </c>
      <c r="S110" t="str">
        <f>IFERROR(INDEX(Management!$B$3:$B$50,_xlfn.AGGREGATE(15,6,(ROW(Management!$B$3:$B$50)-ROW(Management!$B$3)+1)/((IF(Management!$C$3:$C$50="Unlimited",10^15,Management!$C$3:$C$50))&gt;='1'!$I110),COLUMN(S109))),"")</f>
        <v/>
      </c>
      <c r="T110" t="str">
        <f>IFERROR(INDEX(Management!$B$3:$B$50,_xlfn.AGGREGATE(15,6,(ROW(Management!$B$3:$B$50)-ROW(Management!$B$3)+1)/((IF(Management!$C$3:$C$50="Unlimited",10^15,Management!$C$3:$C$50))&gt;='1'!$I110),COLUMN(T109))),"")</f>
        <v/>
      </c>
    </row>
    <row r="111" spans="1:20">
      <c r="A111" t="str">
        <f>IFERROR(INDEX(Management!$B$3:$B$50,_xlfn.AGGREGATE(15,6,(ROW(Management!$B$3:$B$50)-ROW(Management!$B$3)+1)/((IF(Management!$C$3:$C$50="Unlimited",10^15,Management!$C$3:$C$50))&gt;='1'!$I111),COLUMN(A110))),"")</f>
        <v/>
      </c>
      <c r="B111" t="str">
        <f>IFERROR(INDEX(Management!$B$3:$B$50,_xlfn.AGGREGATE(15,6,(ROW(Management!$B$3:$B$50)-ROW(Management!$B$3)+1)/((IF(Management!$C$3:$C$50="Unlimited",10^15,Management!$C$3:$C$50))&gt;='1'!$I111),COLUMN(B110))),"")</f>
        <v/>
      </c>
      <c r="C111" t="str">
        <f>IFERROR(INDEX(Management!$B$3:$B$50,_xlfn.AGGREGATE(15,6,(ROW(Management!$B$3:$B$50)-ROW(Management!$B$3)+1)/((IF(Management!$C$3:$C$50="Unlimited",10^15,Management!$C$3:$C$50))&gt;='1'!$I111),COLUMN(C110))),"")</f>
        <v/>
      </c>
      <c r="D111" t="str">
        <f>IFERROR(INDEX(Management!$B$3:$B$50,_xlfn.AGGREGATE(15,6,(ROW(Management!$B$3:$B$50)-ROW(Management!$B$3)+1)/((IF(Management!$C$3:$C$50="Unlimited",10^15,Management!$C$3:$C$50))&gt;='1'!$I111),COLUMN(D110))),"")</f>
        <v/>
      </c>
      <c r="E111" t="str">
        <f>IFERROR(INDEX(Management!$B$3:$B$50,_xlfn.AGGREGATE(15,6,(ROW(Management!$B$3:$B$50)-ROW(Management!$B$3)+1)/((IF(Management!$C$3:$C$50="Unlimited",10^15,Management!$C$3:$C$50))&gt;='1'!$I111),COLUMN(E110))),"")</f>
        <v/>
      </c>
      <c r="F111" t="str">
        <f>IFERROR(INDEX(Management!$B$3:$B$50,_xlfn.AGGREGATE(15,6,(ROW(Management!$B$3:$B$50)-ROW(Management!$B$3)+1)/((IF(Management!$C$3:$C$50="Unlimited",10^15,Management!$C$3:$C$50))&gt;='1'!$I111),COLUMN(F110))),"")</f>
        <v/>
      </c>
      <c r="G111" t="str">
        <f>IFERROR(INDEX(Management!$B$3:$B$50,_xlfn.AGGREGATE(15,6,(ROW(Management!$B$3:$B$50)-ROW(Management!$B$3)+1)/((IF(Management!$C$3:$C$50="Unlimited",10^15,Management!$C$3:$C$50))&gt;='1'!$I111),COLUMN(G110))),"")</f>
        <v/>
      </c>
      <c r="H111" t="str">
        <f>IFERROR(INDEX(Management!$B$3:$B$50,_xlfn.AGGREGATE(15,6,(ROW(Management!$B$3:$B$50)-ROW(Management!$B$3)+1)/((IF(Management!$C$3:$C$50="Unlimited",10^15,Management!$C$3:$C$50))&gt;='1'!$I111),COLUMN(H110))),"")</f>
        <v/>
      </c>
      <c r="I111" t="str">
        <f>IFERROR(INDEX(Management!$B$3:$B$50,_xlfn.AGGREGATE(15,6,(ROW(Management!$B$3:$B$50)-ROW(Management!$B$3)+1)/((IF(Management!$C$3:$C$50="Unlimited",10^15,Management!$C$3:$C$50))&gt;='1'!$I111),COLUMN(I110))),"")</f>
        <v/>
      </c>
      <c r="J111" t="str">
        <f>IFERROR(INDEX(Management!$B$3:$B$50,_xlfn.AGGREGATE(15,6,(ROW(Management!$B$3:$B$50)-ROW(Management!$B$3)+1)/((IF(Management!$C$3:$C$50="Unlimited",10^15,Management!$C$3:$C$50))&gt;='1'!$I111),COLUMN(J110))),"")</f>
        <v/>
      </c>
      <c r="K111" t="str">
        <f>IFERROR(INDEX(Management!$B$3:$B$50,_xlfn.AGGREGATE(15,6,(ROW(Management!$B$3:$B$50)-ROW(Management!$B$3)+1)/((IF(Management!$C$3:$C$50="Unlimited",10^15,Management!$C$3:$C$50))&gt;='1'!$I111),COLUMN(K110))),"")</f>
        <v/>
      </c>
      <c r="L111" t="str">
        <f>IFERROR(INDEX(Management!$B$3:$B$50,_xlfn.AGGREGATE(15,6,(ROW(Management!$B$3:$B$50)-ROW(Management!$B$3)+1)/((IF(Management!$C$3:$C$50="Unlimited",10^15,Management!$C$3:$C$50))&gt;='1'!$I111),COLUMN(L110))),"")</f>
        <v/>
      </c>
      <c r="M111" t="str">
        <f>IFERROR(INDEX(Management!$B$3:$B$50,_xlfn.AGGREGATE(15,6,(ROW(Management!$B$3:$B$50)-ROW(Management!$B$3)+1)/((IF(Management!$C$3:$C$50="Unlimited",10^15,Management!$C$3:$C$50))&gt;='1'!$I111),COLUMN(M110))),"")</f>
        <v/>
      </c>
      <c r="N111" t="str">
        <f>IFERROR(INDEX(Management!$B$3:$B$50,_xlfn.AGGREGATE(15,6,(ROW(Management!$B$3:$B$50)-ROW(Management!$B$3)+1)/((IF(Management!$C$3:$C$50="Unlimited",10^15,Management!$C$3:$C$50))&gt;='1'!$I111),COLUMN(N110))),"")</f>
        <v/>
      </c>
      <c r="O111" t="str">
        <f>IFERROR(INDEX(Management!$B$3:$B$50,_xlfn.AGGREGATE(15,6,(ROW(Management!$B$3:$B$50)-ROW(Management!$B$3)+1)/((IF(Management!$C$3:$C$50="Unlimited",10^15,Management!$C$3:$C$50))&gt;='1'!$I111),COLUMN(O110))),"")</f>
        <v/>
      </c>
      <c r="P111" t="str">
        <f>IFERROR(INDEX(Management!$B$3:$B$50,_xlfn.AGGREGATE(15,6,(ROW(Management!$B$3:$B$50)-ROW(Management!$B$3)+1)/((IF(Management!$C$3:$C$50="Unlimited",10^15,Management!$C$3:$C$50))&gt;='1'!$I111),COLUMN(P110))),"")</f>
        <v/>
      </c>
      <c r="Q111" t="str">
        <f>IFERROR(INDEX(Management!$B$3:$B$50,_xlfn.AGGREGATE(15,6,(ROW(Management!$B$3:$B$50)-ROW(Management!$B$3)+1)/((IF(Management!$C$3:$C$50="Unlimited",10^15,Management!$C$3:$C$50))&gt;='1'!$I111),COLUMN(Q110))),"")</f>
        <v/>
      </c>
      <c r="R111" t="str">
        <f>IFERROR(INDEX(Management!$B$3:$B$50,_xlfn.AGGREGATE(15,6,(ROW(Management!$B$3:$B$50)-ROW(Management!$B$3)+1)/((IF(Management!$C$3:$C$50="Unlimited",10^15,Management!$C$3:$C$50))&gt;='1'!$I111),COLUMN(R110))),"")</f>
        <v/>
      </c>
      <c r="S111" t="str">
        <f>IFERROR(INDEX(Management!$B$3:$B$50,_xlfn.AGGREGATE(15,6,(ROW(Management!$B$3:$B$50)-ROW(Management!$B$3)+1)/((IF(Management!$C$3:$C$50="Unlimited",10^15,Management!$C$3:$C$50))&gt;='1'!$I111),COLUMN(S110))),"")</f>
        <v/>
      </c>
      <c r="T111" t="str">
        <f>IFERROR(INDEX(Management!$B$3:$B$50,_xlfn.AGGREGATE(15,6,(ROW(Management!$B$3:$B$50)-ROW(Management!$B$3)+1)/((IF(Management!$C$3:$C$50="Unlimited",10^15,Management!$C$3:$C$50))&gt;='1'!$I111),COLUMN(T110))),"")</f>
        <v/>
      </c>
    </row>
    <row r="112" spans="1:20">
      <c r="A112" t="str">
        <f>IFERROR(INDEX(Management!$B$3:$B$50,_xlfn.AGGREGATE(15,6,(ROW(Management!$B$3:$B$50)-ROW(Management!$B$3)+1)/((IF(Management!$C$3:$C$50="Unlimited",10^15,Management!$C$3:$C$50))&gt;='1'!$I112),COLUMN(A111))),"")</f>
        <v/>
      </c>
      <c r="B112" t="str">
        <f>IFERROR(INDEX(Management!$B$3:$B$50,_xlfn.AGGREGATE(15,6,(ROW(Management!$B$3:$B$50)-ROW(Management!$B$3)+1)/((IF(Management!$C$3:$C$50="Unlimited",10^15,Management!$C$3:$C$50))&gt;='1'!$I112),COLUMN(B111))),"")</f>
        <v/>
      </c>
      <c r="C112" t="str">
        <f>IFERROR(INDEX(Management!$B$3:$B$50,_xlfn.AGGREGATE(15,6,(ROW(Management!$B$3:$B$50)-ROW(Management!$B$3)+1)/((IF(Management!$C$3:$C$50="Unlimited",10^15,Management!$C$3:$C$50))&gt;='1'!$I112),COLUMN(C111))),"")</f>
        <v/>
      </c>
      <c r="D112" t="str">
        <f>IFERROR(INDEX(Management!$B$3:$B$50,_xlfn.AGGREGATE(15,6,(ROW(Management!$B$3:$B$50)-ROW(Management!$B$3)+1)/((IF(Management!$C$3:$C$50="Unlimited",10^15,Management!$C$3:$C$50))&gt;='1'!$I112),COLUMN(D111))),"")</f>
        <v/>
      </c>
      <c r="E112" t="str">
        <f>IFERROR(INDEX(Management!$B$3:$B$50,_xlfn.AGGREGATE(15,6,(ROW(Management!$B$3:$B$50)-ROW(Management!$B$3)+1)/((IF(Management!$C$3:$C$50="Unlimited",10^15,Management!$C$3:$C$50))&gt;='1'!$I112),COLUMN(E111))),"")</f>
        <v/>
      </c>
      <c r="F112" t="str">
        <f>IFERROR(INDEX(Management!$B$3:$B$50,_xlfn.AGGREGATE(15,6,(ROW(Management!$B$3:$B$50)-ROW(Management!$B$3)+1)/((IF(Management!$C$3:$C$50="Unlimited",10^15,Management!$C$3:$C$50))&gt;='1'!$I112),COLUMN(F111))),"")</f>
        <v/>
      </c>
      <c r="G112" t="str">
        <f>IFERROR(INDEX(Management!$B$3:$B$50,_xlfn.AGGREGATE(15,6,(ROW(Management!$B$3:$B$50)-ROW(Management!$B$3)+1)/((IF(Management!$C$3:$C$50="Unlimited",10^15,Management!$C$3:$C$50))&gt;='1'!$I112),COLUMN(G111))),"")</f>
        <v/>
      </c>
      <c r="H112" t="str">
        <f>IFERROR(INDEX(Management!$B$3:$B$50,_xlfn.AGGREGATE(15,6,(ROW(Management!$B$3:$B$50)-ROW(Management!$B$3)+1)/((IF(Management!$C$3:$C$50="Unlimited",10^15,Management!$C$3:$C$50))&gt;='1'!$I112),COLUMN(H111))),"")</f>
        <v/>
      </c>
      <c r="I112" t="str">
        <f>IFERROR(INDEX(Management!$B$3:$B$50,_xlfn.AGGREGATE(15,6,(ROW(Management!$B$3:$B$50)-ROW(Management!$B$3)+1)/((IF(Management!$C$3:$C$50="Unlimited",10^15,Management!$C$3:$C$50))&gt;='1'!$I112),COLUMN(I111))),"")</f>
        <v/>
      </c>
      <c r="J112" t="str">
        <f>IFERROR(INDEX(Management!$B$3:$B$50,_xlfn.AGGREGATE(15,6,(ROW(Management!$B$3:$B$50)-ROW(Management!$B$3)+1)/((IF(Management!$C$3:$C$50="Unlimited",10^15,Management!$C$3:$C$50))&gt;='1'!$I112),COLUMN(J111))),"")</f>
        <v/>
      </c>
      <c r="K112" t="str">
        <f>IFERROR(INDEX(Management!$B$3:$B$50,_xlfn.AGGREGATE(15,6,(ROW(Management!$B$3:$B$50)-ROW(Management!$B$3)+1)/((IF(Management!$C$3:$C$50="Unlimited",10^15,Management!$C$3:$C$50))&gt;='1'!$I112),COLUMN(K111))),"")</f>
        <v/>
      </c>
      <c r="L112" t="str">
        <f>IFERROR(INDEX(Management!$B$3:$B$50,_xlfn.AGGREGATE(15,6,(ROW(Management!$B$3:$B$50)-ROW(Management!$B$3)+1)/((IF(Management!$C$3:$C$50="Unlimited",10^15,Management!$C$3:$C$50))&gt;='1'!$I112),COLUMN(L111))),"")</f>
        <v/>
      </c>
      <c r="M112" t="str">
        <f>IFERROR(INDEX(Management!$B$3:$B$50,_xlfn.AGGREGATE(15,6,(ROW(Management!$B$3:$B$50)-ROW(Management!$B$3)+1)/((IF(Management!$C$3:$C$50="Unlimited",10^15,Management!$C$3:$C$50))&gt;='1'!$I112),COLUMN(M111))),"")</f>
        <v/>
      </c>
      <c r="N112" t="str">
        <f>IFERROR(INDEX(Management!$B$3:$B$50,_xlfn.AGGREGATE(15,6,(ROW(Management!$B$3:$B$50)-ROW(Management!$B$3)+1)/((IF(Management!$C$3:$C$50="Unlimited",10^15,Management!$C$3:$C$50))&gt;='1'!$I112),COLUMN(N111))),"")</f>
        <v/>
      </c>
      <c r="O112" t="str">
        <f>IFERROR(INDEX(Management!$B$3:$B$50,_xlfn.AGGREGATE(15,6,(ROW(Management!$B$3:$B$50)-ROW(Management!$B$3)+1)/((IF(Management!$C$3:$C$50="Unlimited",10^15,Management!$C$3:$C$50))&gt;='1'!$I112),COLUMN(O111))),"")</f>
        <v/>
      </c>
      <c r="P112" t="str">
        <f>IFERROR(INDEX(Management!$B$3:$B$50,_xlfn.AGGREGATE(15,6,(ROW(Management!$B$3:$B$50)-ROW(Management!$B$3)+1)/((IF(Management!$C$3:$C$50="Unlimited",10^15,Management!$C$3:$C$50))&gt;='1'!$I112),COLUMN(P111))),"")</f>
        <v/>
      </c>
      <c r="Q112" t="str">
        <f>IFERROR(INDEX(Management!$B$3:$B$50,_xlfn.AGGREGATE(15,6,(ROW(Management!$B$3:$B$50)-ROW(Management!$B$3)+1)/((IF(Management!$C$3:$C$50="Unlimited",10^15,Management!$C$3:$C$50))&gt;='1'!$I112),COLUMN(Q111))),"")</f>
        <v/>
      </c>
      <c r="R112" t="str">
        <f>IFERROR(INDEX(Management!$B$3:$B$50,_xlfn.AGGREGATE(15,6,(ROW(Management!$B$3:$B$50)-ROW(Management!$B$3)+1)/((IF(Management!$C$3:$C$50="Unlimited",10^15,Management!$C$3:$C$50))&gt;='1'!$I112),COLUMN(R111))),"")</f>
        <v/>
      </c>
      <c r="S112" t="str">
        <f>IFERROR(INDEX(Management!$B$3:$B$50,_xlfn.AGGREGATE(15,6,(ROW(Management!$B$3:$B$50)-ROW(Management!$B$3)+1)/((IF(Management!$C$3:$C$50="Unlimited",10^15,Management!$C$3:$C$50))&gt;='1'!$I112),COLUMN(S111))),"")</f>
        <v/>
      </c>
      <c r="T112" t="str">
        <f>IFERROR(INDEX(Management!$B$3:$B$50,_xlfn.AGGREGATE(15,6,(ROW(Management!$B$3:$B$50)-ROW(Management!$B$3)+1)/((IF(Management!$C$3:$C$50="Unlimited",10^15,Management!$C$3:$C$50))&gt;='1'!$I112),COLUMN(T111))),"")</f>
        <v/>
      </c>
    </row>
    <row r="113" spans="1:20">
      <c r="A113" t="str">
        <f>IFERROR(INDEX(Management!$B$3:$B$50,_xlfn.AGGREGATE(15,6,(ROW(Management!$B$3:$B$50)-ROW(Management!$B$3)+1)/((IF(Management!$C$3:$C$50="Unlimited",10^15,Management!$C$3:$C$50))&gt;='1'!$I113),COLUMN(A112))),"")</f>
        <v/>
      </c>
      <c r="B113" t="str">
        <f>IFERROR(INDEX(Management!$B$3:$B$50,_xlfn.AGGREGATE(15,6,(ROW(Management!$B$3:$B$50)-ROW(Management!$B$3)+1)/((IF(Management!$C$3:$C$50="Unlimited",10^15,Management!$C$3:$C$50))&gt;='1'!$I113),COLUMN(B112))),"")</f>
        <v/>
      </c>
      <c r="C113" t="str">
        <f>IFERROR(INDEX(Management!$B$3:$B$50,_xlfn.AGGREGATE(15,6,(ROW(Management!$B$3:$B$50)-ROW(Management!$B$3)+1)/((IF(Management!$C$3:$C$50="Unlimited",10^15,Management!$C$3:$C$50))&gt;='1'!$I113),COLUMN(C112))),"")</f>
        <v/>
      </c>
      <c r="D113" t="str">
        <f>IFERROR(INDEX(Management!$B$3:$B$50,_xlfn.AGGREGATE(15,6,(ROW(Management!$B$3:$B$50)-ROW(Management!$B$3)+1)/((IF(Management!$C$3:$C$50="Unlimited",10^15,Management!$C$3:$C$50))&gt;='1'!$I113),COLUMN(D112))),"")</f>
        <v/>
      </c>
      <c r="E113" t="str">
        <f>IFERROR(INDEX(Management!$B$3:$B$50,_xlfn.AGGREGATE(15,6,(ROW(Management!$B$3:$B$50)-ROW(Management!$B$3)+1)/((IF(Management!$C$3:$C$50="Unlimited",10^15,Management!$C$3:$C$50))&gt;='1'!$I113),COLUMN(E112))),"")</f>
        <v/>
      </c>
      <c r="F113" t="str">
        <f>IFERROR(INDEX(Management!$B$3:$B$50,_xlfn.AGGREGATE(15,6,(ROW(Management!$B$3:$B$50)-ROW(Management!$B$3)+1)/((IF(Management!$C$3:$C$50="Unlimited",10^15,Management!$C$3:$C$50))&gt;='1'!$I113),COLUMN(F112))),"")</f>
        <v/>
      </c>
      <c r="G113" t="str">
        <f>IFERROR(INDEX(Management!$B$3:$B$50,_xlfn.AGGREGATE(15,6,(ROW(Management!$B$3:$B$50)-ROW(Management!$B$3)+1)/((IF(Management!$C$3:$C$50="Unlimited",10^15,Management!$C$3:$C$50))&gt;='1'!$I113),COLUMN(G112))),"")</f>
        <v/>
      </c>
      <c r="H113" t="str">
        <f>IFERROR(INDEX(Management!$B$3:$B$50,_xlfn.AGGREGATE(15,6,(ROW(Management!$B$3:$B$50)-ROW(Management!$B$3)+1)/((IF(Management!$C$3:$C$50="Unlimited",10^15,Management!$C$3:$C$50))&gt;='1'!$I113),COLUMN(H112))),"")</f>
        <v/>
      </c>
      <c r="I113" t="str">
        <f>IFERROR(INDEX(Management!$B$3:$B$50,_xlfn.AGGREGATE(15,6,(ROW(Management!$B$3:$B$50)-ROW(Management!$B$3)+1)/((IF(Management!$C$3:$C$50="Unlimited",10^15,Management!$C$3:$C$50))&gt;='1'!$I113),COLUMN(I112))),"")</f>
        <v/>
      </c>
      <c r="J113" t="str">
        <f>IFERROR(INDEX(Management!$B$3:$B$50,_xlfn.AGGREGATE(15,6,(ROW(Management!$B$3:$B$50)-ROW(Management!$B$3)+1)/((IF(Management!$C$3:$C$50="Unlimited",10^15,Management!$C$3:$C$50))&gt;='1'!$I113),COLUMN(J112))),"")</f>
        <v/>
      </c>
      <c r="K113" t="str">
        <f>IFERROR(INDEX(Management!$B$3:$B$50,_xlfn.AGGREGATE(15,6,(ROW(Management!$B$3:$B$50)-ROW(Management!$B$3)+1)/((IF(Management!$C$3:$C$50="Unlimited",10^15,Management!$C$3:$C$50))&gt;='1'!$I113),COLUMN(K112))),"")</f>
        <v/>
      </c>
      <c r="L113" t="str">
        <f>IFERROR(INDEX(Management!$B$3:$B$50,_xlfn.AGGREGATE(15,6,(ROW(Management!$B$3:$B$50)-ROW(Management!$B$3)+1)/((IF(Management!$C$3:$C$50="Unlimited",10^15,Management!$C$3:$C$50))&gt;='1'!$I113),COLUMN(L112))),"")</f>
        <v/>
      </c>
      <c r="M113" t="str">
        <f>IFERROR(INDEX(Management!$B$3:$B$50,_xlfn.AGGREGATE(15,6,(ROW(Management!$B$3:$B$50)-ROW(Management!$B$3)+1)/((IF(Management!$C$3:$C$50="Unlimited",10^15,Management!$C$3:$C$50))&gt;='1'!$I113),COLUMN(M112))),"")</f>
        <v/>
      </c>
      <c r="N113" t="str">
        <f>IFERROR(INDEX(Management!$B$3:$B$50,_xlfn.AGGREGATE(15,6,(ROW(Management!$B$3:$B$50)-ROW(Management!$B$3)+1)/((IF(Management!$C$3:$C$50="Unlimited",10^15,Management!$C$3:$C$50))&gt;='1'!$I113),COLUMN(N112))),"")</f>
        <v/>
      </c>
      <c r="O113" t="str">
        <f>IFERROR(INDEX(Management!$B$3:$B$50,_xlfn.AGGREGATE(15,6,(ROW(Management!$B$3:$B$50)-ROW(Management!$B$3)+1)/((IF(Management!$C$3:$C$50="Unlimited",10^15,Management!$C$3:$C$50))&gt;='1'!$I113),COLUMN(O112))),"")</f>
        <v/>
      </c>
      <c r="P113" t="str">
        <f>IFERROR(INDEX(Management!$B$3:$B$50,_xlfn.AGGREGATE(15,6,(ROW(Management!$B$3:$B$50)-ROW(Management!$B$3)+1)/((IF(Management!$C$3:$C$50="Unlimited",10^15,Management!$C$3:$C$50))&gt;='1'!$I113),COLUMN(P112))),"")</f>
        <v/>
      </c>
      <c r="Q113" t="str">
        <f>IFERROR(INDEX(Management!$B$3:$B$50,_xlfn.AGGREGATE(15,6,(ROW(Management!$B$3:$B$50)-ROW(Management!$B$3)+1)/((IF(Management!$C$3:$C$50="Unlimited",10^15,Management!$C$3:$C$50))&gt;='1'!$I113),COLUMN(Q112))),"")</f>
        <v/>
      </c>
      <c r="R113" t="str">
        <f>IFERROR(INDEX(Management!$B$3:$B$50,_xlfn.AGGREGATE(15,6,(ROW(Management!$B$3:$B$50)-ROW(Management!$B$3)+1)/((IF(Management!$C$3:$C$50="Unlimited",10^15,Management!$C$3:$C$50))&gt;='1'!$I113),COLUMN(R112))),"")</f>
        <v/>
      </c>
      <c r="S113" t="str">
        <f>IFERROR(INDEX(Management!$B$3:$B$50,_xlfn.AGGREGATE(15,6,(ROW(Management!$B$3:$B$50)-ROW(Management!$B$3)+1)/((IF(Management!$C$3:$C$50="Unlimited",10^15,Management!$C$3:$C$50))&gt;='1'!$I113),COLUMN(S112))),"")</f>
        <v/>
      </c>
      <c r="T113" t="str">
        <f>IFERROR(INDEX(Management!$B$3:$B$50,_xlfn.AGGREGATE(15,6,(ROW(Management!$B$3:$B$50)-ROW(Management!$B$3)+1)/((IF(Management!$C$3:$C$50="Unlimited",10^15,Management!$C$3:$C$50))&gt;='1'!$I113),COLUMN(T112))),"")</f>
        <v/>
      </c>
    </row>
    <row r="114" spans="1:20">
      <c r="A114" t="str">
        <f>IFERROR(INDEX(Management!$B$3:$B$50,_xlfn.AGGREGATE(15,6,(ROW(Management!$B$3:$B$50)-ROW(Management!$B$3)+1)/((IF(Management!$C$3:$C$50="Unlimited",10^15,Management!$C$3:$C$50))&gt;='1'!$I114),COLUMN(A113))),"")</f>
        <v/>
      </c>
      <c r="B114" t="str">
        <f>IFERROR(INDEX(Management!$B$3:$B$50,_xlfn.AGGREGATE(15,6,(ROW(Management!$B$3:$B$50)-ROW(Management!$B$3)+1)/((IF(Management!$C$3:$C$50="Unlimited",10^15,Management!$C$3:$C$50))&gt;='1'!$I114),COLUMN(B113))),"")</f>
        <v/>
      </c>
      <c r="C114" t="str">
        <f>IFERROR(INDEX(Management!$B$3:$B$50,_xlfn.AGGREGATE(15,6,(ROW(Management!$B$3:$B$50)-ROW(Management!$B$3)+1)/((IF(Management!$C$3:$C$50="Unlimited",10^15,Management!$C$3:$C$50))&gt;='1'!$I114),COLUMN(C113))),"")</f>
        <v/>
      </c>
      <c r="D114" t="str">
        <f>IFERROR(INDEX(Management!$B$3:$B$50,_xlfn.AGGREGATE(15,6,(ROW(Management!$B$3:$B$50)-ROW(Management!$B$3)+1)/((IF(Management!$C$3:$C$50="Unlimited",10^15,Management!$C$3:$C$50))&gt;='1'!$I114),COLUMN(D113))),"")</f>
        <v/>
      </c>
      <c r="E114" t="str">
        <f>IFERROR(INDEX(Management!$B$3:$B$50,_xlfn.AGGREGATE(15,6,(ROW(Management!$B$3:$B$50)-ROW(Management!$B$3)+1)/((IF(Management!$C$3:$C$50="Unlimited",10^15,Management!$C$3:$C$50))&gt;='1'!$I114),COLUMN(E113))),"")</f>
        <v/>
      </c>
      <c r="F114" t="str">
        <f>IFERROR(INDEX(Management!$B$3:$B$50,_xlfn.AGGREGATE(15,6,(ROW(Management!$B$3:$B$50)-ROW(Management!$B$3)+1)/((IF(Management!$C$3:$C$50="Unlimited",10^15,Management!$C$3:$C$50))&gt;='1'!$I114),COLUMN(F113))),"")</f>
        <v/>
      </c>
      <c r="G114" t="str">
        <f>IFERROR(INDEX(Management!$B$3:$B$50,_xlfn.AGGREGATE(15,6,(ROW(Management!$B$3:$B$50)-ROW(Management!$B$3)+1)/((IF(Management!$C$3:$C$50="Unlimited",10^15,Management!$C$3:$C$50))&gt;='1'!$I114),COLUMN(G113))),"")</f>
        <v/>
      </c>
      <c r="H114" t="str">
        <f>IFERROR(INDEX(Management!$B$3:$B$50,_xlfn.AGGREGATE(15,6,(ROW(Management!$B$3:$B$50)-ROW(Management!$B$3)+1)/((IF(Management!$C$3:$C$50="Unlimited",10^15,Management!$C$3:$C$50))&gt;='1'!$I114),COLUMN(H113))),"")</f>
        <v/>
      </c>
      <c r="I114" t="str">
        <f>IFERROR(INDEX(Management!$B$3:$B$50,_xlfn.AGGREGATE(15,6,(ROW(Management!$B$3:$B$50)-ROW(Management!$B$3)+1)/((IF(Management!$C$3:$C$50="Unlimited",10^15,Management!$C$3:$C$50))&gt;='1'!$I114),COLUMN(I113))),"")</f>
        <v/>
      </c>
      <c r="J114" t="str">
        <f>IFERROR(INDEX(Management!$B$3:$B$50,_xlfn.AGGREGATE(15,6,(ROW(Management!$B$3:$B$50)-ROW(Management!$B$3)+1)/((IF(Management!$C$3:$C$50="Unlimited",10^15,Management!$C$3:$C$50))&gt;='1'!$I114),COLUMN(J113))),"")</f>
        <v/>
      </c>
      <c r="K114" t="str">
        <f>IFERROR(INDEX(Management!$B$3:$B$50,_xlfn.AGGREGATE(15,6,(ROW(Management!$B$3:$B$50)-ROW(Management!$B$3)+1)/((IF(Management!$C$3:$C$50="Unlimited",10^15,Management!$C$3:$C$50))&gt;='1'!$I114),COLUMN(K113))),"")</f>
        <v/>
      </c>
      <c r="L114" t="str">
        <f>IFERROR(INDEX(Management!$B$3:$B$50,_xlfn.AGGREGATE(15,6,(ROW(Management!$B$3:$B$50)-ROW(Management!$B$3)+1)/((IF(Management!$C$3:$C$50="Unlimited",10^15,Management!$C$3:$C$50))&gt;='1'!$I114),COLUMN(L113))),"")</f>
        <v/>
      </c>
      <c r="M114" t="str">
        <f>IFERROR(INDEX(Management!$B$3:$B$50,_xlfn.AGGREGATE(15,6,(ROW(Management!$B$3:$B$50)-ROW(Management!$B$3)+1)/((IF(Management!$C$3:$C$50="Unlimited",10^15,Management!$C$3:$C$50))&gt;='1'!$I114),COLUMN(M113))),"")</f>
        <v/>
      </c>
      <c r="N114" t="str">
        <f>IFERROR(INDEX(Management!$B$3:$B$50,_xlfn.AGGREGATE(15,6,(ROW(Management!$B$3:$B$50)-ROW(Management!$B$3)+1)/((IF(Management!$C$3:$C$50="Unlimited",10^15,Management!$C$3:$C$50))&gt;='1'!$I114),COLUMN(N113))),"")</f>
        <v/>
      </c>
      <c r="O114" t="str">
        <f>IFERROR(INDEX(Management!$B$3:$B$50,_xlfn.AGGREGATE(15,6,(ROW(Management!$B$3:$B$50)-ROW(Management!$B$3)+1)/((IF(Management!$C$3:$C$50="Unlimited",10^15,Management!$C$3:$C$50))&gt;='1'!$I114),COLUMN(O113))),"")</f>
        <v/>
      </c>
      <c r="P114" t="str">
        <f>IFERROR(INDEX(Management!$B$3:$B$50,_xlfn.AGGREGATE(15,6,(ROW(Management!$B$3:$B$50)-ROW(Management!$B$3)+1)/((IF(Management!$C$3:$C$50="Unlimited",10^15,Management!$C$3:$C$50))&gt;='1'!$I114),COLUMN(P113))),"")</f>
        <v/>
      </c>
      <c r="Q114" t="str">
        <f>IFERROR(INDEX(Management!$B$3:$B$50,_xlfn.AGGREGATE(15,6,(ROW(Management!$B$3:$B$50)-ROW(Management!$B$3)+1)/((IF(Management!$C$3:$C$50="Unlimited",10^15,Management!$C$3:$C$50))&gt;='1'!$I114),COLUMN(Q113))),"")</f>
        <v/>
      </c>
      <c r="R114" t="str">
        <f>IFERROR(INDEX(Management!$B$3:$B$50,_xlfn.AGGREGATE(15,6,(ROW(Management!$B$3:$B$50)-ROW(Management!$B$3)+1)/((IF(Management!$C$3:$C$50="Unlimited",10^15,Management!$C$3:$C$50))&gt;='1'!$I114),COLUMN(R113))),"")</f>
        <v/>
      </c>
      <c r="S114" t="str">
        <f>IFERROR(INDEX(Management!$B$3:$B$50,_xlfn.AGGREGATE(15,6,(ROW(Management!$B$3:$B$50)-ROW(Management!$B$3)+1)/((IF(Management!$C$3:$C$50="Unlimited",10^15,Management!$C$3:$C$50))&gt;='1'!$I114),COLUMN(S113))),"")</f>
        <v/>
      </c>
      <c r="T114" t="str">
        <f>IFERROR(INDEX(Management!$B$3:$B$50,_xlfn.AGGREGATE(15,6,(ROW(Management!$B$3:$B$50)-ROW(Management!$B$3)+1)/((IF(Management!$C$3:$C$50="Unlimited",10^15,Management!$C$3:$C$50))&gt;='1'!$I114),COLUMN(T113))),"")</f>
        <v/>
      </c>
    </row>
    <row r="115" spans="1:20">
      <c r="A115" t="str">
        <f>IFERROR(INDEX(Management!$B$3:$B$50,_xlfn.AGGREGATE(15,6,(ROW(Management!$B$3:$B$50)-ROW(Management!$B$3)+1)/((IF(Management!$C$3:$C$50="Unlimited",10^15,Management!$C$3:$C$50))&gt;='1'!$I115),COLUMN(A114))),"")</f>
        <v/>
      </c>
      <c r="B115" t="str">
        <f>IFERROR(INDEX(Management!$B$3:$B$50,_xlfn.AGGREGATE(15,6,(ROW(Management!$B$3:$B$50)-ROW(Management!$B$3)+1)/((IF(Management!$C$3:$C$50="Unlimited",10^15,Management!$C$3:$C$50))&gt;='1'!$I115),COLUMN(B114))),"")</f>
        <v/>
      </c>
      <c r="C115" t="str">
        <f>IFERROR(INDEX(Management!$B$3:$B$50,_xlfn.AGGREGATE(15,6,(ROW(Management!$B$3:$B$50)-ROW(Management!$B$3)+1)/((IF(Management!$C$3:$C$50="Unlimited",10^15,Management!$C$3:$C$50))&gt;='1'!$I115),COLUMN(C114))),"")</f>
        <v/>
      </c>
      <c r="D115" t="str">
        <f>IFERROR(INDEX(Management!$B$3:$B$50,_xlfn.AGGREGATE(15,6,(ROW(Management!$B$3:$B$50)-ROW(Management!$B$3)+1)/((IF(Management!$C$3:$C$50="Unlimited",10^15,Management!$C$3:$C$50))&gt;='1'!$I115),COLUMN(D114))),"")</f>
        <v/>
      </c>
      <c r="E115" t="str">
        <f>IFERROR(INDEX(Management!$B$3:$B$50,_xlfn.AGGREGATE(15,6,(ROW(Management!$B$3:$B$50)-ROW(Management!$B$3)+1)/((IF(Management!$C$3:$C$50="Unlimited",10^15,Management!$C$3:$C$50))&gt;='1'!$I115),COLUMN(E114))),"")</f>
        <v/>
      </c>
      <c r="F115" t="str">
        <f>IFERROR(INDEX(Management!$B$3:$B$50,_xlfn.AGGREGATE(15,6,(ROW(Management!$B$3:$B$50)-ROW(Management!$B$3)+1)/((IF(Management!$C$3:$C$50="Unlimited",10^15,Management!$C$3:$C$50))&gt;='1'!$I115),COLUMN(F114))),"")</f>
        <v/>
      </c>
      <c r="G115" t="str">
        <f>IFERROR(INDEX(Management!$B$3:$B$50,_xlfn.AGGREGATE(15,6,(ROW(Management!$B$3:$B$50)-ROW(Management!$B$3)+1)/((IF(Management!$C$3:$C$50="Unlimited",10^15,Management!$C$3:$C$50))&gt;='1'!$I115),COLUMN(G114))),"")</f>
        <v/>
      </c>
      <c r="H115" t="str">
        <f>IFERROR(INDEX(Management!$B$3:$B$50,_xlfn.AGGREGATE(15,6,(ROW(Management!$B$3:$B$50)-ROW(Management!$B$3)+1)/((IF(Management!$C$3:$C$50="Unlimited",10^15,Management!$C$3:$C$50))&gt;='1'!$I115),COLUMN(H114))),"")</f>
        <v/>
      </c>
      <c r="I115" t="str">
        <f>IFERROR(INDEX(Management!$B$3:$B$50,_xlfn.AGGREGATE(15,6,(ROW(Management!$B$3:$B$50)-ROW(Management!$B$3)+1)/((IF(Management!$C$3:$C$50="Unlimited",10^15,Management!$C$3:$C$50))&gt;='1'!$I115),COLUMN(I114))),"")</f>
        <v/>
      </c>
      <c r="J115" t="str">
        <f>IFERROR(INDEX(Management!$B$3:$B$50,_xlfn.AGGREGATE(15,6,(ROW(Management!$B$3:$B$50)-ROW(Management!$B$3)+1)/((IF(Management!$C$3:$C$50="Unlimited",10^15,Management!$C$3:$C$50))&gt;='1'!$I115),COLUMN(J114))),"")</f>
        <v/>
      </c>
      <c r="K115" t="str">
        <f>IFERROR(INDEX(Management!$B$3:$B$50,_xlfn.AGGREGATE(15,6,(ROW(Management!$B$3:$B$50)-ROW(Management!$B$3)+1)/((IF(Management!$C$3:$C$50="Unlimited",10^15,Management!$C$3:$C$50))&gt;='1'!$I115),COLUMN(K114))),"")</f>
        <v/>
      </c>
      <c r="L115" t="str">
        <f>IFERROR(INDEX(Management!$B$3:$B$50,_xlfn.AGGREGATE(15,6,(ROW(Management!$B$3:$B$50)-ROW(Management!$B$3)+1)/((IF(Management!$C$3:$C$50="Unlimited",10^15,Management!$C$3:$C$50))&gt;='1'!$I115),COLUMN(L114))),"")</f>
        <v/>
      </c>
      <c r="M115" t="str">
        <f>IFERROR(INDEX(Management!$B$3:$B$50,_xlfn.AGGREGATE(15,6,(ROW(Management!$B$3:$B$50)-ROW(Management!$B$3)+1)/((IF(Management!$C$3:$C$50="Unlimited",10^15,Management!$C$3:$C$50))&gt;='1'!$I115),COLUMN(M114))),"")</f>
        <v/>
      </c>
      <c r="N115" t="str">
        <f>IFERROR(INDEX(Management!$B$3:$B$50,_xlfn.AGGREGATE(15,6,(ROW(Management!$B$3:$B$50)-ROW(Management!$B$3)+1)/((IF(Management!$C$3:$C$50="Unlimited",10^15,Management!$C$3:$C$50))&gt;='1'!$I115),COLUMN(N114))),"")</f>
        <v/>
      </c>
      <c r="O115" t="str">
        <f>IFERROR(INDEX(Management!$B$3:$B$50,_xlfn.AGGREGATE(15,6,(ROW(Management!$B$3:$B$50)-ROW(Management!$B$3)+1)/((IF(Management!$C$3:$C$50="Unlimited",10^15,Management!$C$3:$C$50))&gt;='1'!$I115),COLUMN(O114))),"")</f>
        <v/>
      </c>
      <c r="P115" t="str">
        <f>IFERROR(INDEX(Management!$B$3:$B$50,_xlfn.AGGREGATE(15,6,(ROW(Management!$B$3:$B$50)-ROW(Management!$B$3)+1)/((IF(Management!$C$3:$C$50="Unlimited",10^15,Management!$C$3:$C$50))&gt;='1'!$I115),COLUMN(P114))),"")</f>
        <v/>
      </c>
      <c r="Q115" t="str">
        <f>IFERROR(INDEX(Management!$B$3:$B$50,_xlfn.AGGREGATE(15,6,(ROW(Management!$B$3:$B$50)-ROW(Management!$B$3)+1)/((IF(Management!$C$3:$C$50="Unlimited",10^15,Management!$C$3:$C$50))&gt;='1'!$I115),COLUMN(Q114))),"")</f>
        <v/>
      </c>
      <c r="R115" t="str">
        <f>IFERROR(INDEX(Management!$B$3:$B$50,_xlfn.AGGREGATE(15,6,(ROW(Management!$B$3:$B$50)-ROW(Management!$B$3)+1)/((IF(Management!$C$3:$C$50="Unlimited",10^15,Management!$C$3:$C$50))&gt;='1'!$I115),COLUMN(R114))),"")</f>
        <v/>
      </c>
      <c r="S115" t="str">
        <f>IFERROR(INDEX(Management!$B$3:$B$50,_xlfn.AGGREGATE(15,6,(ROW(Management!$B$3:$B$50)-ROW(Management!$B$3)+1)/((IF(Management!$C$3:$C$50="Unlimited",10^15,Management!$C$3:$C$50))&gt;='1'!$I115),COLUMN(S114))),"")</f>
        <v/>
      </c>
      <c r="T115" t="str">
        <f>IFERROR(INDEX(Management!$B$3:$B$50,_xlfn.AGGREGATE(15,6,(ROW(Management!$B$3:$B$50)-ROW(Management!$B$3)+1)/((IF(Management!$C$3:$C$50="Unlimited",10^15,Management!$C$3:$C$50))&gt;='1'!$I115),COLUMN(T114))),"")</f>
        <v/>
      </c>
    </row>
    <row r="116" spans="1:20">
      <c r="A116" t="str">
        <f>IFERROR(INDEX(Management!$B$3:$B$50,_xlfn.AGGREGATE(15,6,(ROW(Management!$B$3:$B$50)-ROW(Management!$B$3)+1)/((IF(Management!$C$3:$C$50="Unlimited",10^15,Management!$C$3:$C$50))&gt;='1'!$I116),COLUMN(A115))),"")</f>
        <v/>
      </c>
      <c r="B116" t="str">
        <f>IFERROR(INDEX(Management!$B$3:$B$50,_xlfn.AGGREGATE(15,6,(ROW(Management!$B$3:$B$50)-ROW(Management!$B$3)+1)/((IF(Management!$C$3:$C$50="Unlimited",10^15,Management!$C$3:$C$50))&gt;='1'!$I116),COLUMN(B115))),"")</f>
        <v/>
      </c>
      <c r="C116" t="str">
        <f>IFERROR(INDEX(Management!$B$3:$B$50,_xlfn.AGGREGATE(15,6,(ROW(Management!$B$3:$B$50)-ROW(Management!$B$3)+1)/((IF(Management!$C$3:$C$50="Unlimited",10^15,Management!$C$3:$C$50))&gt;='1'!$I116),COLUMN(C115))),"")</f>
        <v/>
      </c>
      <c r="D116" t="str">
        <f>IFERROR(INDEX(Management!$B$3:$B$50,_xlfn.AGGREGATE(15,6,(ROW(Management!$B$3:$B$50)-ROW(Management!$B$3)+1)/((IF(Management!$C$3:$C$50="Unlimited",10^15,Management!$C$3:$C$50))&gt;='1'!$I116),COLUMN(D115))),"")</f>
        <v/>
      </c>
      <c r="E116" t="str">
        <f>IFERROR(INDEX(Management!$B$3:$B$50,_xlfn.AGGREGATE(15,6,(ROW(Management!$B$3:$B$50)-ROW(Management!$B$3)+1)/((IF(Management!$C$3:$C$50="Unlimited",10^15,Management!$C$3:$C$50))&gt;='1'!$I116),COLUMN(E115))),"")</f>
        <v/>
      </c>
      <c r="F116" t="str">
        <f>IFERROR(INDEX(Management!$B$3:$B$50,_xlfn.AGGREGATE(15,6,(ROW(Management!$B$3:$B$50)-ROW(Management!$B$3)+1)/((IF(Management!$C$3:$C$50="Unlimited",10^15,Management!$C$3:$C$50))&gt;='1'!$I116),COLUMN(F115))),"")</f>
        <v/>
      </c>
      <c r="G116" t="str">
        <f>IFERROR(INDEX(Management!$B$3:$B$50,_xlfn.AGGREGATE(15,6,(ROW(Management!$B$3:$B$50)-ROW(Management!$B$3)+1)/((IF(Management!$C$3:$C$50="Unlimited",10^15,Management!$C$3:$C$50))&gt;='1'!$I116),COLUMN(G115))),"")</f>
        <v/>
      </c>
      <c r="H116" t="str">
        <f>IFERROR(INDEX(Management!$B$3:$B$50,_xlfn.AGGREGATE(15,6,(ROW(Management!$B$3:$B$50)-ROW(Management!$B$3)+1)/((IF(Management!$C$3:$C$50="Unlimited",10^15,Management!$C$3:$C$50))&gt;='1'!$I116),COLUMN(H115))),"")</f>
        <v/>
      </c>
      <c r="I116" t="str">
        <f>IFERROR(INDEX(Management!$B$3:$B$50,_xlfn.AGGREGATE(15,6,(ROW(Management!$B$3:$B$50)-ROW(Management!$B$3)+1)/((IF(Management!$C$3:$C$50="Unlimited",10^15,Management!$C$3:$C$50))&gt;='1'!$I116),COLUMN(I115))),"")</f>
        <v/>
      </c>
      <c r="J116" t="str">
        <f>IFERROR(INDEX(Management!$B$3:$B$50,_xlfn.AGGREGATE(15,6,(ROW(Management!$B$3:$B$50)-ROW(Management!$B$3)+1)/((IF(Management!$C$3:$C$50="Unlimited",10^15,Management!$C$3:$C$50))&gt;='1'!$I116),COLUMN(J115))),"")</f>
        <v/>
      </c>
      <c r="K116" t="str">
        <f>IFERROR(INDEX(Management!$B$3:$B$50,_xlfn.AGGREGATE(15,6,(ROW(Management!$B$3:$B$50)-ROW(Management!$B$3)+1)/((IF(Management!$C$3:$C$50="Unlimited",10^15,Management!$C$3:$C$50))&gt;='1'!$I116),COLUMN(K115))),"")</f>
        <v/>
      </c>
      <c r="L116" t="str">
        <f>IFERROR(INDEX(Management!$B$3:$B$50,_xlfn.AGGREGATE(15,6,(ROW(Management!$B$3:$B$50)-ROW(Management!$B$3)+1)/((IF(Management!$C$3:$C$50="Unlimited",10^15,Management!$C$3:$C$50))&gt;='1'!$I116),COLUMN(L115))),"")</f>
        <v/>
      </c>
      <c r="M116" t="str">
        <f>IFERROR(INDEX(Management!$B$3:$B$50,_xlfn.AGGREGATE(15,6,(ROW(Management!$B$3:$B$50)-ROW(Management!$B$3)+1)/((IF(Management!$C$3:$C$50="Unlimited",10^15,Management!$C$3:$C$50))&gt;='1'!$I116),COLUMN(M115))),"")</f>
        <v/>
      </c>
      <c r="N116" t="str">
        <f>IFERROR(INDEX(Management!$B$3:$B$50,_xlfn.AGGREGATE(15,6,(ROW(Management!$B$3:$B$50)-ROW(Management!$B$3)+1)/((IF(Management!$C$3:$C$50="Unlimited",10^15,Management!$C$3:$C$50))&gt;='1'!$I116),COLUMN(N115))),"")</f>
        <v/>
      </c>
      <c r="O116" t="str">
        <f>IFERROR(INDEX(Management!$B$3:$B$50,_xlfn.AGGREGATE(15,6,(ROW(Management!$B$3:$B$50)-ROW(Management!$B$3)+1)/((IF(Management!$C$3:$C$50="Unlimited",10^15,Management!$C$3:$C$50))&gt;='1'!$I116),COLUMN(O115))),"")</f>
        <v/>
      </c>
      <c r="P116" t="str">
        <f>IFERROR(INDEX(Management!$B$3:$B$50,_xlfn.AGGREGATE(15,6,(ROW(Management!$B$3:$B$50)-ROW(Management!$B$3)+1)/((IF(Management!$C$3:$C$50="Unlimited",10^15,Management!$C$3:$C$50))&gt;='1'!$I116),COLUMN(P115))),"")</f>
        <v/>
      </c>
      <c r="Q116" t="str">
        <f>IFERROR(INDEX(Management!$B$3:$B$50,_xlfn.AGGREGATE(15,6,(ROW(Management!$B$3:$B$50)-ROW(Management!$B$3)+1)/((IF(Management!$C$3:$C$50="Unlimited",10^15,Management!$C$3:$C$50))&gt;='1'!$I116),COLUMN(Q115))),"")</f>
        <v/>
      </c>
      <c r="R116" t="str">
        <f>IFERROR(INDEX(Management!$B$3:$B$50,_xlfn.AGGREGATE(15,6,(ROW(Management!$B$3:$B$50)-ROW(Management!$B$3)+1)/((IF(Management!$C$3:$C$50="Unlimited",10^15,Management!$C$3:$C$50))&gt;='1'!$I116),COLUMN(R115))),"")</f>
        <v/>
      </c>
      <c r="S116" t="str">
        <f>IFERROR(INDEX(Management!$B$3:$B$50,_xlfn.AGGREGATE(15,6,(ROW(Management!$B$3:$B$50)-ROW(Management!$B$3)+1)/((IF(Management!$C$3:$C$50="Unlimited",10^15,Management!$C$3:$C$50))&gt;='1'!$I116),COLUMN(S115))),"")</f>
        <v/>
      </c>
      <c r="T116" t="str">
        <f>IFERROR(INDEX(Management!$B$3:$B$50,_xlfn.AGGREGATE(15,6,(ROW(Management!$B$3:$B$50)-ROW(Management!$B$3)+1)/((IF(Management!$C$3:$C$50="Unlimited",10^15,Management!$C$3:$C$50))&gt;='1'!$I116),COLUMN(T115))),"")</f>
        <v/>
      </c>
    </row>
    <row r="117" spans="1:20">
      <c r="A117" t="str">
        <f>IFERROR(INDEX(Management!$B$3:$B$50,_xlfn.AGGREGATE(15,6,(ROW(Management!$B$3:$B$50)-ROW(Management!$B$3)+1)/((IF(Management!$C$3:$C$50="Unlimited",10^15,Management!$C$3:$C$50))&gt;='1'!$I117),COLUMN(A116))),"")</f>
        <v/>
      </c>
      <c r="B117" t="str">
        <f>IFERROR(INDEX(Management!$B$3:$B$50,_xlfn.AGGREGATE(15,6,(ROW(Management!$B$3:$B$50)-ROW(Management!$B$3)+1)/((IF(Management!$C$3:$C$50="Unlimited",10^15,Management!$C$3:$C$50))&gt;='1'!$I117),COLUMN(B116))),"")</f>
        <v/>
      </c>
      <c r="C117" t="str">
        <f>IFERROR(INDEX(Management!$B$3:$B$50,_xlfn.AGGREGATE(15,6,(ROW(Management!$B$3:$B$50)-ROW(Management!$B$3)+1)/((IF(Management!$C$3:$C$50="Unlimited",10^15,Management!$C$3:$C$50))&gt;='1'!$I117),COLUMN(C116))),"")</f>
        <v/>
      </c>
      <c r="D117" t="str">
        <f>IFERROR(INDEX(Management!$B$3:$B$50,_xlfn.AGGREGATE(15,6,(ROW(Management!$B$3:$B$50)-ROW(Management!$B$3)+1)/((IF(Management!$C$3:$C$50="Unlimited",10^15,Management!$C$3:$C$50))&gt;='1'!$I117),COLUMN(D116))),"")</f>
        <v/>
      </c>
      <c r="E117" t="str">
        <f>IFERROR(INDEX(Management!$B$3:$B$50,_xlfn.AGGREGATE(15,6,(ROW(Management!$B$3:$B$50)-ROW(Management!$B$3)+1)/((IF(Management!$C$3:$C$50="Unlimited",10^15,Management!$C$3:$C$50))&gt;='1'!$I117),COLUMN(E116))),"")</f>
        <v/>
      </c>
      <c r="F117" t="str">
        <f>IFERROR(INDEX(Management!$B$3:$B$50,_xlfn.AGGREGATE(15,6,(ROW(Management!$B$3:$B$50)-ROW(Management!$B$3)+1)/((IF(Management!$C$3:$C$50="Unlimited",10^15,Management!$C$3:$C$50))&gt;='1'!$I117),COLUMN(F116))),"")</f>
        <v/>
      </c>
      <c r="G117" t="str">
        <f>IFERROR(INDEX(Management!$B$3:$B$50,_xlfn.AGGREGATE(15,6,(ROW(Management!$B$3:$B$50)-ROW(Management!$B$3)+1)/((IF(Management!$C$3:$C$50="Unlimited",10^15,Management!$C$3:$C$50))&gt;='1'!$I117),COLUMN(G116))),"")</f>
        <v/>
      </c>
      <c r="H117" t="str">
        <f>IFERROR(INDEX(Management!$B$3:$B$50,_xlfn.AGGREGATE(15,6,(ROW(Management!$B$3:$B$50)-ROW(Management!$B$3)+1)/((IF(Management!$C$3:$C$50="Unlimited",10^15,Management!$C$3:$C$50))&gt;='1'!$I117),COLUMN(H116))),"")</f>
        <v/>
      </c>
      <c r="I117" t="str">
        <f>IFERROR(INDEX(Management!$B$3:$B$50,_xlfn.AGGREGATE(15,6,(ROW(Management!$B$3:$B$50)-ROW(Management!$B$3)+1)/((IF(Management!$C$3:$C$50="Unlimited",10^15,Management!$C$3:$C$50))&gt;='1'!$I117),COLUMN(I116))),"")</f>
        <v/>
      </c>
      <c r="J117" t="str">
        <f>IFERROR(INDEX(Management!$B$3:$B$50,_xlfn.AGGREGATE(15,6,(ROW(Management!$B$3:$B$50)-ROW(Management!$B$3)+1)/((IF(Management!$C$3:$C$50="Unlimited",10^15,Management!$C$3:$C$50))&gt;='1'!$I117),COLUMN(J116))),"")</f>
        <v/>
      </c>
      <c r="K117" t="str">
        <f>IFERROR(INDEX(Management!$B$3:$B$50,_xlfn.AGGREGATE(15,6,(ROW(Management!$B$3:$B$50)-ROW(Management!$B$3)+1)/((IF(Management!$C$3:$C$50="Unlimited",10^15,Management!$C$3:$C$50))&gt;='1'!$I117),COLUMN(K116))),"")</f>
        <v/>
      </c>
      <c r="L117" t="str">
        <f>IFERROR(INDEX(Management!$B$3:$B$50,_xlfn.AGGREGATE(15,6,(ROW(Management!$B$3:$B$50)-ROW(Management!$B$3)+1)/((IF(Management!$C$3:$C$50="Unlimited",10^15,Management!$C$3:$C$50))&gt;='1'!$I117),COLUMN(L116))),"")</f>
        <v/>
      </c>
      <c r="M117" t="str">
        <f>IFERROR(INDEX(Management!$B$3:$B$50,_xlfn.AGGREGATE(15,6,(ROW(Management!$B$3:$B$50)-ROW(Management!$B$3)+1)/((IF(Management!$C$3:$C$50="Unlimited",10^15,Management!$C$3:$C$50))&gt;='1'!$I117),COLUMN(M116))),"")</f>
        <v/>
      </c>
      <c r="N117" t="str">
        <f>IFERROR(INDEX(Management!$B$3:$B$50,_xlfn.AGGREGATE(15,6,(ROW(Management!$B$3:$B$50)-ROW(Management!$B$3)+1)/((IF(Management!$C$3:$C$50="Unlimited",10^15,Management!$C$3:$C$50))&gt;='1'!$I117),COLUMN(N116))),"")</f>
        <v/>
      </c>
      <c r="O117" t="str">
        <f>IFERROR(INDEX(Management!$B$3:$B$50,_xlfn.AGGREGATE(15,6,(ROW(Management!$B$3:$B$50)-ROW(Management!$B$3)+1)/((IF(Management!$C$3:$C$50="Unlimited",10^15,Management!$C$3:$C$50))&gt;='1'!$I117),COLUMN(O116))),"")</f>
        <v/>
      </c>
      <c r="P117" t="str">
        <f>IFERROR(INDEX(Management!$B$3:$B$50,_xlfn.AGGREGATE(15,6,(ROW(Management!$B$3:$B$50)-ROW(Management!$B$3)+1)/((IF(Management!$C$3:$C$50="Unlimited",10^15,Management!$C$3:$C$50))&gt;='1'!$I117),COLUMN(P116))),"")</f>
        <v/>
      </c>
      <c r="Q117" t="str">
        <f>IFERROR(INDEX(Management!$B$3:$B$50,_xlfn.AGGREGATE(15,6,(ROW(Management!$B$3:$B$50)-ROW(Management!$B$3)+1)/((IF(Management!$C$3:$C$50="Unlimited",10^15,Management!$C$3:$C$50))&gt;='1'!$I117),COLUMN(Q116))),"")</f>
        <v/>
      </c>
      <c r="R117" t="str">
        <f>IFERROR(INDEX(Management!$B$3:$B$50,_xlfn.AGGREGATE(15,6,(ROW(Management!$B$3:$B$50)-ROW(Management!$B$3)+1)/((IF(Management!$C$3:$C$50="Unlimited",10^15,Management!$C$3:$C$50))&gt;='1'!$I117),COLUMN(R116))),"")</f>
        <v/>
      </c>
      <c r="S117" t="str">
        <f>IFERROR(INDEX(Management!$B$3:$B$50,_xlfn.AGGREGATE(15,6,(ROW(Management!$B$3:$B$50)-ROW(Management!$B$3)+1)/((IF(Management!$C$3:$C$50="Unlimited",10^15,Management!$C$3:$C$50))&gt;='1'!$I117),COLUMN(S116))),"")</f>
        <v/>
      </c>
      <c r="T117" t="str">
        <f>IFERROR(INDEX(Management!$B$3:$B$50,_xlfn.AGGREGATE(15,6,(ROW(Management!$B$3:$B$50)-ROW(Management!$B$3)+1)/((IF(Management!$C$3:$C$50="Unlimited",10^15,Management!$C$3:$C$50))&gt;='1'!$I117),COLUMN(T116))),"")</f>
        <v/>
      </c>
    </row>
    <row r="118" spans="1:20">
      <c r="A118" t="str">
        <f>IFERROR(INDEX(Management!$B$3:$B$50,_xlfn.AGGREGATE(15,6,(ROW(Management!$B$3:$B$50)-ROW(Management!$B$3)+1)/((IF(Management!$C$3:$C$50="Unlimited",10^15,Management!$C$3:$C$50))&gt;='1'!$I118),COLUMN(A117))),"")</f>
        <v/>
      </c>
      <c r="B118" t="str">
        <f>IFERROR(INDEX(Management!$B$3:$B$50,_xlfn.AGGREGATE(15,6,(ROW(Management!$B$3:$B$50)-ROW(Management!$B$3)+1)/((IF(Management!$C$3:$C$50="Unlimited",10^15,Management!$C$3:$C$50))&gt;='1'!$I118),COLUMN(B117))),"")</f>
        <v/>
      </c>
      <c r="C118" t="str">
        <f>IFERROR(INDEX(Management!$B$3:$B$50,_xlfn.AGGREGATE(15,6,(ROW(Management!$B$3:$B$50)-ROW(Management!$B$3)+1)/((IF(Management!$C$3:$C$50="Unlimited",10^15,Management!$C$3:$C$50))&gt;='1'!$I118),COLUMN(C117))),"")</f>
        <v/>
      </c>
      <c r="D118" t="str">
        <f>IFERROR(INDEX(Management!$B$3:$B$50,_xlfn.AGGREGATE(15,6,(ROW(Management!$B$3:$B$50)-ROW(Management!$B$3)+1)/((IF(Management!$C$3:$C$50="Unlimited",10^15,Management!$C$3:$C$50))&gt;='1'!$I118),COLUMN(D117))),"")</f>
        <v/>
      </c>
      <c r="E118" t="str">
        <f>IFERROR(INDEX(Management!$B$3:$B$50,_xlfn.AGGREGATE(15,6,(ROW(Management!$B$3:$B$50)-ROW(Management!$B$3)+1)/((IF(Management!$C$3:$C$50="Unlimited",10^15,Management!$C$3:$C$50))&gt;='1'!$I118),COLUMN(E117))),"")</f>
        <v/>
      </c>
      <c r="F118" t="str">
        <f>IFERROR(INDEX(Management!$B$3:$B$50,_xlfn.AGGREGATE(15,6,(ROW(Management!$B$3:$B$50)-ROW(Management!$B$3)+1)/((IF(Management!$C$3:$C$50="Unlimited",10^15,Management!$C$3:$C$50))&gt;='1'!$I118),COLUMN(F117))),"")</f>
        <v/>
      </c>
      <c r="G118" t="str">
        <f>IFERROR(INDEX(Management!$B$3:$B$50,_xlfn.AGGREGATE(15,6,(ROW(Management!$B$3:$B$50)-ROW(Management!$B$3)+1)/((IF(Management!$C$3:$C$50="Unlimited",10^15,Management!$C$3:$C$50))&gt;='1'!$I118),COLUMN(G117))),"")</f>
        <v/>
      </c>
      <c r="H118" t="str">
        <f>IFERROR(INDEX(Management!$B$3:$B$50,_xlfn.AGGREGATE(15,6,(ROW(Management!$B$3:$B$50)-ROW(Management!$B$3)+1)/((IF(Management!$C$3:$C$50="Unlimited",10^15,Management!$C$3:$C$50))&gt;='1'!$I118),COLUMN(H117))),"")</f>
        <v/>
      </c>
      <c r="I118" t="str">
        <f>IFERROR(INDEX(Management!$B$3:$B$50,_xlfn.AGGREGATE(15,6,(ROW(Management!$B$3:$B$50)-ROW(Management!$B$3)+1)/((IF(Management!$C$3:$C$50="Unlimited",10^15,Management!$C$3:$C$50))&gt;='1'!$I118),COLUMN(I117))),"")</f>
        <v/>
      </c>
      <c r="J118" t="str">
        <f>IFERROR(INDEX(Management!$B$3:$B$50,_xlfn.AGGREGATE(15,6,(ROW(Management!$B$3:$B$50)-ROW(Management!$B$3)+1)/((IF(Management!$C$3:$C$50="Unlimited",10^15,Management!$C$3:$C$50))&gt;='1'!$I118),COLUMN(J117))),"")</f>
        <v/>
      </c>
      <c r="K118" t="str">
        <f>IFERROR(INDEX(Management!$B$3:$B$50,_xlfn.AGGREGATE(15,6,(ROW(Management!$B$3:$B$50)-ROW(Management!$B$3)+1)/((IF(Management!$C$3:$C$50="Unlimited",10^15,Management!$C$3:$C$50))&gt;='1'!$I118),COLUMN(K117))),"")</f>
        <v/>
      </c>
      <c r="L118" t="str">
        <f>IFERROR(INDEX(Management!$B$3:$B$50,_xlfn.AGGREGATE(15,6,(ROW(Management!$B$3:$B$50)-ROW(Management!$B$3)+1)/((IF(Management!$C$3:$C$50="Unlimited",10^15,Management!$C$3:$C$50))&gt;='1'!$I118),COLUMN(L117))),"")</f>
        <v/>
      </c>
      <c r="M118" t="str">
        <f>IFERROR(INDEX(Management!$B$3:$B$50,_xlfn.AGGREGATE(15,6,(ROW(Management!$B$3:$B$50)-ROW(Management!$B$3)+1)/((IF(Management!$C$3:$C$50="Unlimited",10^15,Management!$C$3:$C$50))&gt;='1'!$I118),COLUMN(M117))),"")</f>
        <v/>
      </c>
      <c r="N118" t="str">
        <f>IFERROR(INDEX(Management!$B$3:$B$50,_xlfn.AGGREGATE(15,6,(ROW(Management!$B$3:$B$50)-ROW(Management!$B$3)+1)/((IF(Management!$C$3:$C$50="Unlimited",10^15,Management!$C$3:$C$50))&gt;='1'!$I118),COLUMN(N117))),"")</f>
        <v/>
      </c>
      <c r="O118" t="str">
        <f>IFERROR(INDEX(Management!$B$3:$B$50,_xlfn.AGGREGATE(15,6,(ROW(Management!$B$3:$B$50)-ROW(Management!$B$3)+1)/((IF(Management!$C$3:$C$50="Unlimited",10^15,Management!$C$3:$C$50))&gt;='1'!$I118),COLUMN(O117))),"")</f>
        <v/>
      </c>
      <c r="P118" t="str">
        <f>IFERROR(INDEX(Management!$B$3:$B$50,_xlfn.AGGREGATE(15,6,(ROW(Management!$B$3:$B$50)-ROW(Management!$B$3)+1)/((IF(Management!$C$3:$C$50="Unlimited",10^15,Management!$C$3:$C$50))&gt;='1'!$I118),COLUMN(P117))),"")</f>
        <v/>
      </c>
      <c r="Q118" t="str">
        <f>IFERROR(INDEX(Management!$B$3:$B$50,_xlfn.AGGREGATE(15,6,(ROW(Management!$B$3:$B$50)-ROW(Management!$B$3)+1)/((IF(Management!$C$3:$C$50="Unlimited",10^15,Management!$C$3:$C$50))&gt;='1'!$I118),COLUMN(Q117))),"")</f>
        <v/>
      </c>
      <c r="R118" t="str">
        <f>IFERROR(INDEX(Management!$B$3:$B$50,_xlfn.AGGREGATE(15,6,(ROW(Management!$B$3:$B$50)-ROW(Management!$B$3)+1)/((IF(Management!$C$3:$C$50="Unlimited",10^15,Management!$C$3:$C$50))&gt;='1'!$I118),COLUMN(R117))),"")</f>
        <v/>
      </c>
      <c r="S118" t="str">
        <f>IFERROR(INDEX(Management!$B$3:$B$50,_xlfn.AGGREGATE(15,6,(ROW(Management!$B$3:$B$50)-ROW(Management!$B$3)+1)/((IF(Management!$C$3:$C$50="Unlimited",10^15,Management!$C$3:$C$50))&gt;='1'!$I118),COLUMN(S117))),"")</f>
        <v/>
      </c>
      <c r="T118" t="str">
        <f>IFERROR(INDEX(Management!$B$3:$B$50,_xlfn.AGGREGATE(15,6,(ROW(Management!$B$3:$B$50)-ROW(Management!$B$3)+1)/((IF(Management!$C$3:$C$50="Unlimited",10^15,Management!$C$3:$C$50))&gt;='1'!$I118),COLUMN(T117))),"")</f>
        <v/>
      </c>
    </row>
    <row r="119" spans="1:20">
      <c r="A119" t="str">
        <f>IFERROR(INDEX(Management!$B$3:$B$50,_xlfn.AGGREGATE(15,6,(ROW(Management!$B$3:$B$50)-ROW(Management!$B$3)+1)/((IF(Management!$C$3:$C$50="Unlimited",10^15,Management!$C$3:$C$50))&gt;='1'!$I119),COLUMN(A118))),"")</f>
        <v/>
      </c>
      <c r="B119" t="str">
        <f>IFERROR(INDEX(Management!$B$3:$B$50,_xlfn.AGGREGATE(15,6,(ROW(Management!$B$3:$B$50)-ROW(Management!$B$3)+1)/((IF(Management!$C$3:$C$50="Unlimited",10^15,Management!$C$3:$C$50))&gt;='1'!$I119),COLUMN(B118))),"")</f>
        <v/>
      </c>
      <c r="C119" t="str">
        <f>IFERROR(INDEX(Management!$B$3:$B$50,_xlfn.AGGREGATE(15,6,(ROW(Management!$B$3:$B$50)-ROW(Management!$B$3)+1)/((IF(Management!$C$3:$C$50="Unlimited",10^15,Management!$C$3:$C$50))&gt;='1'!$I119),COLUMN(C118))),"")</f>
        <v/>
      </c>
      <c r="D119" t="str">
        <f>IFERROR(INDEX(Management!$B$3:$B$50,_xlfn.AGGREGATE(15,6,(ROW(Management!$B$3:$B$50)-ROW(Management!$B$3)+1)/((IF(Management!$C$3:$C$50="Unlimited",10^15,Management!$C$3:$C$50))&gt;='1'!$I119),COLUMN(D118))),"")</f>
        <v/>
      </c>
      <c r="E119" t="str">
        <f>IFERROR(INDEX(Management!$B$3:$B$50,_xlfn.AGGREGATE(15,6,(ROW(Management!$B$3:$B$50)-ROW(Management!$B$3)+1)/((IF(Management!$C$3:$C$50="Unlimited",10^15,Management!$C$3:$C$50))&gt;='1'!$I119),COLUMN(E118))),"")</f>
        <v/>
      </c>
      <c r="F119" t="str">
        <f>IFERROR(INDEX(Management!$B$3:$B$50,_xlfn.AGGREGATE(15,6,(ROW(Management!$B$3:$B$50)-ROW(Management!$B$3)+1)/((IF(Management!$C$3:$C$50="Unlimited",10^15,Management!$C$3:$C$50))&gt;='1'!$I119),COLUMN(F118))),"")</f>
        <v/>
      </c>
      <c r="G119" t="str">
        <f>IFERROR(INDEX(Management!$B$3:$B$50,_xlfn.AGGREGATE(15,6,(ROW(Management!$B$3:$B$50)-ROW(Management!$B$3)+1)/((IF(Management!$C$3:$C$50="Unlimited",10^15,Management!$C$3:$C$50))&gt;='1'!$I119),COLUMN(G118))),"")</f>
        <v/>
      </c>
      <c r="H119" t="str">
        <f>IFERROR(INDEX(Management!$B$3:$B$50,_xlfn.AGGREGATE(15,6,(ROW(Management!$B$3:$B$50)-ROW(Management!$B$3)+1)/((IF(Management!$C$3:$C$50="Unlimited",10^15,Management!$C$3:$C$50))&gt;='1'!$I119),COLUMN(H118))),"")</f>
        <v/>
      </c>
      <c r="I119" t="str">
        <f>IFERROR(INDEX(Management!$B$3:$B$50,_xlfn.AGGREGATE(15,6,(ROW(Management!$B$3:$B$50)-ROW(Management!$B$3)+1)/((IF(Management!$C$3:$C$50="Unlimited",10^15,Management!$C$3:$C$50))&gt;='1'!$I119),COLUMN(I118))),"")</f>
        <v/>
      </c>
      <c r="J119" t="str">
        <f>IFERROR(INDEX(Management!$B$3:$B$50,_xlfn.AGGREGATE(15,6,(ROW(Management!$B$3:$B$50)-ROW(Management!$B$3)+1)/((IF(Management!$C$3:$C$50="Unlimited",10^15,Management!$C$3:$C$50))&gt;='1'!$I119),COLUMN(J118))),"")</f>
        <v/>
      </c>
      <c r="K119" t="str">
        <f>IFERROR(INDEX(Management!$B$3:$B$50,_xlfn.AGGREGATE(15,6,(ROW(Management!$B$3:$B$50)-ROW(Management!$B$3)+1)/((IF(Management!$C$3:$C$50="Unlimited",10^15,Management!$C$3:$C$50))&gt;='1'!$I119),COLUMN(K118))),"")</f>
        <v/>
      </c>
      <c r="L119" t="str">
        <f>IFERROR(INDEX(Management!$B$3:$B$50,_xlfn.AGGREGATE(15,6,(ROW(Management!$B$3:$B$50)-ROW(Management!$B$3)+1)/((IF(Management!$C$3:$C$50="Unlimited",10^15,Management!$C$3:$C$50))&gt;='1'!$I119),COLUMN(L118))),"")</f>
        <v/>
      </c>
      <c r="M119" t="str">
        <f>IFERROR(INDEX(Management!$B$3:$B$50,_xlfn.AGGREGATE(15,6,(ROW(Management!$B$3:$B$50)-ROW(Management!$B$3)+1)/((IF(Management!$C$3:$C$50="Unlimited",10^15,Management!$C$3:$C$50))&gt;='1'!$I119),COLUMN(M118))),"")</f>
        <v/>
      </c>
      <c r="N119" t="str">
        <f>IFERROR(INDEX(Management!$B$3:$B$50,_xlfn.AGGREGATE(15,6,(ROW(Management!$B$3:$B$50)-ROW(Management!$B$3)+1)/((IF(Management!$C$3:$C$50="Unlimited",10^15,Management!$C$3:$C$50))&gt;='1'!$I119),COLUMN(N118))),"")</f>
        <v/>
      </c>
      <c r="O119" t="str">
        <f>IFERROR(INDEX(Management!$B$3:$B$50,_xlfn.AGGREGATE(15,6,(ROW(Management!$B$3:$B$50)-ROW(Management!$B$3)+1)/((IF(Management!$C$3:$C$50="Unlimited",10^15,Management!$C$3:$C$50))&gt;='1'!$I119),COLUMN(O118))),"")</f>
        <v/>
      </c>
      <c r="P119" t="str">
        <f>IFERROR(INDEX(Management!$B$3:$B$50,_xlfn.AGGREGATE(15,6,(ROW(Management!$B$3:$B$50)-ROW(Management!$B$3)+1)/((IF(Management!$C$3:$C$50="Unlimited",10^15,Management!$C$3:$C$50))&gt;='1'!$I119),COLUMN(P118))),"")</f>
        <v/>
      </c>
      <c r="Q119" t="str">
        <f>IFERROR(INDEX(Management!$B$3:$B$50,_xlfn.AGGREGATE(15,6,(ROW(Management!$B$3:$B$50)-ROW(Management!$B$3)+1)/((IF(Management!$C$3:$C$50="Unlimited",10^15,Management!$C$3:$C$50))&gt;='1'!$I119),COLUMN(Q118))),"")</f>
        <v/>
      </c>
      <c r="R119" t="str">
        <f>IFERROR(INDEX(Management!$B$3:$B$50,_xlfn.AGGREGATE(15,6,(ROW(Management!$B$3:$B$50)-ROW(Management!$B$3)+1)/((IF(Management!$C$3:$C$50="Unlimited",10^15,Management!$C$3:$C$50))&gt;='1'!$I119),COLUMN(R118))),"")</f>
        <v/>
      </c>
      <c r="S119" t="str">
        <f>IFERROR(INDEX(Management!$B$3:$B$50,_xlfn.AGGREGATE(15,6,(ROW(Management!$B$3:$B$50)-ROW(Management!$B$3)+1)/((IF(Management!$C$3:$C$50="Unlimited",10^15,Management!$C$3:$C$50))&gt;='1'!$I119),COLUMN(S118))),"")</f>
        <v/>
      </c>
      <c r="T119" t="str">
        <f>IFERROR(INDEX(Management!$B$3:$B$50,_xlfn.AGGREGATE(15,6,(ROW(Management!$B$3:$B$50)-ROW(Management!$B$3)+1)/((IF(Management!$C$3:$C$50="Unlimited",10^15,Management!$C$3:$C$50))&gt;='1'!$I119),COLUMN(T118))),"")</f>
        <v/>
      </c>
    </row>
    <row r="120" spans="1:20">
      <c r="A120" t="str">
        <f>IFERROR(INDEX(Management!$B$3:$B$50,_xlfn.AGGREGATE(15,6,(ROW(Management!$B$3:$B$50)-ROW(Management!$B$3)+1)/((IF(Management!$C$3:$C$50="Unlimited",10^15,Management!$C$3:$C$50))&gt;='1'!$I120),COLUMN(A119))),"")</f>
        <v/>
      </c>
      <c r="B120" t="str">
        <f>IFERROR(INDEX(Management!$B$3:$B$50,_xlfn.AGGREGATE(15,6,(ROW(Management!$B$3:$B$50)-ROW(Management!$B$3)+1)/((IF(Management!$C$3:$C$50="Unlimited",10^15,Management!$C$3:$C$50))&gt;='1'!$I120),COLUMN(B119))),"")</f>
        <v/>
      </c>
      <c r="C120" t="str">
        <f>IFERROR(INDEX(Management!$B$3:$B$50,_xlfn.AGGREGATE(15,6,(ROW(Management!$B$3:$B$50)-ROW(Management!$B$3)+1)/((IF(Management!$C$3:$C$50="Unlimited",10^15,Management!$C$3:$C$50))&gt;='1'!$I120),COLUMN(C119))),"")</f>
        <v/>
      </c>
      <c r="D120" t="str">
        <f>IFERROR(INDEX(Management!$B$3:$B$50,_xlfn.AGGREGATE(15,6,(ROW(Management!$B$3:$B$50)-ROW(Management!$B$3)+1)/((IF(Management!$C$3:$C$50="Unlimited",10^15,Management!$C$3:$C$50))&gt;='1'!$I120),COLUMN(D119))),"")</f>
        <v/>
      </c>
      <c r="E120" t="str">
        <f>IFERROR(INDEX(Management!$B$3:$B$50,_xlfn.AGGREGATE(15,6,(ROW(Management!$B$3:$B$50)-ROW(Management!$B$3)+1)/((IF(Management!$C$3:$C$50="Unlimited",10^15,Management!$C$3:$C$50))&gt;='1'!$I120),COLUMN(E119))),"")</f>
        <v/>
      </c>
      <c r="F120" t="str">
        <f>IFERROR(INDEX(Management!$B$3:$B$50,_xlfn.AGGREGATE(15,6,(ROW(Management!$B$3:$B$50)-ROW(Management!$B$3)+1)/((IF(Management!$C$3:$C$50="Unlimited",10^15,Management!$C$3:$C$50))&gt;='1'!$I120),COLUMN(F119))),"")</f>
        <v/>
      </c>
      <c r="G120" t="str">
        <f>IFERROR(INDEX(Management!$B$3:$B$50,_xlfn.AGGREGATE(15,6,(ROW(Management!$B$3:$B$50)-ROW(Management!$B$3)+1)/((IF(Management!$C$3:$C$50="Unlimited",10^15,Management!$C$3:$C$50))&gt;='1'!$I120),COLUMN(G119))),"")</f>
        <v/>
      </c>
      <c r="H120" t="str">
        <f>IFERROR(INDEX(Management!$B$3:$B$50,_xlfn.AGGREGATE(15,6,(ROW(Management!$B$3:$B$50)-ROW(Management!$B$3)+1)/((IF(Management!$C$3:$C$50="Unlimited",10^15,Management!$C$3:$C$50))&gt;='1'!$I120),COLUMN(H119))),"")</f>
        <v/>
      </c>
      <c r="I120" t="str">
        <f>IFERROR(INDEX(Management!$B$3:$B$50,_xlfn.AGGREGATE(15,6,(ROW(Management!$B$3:$B$50)-ROW(Management!$B$3)+1)/((IF(Management!$C$3:$C$50="Unlimited",10^15,Management!$C$3:$C$50))&gt;='1'!$I120),COLUMN(I119))),"")</f>
        <v/>
      </c>
      <c r="J120" t="str">
        <f>IFERROR(INDEX(Management!$B$3:$B$50,_xlfn.AGGREGATE(15,6,(ROW(Management!$B$3:$B$50)-ROW(Management!$B$3)+1)/((IF(Management!$C$3:$C$50="Unlimited",10^15,Management!$C$3:$C$50))&gt;='1'!$I120),COLUMN(J119))),"")</f>
        <v/>
      </c>
      <c r="K120" t="str">
        <f>IFERROR(INDEX(Management!$B$3:$B$50,_xlfn.AGGREGATE(15,6,(ROW(Management!$B$3:$B$50)-ROW(Management!$B$3)+1)/((IF(Management!$C$3:$C$50="Unlimited",10^15,Management!$C$3:$C$50))&gt;='1'!$I120),COLUMN(K119))),"")</f>
        <v/>
      </c>
      <c r="L120" t="str">
        <f>IFERROR(INDEX(Management!$B$3:$B$50,_xlfn.AGGREGATE(15,6,(ROW(Management!$B$3:$B$50)-ROW(Management!$B$3)+1)/((IF(Management!$C$3:$C$50="Unlimited",10^15,Management!$C$3:$C$50))&gt;='1'!$I120),COLUMN(L119))),"")</f>
        <v/>
      </c>
      <c r="M120" t="str">
        <f>IFERROR(INDEX(Management!$B$3:$B$50,_xlfn.AGGREGATE(15,6,(ROW(Management!$B$3:$B$50)-ROW(Management!$B$3)+1)/((IF(Management!$C$3:$C$50="Unlimited",10^15,Management!$C$3:$C$50))&gt;='1'!$I120),COLUMN(M119))),"")</f>
        <v/>
      </c>
      <c r="N120" t="str">
        <f>IFERROR(INDEX(Management!$B$3:$B$50,_xlfn.AGGREGATE(15,6,(ROW(Management!$B$3:$B$50)-ROW(Management!$B$3)+1)/((IF(Management!$C$3:$C$50="Unlimited",10^15,Management!$C$3:$C$50))&gt;='1'!$I120),COLUMN(N119))),"")</f>
        <v/>
      </c>
      <c r="O120" t="str">
        <f>IFERROR(INDEX(Management!$B$3:$B$50,_xlfn.AGGREGATE(15,6,(ROW(Management!$B$3:$B$50)-ROW(Management!$B$3)+1)/((IF(Management!$C$3:$C$50="Unlimited",10^15,Management!$C$3:$C$50))&gt;='1'!$I120),COLUMN(O119))),"")</f>
        <v/>
      </c>
      <c r="P120" t="str">
        <f>IFERROR(INDEX(Management!$B$3:$B$50,_xlfn.AGGREGATE(15,6,(ROW(Management!$B$3:$B$50)-ROW(Management!$B$3)+1)/((IF(Management!$C$3:$C$50="Unlimited",10^15,Management!$C$3:$C$50))&gt;='1'!$I120),COLUMN(P119))),"")</f>
        <v/>
      </c>
      <c r="Q120" t="str">
        <f>IFERROR(INDEX(Management!$B$3:$B$50,_xlfn.AGGREGATE(15,6,(ROW(Management!$B$3:$B$50)-ROW(Management!$B$3)+1)/((IF(Management!$C$3:$C$50="Unlimited",10^15,Management!$C$3:$C$50))&gt;='1'!$I120),COLUMN(Q119))),"")</f>
        <v/>
      </c>
      <c r="R120" t="str">
        <f>IFERROR(INDEX(Management!$B$3:$B$50,_xlfn.AGGREGATE(15,6,(ROW(Management!$B$3:$B$50)-ROW(Management!$B$3)+1)/((IF(Management!$C$3:$C$50="Unlimited",10^15,Management!$C$3:$C$50))&gt;='1'!$I120),COLUMN(R119))),"")</f>
        <v/>
      </c>
      <c r="S120" t="str">
        <f>IFERROR(INDEX(Management!$B$3:$B$50,_xlfn.AGGREGATE(15,6,(ROW(Management!$B$3:$B$50)-ROW(Management!$B$3)+1)/((IF(Management!$C$3:$C$50="Unlimited",10^15,Management!$C$3:$C$50))&gt;='1'!$I120),COLUMN(S119))),"")</f>
        <v/>
      </c>
      <c r="T120" t="str">
        <f>IFERROR(INDEX(Management!$B$3:$B$50,_xlfn.AGGREGATE(15,6,(ROW(Management!$B$3:$B$50)-ROW(Management!$B$3)+1)/((IF(Management!$C$3:$C$50="Unlimited",10^15,Management!$C$3:$C$50))&gt;='1'!$I120),COLUMN(T119))),"")</f>
        <v/>
      </c>
    </row>
    <row r="121" spans="1:20">
      <c r="A121" t="str">
        <f>IFERROR(INDEX(Management!$B$3:$B$50,_xlfn.AGGREGATE(15,6,(ROW(Management!$B$3:$B$50)-ROW(Management!$B$3)+1)/((IF(Management!$C$3:$C$50="Unlimited",10^15,Management!$C$3:$C$50))&gt;='1'!$I121),COLUMN(A120))),"")</f>
        <v/>
      </c>
      <c r="B121" t="str">
        <f>IFERROR(INDEX(Management!$B$3:$B$50,_xlfn.AGGREGATE(15,6,(ROW(Management!$B$3:$B$50)-ROW(Management!$B$3)+1)/((IF(Management!$C$3:$C$50="Unlimited",10^15,Management!$C$3:$C$50))&gt;='1'!$I121),COLUMN(B120))),"")</f>
        <v/>
      </c>
      <c r="C121" t="str">
        <f>IFERROR(INDEX(Management!$B$3:$B$50,_xlfn.AGGREGATE(15,6,(ROW(Management!$B$3:$B$50)-ROW(Management!$B$3)+1)/((IF(Management!$C$3:$C$50="Unlimited",10^15,Management!$C$3:$C$50))&gt;='1'!$I121),COLUMN(C120))),"")</f>
        <v/>
      </c>
      <c r="D121" t="str">
        <f>IFERROR(INDEX(Management!$B$3:$B$50,_xlfn.AGGREGATE(15,6,(ROW(Management!$B$3:$B$50)-ROW(Management!$B$3)+1)/((IF(Management!$C$3:$C$50="Unlimited",10^15,Management!$C$3:$C$50))&gt;='1'!$I121),COLUMN(D120))),"")</f>
        <v/>
      </c>
      <c r="E121" t="str">
        <f>IFERROR(INDEX(Management!$B$3:$B$50,_xlfn.AGGREGATE(15,6,(ROW(Management!$B$3:$B$50)-ROW(Management!$B$3)+1)/((IF(Management!$C$3:$C$50="Unlimited",10^15,Management!$C$3:$C$50))&gt;='1'!$I121),COLUMN(E120))),"")</f>
        <v/>
      </c>
      <c r="F121" t="str">
        <f>IFERROR(INDEX(Management!$B$3:$B$50,_xlfn.AGGREGATE(15,6,(ROW(Management!$B$3:$B$50)-ROW(Management!$B$3)+1)/((IF(Management!$C$3:$C$50="Unlimited",10^15,Management!$C$3:$C$50))&gt;='1'!$I121),COLUMN(F120))),"")</f>
        <v/>
      </c>
      <c r="G121" t="str">
        <f>IFERROR(INDEX(Management!$B$3:$B$50,_xlfn.AGGREGATE(15,6,(ROW(Management!$B$3:$B$50)-ROW(Management!$B$3)+1)/((IF(Management!$C$3:$C$50="Unlimited",10^15,Management!$C$3:$C$50))&gt;='1'!$I121),COLUMN(G120))),"")</f>
        <v/>
      </c>
      <c r="H121" t="str">
        <f>IFERROR(INDEX(Management!$B$3:$B$50,_xlfn.AGGREGATE(15,6,(ROW(Management!$B$3:$B$50)-ROW(Management!$B$3)+1)/((IF(Management!$C$3:$C$50="Unlimited",10^15,Management!$C$3:$C$50))&gt;='1'!$I121),COLUMN(H120))),"")</f>
        <v/>
      </c>
      <c r="I121" t="str">
        <f>IFERROR(INDEX(Management!$B$3:$B$50,_xlfn.AGGREGATE(15,6,(ROW(Management!$B$3:$B$50)-ROW(Management!$B$3)+1)/((IF(Management!$C$3:$C$50="Unlimited",10^15,Management!$C$3:$C$50))&gt;='1'!$I121),COLUMN(I120))),"")</f>
        <v/>
      </c>
      <c r="J121" t="str">
        <f>IFERROR(INDEX(Management!$B$3:$B$50,_xlfn.AGGREGATE(15,6,(ROW(Management!$B$3:$B$50)-ROW(Management!$B$3)+1)/((IF(Management!$C$3:$C$50="Unlimited",10^15,Management!$C$3:$C$50))&gt;='1'!$I121),COLUMN(J120))),"")</f>
        <v/>
      </c>
      <c r="K121" t="str">
        <f>IFERROR(INDEX(Management!$B$3:$B$50,_xlfn.AGGREGATE(15,6,(ROW(Management!$B$3:$B$50)-ROW(Management!$B$3)+1)/((IF(Management!$C$3:$C$50="Unlimited",10^15,Management!$C$3:$C$50))&gt;='1'!$I121),COLUMN(K120))),"")</f>
        <v/>
      </c>
      <c r="L121" t="str">
        <f>IFERROR(INDEX(Management!$B$3:$B$50,_xlfn.AGGREGATE(15,6,(ROW(Management!$B$3:$B$50)-ROW(Management!$B$3)+1)/((IF(Management!$C$3:$C$50="Unlimited",10^15,Management!$C$3:$C$50))&gt;='1'!$I121),COLUMN(L120))),"")</f>
        <v/>
      </c>
      <c r="M121" t="str">
        <f>IFERROR(INDEX(Management!$B$3:$B$50,_xlfn.AGGREGATE(15,6,(ROW(Management!$B$3:$B$50)-ROW(Management!$B$3)+1)/((IF(Management!$C$3:$C$50="Unlimited",10^15,Management!$C$3:$C$50))&gt;='1'!$I121),COLUMN(M120))),"")</f>
        <v/>
      </c>
      <c r="N121" t="str">
        <f>IFERROR(INDEX(Management!$B$3:$B$50,_xlfn.AGGREGATE(15,6,(ROW(Management!$B$3:$B$50)-ROW(Management!$B$3)+1)/((IF(Management!$C$3:$C$50="Unlimited",10^15,Management!$C$3:$C$50))&gt;='1'!$I121),COLUMN(N120))),"")</f>
        <v/>
      </c>
      <c r="O121" t="str">
        <f>IFERROR(INDEX(Management!$B$3:$B$50,_xlfn.AGGREGATE(15,6,(ROW(Management!$B$3:$B$50)-ROW(Management!$B$3)+1)/((IF(Management!$C$3:$C$50="Unlimited",10^15,Management!$C$3:$C$50))&gt;='1'!$I121),COLUMN(O120))),"")</f>
        <v/>
      </c>
      <c r="P121" t="str">
        <f>IFERROR(INDEX(Management!$B$3:$B$50,_xlfn.AGGREGATE(15,6,(ROW(Management!$B$3:$B$50)-ROW(Management!$B$3)+1)/((IF(Management!$C$3:$C$50="Unlimited",10^15,Management!$C$3:$C$50))&gt;='1'!$I121),COLUMN(P120))),"")</f>
        <v/>
      </c>
      <c r="Q121" t="str">
        <f>IFERROR(INDEX(Management!$B$3:$B$50,_xlfn.AGGREGATE(15,6,(ROW(Management!$B$3:$B$50)-ROW(Management!$B$3)+1)/((IF(Management!$C$3:$C$50="Unlimited",10^15,Management!$C$3:$C$50))&gt;='1'!$I121),COLUMN(Q120))),"")</f>
        <v/>
      </c>
      <c r="R121" t="str">
        <f>IFERROR(INDEX(Management!$B$3:$B$50,_xlfn.AGGREGATE(15,6,(ROW(Management!$B$3:$B$50)-ROW(Management!$B$3)+1)/((IF(Management!$C$3:$C$50="Unlimited",10^15,Management!$C$3:$C$50))&gt;='1'!$I121),COLUMN(R120))),"")</f>
        <v/>
      </c>
      <c r="S121" t="str">
        <f>IFERROR(INDEX(Management!$B$3:$B$50,_xlfn.AGGREGATE(15,6,(ROW(Management!$B$3:$B$50)-ROW(Management!$B$3)+1)/((IF(Management!$C$3:$C$50="Unlimited",10^15,Management!$C$3:$C$50))&gt;='1'!$I121),COLUMN(S120))),"")</f>
        <v/>
      </c>
      <c r="T121" t="str">
        <f>IFERROR(INDEX(Management!$B$3:$B$50,_xlfn.AGGREGATE(15,6,(ROW(Management!$B$3:$B$50)-ROW(Management!$B$3)+1)/((IF(Management!$C$3:$C$50="Unlimited",10^15,Management!$C$3:$C$50))&gt;='1'!$I121),COLUMN(T120))),"")</f>
        <v/>
      </c>
    </row>
    <row r="122" spans="1:20">
      <c r="A122" t="str">
        <f>IFERROR(INDEX(Management!$B$3:$B$50,_xlfn.AGGREGATE(15,6,(ROW(Management!$B$3:$B$50)-ROW(Management!$B$3)+1)/((IF(Management!$C$3:$C$50="Unlimited",10^15,Management!$C$3:$C$50))&gt;='1'!$I122),COLUMN(A121))),"")</f>
        <v/>
      </c>
      <c r="B122" t="str">
        <f>IFERROR(INDEX(Management!$B$3:$B$50,_xlfn.AGGREGATE(15,6,(ROW(Management!$B$3:$B$50)-ROW(Management!$B$3)+1)/((IF(Management!$C$3:$C$50="Unlimited",10^15,Management!$C$3:$C$50))&gt;='1'!$I122),COLUMN(B121))),"")</f>
        <v/>
      </c>
      <c r="C122" t="str">
        <f>IFERROR(INDEX(Management!$B$3:$B$50,_xlfn.AGGREGATE(15,6,(ROW(Management!$B$3:$B$50)-ROW(Management!$B$3)+1)/((IF(Management!$C$3:$C$50="Unlimited",10^15,Management!$C$3:$C$50))&gt;='1'!$I122),COLUMN(C121))),"")</f>
        <v/>
      </c>
      <c r="D122" t="str">
        <f>IFERROR(INDEX(Management!$B$3:$B$50,_xlfn.AGGREGATE(15,6,(ROW(Management!$B$3:$B$50)-ROW(Management!$B$3)+1)/((IF(Management!$C$3:$C$50="Unlimited",10^15,Management!$C$3:$C$50))&gt;='1'!$I122),COLUMN(D121))),"")</f>
        <v/>
      </c>
      <c r="E122" t="str">
        <f>IFERROR(INDEX(Management!$B$3:$B$50,_xlfn.AGGREGATE(15,6,(ROW(Management!$B$3:$B$50)-ROW(Management!$B$3)+1)/((IF(Management!$C$3:$C$50="Unlimited",10^15,Management!$C$3:$C$50))&gt;='1'!$I122),COLUMN(E121))),"")</f>
        <v/>
      </c>
      <c r="F122" t="str">
        <f>IFERROR(INDEX(Management!$B$3:$B$50,_xlfn.AGGREGATE(15,6,(ROW(Management!$B$3:$B$50)-ROW(Management!$B$3)+1)/((IF(Management!$C$3:$C$50="Unlimited",10^15,Management!$C$3:$C$50))&gt;='1'!$I122),COLUMN(F121))),"")</f>
        <v/>
      </c>
      <c r="G122" t="str">
        <f>IFERROR(INDEX(Management!$B$3:$B$50,_xlfn.AGGREGATE(15,6,(ROW(Management!$B$3:$B$50)-ROW(Management!$B$3)+1)/((IF(Management!$C$3:$C$50="Unlimited",10^15,Management!$C$3:$C$50))&gt;='1'!$I122),COLUMN(G121))),"")</f>
        <v/>
      </c>
      <c r="H122" t="str">
        <f>IFERROR(INDEX(Management!$B$3:$B$50,_xlfn.AGGREGATE(15,6,(ROW(Management!$B$3:$B$50)-ROW(Management!$B$3)+1)/((IF(Management!$C$3:$C$50="Unlimited",10^15,Management!$C$3:$C$50))&gt;='1'!$I122),COLUMN(H121))),"")</f>
        <v/>
      </c>
      <c r="I122" t="str">
        <f>IFERROR(INDEX(Management!$B$3:$B$50,_xlfn.AGGREGATE(15,6,(ROW(Management!$B$3:$B$50)-ROW(Management!$B$3)+1)/((IF(Management!$C$3:$C$50="Unlimited",10^15,Management!$C$3:$C$50))&gt;='1'!$I122),COLUMN(I121))),"")</f>
        <v/>
      </c>
      <c r="J122" t="str">
        <f>IFERROR(INDEX(Management!$B$3:$B$50,_xlfn.AGGREGATE(15,6,(ROW(Management!$B$3:$B$50)-ROW(Management!$B$3)+1)/((IF(Management!$C$3:$C$50="Unlimited",10^15,Management!$C$3:$C$50))&gt;='1'!$I122),COLUMN(J121))),"")</f>
        <v/>
      </c>
      <c r="K122" t="str">
        <f>IFERROR(INDEX(Management!$B$3:$B$50,_xlfn.AGGREGATE(15,6,(ROW(Management!$B$3:$B$50)-ROW(Management!$B$3)+1)/((IF(Management!$C$3:$C$50="Unlimited",10^15,Management!$C$3:$C$50))&gt;='1'!$I122),COLUMN(K121))),"")</f>
        <v/>
      </c>
      <c r="L122" t="str">
        <f>IFERROR(INDEX(Management!$B$3:$B$50,_xlfn.AGGREGATE(15,6,(ROW(Management!$B$3:$B$50)-ROW(Management!$B$3)+1)/((IF(Management!$C$3:$C$50="Unlimited",10^15,Management!$C$3:$C$50))&gt;='1'!$I122),COLUMN(L121))),"")</f>
        <v/>
      </c>
      <c r="M122" t="str">
        <f>IFERROR(INDEX(Management!$B$3:$B$50,_xlfn.AGGREGATE(15,6,(ROW(Management!$B$3:$B$50)-ROW(Management!$B$3)+1)/((IF(Management!$C$3:$C$50="Unlimited",10^15,Management!$C$3:$C$50))&gt;='1'!$I122),COLUMN(M121))),"")</f>
        <v/>
      </c>
      <c r="N122" t="str">
        <f>IFERROR(INDEX(Management!$B$3:$B$50,_xlfn.AGGREGATE(15,6,(ROW(Management!$B$3:$B$50)-ROW(Management!$B$3)+1)/((IF(Management!$C$3:$C$50="Unlimited",10^15,Management!$C$3:$C$50))&gt;='1'!$I122),COLUMN(N121))),"")</f>
        <v/>
      </c>
      <c r="O122" t="str">
        <f>IFERROR(INDEX(Management!$B$3:$B$50,_xlfn.AGGREGATE(15,6,(ROW(Management!$B$3:$B$50)-ROW(Management!$B$3)+1)/((IF(Management!$C$3:$C$50="Unlimited",10^15,Management!$C$3:$C$50))&gt;='1'!$I122),COLUMN(O121))),"")</f>
        <v/>
      </c>
      <c r="P122" t="str">
        <f>IFERROR(INDEX(Management!$B$3:$B$50,_xlfn.AGGREGATE(15,6,(ROW(Management!$B$3:$B$50)-ROW(Management!$B$3)+1)/((IF(Management!$C$3:$C$50="Unlimited",10^15,Management!$C$3:$C$50))&gt;='1'!$I122),COLUMN(P121))),"")</f>
        <v/>
      </c>
      <c r="Q122" t="str">
        <f>IFERROR(INDEX(Management!$B$3:$B$50,_xlfn.AGGREGATE(15,6,(ROW(Management!$B$3:$B$50)-ROW(Management!$B$3)+1)/((IF(Management!$C$3:$C$50="Unlimited",10^15,Management!$C$3:$C$50))&gt;='1'!$I122),COLUMN(Q121))),"")</f>
        <v/>
      </c>
      <c r="R122" t="str">
        <f>IFERROR(INDEX(Management!$B$3:$B$50,_xlfn.AGGREGATE(15,6,(ROW(Management!$B$3:$B$50)-ROW(Management!$B$3)+1)/((IF(Management!$C$3:$C$50="Unlimited",10^15,Management!$C$3:$C$50))&gt;='1'!$I122),COLUMN(R121))),"")</f>
        <v/>
      </c>
      <c r="S122" t="str">
        <f>IFERROR(INDEX(Management!$B$3:$B$50,_xlfn.AGGREGATE(15,6,(ROW(Management!$B$3:$B$50)-ROW(Management!$B$3)+1)/((IF(Management!$C$3:$C$50="Unlimited",10^15,Management!$C$3:$C$50))&gt;='1'!$I122),COLUMN(S121))),"")</f>
        <v/>
      </c>
      <c r="T122" t="str">
        <f>IFERROR(INDEX(Management!$B$3:$B$50,_xlfn.AGGREGATE(15,6,(ROW(Management!$B$3:$B$50)-ROW(Management!$B$3)+1)/((IF(Management!$C$3:$C$50="Unlimited",10^15,Management!$C$3:$C$50))&gt;='1'!$I122),COLUMN(T121))),"")</f>
        <v/>
      </c>
    </row>
    <row r="123" spans="1:20">
      <c r="A123" t="str">
        <f>IFERROR(INDEX(Management!$B$3:$B$50,_xlfn.AGGREGATE(15,6,(ROW(Management!$B$3:$B$50)-ROW(Management!$B$3)+1)/((IF(Management!$C$3:$C$50="Unlimited",10^15,Management!$C$3:$C$50))&gt;='1'!$I123),COLUMN(A122))),"")</f>
        <v/>
      </c>
      <c r="B123" t="str">
        <f>IFERROR(INDEX(Management!$B$3:$B$50,_xlfn.AGGREGATE(15,6,(ROW(Management!$B$3:$B$50)-ROW(Management!$B$3)+1)/((IF(Management!$C$3:$C$50="Unlimited",10^15,Management!$C$3:$C$50))&gt;='1'!$I123),COLUMN(B122))),"")</f>
        <v/>
      </c>
      <c r="C123" t="str">
        <f>IFERROR(INDEX(Management!$B$3:$B$50,_xlfn.AGGREGATE(15,6,(ROW(Management!$B$3:$B$50)-ROW(Management!$B$3)+1)/((IF(Management!$C$3:$C$50="Unlimited",10^15,Management!$C$3:$C$50))&gt;='1'!$I123),COLUMN(C122))),"")</f>
        <v/>
      </c>
      <c r="D123" t="str">
        <f>IFERROR(INDEX(Management!$B$3:$B$50,_xlfn.AGGREGATE(15,6,(ROW(Management!$B$3:$B$50)-ROW(Management!$B$3)+1)/((IF(Management!$C$3:$C$50="Unlimited",10^15,Management!$C$3:$C$50))&gt;='1'!$I123),COLUMN(D122))),"")</f>
        <v/>
      </c>
      <c r="E123" t="str">
        <f>IFERROR(INDEX(Management!$B$3:$B$50,_xlfn.AGGREGATE(15,6,(ROW(Management!$B$3:$B$50)-ROW(Management!$B$3)+1)/((IF(Management!$C$3:$C$50="Unlimited",10^15,Management!$C$3:$C$50))&gt;='1'!$I123),COLUMN(E122))),"")</f>
        <v/>
      </c>
      <c r="F123" t="str">
        <f>IFERROR(INDEX(Management!$B$3:$B$50,_xlfn.AGGREGATE(15,6,(ROW(Management!$B$3:$B$50)-ROW(Management!$B$3)+1)/((IF(Management!$C$3:$C$50="Unlimited",10^15,Management!$C$3:$C$50))&gt;='1'!$I123),COLUMN(F122))),"")</f>
        <v/>
      </c>
      <c r="G123" t="str">
        <f>IFERROR(INDEX(Management!$B$3:$B$50,_xlfn.AGGREGATE(15,6,(ROW(Management!$B$3:$B$50)-ROW(Management!$B$3)+1)/((IF(Management!$C$3:$C$50="Unlimited",10^15,Management!$C$3:$C$50))&gt;='1'!$I123),COLUMN(G122))),"")</f>
        <v/>
      </c>
      <c r="H123" t="str">
        <f>IFERROR(INDEX(Management!$B$3:$B$50,_xlfn.AGGREGATE(15,6,(ROW(Management!$B$3:$B$50)-ROW(Management!$B$3)+1)/((IF(Management!$C$3:$C$50="Unlimited",10^15,Management!$C$3:$C$50))&gt;='1'!$I123),COLUMN(H122))),"")</f>
        <v/>
      </c>
      <c r="I123" t="str">
        <f>IFERROR(INDEX(Management!$B$3:$B$50,_xlfn.AGGREGATE(15,6,(ROW(Management!$B$3:$B$50)-ROW(Management!$B$3)+1)/((IF(Management!$C$3:$C$50="Unlimited",10^15,Management!$C$3:$C$50))&gt;='1'!$I123),COLUMN(I122))),"")</f>
        <v/>
      </c>
      <c r="J123" t="str">
        <f>IFERROR(INDEX(Management!$B$3:$B$50,_xlfn.AGGREGATE(15,6,(ROW(Management!$B$3:$B$50)-ROW(Management!$B$3)+1)/((IF(Management!$C$3:$C$50="Unlimited",10^15,Management!$C$3:$C$50))&gt;='1'!$I123),COLUMN(J122))),"")</f>
        <v/>
      </c>
      <c r="K123" t="str">
        <f>IFERROR(INDEX(Management!$B$3:$B$50,_xlfn.AGGREGATE(15,6,(ROW(Management!$B$3:$B$50)-ROW(Management!$B$3)+1)/((IF(Management!$C$3:$C$50="Unlimited",10^15,Management!$C$3:$C$50))&gt;='1'!$I123),COLUMN(K122))),"")</f>
        <v/>
      </c>
      <c r="L123" t="str">
        <f>IFERROR(INDEX(Management!$B$3:$B$50,_xlfn.AGGREGATE(15,6,(ROW(Management!$B$3:$B$50)-ROW(Management!$B$3)+1)/((IF(Management!$C$3:$C$50="Unlimited",10^15,Management!$C$3:$C$50))&gt;='1'!$I123),COLUMN(L122))),"")</f>
        <v/>
      </c>
      <c r="M123" t="str">
        <f>IFERROR(INDEX(Management!$B$3:$B$50,_xlfn.AGGREGATE(15,6,(ROW(Management!$B$3:$B$50)-ROW(Management!$B$3)+1)/((IF(Management!$C$3:$C$50="Unlimited",10^15,Management!$C$3:$C$50))&gt;='1'!$I123),COLUMN(M122))),"")</f>
        <v/>
      </c>
      <c r="N123" t="str">
        <f>IFERROR(INDEX(Management!$B$3:$B$50,_xlfn.AGGREGATE(15,6,(ROW(Management!$B$3:$B$50)-ROW(Management!$B$3)+1)/((IF(Management!$C$3:$C$50="Unlimited",10^15,Management!$C$3:$C$50))&gt;='1'!$I123),COLUMN(N122))),"")</f>
        <v/>
      </c>
      <c r="O123" t="str">
        <f>IFERROR(INDEX(Management!$B$3:$B$50,_xlfn.AGGREGATE(15,6,(ROW(Management!$B$3:$B$50)-ROW(Management!$B$3)+1)/((IF(Management!$C$3:$C$50="Unlimited",10^15,Management!$C$3:$C$50))&gt;='1'!$I123),COLUMN(O122))),"")</f>
        <v/>
      </c>
      <c r="P123" t="str">
        <f>IFERROR(INDEX(Management!$B$3:$B$50,_xlfn.AGGREGATE(15,6,(ROW(Management!$B$3:$B$50)-ROW(Management!$B$3)+1)/((IF(Management!$C$3:$C$50="Unlimited",10^15,Management!$C$3:$C$50))&gt;='1'!$I123),COLUMN(P122))),"")</f>
        <v/>
      </c>
      <c r="Q123" t="str">
        <f>IFERROR(INDEX(Management!$B$3:$B$50,_xlfn.AGGREGATE(15,6,(ROW(Management!$B$3:$B$50)-ROW(Management!$B$3)+1)/((IF(Management!$C$3:$C$50="Unlimited",10^15,Management!$C$3:$C$50))&gt;='1'!$I123),COLUMN(Q122))),"")</f>
        <v/>
      </c>
      <c r="R123" t="str">
        <f>IFERROR(INDEX(Management!$B$3:$B$50,_xlfn.AGGREGATE(15,6,(ROW(Management!$B$3:$B$50)-ROW(Management!$B$3)+1)/((IF(Management!$C$3:$C$50="Unlimited",10^15,Management!$C$3:$C$50))&gt;='1'!$I123),COLUMN(R122))),"")</f>
        <v/>
      </c>
      <c r="S123" t="str">
        <f>IFERROR(INDEX(Management!$B$3:$B$50,_xlfn.AGGREGATE(15,6,(ROW(Management!$B$3:$B$50)-ROW(Management!$B$3)+1)/((IF(Management!$C$3:$C$50="Unlimited",10^15,Management!$C$3:$C$50))&gt;='1'!$I123),COLUMN(S122))),"")</f>
        <v/>
      </c>
      <c r="T123" t="str">
        <f>IFERROR(INDEX(Management!$B$3:$B$50,_xlfn.AGGREGATE(15,6,(ROW(Management!$B$3:$B$50)-ROW(Management!$B$3)+1)/((IF(Management!$C$3:$C$50="Unlimited",10^15,Management!$C$3:$C$50))&gt;='1'!$I123),COLUMN(T122))),"")</f>
        <v/>
      </c>
    </row>
    <row r="124" spans="1:20">
      <c r="A124" t="str">
        <f>IFERROR(INDEX(Management!$B$3:$B$50,_xlfn.AGGREGATE(15,6,(ROW(Management!$B$3:$B$50)-ROW(Management!$B$3)+1)/((IF(Management!$C$3:$C$50="Unlimited",10^15,Management!$C$3:$C$50))&gt;='1'!$I124),COLUMN(A123))),"")</f>
        <v/>
      </c>
      <c r="B124" t="str">
        <f>IFERROR(INDEX(Management!$B$3:$B$50,_xlfn.AGGREGATE(15,6,(ROW(Management!$B$3:$B$50)-ROW(Management!$B$3)+1)/((IF(Management!$C$3:$C$50="Unlimited",10^15,Management!$C$3:$C$50))&gt;='1'!$I124),COLUMN(B123))),"")</f>
        <v/>
      </c>
      <c r="C124" t="str">
        <f>IFERROR(INDEX(Management!$B$3:$B$50,_xlfn.AGGREGATE(15,6,(ROW(Management!$B$3:$B$50)-ROW(Management!$B$3)+1)/((IF(Management!$C$3:$C$50="Unlimited",10^15,Management!$C$3:$C$50))&gt;='1'!$I124),COLUMN(C123))),"")</f>
        <v/>
      </c>
      <c r="D124" t="str">
        <f>IFERROR(INDEX(Management!$B$3:$B$50,_xlfn.AGGREGATE(15,6,(ROW(Management!$B$3:$B$50)-ROW(Management!$B$3)+1)/((IF(Management!$C$3:$C$50="Unlimited",10^15,Management!$C$3:$C$50))&gt;='1'!$I124),COLUMN(D123))),"")</f>
        <v/>
      </c>
      <c r="E124" t="str">
        <f>IFERROR(INDEX(Management!$B$3:$B$50,_xlfn.AGGREGATE(15,6,(ROW(Management!$B$3:$B$50)-ROW(Management!$B$3)+1)/((IF(Management!$C$3:$C$50="Unlimited",10^15,Management!$C$3:$C$50))&gt;='1'!$I124),COLUMN(E123))),"")</f>
        <v/>
      </c>
      <c r="F124" t="str">
        <f>IFERROR(INDEX(Management!$B$3:$B$50,_xlfn.AGGREGATE(15,6,(ROW(Management!$B$3:$B$50)-ROW(Management!$B$3)+1)/((IF(Management!$C$3:$C$50="Unlimited",10^15,Management!$C$3:$C$50))&gt;='1'!$I124),COLUMN(F123))),"")</f>
        <v/>
      </c>
      <c r="G124" t="str">
        <f>IFERROR(INDEX(Management!$B$3:$B$50,_xlfn.AGGREGATE(15,6,(ROW(Management!$B$3:$B$50)-ROW(Management!$B$3)+1)/((IF(Management!$C$3:$C$50="Unlimited",10^15,Management!$C$3:$C$50))&gt;='1'!$I124),COLUMN(G123))),"")</f>
        <v/>
      </c>
      <c r="H124" t="str">
        <f>IFERROR(INDEX(Management!$B$3:$B$50,_xlfn.AGGREGATE(15,6,(ROW(Management!$B$3:$B$50)-ROW(Management!$B$3)+1)/((IF(Management!$C$3:$C$50="Unlimited",10^15,Management!$C$3:$C$50))&gt;='1'!$I124),COLUMN(H123))),"")</f>
        <v/>
      </c>
      <c r="I124" t="str">
        <f>IFERROR(INDEX(Management!$B$3:$B$50,_xlfn.AGGREGATE(15,6,(ROW(Management!$B$3:$B$50)-ROW(Management!$B$3)+1)/((IF(Management!$C$3:$C$50="Unlimited",10^15,Management!$C$3:$C$50))&gt;='1'!$I124),COLUMN(I123))),"")</f>
        <v/>
      </c>
      <c r="J124" t="str">
        <f>IFERROR(INDEX(Management!$B$3:$B$50,_xlfn.AGGREGATE(15,6,(ROW(Management!$B$3:$B$50)-ROW(Management!$B$3)+1)/((IF(Management!$C$3:$C$50="Unlimited",10^15,Management!$C$3:$C$50))&gt;='1'!$I124),COLUMN(J123))),"")</f>
        <v/>
      </c>
      <c r="K124" t="str">
        <f>IFERROR(INDEX(Management!$B$3:$B$50,_xlfn.AGGREGATE(15,6,(ROW(Management!$B$3:$B$50)-ROW(Management!$B$3)+1)/((IF(Management!$C$3:$C$50="Unlimited",10^15,Management!$C$3:$C$50))&gt;='1'!$I124),COLUMN(K123))),"")</f>
        <v/>
      </c>
      <c r="L124" t="str">
        <f>IFERROR(INDEX(Management!$B$3:$B$50,_xlfn.AGGREGATE(15,6,(ROW(Management!$B$3:$B$50)-ROW(Management!$B$3)+1)/((IF(Management!$C$3:$C$50="Unlimited",10^15,Management!$C$3:$C$50))&gt;='1'!$I124),COLUMN(L123))),"")</f>
        <v/>
      </c>
      <c r="M124" t="str">
        <f>IFERROR(INDEX(Management!$B$3:$B$50,_xlfn.AGGREGATE(15,6,(ROW(Management!$B$3:$B$50)-ROW(Management!$B$3)+1)/((IF(Management!$C$3:$C$50="Unlimited",10^15,Management!$C$3:$C$50))&gt;='1'!$I124),COLUMN(M123))),"")</f>
        <v/>
      </c>
      <c r="N124" t="str">
        <f>IFERROR(INDEX(Management!$B$3:$B$50,_xlfn.AGGREGATE(15,6,(ROW(Management!$B$3:$B$50)-ROW(Management!$B$3)+1)/((IF(Management!$C$3:$C$50="Unlimited",10^15,Management!$C$3:$C$50))&gt;='1'!$I124),COLUMN(N123))),"")</f>
        <v/>
      </c>
      <c r="O124" t="str">
        <f>IFERROR(INDEX(Management!$B$3:$B$50,_xlfn.AGGREGATE(15,6,(ROW(Management!$B$3:$B$50)-ROW(Management!$B$3)+1)/((IF(Management!$C$3:$C$50="Unlimited",10^15,Management!$C$3:$C$50))&gt;='1'!$I124),COLUMN(O123))),"")</f>
        <v/>
      </c>
      <c r="P124" t="str">
        <f>IFERROR(INDEX(Management!$B$3:$B$50,_xlfn.AGGREGATE(15,6,(ROW(Management!$B$3:$B$50)-ROW(Management!$B$3)+1)/((IF(Management!$C$3:$C$50="Unlimited",10^15,Management!$C$3:$C$50))&gt;='1'!$I124),COLUMN(P123))),"")</f>
        <v/>
      </c>
      <c r="Q124" t="str">
        <f>IFERROR(INDEX(Management!$B$3:$B$50,_xlfn.AGGREGATE(15,6,(ROW(Management!$B$3:$B$50)-ROW(Management!$B$3)+1)/((IF(Management!$C$3:$C$50="Unlimited",10^15,Management!$C$3:$C$50))&gt;='1'!$I124),COLUMN(Q123))),"")</f>
        <v/>
      </c>
      <c r="R124" t="str">
        <f>IFERROR(INDEX(Management!$B$3:$B$50,_xlfn.AGGREGATE(15,6,(ROW(Management!$B$3:$B$50)-ROW(Management!$B$3)+1)/((IF(Management!$C$3:$C$50="Unlimited",10^15,Management!$C$3:$C$50))&gt;='1'!$I124),COLUMN(R123))),"")</f>
        <v/>
      </c>
      <c r="S124" t="str">
        <f>IFERROR(INDEX(Management!$B$3:$B$50,_xlfn.AGGREGATE(15,6,(ROW(Management!$B$3:$B$50)-ROW(Management!$B$3)+1)/((IF(Management!$C$3:$C$50="Unlimited",10^15,Management!$C$3:$C$50))&gt;='1'!$I124),COLUMN(S123))),"")</f>
        <v/>
      </c>
      <c r="T124" t="str">
        <f>IFERROR(INDEX(Management!$B$3:$B$50,_xlfn.AGGREGATE(15,6,(ROW(Management!$B$3:$B$50)-ROW(Management!$B$3)+1)/((IF(Management!$C$3:$C$50="Unlimited",10^15,Management!$C$3:$C$50))&gt;='1'!$I124),COLUMN(T123))),"")</f>
        <v/>
      </c>
    </row>
    <row r="125" spans="1:20">
      <c r="A125" t="str">
        <f>IFERROR(INDEX(Management!$B$3:$B$50,_xlfn.AGGREGATE(15,6,(ROW(Management!$B$3:$B$50)-ROW(Management!$B$3)+1)/((IF(Management!$C$3:$C$50="Unlimited",10^15,Management!$C$3:$C$50))&gt;='1'!$I125),COLUMN(A124))),"")</f>
        <v/>
      </c>
      <c r="B125" t="str">
        <f>IFERROR(INDEX(Management!$B$3:$B$50,_xlfn.AGGREGATE(15,6,(ROW(Management!$B$3:$B$50)-ROW(Management!$B$3)+1)/((IF(Management!$C$3:$C$50="Unlimited",10^15,Management!$C$3:$C$50))&gt;='1'!$I125),COLUMN(B124))),"")</f>
        <v/>
      </c>
      <c r="C125" t="str">
        <f>IFERROR(INDEX(Management!$B$3:$B$50,_xlfn.AGGREGATE(15,6,(ROW(Management!$B$3:$B$50)-ROW(Management!$B$3)+1)/((IF(Management!$C$3:$C$50="Unlimited",10^15,Management!$C$3:$C$50))&gt;='1'!$I125),COLUMN(C124))),"")</f>
        <v/>
      </c>
      <c r="D125" t="str">
        <f>IFERROR(INDEX(Management!$B$3:$B$50,_xlfn.AGGREGATE(15,6,(ROW(Management!$B$3:$B$50)-ROW(Management!$B$3)+1)/((IF(Management!$C$3:$C$50="Unlimited",10^15,Management!$C$3:$C$50))&gt;='1'!$I125),COLUMN(D124))),"")</f>
        <v/>
      </c>
      <c r="E125" t="str">
        <f>IFERROR(INDEX(Management!$B$3:$B$50,_xlfn.AGGREGATE(15,6,(ROW(Management!$B$3:$B$50)-ROW(Management!$B$3)+1)/((IF(Management!$C$3:$C$50="Unlimited",10^15,Management!$C$3:$C$50))&gt;='1'!$I125),COLUMN(E124))),"")</f>
        <v/>
      </c>
      <c r="F125" t="str">
        <f>IFERROR(INDEX(Management!$B$3:$B$50,_xlfn.AGGREGATE(15,6,(ROW(Management!$B$3:$B$50)-ROW(Management!$B$3)+1)/((IF(Management!$C$3:$C$50="Unlimited",10^15,Management!$C$3:$C$50))&gt;='1'!$I125),COLUMN(F124))),"")</f>
        <v/>
      </c>
      <c r="G125" t="str">
        <f>IFERROR(INDEX(Management!$B$3:$B$50,_xlfn.AGGREGATE(15,6,(ROW(Management!$B$3:$B$50)-ROW(Management!$B$3)+1)/((IF(Management!$C$3:$C$50="Unlimited",10^15,Management!$C$3:$C$50))&gt;='1'!$I125),COLUMN(G124))),"")</f>
        <v/>
      </c>
      <c r="H125" t="str">
        <f>IFERROR(INDEX(Management!$B$3:$B$50,_xlfn.AGGREGATE(15,6,(ROW(Management!$B$3:$B$50)-ROW(Management!$B$3)+1)/((IF(Management!$C$3:$C$50="Unlimited",10^15,Management!$C$3:$C$50))&gt;='1'!$I125),COLUMN(H124))),"")</f>
        <v/>
      </c>
      <c r="I125" t="str">
        <f>IFERROR(INDEX(Management!$B$3:$B$50,_xlfn.AGGREGATE(15,6,(ROW(Management!$B$3:$B$50)-ROW(Management!$B$3)+1)/((IF(Management!$C$3:$C$50="Unlimited",10^15,Management!$C$3:$C$50))&gt;='1'!$I125),COLUMN(I124))),"")</f>
        <v/>
      </c>
      <c r="J125" t="str">
        <f>IFERROR(INDEX(Management!$B$3:$B$50,_xlfn.AGGREGATE(15,6,(ROW(Management!$B$3:$B$50)-ROW(Management!$B$3)+1)/((IF(Management!$C$3:$C$50="Unlimited",10^15,Management!$C$3:$C$50))&gt;='1'!$I125),COLUMN(J124))),"")</f>
        <v/>
      </c>
      <c r="K125" t="str">
        <f>IFERROR(INDEX(Management!$B$3:$B$50,_xlfn.AGGREGATE(15,6,(ROW(Management!$B$3:$B$50)-ROW(Management!$B$3)+1)/((IF(Management!$C$3:$C$50="Unlimited",10^15,Management!$C$3:$C$50))&gt;='1'!$I125),COLUMN(K124))),"")</f>
        <v/>
      </c>
      <c r="L125" t="str">
        <f>IFERROR(INDEX(Management!$B$3:$B$50,_xlfn.AGGREGATE(15,6,(ROW(Management!$B$3:$B$50)-ROW(Management!$B$3)+1)/((IF(Management!$C$3:$C$50="Unlimited",10^15,Management!$C$3:$C$50))&gt;='1'!$I125),COLUMN(L124))),"")</f>
        <v/>
      </c>
      <c r="M125" t="str">
        <f>IFERROR(INDEX(Management!$B$3:$B$50,_xlfn.AGGREGATE(15,6,(ROW(Management!$B$3:$B$50)-ROW(Management!$B$3)+1)/((IF(Management!$C$3:$C$50="Unlimited",10^15,Management!$C$3:$C$50))&gt;='1'!$I125),COLUMN(M124))),"")</f>
        <v/>
      </c>
      <c r="N125" t="str">
        <f>IFERROR(INDEX(Management!$B$3:$B$50,_xlfn.AGGREGATE(15,6,(ROW(Management!$B$3:$B$50)-ROW(Management!$B$3)+1)/((IF(Management!$C$3:$C$50="Unlimited",10^15,Management!$C$3:$C$50))&gt;='1'!$I125),COLUMN(N124))),"")</f>
        <v/>
      </c>
      <c r="O125" t="str">
        <f>IFERROR(INDEX(Management!$B$3:$B$50,_xlfn.AGGREGATE(15,6,(ROW(Management!$B$3:$B$50)-ROW(Management!$B$3)+1)/((IF(Management!$C$3:$C$50="Unlimited",10^15,Management!$C$3:$C$50))&gt;='1'!$I125),COLUMN(O124))),"")</f>
        <v/>
      </c>
      <c r="P125" t="str">
        <f>IFERROR(INDEX(Management!$B$3:$B$50,_xlfn.AGGREGATE(15,6,(ROW(Management!$B$3:$B$50)-ROW(Management!$B$3)+1)/((IF(Management!$C$3:$C$50="Unlimited",10^15,Management!$C$3:$C$50))&gt;='1'!$I125),COLUMN(P124))),"")</f>
        <v/>
      </c>
      <c r="Q125" t="str">
        <f>IFERROR(INDEX(Management!$B$3:$B$50,_xlfn.AGGREGATE(15,6,(ROW(Management!$B$3:$B$50)-ROW(Management!$B$3)+1)/((IF(Management!$C$3:$C$50="Unlimited",10^15,Management!$C$3:$C$50))&gt;='1'!$I125),COLUMN(Q124))),"")</f>
        <v/>
      </c>
      <c r="R125" t="str">
        <f>IFERROR(INDEX(Management!$B$3:$B$50,_xlfn.AGGREGATE(15,6,(ROW(Management!$B$3:$B$50)-ROW(Management!$B$3)+1)/((IF(Management!$C$3:$C$50="Unlimited",10^15,Management!$C$3:$C$50))&gt;='1'!$I125),COLUMN(R124))),"")</f>
        <v/>
      </c>
      <c r="S125" t="str">
        <f>IFERROR(INDEX(Management!$B$3:$B$50,_xlfn.AGGREGATE(15,6,(ROW(Management!$B$3:$B$50)-ROW(Management!$B$3)+1)/((IF(Management!$C$3:$C$50="Unlimited",10^15,Management!$C$3:$C$50))&gt;='1'!$I125),COLUMN(S124))),"")</f>
        <v/>
      </c>
      <c r="T125" t="str">
        <f>IFERROR(INDEX(Management!$B$3:$B$50,_xlfn.AGGREGATE(15,6,(ROW(Management!$B$3:$B$50)-ROW(Management!$B$3)+1)/((IF(Management!$C$3:$C$50="Unlimited",10^15,Management!$C$3:$C$50))&gt;='1'!$I125),COLUMN(T124))),"")</f>
        <v/>
      </c>
    </row>
    <row r="126" spans="1:20">
      <c r="A126" t="str">
        <f>IFERROR(INDEX(Management!$B$3:$B$50,_xlfn.AGGREGATE(15,6,(ROW(Management!$B$3:$B$50)-ROW(Management!$B$3)+1)/((IF(Management!$C$3:$C$50="Unlimited",10^15,Management!$C$3:$C$50))&gt;='1'!$I126),COLUMN(A125))),"")</f>
        <v/>
      </c>
      <c r="B126" t="str">
        <f>IFERROR(INDEX(Management!$B$3:$B$50,_xlfn.AGGREGATE(15,6,(ROW(Management!$B$3:$B$50)-ROW(Management!$B$3)+1)/((IF(Management!$C$3:$C$50="Unlimited",10^15,Management!$C$3:$C$50))&gt;='1'!$I126),COLUMN(B125))),"")</f>
        <v/>
      </c>
      <c r="C126" t="str">
        <f>IFERROR(INDEX(Management!$B$3:$B$50,_xlfn.AGGREGATE(15,6,(ROW(Management!$B$3:$B$50)-ROW(Management!$B$3)+1)/((IF(Management!$C$3:$C$50="Unlimited",10^15,Management!$C$3:$C$50))&gt;='1'!$I126),COLUMN(C125))),"")</f>
        <v/>
      </c>
      <c r="D126" t="str">
        <f>IFERROR(INDEX(Management!$B$3:$B$50,_xlfn.AGGREGATE(15,6,(ROW(Management!$B$3:$B$50)-ROW(Management!$B$3)+1)/((IF(Management!$C$3:$C$50="Unlimited",10^15,Management!$C$3:$C$50))&gt;='1'!$I126),COLUMN(D125))),"")</f>
        <v/>
      </c>
      <c r="E126" t="str">
        <f>IFERROR(INDEX(Management!$B$3:$B$50,_xlfn.AGGREGATE(15,6,(ROW(Management!$B$3:$B$50)-ROW(Management!$B$3)+1)/((IF(Management!$C$3:$C$50="Unlimited",10^15,Management!$C$3:$C$50))&gt;='1'!$I126),COLUMN(E125))),"")</f>
        <v/>
      </c>
      <c r="F126" t="str">
        <f>IFERROR(INDEX(Management!$B$3:$B$50,_xlfn.AGGREGATE(15,6,(ROW(Management!$B$3:$B$50)-ROW(Management!$B$3)+1)/((IF(Management!$C$3:$C$50="Unlimited",10^15,Management!$C$3:$C$50))&gt;='1'!$I126),COLUMN(F125))),"")</f>
        <v/>
      </c>
      <c r="G126" t="str">
        <f>IFERROR(INDEX(Management!$B$3:$B$50,_xlfn.AGGREGATE(15,6,(ROW(Management!$B$3:$B$50)-ROW(Management!$B$3)+1)/((IF(Management!$C$3:$C$50="Unlimited",10^15,Management!$C$3:$C$50))&gt;='1'!$I126),COLUMN(G125))),"")</f>
        <v/>
      </c>
      <c r="H126" t="str">
        <f>IFERROR(INDEX(Management!$B$3:$B$50,_xlfn.AGGREGATE(15,6,(ROW(Management!$B$3:$B$50)-ROW(Management!$B$3)+1)/((IF(Management!$C$3:$C$50="Unlimited",10^15,Management!$C$3:$C$50))&gt;='1'!$I126),COLUMN(H125))),"")</f>
        <v/>
      </c>
      <c r="I126" t="str">
        <f>IFERROR(INDEX(Management!$B$3:$B$50,_xlfn.AGGREGATE(15,6,(ROW(Management!$B$3:$B$50)-ROW(Management!$B$3)+1)/((IF(Management!$C$3:$C$50="Unlimited",10^15,Management!$C$3:$C$50))&gt;='1'!$I126),COLUMN(I125))),"")</f>
        <v/>
      </c>
      <c r="J126" t="str">
        <f>IFERROR(INDEX(Management!$B$3:$B$50,_xlfn.AGGREGATE(15,6,(ROW(Management!$B$3:$B$50)-ROW(Management!$B$3)+1)/((IF(Management!$C$3:$C$50="Unlimited",10^15,Management!$C$3:$C$50))&gt;='1'!$I126),COLUMN(J125))),"")</f>
        <v/>
      </c>
      <c r="K126" t="str">
        <f>IFERROR(INDEX(Management!$B$3:$B$50,_xlfn.AGGREGATE(15,6,(ROW(Management!$B$3:$B$50)-ROW(Management!$B$3)+1)/((IF(Management!$C$3:$C$50="Unlimited",10^15,Management!$C$3:$C$50))&gt;='1'!$I126),COLUMN(K125))),"")</f>
        <v/>
      </c>
      <c r="L126" t="str">
        <f>IFERROR(INDEX(Management!$B$3:$B$50,_xlfn.AGGREGATE(15,6,(ROW(Management!$B$3:$B$50)-ROW(Management!$B$3)+1)/((IF(Management!$C$3:$C$50="Unlimited",10^15,Management!$C$3:$C$50))&gt;='1'!$I126),COLUMN(L125))),"")</f>
        <v/>
      </c>
      <c r="M126" t="str">
        <f>IFERROR(INDEX(Management!$B$3:$B$50,_xlfn.AGGREGATE(15,6,(ROW(Management!$B$3:$B$50)-ROW(Management!$B$3)+1)/((IF(Management!$C$3:$C$50="Unlimited",10^15,Management!$C$3:$C$50))&gt;='1'!$I126),COLUMN(M125))),"")</f>
        <v/>
      </c>
      <c r="N126" t="str">
        <f>IFERROR(INDEX(Management!$B$3:$B$50,_xlfn.AGGREGATE(15,6,(ROW(Management!$B$3:$B$50)-ROW(Management!$B$3)+1)/((IF(Management!$C$3:$C$50="Unlimited",10^15,Management!$C$3:$C$50))&gt;='1'!$I126),COLUMN(N125))),"")</f>
        <v/>
      </c>
      <c r="O126" t="str">
        <f>IFERROR(INDEX(Management!$B$3:$B$50,_xlfn.AGGREGATE(15,6,(ROW(Management!$B$3:$B$50)-ROW(Management!$B$3)+1)/((IF(Management!$C$3:$C$50="Unlimited",10^15,Management!$C$3:$C$50))&gt;='1'!$I126),COLUMN(O125))),"")</f>
        <v/>
      </c>
      <c r="P126" t="str">
        <f>IFERROR(INDEX(Management!$B$3:$B$50,_xlfn.AGGREGATE(15,6,(ROW(Management!$B$3:$B$50)-ROW(Management!$B$3)+1)/((IF(Management!$C$3:$C$50="Unlimited",10^15,Management!$C$3:$C$50))&gt;='1'!$I126),COLUMN(P125))),"")</f>
        <v/>
      </c>
      <c r="Q126" t="str">
        <f>IFERROR(INDEX(Management!$B$3:$B$50,_xlfn.AGGREGATE(15,6,(ROW(Management!$B$3:$B$50)-ROW(Management!$B$3)+1)/((IF(Management!$C$3:$C$50="Unlimited",10^15,Management!$C$3:$C$50))&gt;='1'!$I126),COLUMN(Q125))),"")</f>
        <v/>
      </c>
      <c r="R126" t="str">
        <f>IFERROR(INDEX(Management!$B$3:$B$50,_xlfn.AGGREGATE(15,6,(ROW(Management!$B$3:$B$50)-ROW(Management!$B$3)+1)/((IF(Management!$C$3:$C$50="Unlimited",10^15,Management!$C$3:$C$50))&gt;='1'!$I126),COLUMN(R125))),"")</f>
        <v/>
      </c>
      <c r="S126" t="str">
        <f>IFERROR(INDEX(Management!$B$3:$B$50,_xlfn.AGGREGATE(15,6,(ROW(Management!$B$3:$B$50)-ROW(Management!$B$3)+1)/((IF(Management!$C$3:$C$50="Unlimited",10^15,Management!$C$3:$C$50))&gt;='1'!$I126),COLUMN(S125))),"")</f>
        <v/>
      </c>
      <c r="T126" t="str">
        <f>IFERROR(INDEX(Management!$B$3:$B$50,_xlfn.AGGREGATE(15,6,(ROW(Management!$B$3:$B$50)-ROW(Management!$B$3)+1)/((IF(Management!$C$3:$C$50="Unlimited",10^15,Management!$C$3:$C$50))&gt;='1'!$I126),COLUMN(T125))),"")</f>
        <v/>
      </c>
    </row>
    <row r="127" spans="1:20">
      <c r="A127" t="str">
        <f>IFERROR(INDEX(Management!$B$3:$B$50,_xlfn.AGGREGATE(15,6,(ROW(Management!$B$3:$B$50)-ROW(Management!$B$3)+1)/((IF(Management!$C$3:$C$50="Unlimited",10^15,Management!$C$3:$C$50))&gt;='1'!$I127),COLUMN(A126))),"")</f>
        <v/>
      </c>
      <c r="B127" t="str">
        <f>IFERROR(INDEX(Management!$B$3:$B$50,_xlfn.AGGREGATE(15,6,(ROW(Management!$B$3:$B$50)-ROW(Management!$B$3)+1)/((IF(Management!$C$3:$C$50="Unlimited",10^15,Management!$C$3:$C$50))&gt;='1'!$I127),COLUMN(B126))),"")</f>
        <v/>
      </c>
      <c r="C127" t="str">
        <f>IFERROR(INDEX(Management!$B$3:$B$50,_xlfn.AGGREGATE(15,6,(ROW(Management!$B$3:$B$50)-ROW(Management!$B$3)+1)/((IF(Management!$C$3:$C$50="Unlimited",10^15,Management!$C$3:$C$50))&gt;='1'!$I127),COLUMN(C126))),"")</f>
        <v/>
      </c>
      <c r="D127" t="str">
        <f>IFERROR(INDEX(Management!$B$3:$B$50,_xlfn.AGGREGATE(15,6,(ROW(Management!$B$3:$B$50)-ROW(Management!$B$3)+1)/((IF(Management!$C$3:$C$50="Unlimited",10^15,Management!$C$3:$C$50))&gt;='1'!$I127),COLUMN(D126))),"")</f>
        <v/>
      </c>
      <c r="E127" t="str">
        <f>IFERROR(INDEX(Management!$B$3:$B$50,_xlfn.AGGREGATE(15,6,(ROW(Management!$B$3:$B$50)-ROW(Management!$B$3)+1)/((IF(Management!$C$3:$C$50="Unlimited",10^15,Management!$C$3:$C$50))&gt;='1'!$I127),COLUMN(E126))),"")</f>
        <v/>
      </c>
      <c r="F127" t="str">
        <f>IFERROR(INDEX(Management!$B$3:$B$50,_xlfn.AGGREGATE(15,6,(ROW(Management!$B$3:$B$50)-ROW(Management!$B$3)+1)/((IF(Management!$C$3:$C$50="Unlimited",10^15,Management!$C$3:$C$50))&gt;='1'!$I127),COLUMN(F126))),"")</f>
        <v/>
      </c>
      <c r="G127" t="str">
        <f>IFERROR(INDEX(Management!$B$3:$B$50,_xlfn.AGGREGATE(15,6,(ROW(Management!$B$3:$B$50)-ROW(Management!$B$3)+1)/((IF(Management!$C$3:$C$50="Unlimited",10^15,Management!$C$3:$C$50))&gt;='1'!$I127),COLUMN(G126))),"")</f>
        <v/>
      </c>
      <c r="H127" t="str">
        <f>IFERROR(INDEX(Management!$B$3:$B$50,_xlfn.AGGREGATE(15,6,(ROW(Management!$B$3:$B$50)-ROW(Management!$B$3)+1)/((IF(Management!$C$3:$C$50="Unlimited",10^15,Management!$C$3:$C$50))&gt;='1'!$I127),COLUMN(H126))),"")</f>
        <v/>
      </c>
      <c r="I127" t="str">
        <f>IFERROR(INDEX(Management!$B$3:$B$50,_xlfn.AGGREGATE(15,6,(ROW(Management!$B$3:$B$50)-ROW(Management!$B$3)+1)/((IF(Management!$C$3:$C$50="Unlimited",10^15,Management!$C$3:$C$50))&gt;='1'!$I127),COLUMN(I126))),"")</f>
        <v/>
      </c>
      <c r="J127" t="str">
        <f>IFERROR(INDEX(Management!$B$3:$B$50,_xlfn.AGGREGATE(15,6,(ROW(Management!$B$3:$B$50)-ROW(Management!$B$3)+1)/((IF(Management!$C$3:$C$50="Unlimited",10^15,Management!$C$3:$C$50))&gt;='1'!$I127),COLUMN(J126))),"")</f>
        <v/>
      </c>
      <c r="K127" t="str">
        <f>IFERROR(INDEX(Management!$B$3:$B$50,_xlfn.AGGREGATE(15,6,(ROW(Management!$B$3:$B$50)-ROW(Management!$B$3)+1)/((IF(Management!$C$3:$C$50="Unlimited",10^15,Management!$C$3:$C$50))&gt;='1'!$I127),COLUMN(K126))),"")</f>
        <v/>
      </c>
      <c r="L127" t="str">
        <f>IFERROR(INDEX(Management!$B$3:$B$50,_xlfn.AGGREGATE(15,6,(ROW(Management!$B$3:$B$50)-ROW(Management!$B$3)+1)/((IF(Management!$C$3:$C$50="Unlimited",10^15,Management!$C$3:$C$50))&gt;='1'!$I127),COLUMN(L126))),"")</f>
        <v/>
      </c>
      <c r="M127" t="str">
        <f>IFERROR(INDEX(Management!$B$3:$B$50,_xlfn.AGGREGATE(15,6,(ROW(Management!$B$3:$B$50)-ROW(Management!$B$3)+1)/((IF(Management!$C$3:$C$50="Unlimited",10^15,Management!$C$3:$C$50))&gt;='1'!$I127),COLUMN(M126))),"")</f>
        <v/>
      </c>
      <c r="N127" t="str">
        <f>IFERROR(INDEX(Management!$B$3:$B$50,_xlfn.AGGREGATE(15,6,(ROW(Management!$B$3:$B$50)-ROW(Management!$B$3)+1)/((IF(Management!$C$3:$C$50="Unlimited",10^15,Management!$C$3:$C$50))&gt;='1'!$I127),COLUMN(N126))),"")</f>
        <v/>
      </c>
      <c r="O127" t="str">
        <f>IFERROR(INDEX(Management!$B$3:$B$50,_xlfn.AGGREGATE(15,6,(ROW(Management!$B$3:$B$50)-ROW(Management!$B$3)+1)/((IF(Management!$C$3:$C$50="Unlimited",10^15,Management!$C$3:$C$50))&gt;='1'!$I127),COLUMN(O126))),"")</f>
        <v/>
      </c>
      <c r="P127" t="str">
        <f>IFERROR(INDEX(Management!$B$3:$B$50,_xlfn.AGGREGATE(15,6,(ROW(Management!$B$3:$B$50)-ROW(Management!$B$3)+1)/((IF(Management!$C$3:$C$50="Unlimited",10^15,Management!$C$3:$C$50))&gt;='1'!$I127),COLUMN(P126))),"")</f>
        <v/>
      </c>
      <c r="Q127" t="str">
        <f>IFERROR(INDEX(Management!$B$3:$B$50,_xlfn.AGGREGATE(15,6,(ROW(Management!$B$3:$B$50)-ROW(Management!$B$3)+1)/((IF(Management!$C$3:$C$50="Unlimited",10^15,Management!$C$3:$C$50))&gt;='1'!$I127),COLUMN(Q126))),"")</f>
        <v/>
      </c>
      <c r="R127" t="str">
        <f>IFERROR(INDEX(Management!$B$3:$B$50,_xlfn.AGGREGATE(15,6,(ROW(Management!$B$3:$B$50)-ROW(Management!$B$3)+1)/((IF(Management!$C$3:$C$50="Unlimited",10^15,Management!$C$3:$C$50))&gt;='1'!$I127),COLUMN(R126))),"")</f>
        <v/>
      </c>
      <c r="S127" t="str">
        <f>IFERROR(INDEX(Management!$B$3:$B$50,_xlfn.AGGREGATE(15,6,(ROW(Management!$B$3:$B$50)-ROW(Management!$B$3)+1)/((IF(Management!$C$3:$C$50="Unlimited",10^15,Management!$C$3:$C$50))&gt;='1'!$I127),COLUMN(S126))),"")</f>
        <v/>
      </c>
      <c r="T127" t="str">
        <f>IFERROR(INDEX(Management!$B$3:$B$50,_xlfn.AGGREGATE(15,6,(ROW(Management!$B$3:$B$50)-ROW(Management!$B$3)+1)/((IF(Management!$C$3:$C$50="Unlimited",10^15,Management!$C$3:$C$50))&gt;='1'!$I127),COLUMN(T126))),"")</f>
        <v/>
      </c>
    </row>
    <row r="128" spans="1:20">
      <c r="A128" t="str">
        <f>IFERROR(INDEX(Management!$B$3:$B$50,_xlfn.AGGREGATE(15,6,(ROW(Management!$B$3:$B$50)-ROW(Management!$B$3)+1)/((IF(Management!$C$3:$C$50="Unlimited",10^15,Management!$C$3:$C$50))&gt;='1'!$I128),COLUMN(A127))),"")</f>
        <v/>
      </c>
      <c r="B128" t="str">
        <f>IFERROR(INDEX(Management!$B$3:$B$50,_xlfn.AGGREGATE(15,6,(ROW(Management!$B$3:$B$50)-ROW(Management!$B$3)+1)/((IF(Management!$C$3:$C$50="Unlimited",10^15,Management!$C$3:$C$50))&gt;='1'!$I128),COLUMN(B127))),"")</f>
        <v/>
      </c>
      <c r="C128" t="str">
        <f>IFERROR(INDEX(Management!$B$3:$B$50,_xlfn.AGGREGATE(15,6,(ROW(Management!$B$3:$B$50)-ROW(Management!$B$3)+1)/((IF(Management!$C$3:$C$50="Unlimited",10^15,Management!$C$3:$C$50))&gt;='1'!$I128),COLUMN(C127))),"")</f>
        <v/>
      </c>
      <c r="D128" t="str">
        <f>IFERROR(INDEX(Management!$B$3:$B$50,_xlfn.AGGREGATE(15,6,(ROW(Management!$B$3:$B$50)-ROW(Management!$B$3)+1)/((IF(Management!$C$3:$C$50="Unlimited",10^15,Management!$C$3:$C$50))&gt;='1'!$I128),COLUMN(D127))),"")</f>
        <v/>
      </c>
      <c r="E128" t="str">
        <f>IFERROR(INDEX(Management!$B$3:$B$50,_xlfn.AGGREGATE(15,6,(ROW(Management!$B$3:$B$50)-ROW(Management!$B$3)+1)/((IF(Management!$C$3:$C$50="Unlimited",10^15,Management!$C$3:$C$50))&gt;='1'!$I128),COLUMN(E127))),"")</f>
        <v/>
      </c>
      <c r="F128" t="str">
        <f>IFERROR(INDEX(Management!$B$3:$B$50,_xlfn.AGGREGATE(15,6,(ROW(Management!$B$3:$B$50)-ROW(Management!$B$3)+1)/((IF(Management!$C$3:$C$50="Unlimited",10^15,Management!$C$3:$C$50))&gt;='1'!$I128),COLUMN(F127))),"")</f>
        <v/>
      </c>
      <c r="G128" t="str">
        <f>IFERROR(INDEX(Management!$B$3:$B$50,_xlfn.AGGREGATE(15,6,(ROW(Management!$B$3:$B$50)-ROW(Management!$B$3)+1)/((IF(Management!$C$3:$C$50="Unlimited",10^15,Management!$C$3:$C$50))&gt;='1'!$I128),COLUMN(G127))),"")</f>
        <v/>
      </c>
      <c r="H128" t="str">
        <f>IFERROR(INDEX(Management!$B$3:$B$50,_xlfn.AGGREGATE(15,6,(ROW(Management!$B$3:$B$50)-ROW(Management!$B$3)+1)/((IF(Management!$C$3:$C$50="Unlimited",10^15,Management!$C$3:$C$50))&gt;='1'!$I128),COLUMN(H127))),"")</f>
        <v/>
      </c>
      <c r="I128" t="str">
        <f>IFERROR(INDEX(Management!$B$3:$B$50,_xlfn.AGGREGATE(15,6,(ROW(Management!$B$3:$B$50)-ROW(Management!$B$3)+1)/((IF(Management!$C$3:$C$50="Unlimited",10^15,Management!$C$3:$C$50))&gt;='1'!$I128),COLUMN(I127))),"")</f>
        <v/>
      </c>
      <c r="J128" t="str">
        <f>IFERROR(INDEX(Management!$B$3:$B$50,_xlfn.AGGREGATE(15,6,(ROW(Management!$B$3:$B$50)-ROW(Management!$B$3)+1)/((IF(Management!$C$3:$C$50="Unlimited",10^15,Management!$C$3:$C$50))&gt;='1'!$I128),COLUMN(J127))),"")</f>
        <v/>
      </c>
      <c r="K128" t="str">
        <f>IFERROR(INDEX(Management!$B$3:$B$50,_xlfn.AGGREGATE(15,6,(ROW(Management!$B$3:$B$50)-ROW(Management!$B$3)+1)/((IF(Management!$C$3:$C$50="Unlimited",10^15,Management!$C$3:$C$50))&gt;='1'!$I128),COLUMN(K127))),"")</f>
        <v/>
      </c>
      <c r="L128" t="str">
        <f>IFERROR(INDEX(Management!$B$3:$B$50,_xlfn.AGGREGATE(15,6,(ROW(Management!$B$3:$B$50)-ROW(Management!$B$3)+1)/((IF(Management!$C$3:$C$50="Unlimited",10^15,Management!$C$3:$C$50))&gt;='1'!$I128),COLUMN(L127))),"")</f>
        <v/>
      </c>
      <c r="M128" t="str">
        <f>IFERROR(INDEX(Management!$B$3:$B$50,_xlfn.AGGREGATE(15,6,(ROW(Management!$B$3:$B$50)-ROW(Management!$B$3)+1)/((IF(Management!$C$3:$C$50="Unlimited",10^15,Management!$C$3:$C$50))&gt;='1'!$I128),COLUMN(M127))),"")</f>
        <v/>
      </c>
      <c r="N128" t="str">
        <f>IFERROR(INDEX(Management!$B$3:$B$50,_xlfn.AGGREGATE(15,6,(ROW(Management!$B$3:$B$50)-ROW(Management!$B$3)+1)/((IF(Management!$C$3:$C$50="Unlimited",10^15,Management!$C$3:$C$50))&gt;='1'!$I128),COLUMN(N127))),"")</f>
        <v/>
      </c>
      <c r="O128" t="str">
        <f>IFERROR(INDEX(Management!$B$3:$B$50,_xlfn.AGGREGATE(15,6,(ROW(Management!$B$3:$B$50)-ROW(Management!$B$3)+1)/((IF(Management!$C$3:$C$50="Unlimited",10^15,Management!$C$3:$C$50))&gt;='1'!$I128),COLUMN(O127))),"")</f>
        <v/>
      </c>
      <c r="P128" t="str">
        <f>IFERROR(INDEX(Management!$B$3:$B$50,_xlfn.AGGREGATE(15,6,(ROW(Management!$B$3:$B$50)-ROW(Management!$B$3)+1)/((IF(Management!$C$3:$C$50="Unlimited",10^15,Management!$C$3:$C$50))&gt;='1'!$I128),COLUMN(P127))),"")</f>
        <v/>
      </c>
      <c r="Q128" t="str">
        <f>IFERROR(INDEX(Management!$B$3:$B$50,_xlfn.AGGREGATE(15,6,(ROW(Management!$B$3:$B$50)-ROW(Management!$B$3)+1)/((IF(Management!$C$3:$C$50="Unlimited",10^15,Management!$C$3:$C$50))&gt;='1'!$I128),COLUMN(Q127))),"")</f>
        <v/>
      </c>
      <c r="R128" t="str">
        <f>IFERROR(INDEX(Management!$B$3:$B$50,_xlfn.AGGREGATE(15,6,(ROW(Management!$B$3:$B$50)-ROW(Management!$B$3)+1)/((IF(Management!$C$3:$C$50="Unlimited",10^15,Management!$C$3:$C$50))&gt;='1'!$I128),COLUMN(R127))),"")</f>
        <v/>
      </c>
      <c r="S128" t="str">
        <f>IFERROR(INDEX(Management!$B$3:$B$50,_xlfn.AGGREGATE(15,6,(ROW(Management!$B$3:$B$50)-ROW(Management!$B$3)+1)/((IF(Management!$C$3:$C$50="Unlimited",10^15,Management!$C$3:$C$50))&gt;='1'!$I128),COLUMN(S127))),"")</f>
        <v/>
      </c>
      <c r="T128" t="str">
        <f>IFERROR(INDEX(Management!$B$3:$B$50,_xlfn.AGGREGATE(15,6,(ROW(Management!$B$3:$B$50)-ROW(Management!$B$3)+1)/((IF(Management!$C$3:$C$50="Unlimited",10^15,Management!$C$3:$C$50))&gt;='1'!$I128),COLUMN(T127))),"")</f>
        <v/>
      </c>
    </row>
    <row r="129" spans="1:20">
      <c r="A129" t="str">
        <f>IFERROR(INDEX(Management!$B$3:$B$50,_xlfn.AGGREGATE(15,6,(ROW(Management!$B$3:$B$50)-ROW(Management!$B$3)+1)/((IF(Management!$C$3:$C$50="Unlimited",10^15,Management!$C$3:$C$50))&gt;='1'!$I129),COLUMN(A128))),"")</f>
        <v/>
      </c>
      <c r="B129" t="str">
        <f>IFERROR(INDEX(Management!$B$3:$B$50,_xlfn.AGGREGATE(15,6,(ROW(Management!$B$3:$B$50)-ROW(Management!$B$3)+1)/((IF(Management!$C$3:$C$50="Unlimited",10^15,Management!$C$3:$C$50))&gt;='1'!$I129),COLUMN(B128))),"")</f>
        <v/>
      </c>
      <c r="C129" t="str">
        <f>IFERROR(INDEX(Management!$B$3:$B$50,_xlfn.AGGREGATE(15,6,(ROW(Management!$B$3:$B$50)-ROW(Management!$B$3)+1)/((IF(Management!$C$3:$C$50="Unlimited",10^15,Management!$C$3:$C$50))&gt;='1'!$I129),COLUMN(C128))),"")</f>
        <v/>
      </c>
      <c r="D129" t="str">
        <f>IFERROR(INDEX(Management!$B$3:$B$50,_xlfn.AGGREGATE(15,6,(ROW(Management!$B$3:$B$50)-ROW(Management!$B$3)+1)/((IF(Management!$C$3:$C$50="Unlimited",10^15,Management!$C$3:$C$50))&gt;='1'!$I129),COLUMN(D128))),"")</f>
        <v/>
      </c>
      <c r="E129" t="str">
        <f>IFERROR(INDEX(Management!$B$3:$B$50,_xlfn.AGGREGATE(15,6,(ROW(Management!$B$3:$B$50)-ROW(Management!$B$3)+1)/((IF(Management!$C$3:$C$50="Unlimited",10^15,Management!$C$3:$C$50))&gt;='1'!$I129),COLUMN(E128))),"")</f>
        <v/>
      </c>
      <c r="F129" t="str">
        <f>IFERROR(INDEX(Management!$B$3:$B$50,_xlfn.AGGREGATE(15,6,(ROW(Management!$B$3:$B$50)-ROW(Management!$B$3)+1)/((IF(Management!$C$3:$C$50="Unlimited",10^15,Management!$C$3:$C$50))&gt;='1'!$I129),COLUMN(F128))),"")</f>
        <v/>
      </c>
      <c r="G129" t="str">
        <f>IFERROR(INDEX(Management!$B$3:$B$50,_xlfn.AGGREGATE(15,6,(ROW(Management!$B$3:$B$50)-ROW(Management!$B$3)+1)/((IF(Management!$C$3:$C$50="Unlimited",10^15,Management!$C$3:$C$50))&gt;='1'!$I129),COLUMN(G128))),"")</f>
        <v/>
      </c>
      <c r="H129" t="str">
        <f>IFERROR(INDEX(Management!$B$3:$B$50,_xlfn.AGGREGATE(15,6,(ROW(Management!$B$3:$B$50)-ROW(Management!$B$3)+1)/((IF(Management!$C$3:$C$50="Unlimited",10^15,Management!$C$3:$C$50))&gt;='1'!$I129),COLUMN(H128))),"")</f>
        <v/>
      </c>
      <c r="I129" t="str">
        <f>IFERROR(INDEX(Management!$B$3:$B$50,_xlfn.AGGREGATE(15,6,(ROW(Management!$B$3:$B$50)-ROW(Management!$B$3)+1)/((IF(Management!$C$3:$C$50="Unlimited",10^15,Management!$C$3:$C$50))&gt;='1'!$I129),COLUMN(I128))),"")</f>
        <v/>
      </c>
      <c r="J129" t="str">
        <f>IFERROR(INDEX(Management!$B$3:$B$50,_xlfn.AGGREGATE(15,6,(ROW(Management!$B$3:$B$50)-ROW(Management!$B$3)+1)/((IF(Management!$C$3:$C$50="Unlimited",10^15,Management!$C$3:$C$50))&gt;='1'!$I129),COLUMN(J128))),"")</f>
        <v/>
      </c>
      <c r="K129" t="str">
        <f>IFERROR(INDEX(Management!$B$3:$B$50,_xlfn.AGGREGATE(15,6,(ROW(Management!$B$3:$B$50)-ROW(Management!$B$3)+1)/((IF(Management!$C$3:$C$50="Unlimited",10^15,Management!$C$3:$C$50))&gt;='1'!$I129),COLUMN(K128))),"")</f>
        <v/>
      </c>
      <c r="L129" t="str">
        <f>IFERROR(INDEX(Management!$B$3:$B$50,_xlfn.AGGREGATE(15,6,(ROW(Management!$B$3:$B$50)-ROW(Management!$B$3)+1)/((IF(Management!$C$3:$C$50="Unlimited",10^15,Management!$C$3:$C$50))&gt;='1'!$I129),COLUMN(L128))),"")</f>
        <v/>
      </c>
      <c r="M129" t="str">
        <f>IFERROR(INDEX(Management!$B$3:$B$50,_xlfn.AGGREGATE(15,6,(ROW(Management!$B$3:$B$50)-ROW(Management!$B$3)+1)/((IF(Management!$C$3:$C$50="Unlimited",10^15,Management!$C$3:$C$50))&gt;='1'!$I129),COLUMN(M128))),"")</f>
        <v/>
      </c>
      <c r="N129" t="str">
        <f>IFERROR(INDEX(Management!$B$3:$B$50,_xlfn.AGGREGATE(15,6,(ROW(Management!$B$3:$B$50)-ROW(Management!$B$3)+1)/((IF(Management!$C$3:$C$50="Unlimited",10^15,Management!$C$3:$C$50))&gt;='1'!$I129),COLUMN(N128))),"")</f>
        <v/>
      </c>
      <c r="O129" t="str">
        <f>IFERROR(INDEX(Management!$B$3:$B$50,_xlfn.AGGREGATE(15,6,(ROW(Management!$B$3:$B$50)-ROW(Management!$B$3)+1)/((IF(Management!$C$3:$C$50="Unlimited",10^15,Management!$C$3:$C$50))&gt;='1'!$I129),COLUMN(O128))),"")</f>
        <v/>
      </c>
      <c r="P129" t="str">
        <f>IFERROR(INDEX(Management!$B$3:$B$50,_xlfn.AGGREGATE(15,6,(ROW(Management!$B$3:$B$50)-ROW(Management!$B$3)+1)/((IF(Management!$C$3:$C$50="Unlimited",10^15,Management!$C$3:$C$50))&gt;='1'!$I129),COLUMN(P128))),"")</f>
        <v/>
      </c>
      <c r="Q129" t="str">
        <f>IFERROR(INDEX(Management!$B$3:$B$50,_xlfn.AGGREGATE(15,6,(ROW(Management!$B$3:$B$50)-ROW(Management!$B$3)+1)/((IF(Management!$C$3:$C$50="Unlimited",10^15,Management!$C$3:$C$50))&gt;='1'!$I129),COLUMN(Q128))),"")</f>
        <v/>
      </c>
      <c r="R129" t="str">
        <f>IFERROR(INDEX(Management!$B$3:$B$50,_xlfn.AGGREGATE(15,6,(ROW(Management!$B$3:$B$50)-ROW(Management!$B$3)+1)/((IF(Management!$C$3:$C$50="Unlimited",10^15,Management!$C$3:$C$50))&gt;='1'!$I129),COLUMN(R128))),"")</f>
        <v/>
      </c>
      <c r="S129" t="str">
        <f>IFERROR(INDEX(Management!$B$3:$B$50,_xlfn.AGGREGATE(15,6,(ROW(Management!$B$3:$B$50)-ROW(Management!$B$3)+1)/((IF(Management!$C$3:$C$50="Unlimited",10^15,Management!$C$3:$C$50))&gt;='1'!$I129),COLUMN(S128))),"")</f>
        <v/>
      </c>
      <c r="T129" t="str">
        <f>IFERROR(INDEX(Management!$B$3:$B$50,_xlfn.AGGREGATE(15,6,(ROW(Management!$B$3:$B$50)-ROW(Management!$B$3)+1)/((IF(Management!$C$3:$C$50="Unlimited",10^15,Management!$C$3:$C$50))&gt;='1'!$I129),COLUMN(T128))),"")</f>
        <v/>
      </c>
    </row>
    <row r="130" spans="1:20">
      <c r="A130" t="str">
        <f>IFERROR(INDEX(Management!$B$3:$B$50,_xlfn.AGGREGATE(15,6,(ROW(Management!$B$3:$B$50)-ROW(Management!$B$3)+1)/((IF(Management!$C$3:$C$50="Unlimited",10^15,Management!$C$3:$C$50))&gt;='1'!$I130),COLUMN(A129))),"")</f>
        <v/>
      </c>
      <c r="B130" t="str">
        <f>IFERROR(INDEX(Management!$B$3:$B$50,_xlfn.AGGREGATE(15,6,(ROW(Management!$B$3:$B$50)-ROW(Management!$B$3)+1)/((IF(Management!$C$3:$C$50="Unlimited",10^15,Management!$C$3:$C$50))&gt;='1'!$I130),COLUMN(B129))),"")</f>
        <v/>
      </c>
      <c r="C130" t="str">
        <f>IFERROR(INDEX(Management!$B$3:$B$50,_xlfn.AGGREGATE(15,6,(ROW(Management!$B$3:$B$50)-ROW(Management!$B$3)+1)/((IF(Management!$C$3:$C$50="Unlimited",10^15,Management!$C$3:$C$50))&gt;='1'!$I130),COLUMN(C129))),"")</f>
        <v/>
      </c>
      <c r="D130" t="str">
        <f>IFERROR(INDEX(Management!$B$3:$B$50,_xlfn.AGGREGATE(15,6,(ROW(Management!$B$3:$B$50)-ROW(Management!$B$3)+1)/((IF(Management!$C$3:$C$50="Unlimited",10^15,Management!$C$3:$C$50))&gt;='1'!$I130),COLUMN(D129))),"")</f>
        <v/>
      </c>
      <c r="E130" t="str">
        <f>IFERROR(INDEX(Management!$B$3:$B$50,_xlfn.AGGREGATE(15,6,(ROW(Management!$B$3:$B$50)-ROW(Management!$B$3)+1)/((IF(Management!$C$3:$C$50="Unlimited",10^15,Management!$C$3:$C$50))&gt;='1'!$I130),COLUMN(E129))),"")</f>
        <v/>
      </c>
      <c r="F130" t="str">
        <f>IFERROR(INDEX(Management!$B$3:$B$50,_xlfn.AGGREGATE(15,6,(ROW(Management!$B$3:$B$50)-ROW(Management!$B$3)+1)/((IF(Management!$C$3:$C$50="Unlimited",10^15,Management!$C$3:$C$50))&gt;='1'!$I130),COLUMN(F129))),"")</f>
        <v/>
      </c>
      <c r="G130" t="str">
        <f>IFERROR(INDEX(Management!$B$3:$B$50,_xlfn.AGGREGATE(15,6,(ROW(Management!$B$3:$B$50)-ROW(Management!$B$3)+1)/((IF(Management!$C$3:$C$50="Unlimited",10^15,Management!$C$3:$C$50))&gt;='1'!$I130),COLUMN(G129))),"")</f>
        <v/>
      </c>
      <c r="H130" t="str">
        <f>IFERROR(INDEX(Management!$B$3:$B$50,_xlfn.AGGREGATE(15,6,(ROW(Management!$B$3:$B$50)-ROW(Management!$B$3)+1)/((IF(Management!$C$3:$C$50="Unlimited",10^15,Management!$C$3:$C$50))&gt;='1'!$I130),COLUMN(H129))),"")</f>
        <v/>
      </c>
      <c r="I130" t="str">
        <f>IFERROR(INDEX(Management!$B$3:$B$50,_xlfn.AGGREGATE(15,6,(ROW(Management!$B$3:$B$50)-ROW(Management!$B$3)+1)/((IF(Management!$C$3:$C$50="Unlimited",10^15,Management!$C$3:$C$50))&gt;='1'!$I130),COLUMN(I129))),"")</f>
        <v/>
      </c>
      <c r="J130" t="str">
        <f>IFERROR(INDEX(Management!$B$3:$B$50,_xlfn.AGGREGATE(15,6,(ROW(Management!$B$3:$B$50)-ROW(Management!$B$3)+1)/((IF(Management!$C$3:$C$50="Unlimited",10^15,Management!$C$3:$C$50))&gt;='1'!$I130),COLUMN(J129))),"")</f>
        <v/>
      </c>
      <c r="K130" t="str">
        <f>IFERROR(INDEX(Management!$B$3:$B$50,_xlfn.AGGREGATE(15,6,(ROW(Management!$B$3:$B$50)-ROW(Management!$B$3)+1)/((IF(Management!$C$3:$C$50="Unlimited",10^15,Management!$C$3:$C$50))&gt;='1'!$I130),COLUMN(K129))),"")</f>
        <v/>
      </c>
      <c r="L130" t="str">
        <f>IFERROR(INDEX(Management!$B$3:$B$50,_xlfn.AGGREGATE(15,6,(ROW(Management!$B$3:$B$50)-ROW(Management!$B$3)+1)/((IF(Management!$C$3:$C$50="Unlimited",10^15,Management!$C$3:$C$50))&gt;='1'!$I130),COLUMN(L129))),"")</f>
        <v/>
      </c>
      <c r="M130" t="str">
        <f>IFERROR(INDEX(Management!$B$3:$B$50,_xlfn.AGGREGATE(15,6,(ROW(Management!$B$3:$B$50)-ROW(Management!$B$3)+1)/((IF(Management!$C$3:$C$50="Unlimited",10^15,Management!$C$3:$C$50))&gt;='1'!$I130),COLUMN(M129))),"")</f>
        <v/>
      </c>
      <c r="N130" t="str">
        <f>IFERROR(INDEX(Management!$B$3:$B$50,_xlfn.AGGREGATE(15,6,(ROW(Management!$B$3:$B$50)-ROW(Management!$B$3)+1)/((IF(Management!$C$3:$C$50="Unlimited",10^15,Management!$C$3:$C$50))&gt;='1'!$I130),COLUMN(N129))),"")</f>
        <v/>
      </c>
      <c r="O130" t="str">
        <f>IFERROR(INDEX(Management!$B$3:$B$50,_xlfn.AGGREGATE(15,6,(ROW(Management!$B$3:$B$50)-ROW(Management!$B$3)+1)/((IF(Management!$C$3:$C$50="Unlimited",10^15,Management!$C$3:$C$50))&gt;='1'!$I130),COLUMN(O129))),"")</f>
        <v/>
      </c>
      <c r="P130" t="str">
        <f>IFERROR(INDEX(Management!$B$3:$B$50,_xlfn.AGGREGATE(15,6,(ROW(Management!$B$3:$B$50)-ROW(Management!$B$3)+1)/((IF(Management!$C$3:$C$50="Unlimited",10^15,Management!$C$3:$C$50))&gt;='1'!$I130),COLUMN(P129))),"")</f>
        <v/>
      </c>
      <c r="Q130" t="str">
        <f>IFERROR(INDEX(Management!$B$3:$B$50,_xlfn.AGGREGATE(15,6,(ROW(Management!$B$3:$B$50)-ROW(Management!$B$3)+1)/((IF(Management!$C$3:$C$50="Unlimited",10^15,Management!$C$3:$C$50))&gt;='1'!$I130),COLUMN(Q129))),"")</f>
        <v/>
      </c>
      <c r="R130" t="str">
        <f>IFERROR(INDEX(Management!$B$3:$B$50,_xlfn.AGGREGATE(15,6,(ROW(Management!$B$3:$B$50)-ROW(Management!$B$3)+1)/((IF(Management!$C$3:$C$50="Unlimited",10^15,Management!$C$3:$C$50))&gt;='1'!$I130),COLUMN(R129))),"")</f>
        <v/>
      </c>
      <c r="S130" t="str">
        <f>IFERROR(INDEX(Management!$B$3:$B$50,_xlfn.AGGREGATE(15,6,(ROW(Management!$B$3:$B$50)-ROW(Management!$B$3)+1)/((IF(Management!$C$3:$C$50="Unlimited",10^15,Management!$C$3:$C$50))&gt;='1'!$I130),COLUMN(S129))),"")</f>
        <v/>
      </c>
      <c r="T130" t="str">
        <f>IFERROR(INDEX(Management!$B$3:$B$50,_xlfn.AGGREGATE(15,6,(ROW(Management!$B$3:$B$50)-ROW(Management!$B$3)+1)/((IF(Management!$C$3:$C$50="Unlimited",10^15,Management!$C$3:$C$50))&gt;='1'!$I130),COLUMN(T129))),"")</f>
        <v/>
      </c>
    </row>
    <row r="131" spans="1:20">
      <c r="A131" t="str">
        <f>IFERROR(INDEX(Management!$B$3:$B$50,_xlfn.AGGREGATE(15,6,(ROW(Management!$B$3:$B$50)-ROW(Management!$B$3)+1)/((IF(Management!$C$3:$C$50="Unlimited",10^15,Management!$C$3:$C$50))&gt;='1'!$I131),COLUMN(A130))),"")</f>
        <v/>
      </c>
      <c r="B131" t="str">
        <f>IFERROR(INDEX(Management!$B$3:$B$50,_xlfn.AGGREGATE(15,6,(ROW(Management!$B$3:$B$50)-ROW(Management!$B$3)+1)/((IF(Management!$C$3:$C$50="Unlimited",10^15,Management!$C$3:$C$50))&gt;='1'!$I131),COLUMN(B130))),"")</f>
        <v/>
      </c>
      <c r="C131" t="str">
        <f>IFERROR(INDEX(Management!$B$3:$B$50,_xlfn.AGGREGATE(15,6,(ROW(Management!$B$3:$B$50)-ROW(Management!$B$3)+1)/((IF(Management!$C$3:$C$50="Unlimited",10^15,Management!$C$3:$C$50))&gt;='1'!$I131),COLUMN(C130))),"")</f>
        <v/>
      </c>
      <c r="D131" t="str">
        <f>IFERROR(INDEX(Management!$B$3:$B$50,_xlfn.AGGREGATE(15,6,(ROW(Management!$B$3:$B$50)-ROW(Management!$B$3)+1)/((IF(Management!$C$3:$C$50="Unlimited",10^15,Management!$C$3:$C$50))&gt;='1'!$I131),COLUMN(D130))),"")</f>
        <v/>
      </c>
      <c r="E131" t="str">
        <f>IFERROR(INDEX(Management!$B$3:$B$50,_xlfn.AGGREGATE(15,6,(ROW(Management!$B$3:$B$50)-ROW(Management!$B$3)+1)/((IF(Management!$C$3:$C$50="Unlimited",10^15,Management!$C$3:$C$50))&gt;='1'!$I131),COLUMN(E130))),"")</f>
        <v/>
      </c>
      <c r="F131" t="str">
        <f>IFERROR(INDEX(Management!$B$3:$B$50,_xlfn.AGGREGATE(15,6,(ROW(Management!$B$3:$B$50)-ROW(Management!$B$3)+1)/((IF(Management!$C$3:$C$50="Unlimited",10^15,Management!$C$3:$C$50))&gt;='1'!$I131),COLUMN(F130))),"")</f>
        <v/>
      </c>
      <c r="G131" t="str">
        <f>IFERROR(INDEX(Management!$B$3:$B$50,_xlfn.AGGREGATE(15,6,(ROW(Management!$B$3:$B$50)-ROW(Management!$B$3)+1)/((IF(Management!$C$3:$C$50="Unlimited",10^15,Management!$C$3:$C$50))&gt;='1'!$I131),COLUMN(G130))),"")</f>
        <v/>
      </c>
      <c r="H131" t="str">
        <f>IFERROR(INDEX(Management!$B$3:$B$50,_xlfn.AGGREGATE(15,6,(ROW(Management!$B$3:$B$50)-ROW(Management!$B$3)+1)/((IF(Management!$C$3:$C$50="Unlimited",10^15,Management!$C$3:$C$50))&gt;='1'!$I131),COLUMN(H130))),"")</f>
        <v/>
      </c>
      <c r="I131" t="str">
        <f>IFERROR(INDEX(Management!$B$3:$B$50,_xlfn.AGGREGATE(15,6,(ROW(Management!$B$3:$B$50)-ROW(Management!$B$3)+1)/((IF(Management!$C$3:$C$50="Unlimited",10^15,Management!$C$3:$C$50))&gt;='1'!$I131),COLUMN(I130))),"")</f>
        <v/>
      </c>
      <c r="J131" t="str">
        <f>IFERROR(INDEX(Management!$B$3:$B$50,_xlfn.AGGREGATE(15,6,(ROW(Management!$B$3:$B$50)-ROW(Management!$B$3)+1)/((IF(Management!$C$3:$C$50="Unlimited",10^15,Management!$C$3:$C$50))&gt;='1'!$I131),COLUMN(J130))),"")</f>
        <v/>
      </c>
      <c r="K131" t="str">
        <f>IFERROR(INDEX(Management!$B$3:$B$50,_xlfn.AGGREGATE(15,6,(ROW(Management!$B$3:$B$50)-ROW(Management!$B$3)+1)/((IF(Management!$C$3:$C$50="Unlimited",10^15,Management!$C$3:$C$50))&gt;='1'!$I131),COLUMN(K130))),"")</f>
        <v/>
      </c>
      <c r="L131" t="str">
        <f>IFERROR(INDEX(Management!$B$3:$B$50,_xlfn.AGGREGATE(15,6,(ROW(Management!$B$3:$B$50)-ROW(Management!$B$3)+1)/((IF(Management!$C$3:$C$50="Unlimited",10^15,Management!$C$3:$C$50))&gt;='1'!$I131),COLUMN(L130))),"")</f>
        <v/>
      </c>
      <c r="M131" t="str">
        <f>IFERROR(INDEX(Management!$B$3:$B$50,_xlfn.AGGREGATE(15,6,(ROW(Management!$B$3:$B$50)-ROW(Management!$B$3)+1)/((IF(Management!$C$3:$C$50="Unlimited",10^15,Management!$C$3:$C$50))&gt;='1'!$I131),COLUMN(M130))),"")</f>
        <v/>
      </c>
      <c r="N131" t="str">
        <f>IFERROR(INDEX(Management!$B$3:$B$50,_xlfn.AGGREGATE(15,6,(ROW(Management!$B$3:$B$50)-ROW(Management!$B$3)+1)/((IF(Management!$C$3:$C$50="Unlimited",10^15,Management!$C$3:$C$50))&gt;='1'!$I131),COLUMN(N130))),"")</f>
        <v/>
      </c>
      <c r="O131" t="str">
        <f>IFERROR(INDEX(Management!$B$3:$B$50,_xlfn.AGGREGATE(15,6,(ROW(Management!$B$3:$B$50)-ROW(Management!$B$3)+1)/((IF(Management!$C$3:$C$50="Unlimited",10^15,Management!$C$3:$C$50))&gt;='1'!$I131),COLUMN(O130))),"")</f>
        <v/>
      </c>
      <c r="P131" t="str">
        <f>IFERROR(INDEX(Management!$B$3:$B$50,_xlfn.AGGREGATE(15,6,(ROW(Management!$B$3:$B$50)-ROW(Management!$B$3)+1)/((IF(Management!$C$3:$C$50="Unlimited",10^15,Management!$C$3:$C$50))&gt;='1'!$I131),COLUMN(P130))),"")</f>
        <v/>
      </c>
      <c r="Q131" t="str">
        <f>IFERROR(INDEX(Management!$B$3:$B$50,_xlfn.AGGREGATE(15,6,(ROW(Management!$B$3:$B$50)-ROW(Management!$B$3)+1)/((IF(Management!$C$3:$C$50="Unlimited",10^15,Management!$C$3:$C$50))&gt;='1'!$I131),COLUMN(Q130))),"")</f>
        <v/>
      </c>
      <c r="R131" t="str">
        <f>IFERROR(INDEX(Management!$B$3:$B$50,_xlfn.AGGREGATE(15,6,(ROW(Management!$B$3:$B$50)-ROW(Management!$B$3)+1)/((IF(Management!$C$3:$C$50="Unlimited",10^15,Management!$C$3:$C$50))&gt;='1'!$I131),COLUMN(R130))),"")</f>
        <v/>
      </c>
      <c r="S131" t="str">
        <f>IFERROR(INDEX(Management!$B$3:$B$50,_xlfn.AGGREGATE(15,6,(ROW(Management!$B$3:$B$50)-ROW(Management!$B$3)+1)/((IF(Management!$C$3:$C$50="Unlimited",10^15,Management!$C$3:$C$50))&gt;='1'!$I131),COLUMN(S130))),"")</f>
        <v/>
      </c>
      <c r="T131" t="str">
        <f>IFERROR(INDEX(Management!$B$3:$B$50,_xlfn.AGGREGATE(15,6,(ROW(Management!$B$3:$B$50)-ROW(Management!$B$3)+1)/((IF(Management!$C$3:$C$50="Unlimited",10^15,Management!$C$3:$C$50))&gt;='1'!$I131),COLUMN(T130))),"")</f>
        <v/>
      </c>
    </row>
    <row r="132" spans="1:20">
      <c r="A132" t="str">
        <f>IFERROR(INDEX(Management!$B$3:$B$50,_xlfn.AGGREGATE(15,6,(ROW(Management!$B$3:$B$50)-ROW(Management!$B$3)+1)/((IF(Management!$C$3:$C$50="Unlimited",10^15,Management!$C$3:$C$50))&gt;='1'!$I132),COLUMN(A131))),"")</f>
        <v/>
      </c>
      <c r="B132" t="str">
        <f>IFERROR(INDEX(Management!$B$3:$B$50,_xlfn.AGGREGATE(15,6,(ROW(Management!$B$3:$B$50)-ROW(Management!$B$3)+1)/((IF(Management!$C$3:$C$50="Unlimited",10^15,Management!$C$3:$C$50))&gt;='1'!$I132),COLUMN(B131))),"")</f>
        <v/>
      </c>
      <c r="C132" t="str">
        <f>IFERROR(INDEX(Management!$B$3:$B$50,_xlfn.AGGREGATE(15,6,(ROW(Management!$B$3:$B$50)-ROW(Management!$B$3)+1)/((IF(Management!$C$3:$C$50="Unlimited",10^15,Management!$C$3:$C$50))&gt;='1'!$I132),COLUMN(C131))),"")</f>
        <v/>
      </c>
      <c r="D132" t="str">
        <f>IFERROR(INDEX(Management!$B$3:$B$50,_xlfn.AGGREGATE(15,6,(ROW(Management!$B$3:$B$50)-ROW(Management!$B$3)+1)/((IF(Management!$C$3:$C$50="Unlimited",10^15,Management!$C$3:$C$50))&gt;='1'!$I132),COLUMN(D131))),"")</f>
        <v/>
      </c>
      <c r="E132" t="str">
        <f>IFERROR(INDEX(Management!$B$3:$B$50,_xlfn.AGGREGATE(15,6,(ROW(Management!$B$3:$B$50)-ROW(Management!$B$3)+1)/((IF(Management!$C$3:$C$50="Unlimited",10^15,Management!$C$3:$C$50))&gt;='1'!$I132),COLUMN(E131))),"")</f>
        <v/>
      </c>
      <c r="F132" t="str">
        <f>IFERROR(INDEX(Management!$B$3:$B$50,_xlfn.AGGREGATE(15,6,(ROW(Management!$B$3:$B$50)-ROW(Management!$B$3)+1)/((IF(Management!$C$3:$C$50="Unlimited",10^15,Management!$C$3:$C$50))&gt;='1'!$I132),COLUMN(F131))),"")</f>
        <v/>
      </c>
      <c r="G132" t="str">
        <f>IFERROR(INDEX(Management!$B$3:$B$50,_xlfn.AGGREGATE(15,6,(ROW(Management!$B$3:$B$50)-ROW(Management!$B$3)+1)/((IF(Management!$C$3:$C$50="Unlimited",10^15,Management!$C$3:$C$50))&gt;='1'!$I132),COLUMN(G131))),"")</f>
        <v/>
      </c>
      <c r="H132" t="str">
        <f>IFERROR(INDEX(Management!$B$3:$B$50,_xlfn.AGGREGATE(15,6,(ROW(Management!$B$3:$B$50)-ROW(Management!$B$3)+1)/((IF(Management!$C$3:$C$50="Unlimited",10^15,Management!$C$3:$C$50))&gt;='1'!$I132),COLUMN(H131))),"")</f>
        <v/>
      </c>
      <c r="I132" t="str">
        <f>IFERROR(INDEX(Management!$B$3:$B$50,_xlfn.AGGREGATE(15,6,(ROW(Management!$B$3:$B$50)-ROW(Management!$B$3)+1)/((IF(Management!$C$3:$C$50="Unlimited",10^15,Management!$C$3:$C$50))&gt;='1'!$I132),COLUMN(I131))),"")</f>
        <v/>
      </c>
      <c r="J132" t="str">
        <f>IFERROR(INDEX(Management!$B$3:$B$50,_xlfn.AGGREGATE(15,6,(ROW(Management!$B$3:$B$50)-ROW(Management!$B$3)+1)/((IF(Management!$C$3:$C$50="Unlimited",10^15,Management!$C$3:$C$50))&gt;='1'!$I132),COLUMN(J131))),"")</f>
        <v/>
      </c>
      <c r="K132" t="str">
        <f>IFERROR(INDEX(Management!$B$3:$B$50,_xlfn.AGGREGATE(15,6,(ROW(Management!$B$3:$B$50)-ROW(Management!$B$3)+1)/((IF(Management!$C$3:$C$50="Unlimited",10^15,Management!$C$3:$C$50))&gt;='1'!$I132),COLUMN(K131))),"")</f>
        <v/>
      </c>
      <c r="L132" t="str">
        <f>IFERROR(INDEX(Management!$B$3:$B$50,_xlfn.AGGREGATE(15,6,(ROW(Management!$B$3:$B$50)-ROW(Management!$B$3)+1)/((IF(Management!$C$3:$C$50="Unlimited",10^15,Management!$C$3:$C$50))&gt;='1'!$I132),COLUMN(L131))),"")</f>
        <v/>
      </c>
      <c r="M132" t="str">
        <f>IFERROR(INDEX(Management!$B$3:$B$50,_xlfn.AGGREGATE(15,6,(ROW(Management!$B$3:$B$50)-ROW(Management!$B$3)+1)/((IF(Management!$C$3:$C$50="Unlimited",10^15,Management!$C$3:$C$50))&gt;='1'!$I132),COLUMN(M131))),"")</f>
        <v/>
      </c>
      <c r="N132" t="str">
        <f>IFERROR(INDEX(Management!$B$3:$B$50,_xlfn.AGGREGATE(15,6,(ROW(Management!$B$3:$B$50)-ROW(Management!$B$3)+1)/((IF(Management!$C$3:$C$50="Unlimited",10^15,Management!$C$3:$C$50))&gt;='1'!$I132),COLUMN(N131))),"")</f>
        <v/>
      </c>
      <c r="O132" t="str">
        <f>IFERROR(INDEX(Management!$B$3:$B$50,_xlfn.AGGREGATE(15,6,(ROW(Management!$B$3:$B$50)-ROW(Management!$B$3)+1)/((IF(Management!$C$3:$C$50="Unlimited",10^15,Management!$C$3:$C$50))&gt;='1'!$I132),COLUMN(O131))),"")</f>
        <v/>
      </c>
      <c r="P132" t="str">
        <f>IFERROR(INDEX(Management!$B$3:$B$50,_xlfn.AGGREGATE(15,6,(ROW(Management!$B$3:$B$50)-ROW(Management!$B$3)+1)/((IF(Management!$C$3:$C$50="Unlimited",10^15,Management!$C$3:$C$50))&gt;='1'!$I132),COLUMN(P131))),"")</f>
        <v/>
      </c>
      <c r="Q132" t="str">
        <f>IFERROR(INDEX(Management!$B$3:$B$50,_xlfn.AGGREGATE(15,6,(ROW(Management!$B$3:$B$50)-ROW(Management!$B$3)+1)/((IF(Management!$C$3:$C$50="Unlimited",10^15,Management!$C$3:$C$50))&gt;='1'!$I132),COLUMN(Q131))),"")</f>
        <v/>
      </c>
      <c r="R132" t="str">
        <f>IFERROR(INDEX(Management!$B$3:$B$50,_xlfn.AGGREGATE(15,6,(ROW(Management!$B$3:$B$50)-ROW(Management!$B$3)+1)/((IF(Management!$C$3:$C$50="Unlimited",10^15,Management!$C$3:$C$50))&gt;='1'!$I132),COLUMN(R131))),"")</f>
        <v/>
      </c>
      <c r="S132" t="str">
        <f>IFERROR(INDEX(Management!$B$3:$B$50,_xlfn.AGGREGATE(15,6,(ROW(Management!$B$3:$B$50)-ROW(Management!$B$3)+1)/((IF(Management!$C$3:$C$50="Unlimited",10^15,Management!$C$3:$C$50))&gt;='1'!$I132),COLUMN(S131))),"")</f>
        <v/>
      </c>
      <c r="T132" t="str">
        <f>IFERROR(INDEX(Management!$B$3:$B$50,_xlfn.AGGREGATE(15,6,(ROW(Management!$B$3:$B$50)-ROW(Management!$B$3)+1)/((IF(Management!$C$3:$C$50="Unlimited",10^15,Management!$C$3:$C$50))&gt;='1'!$I132),COLUMN(T131))),"")</f>
        <v/>
      </c>
    </row>
    <row r="133" spans="1:20">
      <c r="A133" t="str">
        <f>IFERROR(INDEX(Management!$B$3:$B$50,_xlfn.AGGREGATE(15,6,(ROW(Management!$B$3:$B$50)-ROW(Management!$B$3)+1)/((IF(Management!$C$3:$C$50="Unlimited",10^15,Management!$C$3:$C$50))&gt;='1'!$I133),COLUMN(A132))),"")</f>
        <v/>
      </c>
      <c r="B133" t="str">
        <f>IFERROR(INDEX(Management!$B$3:$B$50,_xlfn.AGGREGATE(15,6,(ROW(Management!$B$3:$B$50)-ROW(Management!$B$3)+1)/((IF(Management!$C$3:$C$50="Unlimited",10^15,Management!$C$3:$C$50))&gt;='1'!$I133),COLUMN(B132))),"")</f>
        <v/>
      </c>
      <c r="C133" t="str">
        <f>IFERROR(INDEX(Management!$B$3:$B$50,_xlfn.AGGREGATE(15,6,(ROW(Management!$B$3:$B$50)-ROW(Management!$B$3)+1)/((IF(Management!$C$3:$C$50="Unlimited",10^15,Management!$C$3:$C$50))&gt;='1'!$I133),COLUMN(C132))),"")</f>
        <v/>
      </c>
      <c r="D133" t="str">
        <f>IFERROR(INDEX(Management!$B$3:$B$50,_xlfn.AGGREGATE(15,6,(ROW(Management!$B$3:$B$50)-ROW(Management!$B$3)+1)/((IF(Management!$C$3:$C$50="Unlimited",10^15,Management!$C$3:$C$50))&gt;='1'!$I133),COLUMN(D132))),"")</f>
        <v/>
      </c>
      <c r="E133" t="str">
        <f>IFERROR(INDEX(Management!$B$3:$B$50,_xlfn.AGGREGATE(15,6,(ROW(Management!$B$3:$B$50)-ROW(Management!$B$3)+1)/((IF(Management!$C$3:$C$50="Unlimited",10^15,Management!$C$3:$C$50))&gt;='1'!$I133),COLUMN(E132))),"")</f>
        <v/>
      </c>
      <c r="F133" t="str">
        <f>IFERROR(INDEX(Management!$B$3:$B$50,_xlfn.AGGREGATE(15,6,(ROW(Management!$B$3:$B$50)-ROW(Management!$B$3)+1)/((IF(Management!$C$3:$C$50="Unlimited",10^15,Management!$C$3:$C$50))&gt;='1'!$I133),COLUMN(F132))),"")</f>
        <v/>
      </c>
      <c r="G133" t="str">
        <f>IFERROR(INDEX(Management!$B$3:$B$50,_xlfn.AGGREGATE(15,6,(ROW(Management!$B$3:$B$50)-ROW(Management!$B$3)+1)/((IF(Management!$C$3:$C$50="Unlimited",10^15,Management!$C$3:$C$50))&gt;='1'!$I133),COLUMN(G132))),"")</f>
        <v/>
      </c>
      <c r="H133" t="str">
        <f>IFERROR(INDEX(Management!$B$3:$B$50,_xlfn.AGGREGATE(15,6,(ROW(Management!$B$3:$B$50)-ROW(Management!$B$3)+1)/((IF(Management!$C$3:$C$50="Unlimited",10^15,Management!$C$3:$C$50))&gt;='1'!$I133),COLUMN(H132))),"")</f>
        <v/>
      </c>
      <c r="I133" t="str">
        <f>IFERROR(INDEX(Management!$B$3:$B$50,_xlfn.AGGREGATE(15,6,(ROW(Management!$B$3:$B$50)-ROW(Management!$B$3)+1)/((IF(Management!$C$3:$C$50="Unlimited",10^15,Management!$C$3:$C$50))&gt;='1'!$I133),COLUMN(I132))),"")</f>
        <v/>
      </c>
      <c r="J133" t="str">
        <f>IFERROR(INDEX(Management!$B$3:$B$50,_xlfn.AGGREGATE(15,6,(ROW(Management!$B$3:$B$50)-ROW(Management!$B$3)+1)/((IF(Management!$C$3:$C$50="Unlimited",10^15,Management!$C$3:$C$50))&gt;='1'!$I133),COLUMN(J132))),"")</f>
        <v/>
      </c>
      <c r="K133" t="str">
        <f>IFERROR(INDEX(Management!$B$3:$B$50,_xlfn.AGGREGATE(15,6,(ROW(Management!$B$3:$B$50)-ROW(Management!$B$3)+1)/((IF(Management!$C$3:$C$50="Unlimited",10^15,Management!$C$3:$C$50))&gt;='1'!$I133),COLUMN(K132))),"")</f>
        <v/>
      </c>
      <c r="L133" t="str">
        <f>IFERROR(INDEX(Management!$B$3:$B$50,_xlfn.AGGREGATE(15,6,(ROW(Management!$B$3:$B$50)-ROW(Management!$B$3)+1)/((IF(Management!$C$3:$C$50="Unlimited",10^15,Management!$C$3:$C$50))&gt;='1'!$I133),COLUMN(L132))),"")</f>
        <v/>
      </c>
      <c r="M133" t="str">
        <f>IFERROR(INDEX(Management!$B$3:$B$50,_xlfn.AGGREGATE(15,6,(ROW(Management!$B$3:$B$50)-ROW(Management!$B$3)+1)/((IF(Management!$C$3:$C$50="Unlimited",10^15,Management!$C$3:$C$50))&gt;='1'!$I133),COLUMN(M132))),"")</f>
        <v/>
      </c>
      <c r="N133" t="str">
        <f>IFERROR(INDEX(Management!$B$3:$B$50,_xlfn.AGGREGATE(15,6,(ROW(Management!$B$3:$B$50)-ROW(Management!$B$3)+1)/((IF(Management!$C$3:$C$50="Unlimited",10^15,Management!$C$3:$C$50))&gt;='1'!$I133),COLUMN(N132))),"")</f>
        <v/>
      </c>
      <c r="O133" t="str">
        <f>IFERROR(INDEX(Management!$B$3:$B$50,_xlfn.AGGREGATE(15,6,(ROW(Management!$B$3:$B$50)-ROW(Management!$B$3)+1)/((IF(Management!$C$3:$C$50="Unlimited",10^15,Management!$C$3:$C$50))&gt;='1'!$I133),COLUMN(O132))),"")</f>
        <v/>
      </c>
      <c r="P133" t="str">
        <f>IFERROR(INDEX(Management!$B$3:$B$50,_xlfn.AGGREGATE(15,6,(ROW(Management!$B$3:$B$50)-ROW(Management!$B$3)+1)/((IF(Management!$C$3:$C$50="Unlimited",10^15,Management!$C$3:$C$50))&gt;='1'!$I133),COLUMN(P132))),"")</f>
        <v/>
      </c>
      <c r="Q133" t="str">
        <f>IFERROR(INDEX(Management!$B$3:$B$50,_xlfn.AGGREGATE(15,6,(ROW(Management!$B$3:$B$50)-ROW(Management!$B$3)+1)/((IF(Management!$C$3:$C$50="Unlimited",10^15,Management!$C$3:$C$50))&gt;='1'!$I133),COLUMN(Q132))),"")</f>
        <v/>
      </c>
      <c r="R133" t="str">
        <f>IFERROR(INDEX(Management!$B$3:$B$50,_xlfn.AGGREGATE(15,6,(ROW(Management!$B$3:$B$50)-ROW(Management!$B$3)+1)/((IF(Management!$C$3:$C$50="Unlimited",10^15,Management!$C$3:$C$50))&gt;='1'!$I133),COLUMN(R132))),"")</f>
        <v/>
      </c>
      <c r="S133" t="str">
        <f>IFERROR(INDEX(Management!$B$3:$B$50,_xlfn.AGGREGATE(15,6,(ROW(Management!$B$3:$B$50)-ROW(Management!$B$3)+1)/((IF(Management!$C$3:$C$50="Unlimited",10^15,Management!$C$3:$C$50))&gt;='1'!$I133),COLUMN(S132))),"")</f>
        <v/>
      </c>
      <c r="T133" t="str">
        <f>IFERROR(INDEX(Management!$B$3:$B$50,_xlfn.AGGREGATE(15,6,(ROW(Management!$B$3:$B$50)-ROW(Management!$B$3)+1)/((IF(Management!$C$3:$C$50="Unlimited",10^15,Management!$C$3:$C$50))&gt;='1'!$I133),COLUMN(T132))),"")</f>
        <v/>
      </c>
    </row>
    <row r="134" spans="1:20">
      <c r="A134" t="str">
        <f>IFERROR(INDEX(Management!$B$3:$B$50,_xlfn.AGGREGATE(15,6,(ROW(Management!$B$3:$B$50)-ROW(Management!$B$3)+1)/((IF(Management!$C$3:$C$50="Unlimited",10^15,Management!$C$3:$C$50))&gt;='1'!$I134),COLUMN(A133))),"")</f>
        <v/>
      </c>
      <c r="B134" t="str">
        <f>IFERROR(INDEX(Management!$B$3:$B$50,_xlfn.AGGREGATE(15,6,(ROW(Management!$B$3:$B$50)-ROW(Management!$B$3)+1)/((IF(Management!$C$3:$C$50="Unlimited",10^15,Management!$C$3:$C$50))&gt;='1'!$I134),COLUMN(B133))),"")</f>
        <v/>
      </c>
      <c r="C134" t="str">
        <f>IFERROR(INDEX(Management!$B$3:$B$50,_xlfn.AGGREGATE(15,6,(ROW(Management!$B$3:$B$50)-ROW(Management!$B$3)+1)/((IF(Management!$C$3:$C$50="Unlimited",10^15,Management!$C$3:$C$50))&gt;='1'!$I134),COLUMN(C133))),"")</f>
        <v/>
      </c>
      <c r="D134" t="str">
        <f>IFERROR(INDEX(Management!$B$3:$B$50,_xlfn.AGGREGATE(15,6,(ROW(Management!$B$3:$B$50)-ROW(Management!$B$3)+1)/((IF(Management!$C$3:$C$50="Unlimited",10^15,Management!$C$3:$C$50))&gt;='1'!$I134),COLUMN(D133))),"")</f>
        <v/>
      </c>
      <c r="E134" t="str">
        <f>IFERROR(INDEX(Management!$B$3:$B$50,_xlfn.AGGREGATE(15,6,(ROW(Management!$B$3:$B$50)-ROW(Management!$B$3)+1)/((IF(Management!$C$3:$C$50="Unlimited",10^15,Management!$C$3:$C$50))&gt;='1'!$I134),COLUMN(E133))),"")</f>
        <v/>
      </c>
      <c r="F134" t="str">
        <f>IFERROR(INDEX(Management!$B$3:$B$50,_xlfn.AGGREGATE(15,6,(ROW(Management!$B$3:$B$50)-ROW(Management!$B$3)+1)/((IF(Management!$C$3:$C$50="Unlimited",10^15,Management!$C$3:$C$50))&gt;='1'!$I134),COLUMN(F133))),"")</f>
        <v/>
      </c>
      <c r="G134" t="str">
        <f>IFERROR(INDEX(Management!$B$3:$B$50,_xlfn.AGGREGATE(15,6,(ROW(Management!$B$3:$B$50)-ROW(Management!$B$3)+1)/((IF(Management!$C$3:$C$50="Unlimited",10^15,Management!$C$3:$C$50))&gt;='1'!$I134),COLUMN(G133))),"")</f>
        <v/>
      </c>
      <c r="H134" t="str">
        <f>IFERROR(INDEX(Management!$B$3:$B$50,_xlfn.AGGREGATE(15,6,(ROW(Management!$B$3:$B$50)-ROW(Management!$B$3)+1)/((IF(Management!$C$3:$C$50="Unlimited",10^15,Management!$C$3:$C$50))&gt;='1'!$I134),COLUMN(H133))),"")</f>
        <v/>
      </c>
      <c r="I134" t="str">
        <f>IFERROR(INDEX(Management!$B$3:$B$50,_xlfn.AGGREGATE(15,6,(ROW(Management!$B$3:$B$50)-ROW(Management!$B$3)+1)/((IF(Management!$C$3:$C$50="Unlimited",10^15,Management!$C$3:$C$50))&gt;='1'!$I134),COLUMN(I133))),"")</f>
        <v/>
      </c>
      <c r="J134" t="str">
        <f>IFERROR(INDEX(Management!$B$3:$B$50,_xlfn.AGGREGATE(15,6,(ROW(Management!$B$3:$B$50)-ROW(Management!$B$3)+1)/((IF(Management!$C$3:$C$50="Unlimited",10^15,Management!$C$3:$C$50))&gt;='1'!$I134),COLUMN(J133))),"")</f>
        <v/>
      </c>
      <c r="K134" t="str">
        <f>IFERROR(INDEX(Management!$B$3:$B$50,_xlfn.AGGREGATE(15,6,(ROW(Management!$B$3:$B$50)-ROW(Management!$B$3)+1)/((IF(Management!$C$3:$C$50="Unlimited",10^15,Management!$C$3:$C$50))&gt;='1'!$I134),COLUMN(K133))),"")</f>
        <v/>
      </c>
      <c r="L134" t="str">
        <f>IFERROR(INDEX(Management!$B$3:$B$50,_xlfn.AGGREGATE(15,6,(ROW(Management!$B$3:$B$50)-ROW(Management!$B$3)+1)/((IF(Management!$C$3:$C$50="Unlimited",10^15,Management!$C$3:$C$50))&gt;='1'!$I134),COLUMN(L133))),"")</f>
        <v/>
      </c>
      <c r="M134" t="str">
        <f>IFERROR(INDEX(Management!$B$3:$B$50,_xlfn.AGGREGATE(15,6,(ROW(Management!$B$3:$B$50)-ROW(Management!$B$3)+1)/((IF(Management!$C$3:$C$50="Unlimited",10^15,Management!$C$3:$C$50))&gt;='1'!$I134),COLUMN(M133))),"")</f>
        <v/>
      </c>
      <c r="N134" t="str">
        <f>IFERROR(INDEX(Management!$B$3:$B$50,_xlfn.AGGREGATE(15,6,(ROW(Management!$B$3:$B$50)-ROW(Management!$B$3)+1)/((IF(Management!$C$3:$C$50="Unlimited",10^15,Management!$C$3:$C$50))&gt;='1'!$I134),COLUMN(N133))),"")</f>
        <v/>
      </c>
      <c r="O134" t="str">
        <f>IFERROR(INDEX(Management!$B$3:$B$50,_xlfn.AGGREGATE(15,6,(ROW(Management!$B$3:$B$50)-ROW(Management!$B$3)+1)/((IF(Management!$C$3:$C$50="Unlimited",10^15,Management!$C$3:$C$50))&gt;='1'!$I134),COLUMN(O133))),"")</f>
        <v/>
      </c>
      <c r="P134" t="str">
        <f>IFERROR(INDEX(Management!$B$3:$B$50,_xlfn.AGGREGATE(15,6,(ROW(Management!$B$3:$B$50)-ROW(Management!$B$3)+1)/((IF(Management!$C$3:$C$50="Unlimited",10^15,Management!$C$3:$C$50))&gt;='1'!$I134),COLUMN(P133))),"")</f>
        <v/>
      </c>
      <c r="Q134" t="str">
        <f>IFERROR(INDEX(Management!$B$3:$B$50,_xlfn.AGGREGATE(15,6,(ROW(Management!$B$3:$B$50)-ROW(Management!$B$3)+1)/((IF(Management!$C$3:$C$50="Unlimited",10^15,Management!$C$3:$C$50))&gt;='1'!$I134),COLUMN(Q133))),"")</f>
        <v/>
      </c>
      <c r="R134" t="str">
        <f>IFERROR(INDEX(Management!$B$3:$B$50,_xlfn.AGGREGATE(15,6,(ROW(Management!$B$3:$B$50)-ROW(Management!$B$3)+1)/((IF(Management!$C$3:$C$50="Unlimited",10^15,Management!$C$3:$C$50))&gt;='1'!$I134),COLUMN(R133))),"")</f>
        <v/>
      </c>
      <c r="S134" t="str">
        <f>IFERROR(INDEX(Management!$B$3:$B$50,_xlfn.AGGREGATE(15,6,(ROW(Management!$B$3:$B$50)-ROW(Management!$B$3)+1)/((IF(Management!$C$3:$C$50="Unlimited",10^15,Management!$C$3:$C$50))&gt;='1'!$I134),COLUMN(S133))),"")</f>
        <v/>
      </c>
      <c r="T134" t="str">
        <f>IFERROR(INDEX(Management!$B$3:$B$50,_xlfn.AGGREGATE(15,6,(ROW(Management!$B$3:$B$50)-ROW(Management!$B$3)+1)/((IF(Management!$C$3:$C$50="Unlimited",10^15,Management!$C$3:$C$50))&gt;='1'!$I134),COLUMN(T133))),"")</f>
        <v/>
      </c>
    </row>
    <row r="135" spans="1:20">
      <c r="A135" t="str">
        <f>IFERROR(INDEX(Management!$B$3:$B$50,_xlfn.AGGREGATE(15,6,(ROW(Management!$B$3:$B$50)-ROW(Management!$B$3)+1)/((IF(Management!$C$3:$C$50="Unlimited",10^15,Management!$C$3:$C$50))&gt;='1'!$I135),COLUMN(A134))),"")</f>
        <v/>
      </c>
      <c r="B135" t="str">
        <f>IFERROR(INDEX(Management!$B$3:$B$50,_xlfn.AGGREGATE(15,6,(ROW(Management!$B$3:$B$50)-ROW(Management!$B$3)+1)/((IF(Management!$C$3:$C$50="Unlimited",10^15,Management!$C$3:$C$50))&gt;='1'!$I135),COLUMN(B134))),"")</f>
        <v/>
      </c>
      <c r="C135" t="str">
        <f>IFERROR(INDEX(Management!$B$3:$B$50,_xlfn.AGGREGATE(15,6,(ROW(Management!$B$3:$B$50)-ROW(Management!$B$3)+1)/((IF(Management!$C$3:$C$50="Unlimited",10^15,Management!$C$3:$C$50))&gt;='1'!$I135),COLUMN(C134))),"")</f>
        <v/>
      </c>
      <c r="D135" t="str">
        <f>IFERROR(INDEX(Management!$B$3:$B$50,_xlfn.AGGREGATE(15,6,(ROW(Management!$B$3:$B$50)-ROW(Management!$B$3)+1)/((IF(Management!$C$3:$C$50="Unlimited",10^15,Management!$C$3:$C$50))&gt;='1'!$I135),COLUMN(D134))),"")</f>
        <v/>
      </c>
      <c r="E135" t="str">
        <f>IFERROR(INDEX(Management!$B$3:$B$50,_xlfn.AGGREGATE(15,6,(ROW(Management!$B$3:$B$50)-ROW(Management!$B$3)+1)/((IF(Management!$C$3:$C$50="Unlimited",10^15,Management!$C$3:$C$50))&gt;='1'!$I135),COLUMN(E134))),"")</f>
        <v/>
      </c>
      <c r="F135" t="str">
        <f>IFERROR(INDEX(Management!$B$3:$B$50,_xlfn.AGGREGATE(15,6,(ROW(Management!$B$3:$B$50)-ROW(Management!$B$3)+1)/((IF(Management!$C$3:$C$50="Unlimited",10^15,Management!$C$3:$C$50))&gt;='1'!$I135),COLUMN(F134))),"")</f>
        <v/>
      </c>
      <c r="G135" t="str">
        <f>IFERROR(INDEX(Management!$B$3:$B$50,_xlfn.AGGREGATE(15,6,(ROW(Management!$B$3:$B$50)-ROW(Management!$B$3)+1)/((IF(Management!$C$3:$C$50="Unlimited",10^15,Management!$C$3:$C$50))&gt;='1'!$I135),COLUMN(G134))),"")</f>
        <v/>
      </c>
      <c r="H135" t="str">
        <f>IFERROR(INDEX(Management!$B$3:$B$50,_xlfn.AGGREGATE(15,6,(ROW(Management!$B$3:$B$50)-ROW(Management!$B$3)+1)/((IF(Management!$C$3:$C$50="Unlimited",10^15,Management!$C$3:$C$50))&gt;='1'!$I135),COLUMN(H134))),"")</f>
        <v/>
      </c>
      <c r="I135" t="str">
        <f>IFERROR(INDEX(Management!$B$3:$B$50,_xlfn.AGGREGATE(15,6,(ROW(Management!$B$3:$B$50)-ROW(Management!$B$3)+1)/((IF(Management!$C$3:$C$50="Unlimited",10^15,Management!$C$3:$C$50))&gt;='1'!$I135),COLUMN(I134))),"")</f>
        <v/>
      </c>
      <c r="J135" t="str">
        <f>IFERROR(INDEX(Management!$B$3:$B$50,_xlfn.AGGREGATE(15,6,(ROW(Management!$B$3:$B$50)-ROW(Management!$B$3)+1)/((IF(Management!$C$3:$C$50="Unlimited",10^15,Management!$C$3:$C$50))&gt;='1'!$I135),COLUMN(J134))),"")</f>
        <v/>
      </c>
      <c r="K135" t="str">
        <f>IFERROR(INDEX(Management!$B$3:$B$50,_xlfn.AGGREGATE(15,6,(ROW(Management!$B$3:$B$50)-ROW(Management!$B$3)+1)/((IF(Management!$C$3:$C$50="Unlimited",10^15,Management!$C$3:$C$50))&gt;='1'!$I135),COLUMN(K134))),"")</f>
        <v/>
      </c>
      <c r="L135" t="str">
        <f>IFERROR(INDEX(Management!$B$3:$B$50,_xlfn.AGGREGATE(15,6,(ROW(Management!$B$3:$B$50)-ROW(Management!$B$3)+1)/((IF(Management!$C$3:$C$50="Unlimited",10^15,Management!$C$3:$C$50))&gt;='1'!$I135),COLUMN(L134))),"")</f>
        <v/>
      </c>
      <c r="M135" t="str">
        <f>IFERROR(INDEX(Management!$B$3:$B$50,_xlfn.AGGREGATE(15,6,(ROW(Management!$B$3:$B$50)-ROW(Management!$B$3)+1)/((IF(Management!$C$3:$C$50="Unlimited",10^15,Management!$C$3:$C$50))&gt;='1'!$I135),COLUMN(M134))),"")</f>
        <v/>
      </c>
      <c r="N135" t="str">
        <f>IFERROR(INDEX(Management!$B$3:$B$50,_xlfn.AGGREGATE(15,6,(ROW(Management!$B$3:$B$50)-ROW(Management!$B$3)+1)/((IF(Management!$C$3:$C$50="Unlimited",10^15,Management!$C$3:$C$50))&gt;='1'!$I135),COLUMN(N134))),"")</f>
        <v/>
      </c>
      <c r="O135" t="str">
        <f>IFERROR(INDEX(Management!$B$3:$B$50,_xlfn.AGGREGATE(15,6,(ROW(Management!$B$3:$B$50)-ROW(Management!$B$3)+1)/((IF(Management!$C$3:$C$50="Unlimited",10^15,Management!$C$3:$C$50))&gt;='1'!$I135),COLUMN(O134))),"")</f>
        <v/>
      </c>
      <c r="P135" t="str">
        <f>IFERROR(INDEX(Management!$B$3:$B$50,_xlfn.AGGREGATE(15,6,(ROW(Management!$B$3:$B$50)-ROW(Management!$B$3)+1)/((IF(Management!$C$3:$C$50="Unlimited",10^15,Management!$C$3:$C$50))&gt;='1'!$I135),COLUMN(P134))),"")</f>
        <v/>
      </c>
      <c r="Q135" t="str">
        <f>IFERROR(INDEX(Management!$B$3:$B$50,_xlfn.AGGREGATE(15,6,(ROW(Management!$B$3:$B$50)-ROW(Management!$B$3)+1)/((IF(Management!$C$3:$C$50="Unlimited",10^15,Management!$C$3:$C$50))&gt;='1'!$I135),COLUMN(Q134))),"")</f>
        <v/>
      </c>
      <c r="R135" t="str">
        <f>IFERROR(INDEX(Management!$B$3:$B$50,_xlfn.AGGREGATE(15,6,(ROW(Management!$B$3:$B$50)-ROW(Management!$B$3)+1)/((IF(Management!$C$3:$C$50="Unlimited",10^15,Management!$C$3:$C$50))&gt;='1'!$I135),COLUMN(R134))),"")</f>
        <v/>
      </c>
      <c r="S135" t="str">
        <f>IFERROR(INDEX(Management!$B$3:$B$50,_xlfn.AGGREGATE(15,6,(ROW(Management!$B$3:$B$50)-ROW(Management!$B$3)+1)/((IF(Management!$C$3:$C$50="Unlimited",10^15,Management!$C$3:$C$50))&gt;='1'!$I135),COLUMN(S134))),"")</f>
        <v/>
      </c>
      <c r="T135" t="str">
        <f>IFERROR(INDEX(Management!$B$3:$B$50,_xlfn.AGGREGATE(15,6,(ROW(Management!$B$3:$B$50)-ROW(Management!$B$3)+1)/((IF(Management!$C$3:$C$50="Unlimited",10^15,Management!$C$3:$C$50))&gt;='1'!$I135),COLUMN(T134))),"")</f>
        <v/>
      </c>
    </row>
    <row r="136" spans="1:20">
      <c r="A136" t="str">
        <f>IFERROR(INDEX(Management!$B$3:$B$50,_xlfn.AGGREGATE(15,6,(ROW(Management!$B$3:$B$50)-ROW(Management!$B$3)+1)/((IF(Management!$C$3:$C$50="Unlimited",10^15,Management!$C$3:$C$50))&gt;='1'!$I136),COLUMN(A135))),"")</f>
        <v/>
      </c>
      <c r="B136" t="str">
        <f>IFERROR(INDEX(Management!$B$3:$B$50,_xlfn.AGGREGATE(15,6,(ROW(Management!$B$3:$B$50)-ROW(Management!$B$3)+1)/((IF(Management!$C$3:$C$50="Unlimited",10^15,Management!$C$3:$C$50))&gt;='1'!$I136),COLUMN(B135))),"")</f>
        <v/>
      </c>
      <c r="C136" t="str">
        <f>IFERROR(INDEX(Management!$B$3:$B$50,_xlfn.AGGREGATE(15,6,(ROW(Management!$B$3:$B$50)-ROW(Management!$B$3)+1)/((IF(Management!$C$3:$C$50="Unlimited",10^15,Management!$C$3:$C$50))&gt;='1'!$I136),COLUMN(C135))),"")</f>
        <v/>
      </c>
      <c r="D136" t="str">
        <f>IFERROR(INDEX(Management!$B$3:$B$50,_xlfn.AGGREGATE(15,6,(ROW(Management!$B$3:$B$50)-ROW(Management!$B$3)+1)/((IF(Management!$C$3:$C$50="Unlimited",10^15,Management!$C$3:$C$50))&gt;='1'!$I136),COLUMN(D135))),"")</f>
        <v/>
      </c>
      <c r="E136" t="str">
        <f>IFERROR(INDEX(Management!$B$3:$B$50,_xlfn.AGGREGATE(15,6,(ROW(Management!$B$3:$B$50)-ROW(Management!$B$3)+1)/((IF(Management!$C$3:$C$50="Unlimited",10^15,Management!$C$3:$C$50))&gt;='1'!$I136),COLUMN(E135))),"")</f>
        <v/>
      </c>
      <c r="F136" t="str">
        <f>IFERROR(INDEX(Management!$B$3:$B$50,_xlfn.AGGREGATE(15,6,(ROW(Management!$B$3:$B$50)-ROW(Management!$B$3)+1)/((IF(Management!$C$3:$C$50="Unlimited",10^15,Management!$C$3:$C$50))&gt;='1'!$I136),COLUMN(F135))),"")</f>
        <v/>
      </c>
      <c r="G136" t="str">
        <f>IFERROR(INDEX(Management!$B$3:$B$50,_xlfn.AGGREGATE(15,6,(ROW(Management!$B$3:$B$50)-ROW(Management!$B$3)+1)/((IF(Management!$C$3:$C$50="Unlimited",10^15,Management!$C$3:$C$50))&gt;='1'!$I136),COLUMN(G135))),"")</f>
        <v/>
      </c>
      <c r="H136" t="str">
        <f>IFERROR(INDEX(Management!$B$3:$B$50,_xlfn.AGGREGATE(15,6,(ROW(Management!$B$3:$B$50)-ROW(Management!$B$3)+1)/((IF(Management!$C$3:$C$50="Unlimited",10^15,Management!$C$3:$C$50))&gt;='1'!$I136),COLUMN(H135))),"")</f>
        <v/>
      </c>
      <c r="I136" t="str">
        <f>IFERROR(INDEX(Management!$B$3:$B$50,_xlfn.AGGREGATE(15,6,(ROW(Management!$B$3:$B$50)-ROW(Management!$B$3)+1)/((IF(Management!$C$3:$C$50="Unlimited",10^15,Management!$C$3:$C$50))&gt;='1'!$I136),COLUMN(I135))),"")</f>
        <v/>
      </c>
      <c r="J136" t="str">
        <f>IFERROR(INDEX(Management!$B$3:$B$50,_xlfn.AGGREGATE(15,6,(ROW(Management!$B$3:$B$50)-ROW(Management!$B$3)+1)/((IF(Management!$C$3:$C$50="Unlimited",10^15,Management!$C$3:$C$50))&gt;='1'!$I136),COLUMN(J135))),"")</f>
        <v/>
      </c>
      <c r="K136" t="str">
        <f>IFERROR(INDEX(Management!$B$3:$B$50,_xlfn.AGGREGATE(15,6,(ROW(Management!$B$3:$B$50)-ROW(Management!$B$3)+1)/((IF(Management!$C$3:$C$50="Unlimited",10^15,Management!$C$3:$C$50))&gt;='1'!$I136),COLUMN(K135))),"")</f>
        <v/>
      </c>
      <c r="L136" t="str">
        <f>IFERROR(INDEX(Management!$B$3:$B$50,_xlfn.AGGREGATE(15,6,(ROW(Management!$B$3:$B$50)-ROW(Management!$B$3)+1)/((IF(Management!$C$3:$C$50="Unlimited",10^15,Management!$C$3:$C$50))&gt;='1'!$I136),COLUMN(L135))),"")</f>
        <v/>
      </c>
      <c r="M136" t="str">
        <f>IFERROR(INDEX(Management!$B$3:$B$50,_xlfn.AGGREGATE(15,6,(ROW(Management!$B$3:$B$50)-ROW(Management!$B$3)+1)/((IF(Management!$C$3:$C$50="Unlimited",10^15,Management!$C$3:$C$50))&gt;='1'!$I136),COLUMN(M135))),"")</f>
        <v/>
      </c>
      <c r="N136" t="str">
        <f>IFERROR(INDEX(Management!$B$3:$B$50,_xlfn.AGGREGATE(15,6,(ROW(Management!$B$3:$B$50)-ROW(Management!$B$3)+1)/((IF(Management!$C$3:$C$50="Unlimited",10^15,Management!$C$3:$C$50))&gt;='1'!$I136),COLUMN(N135))),"")</f>
        <v/>
      </c>
      <c r="O136" t="str">
        <f>IFERROR(INDEX(Management!$B$3:$B$50,_xlfn.AGGREGATE(15,6,(ROW(Management!$B$3:$B$50)-ROW(Management!$B$3)+1)/((IF(Management!$C$3:$C$50="Unlimited",10^15,Management!$C$3:$C$50))&gt;='1'!$I136),COLUMN(O135))),"")</f>
        <v/>
      </c>
      <c r="P136" t="str">
        <f>IFERROR(INDEX(Management!$B$3:$B$50,_xlfn.AGGREGATE(15,6,(ROW(Management!$B$3:$B$50)-ROW(Management!$B$3)+1)/((IF(Management!$C$3:$C$50="Unlimited",10^15,Management!$C$3:$C$50))&gt;='1'!$I136),COLUMN(P135))),"")</f>
        <v/>
      </c>
      <c r="Q136" t="str">
        <f>IFERROR(INDEX(Management!$B$3:$B$50,_xlfn.AGGREGATE(15,6,(ROW(Management!$B$3:$B$50)-ROW(Management!$B$3)+1)/((IF(Management!$C$3:$C$50="Unlimited",10^15,Management!$C$3:$C$50))&gt;='1'!$I136),COLUMN(Q135))),"")</f>
        <v/>
      </c>
      <c r="R136" t="str">
        <f>IFERROR(INDEX(Management!$B$3:$B$50,_xlfn.AGGREGATE(15,6,(ROW(Management!$B$3:$B$50)-ROW(Management!$B$3)+1)/((IF(Management!$C$3:$C$50="Unlimited",10^15,Management!$C$3:$C$50))&gt;='1'!$I136),COLUMN(R135))),"")</f>
        <v/>
      </c>
      <c r="S136" t="str">
        <f>IFERROR(INDEX(Management!$B$3:$B$50,_xlfn.AGGREGATE(15,6,(ROW(Management!$B$3:$B$50)-ROW(Management!$B$3)+1)/((IF(Management!$C$3:$C$50="Unlimited",10^15,Management!$C$3:$C$50))&gt;='1'!$I136),COLUMN(S135))),"")</f>
        <v/>
      </c>
      <c r="T136" t="str">
        <f>IFERROR(INDEX(Management!$B$3:$B$50,_xlfn.AGGREGATE(15,6,(ROW(Management!$B$3:$B$50)-ROW(Management!$B$3)+1)/((IF(Management!$C$3:$C$50="Unlimited",10^15,Management!$C$3:$C$50))&gt;='1'!$I136),COLUMN(T135))),"")</f>
        <v/>
      </c>
    </row>
    <row r="137" spans="1:20">
      <c r="A137" t="str">
        <f>IFERROR(INDEX(Management!$B$3:$B$50,_xlfn.AGGREGATE(15,6,(ROW(Management!$B$3:$B$50)-ROW(Management!$B$3)+1)/((IF(Management!$C$3:$C$50="Unlimited",10^15,Management!$C$3:$C$50))&gt;='1'!$I137),COLUMN(A136))),"")</f>
        <v/>
      </c>
      <c r="B137" t="str">
        <f>IFERROR(INDEX(Management!$B$3:$B$50,_xlfn.AGGREGATE(15,6,(ROW(Management!$B$3:$B$50)-ROW(Management!$B$3)+1)/((IF(Management!$C$3:$C$50="Unlimited",10^15,Management!$C$3:$C$50))&gt;='1'!$I137),COLUMN(B136))),"")</f>
        <v/>
      </c>
      <c r="C137" t="str">
        <f>IFERROR(INDEX(Management!$B$3:$B$50,_xlfn.AGGREGATE(15,6,(ROW(Management!$B$3:$B$50)-ROW(Management!$B$3)+1)/((IF(Management!$C$3:$C$50="Unlimited",10^15,Management!$C$3:$C$50))&gt;='1'!$I137),COLUMN(C136))),"")</f>
        <v/>
      </c>
      <c r="D137" t="str">
        <f>IFERROR(INDEX(Management!$B$3:$B$50,_xlfn.AGGREGATE(15,6,(ROW(Management!$B$3:$B$50)-ROW(Management!$B$3)+1)/((IF(Management!$C$3:$C$50="Unlimited",10^15,Management!$C$3:$C$50))&gt;='1'!$I137),COLUMN(D136))),"")</f>
        <v/>
      </c>
      <c r="E137" t="str">
        <f>IFERROR(INDEX(Management!$B$3:$B$50,_xlfn.AGGREGATE(15,6,(ROW(Management!$B$3:$B$50)-ROW(Management!$B$3)+1)/((IF(Management!$C$3:$C$50="Unlimited",10^15,Management!$C$3:$C$50))&gt;='1'!$I137),COLUMN(E136))),"")</f>
        <v/>
      </c>
      <c r="F137" t="str">
        <f>IFERROR(INDEX(Management!$B$3:$B$50,_xlfn.AGGREGATE(15,6,(ROW(Management!$B$3:$B$50)-ROW(Management!$B$3)+1)/((IF(Management!$C$3:$C$50="Unlimited",10^15,Management!$C$3:$C$50))&gt;='1'!$I137),COLUMN(F136))),"")</f>
        <v/>
      </c>
      <c r="G137" t="str">
        <f>IFERROR(INDEX(Management!$B$3:$B$50,_xlfn.AGGREGATE(15,6,(ROW(Management!$B$3:$B$50)-ROW(Management!$B$3)+1)/((IF(Management!$C$3:$C$50="Unlimited",10^15,Management!$C$3:$C$50))&gt;='1'!$I137),COLUMN(G136))),"")</f>
        <v/>
      </c>
      <c r="H137" t="str">
        <f>IFERROR(INDEX(Management!$B$3:$B$50,_xlfn.AGGREGATE(15,6,(ROW(Management!$B$3:$B$50)-ROW(Management!$B$3)+1)/((IF(Management!$C$3:$C$50="Unlimited",10^15,Management!$C$3:$C$50))&gt;='1'!$I137),COLUMN(H136))),"")</f>
        <v/>
      </c>
      <c r="I137" t="str">
        <f>IFERROR(INDEX(Management!$B$3:$B$50,_xlfn.AGGREGATE(15,6,(ROW(Management!$B$3:$B$50)-ROW(Management!$B$3)+1)/((IF(Management!$C$3:$C$50="Unlimited",10^15,Management!$C$3:$C$50))&gt;='1'!$I137),COLUMN(I136))),"")</f>
        <v/>
      </c>
      <c r="J137" t="str">
        <f>IFERROR(INDEX(Management!$B$3:$B$50,_xlfn.AGGREGATE(15,6,(ROW(Management!$B$3:$B$50)-ROW(Management!$B$3)+1)/((IF(Management!$C$3:$C$50="Unlimited",10^15,Management!$C$3:$C$50))&gt;='1'!$I137),COLUMN(J136))),"")</f>
        <v/>
      </c>
      <c r="K137" t="str">
        <f>IFERROR(INDEX(Management!$B$3:$B$50,_xlfn.AGGREGATE(15,6,(ROW(Management!$B$3:$B$50)-ROW(Management!$B$3)+1)/((IF(Management!$C$3:$C$50="Unlimited",10^15,Management!$C$3:$C$50))&gt;='1'!$I137),COLUMN(K136))),"")</f>
        <v/>
      </c>
      <c r="L137" t="str">
        <f>IFERROR(INDEX(Management!$B$3:$B$50,_xlfn.AGGREGATE(15,6,(ROW(Management!$B$3:$B$50)-ROW(Management!$B$3)+1)/((IF(Management!$C$3:$C$50="Unlimited",10^15,Management!$C$3:$C$50))&gt;='1'!$I137),COLUMN(L136))),"")</f>
        <v/>
      </c>
      <c r="M137" t="str">
        <f>IFERROR(INDEX(Management!$B$3:$B$50,_xlfn.AGGREGATE(15,6,(ROW(Management!$B$3:$B$50)-ROW(Management!$B$3)+1)/((IF(Management!$C$3:$C$50="Unlimited",10^15,Management!$C$3:$C$50))&gt;='1'!$I137),COLUMN(M136))),"")</f>
        <v/>
      </c>
      <c r="N137" t="str">
        <f>IFERROR(INDEX(Management!$B$3:$B$50,_xlfn.AGGREGATE(15,6,(ROW(Management!$B$3:$B$50)-ROW(Management!$B$3)+1)/((IF(Management!$C$3:$C$50="Unlimited",10^15,Management!$C$3:$C$50))&gt;='1'!$I137),COLUMN(N136))),"")</f>
        <v/>
      </c>
      <c r="O137" t="str">
        <f>IFERROR(INDEX(Management!$B$3:$B$50,_xlfn.AGGREGATE(15,6,(ROW(Management!$B$3:$B$50)-ROW(Management!$B$3)+1)/((IF(Management!$C$3:$C$50="Unlimited",10^15,Management!$C$3:$C$50))&gt;='1'!$I137),COLUMN(O136))),"")</f>
        <v/>
      </c>
      <c r="P137" t="str">
        <f>IFERROR(INDEX(Management!$B$3:$B$50,_xlfn.AGGREGATE(15,6,(ROW(Management!$B$3:$B$50)-ROW(Management!$B$3)+1)/((IF(Management!$C$3:$C$50="Unlimited",10^15,Management!$C$3:$C$50))&gt;='1'!$I137),COLUMN(P136))),"")</f>
        <v/>
      </c>
      <c r="Q137" t="str">
        <f>IFERROR(INDEX(Management!$B$3:$B$50,_xlfn.AGGREGATE(15,6,(ROW(Management!$B$3:$B$50)-ROW(Management!$B$3)+1)/((IF(Management!$C$3:$C$50="Unlimited",10^15,Management!$C$3:$C$50))&gt;='1'!$I137),COLUMN(Q136))),"")</f>
        <v/>
      </c>
      <c r="R137" t="str">
        <f>IFERROR(INDEX(Management!$B$3:$B$50,_xlfn.AGGREGATE(15,6,(ROW(Management!$B$3:$B$50)-ROW(Management!$B$3)+1)/((IF(Management!$C$3:$C$50="Unlimited",10^15,Management!$C$3:$C$50))&gt;='1'!$I137),COLUMN(R136))),"")</f>
        <v/>
      </c>
      <c r="S137" t="str">
        <f>IFERROR(INDEX(Management!$B$3:$B$50,_xlfn.AGGREGATE(15,6,(ROW(Management!$B$3:$B$50)-ROW(Management!$B$3)+1)/((IF(Management!$C$3:$C$50="Unlimited",10^15,Management!$C$3:$C$50))&gt;='1'!$I137),COLUMN(S136))),"")</f>
        <v/>
      </c>
      <c r="T137" t="str">
        <f>IFERROR(INDEX(Management!$B$3:$B$50,_xlfn.AGGREGATE(15,6,(ROW(Management!$B$3:$B$50)-ROW(Management!$B$3)+1)/((IF(Management!$C$3:$C$50="Unlimited",10^15,Management!$C$3:$C$50))&gt;='1'!$I137),COLUMN(T136))),"")</f>
        <v/>
      </c>
    </row>
    <row r="138" spans="1:20">
      <c r="A138" t="str">
        <f>IFERROR(INDEX(Management!$B$3:$B$50,_xlfn.AGGREGATE(15,6,(ROW(Management!$B$3:$B$50)-ROW(Management!$B$3)+1)/((IF(Management!$C$3:$C$50="Unlimited",10^15,Management!$C$3:$C$50))&gt;='1'!$I138),COLUMN(A137))),"")</f>
        <v/>
      </c>
      <c r="B138" t="str">
        <f>IFERROR(INDEX(Management!$B$3:$B$50,_xlfn.AGGREGATE(15,6,(ROW(Management!$B$3:$B$50)-ROW(Management!$B$3)+1)/((IF(Management!$C$3:$C$50="Unlimited",10^15,Management!$C$3:$C$50))&gt;='1'!$I138),COLUMN(B137))),"")</f>
        <v/>
      </c>
      <c r="C138" t="str">
        <f>IFERROR(INDEX(Management!$B$3:$B$50,_xlfn.AGGREGATE(15,6,(ROW(Management!$B$3:$B$50)-ROW(Management!$B$3)+1)/((IF(Management!$C$3:$C$50="Unlimited",10^15,Management!$C$3:$C$50))&gt;='1'!$I138),COLUMN(C137))),"")</f>
        <v/>
      </c>
      <c r="D138" t="str">
        <f>IFERROR(INDEX(Management!$B$3:$B$50,_xlfn.AGGREGATE(15,6,(ROW(Management!$B$3:$B$50)-ROW(Management!$B$3)+1)/((IF(Management!$C$3:$C$50="Unlimited",10^15,Management!$C$3:$C$50))&gt;='1'!$I138),COLUMN(D137))),"")</f>
        <v/>
      </c>
      <c r="E138" t="str">
        <f>IFERROR(INDEX(Management!$B$3:$B$50,_xlfn.AGGREGATE(15,6,(ROW(Management!$B$3:$B$50)-ROW(Management!$B$3)+1)/((IF(Management!$C$3:$C$50="Unlimited",10^15,Management!$C$3:$C$50))&gt;='1'!$I138),COLUMN(E137))),"")</f>
        <v/>
      </c>
      <c r="F138" t="str">
        <f>IFERROR(INDEX(Management!$B$3:$B$50,_xlfn.AGGREGATE(15,6,(ROW(Management!$B$3:$B$50)-ROW(Management!$B$3)+1)/((IF(Management!$C$3:$C$50="Unlimited",10^15,Management!$C$3:$C$50))&gt;='1'!$I138),COLUMN(F137))),"")</f>
        <v/>
      </c>
      <c r="G138" t="str">
        <f>IFERROR(INDEX(Management!$B$3:$B$50,_xlfn.AGGREGATE(15,6,(ROW(Management!$B$3:$B$50)-ROW(Management!$B$3)+1)/((IF(Management!$C$3:$C$50="Unlimited",10^15,Management!$C$3:$C$50))&gt;='1'!$I138),COLUMN(G137))),"")</f>
        <v/>
      </c>
      <c r="H138" t="str">
        <f>IFERROR(INDEX(Management!$B$3:$B$50,_xlfn.AGGREGATE(15,6,(ROW(Management!$B$3:$B$50)-ROW(Management!$B$3)+1)/((IF(Management!$C$3:$C$50="Unlimited",10^15,Management!$C$3:$C$50))&gt;='1'!$I138),COLUMN(H137))),"")</f>
        <v/>
      </c>
      <c r="I138" t="str">
        <f>IFERROR(INDEX(Management!$B$3:$B$50,_xlfn.AGGREGATE(15,6,(ROW(Management!$B$3:$B$50)-ROW(Management!$B$3)+1)/((IF(Management!$C$3:$C$50="Unlimited",10^15,Management!$C$3:$C$50))&gt;='1'!$I138),COLUMN(I137))),"")</f>
        <v/>
      </c>
      <c r="J138" t="str">
        <f>IFERROR(INDEX(Management!$B$3:$B$50,_xlfn.AGGREGATE(15,6,(ROW(Management!$B$3:$B$50)-ROW(Management!$B$3)+1)/((IF(Management!$C$3:$C$50="Unlimited",10^15,Management!$C$3:$C$50))&gt;='1'!$I138),COLUMN(J137))),"")</f>
        <v/>
      </c>
      <c r="K138" t="str">
        <f>IFERROR(INDEX(Management!$B$3:$B$50,_xlfn.AGGREGATE(15,6,(ROW(Management!$B$3:$B$50)-ROW(Management!$B$3)+1)/((IF(Management!$C$3:$C$50="Unlimited",10^15,Management!$C$3:$C$50))&gt;='1'!$I138),COLUMN(K137))),"")</f>
        <v/>
      </c>
      <c r="L138" t="str">
        <f>IFERROR(INDEX(Management!$B$3:$B$50,_xlfn.AGGREGATE(15,6,(ROW(Management!$B$3:$B$50)-ROW(Management!$B$3)+1)/((IF(Management!$C$3:$C$50="Unlimited",10^15,Management!$C$3:$C$50))&gt;='1'!$I138),COLUMN(L137))),"")</f>
        <v/>
      </c>
      <c r="M138" t="str">
        <f>IFERROR(INDEX(Management!$B$3:$B$50,_xlfn.AGGREGATE(15,6,(ROW(Management!$B$3:$B$50)-ROW(Management!$B$3)+1)/((IF(Management!$C$3:$C$50="Unlimited",10^15,Management!$C$3:$C$50))&gt;='1'!$I138),COLUMN(M137))),"")</f>
        <v/>
      </c>
      <c r="N138" t="str">
        <f>IFERROR(INDEX(Management!$B$3:$B$50,_xlfn.AGGREGATE(15,6,(ROW(Management!$B$3:$B$50)-ROW(Management!$B$3)+1)/((IF(Management!$C$3:$C$50="Unlimited",10^15,Management!$C$3:$C$50))&gt;='1'!$I138),COLUMN(N137))),"")</f>
        <v/>
      </c>
      <c r="O138" t="str">
        <f>IFERROR(INDEX(Management!$B$3:$B$50,_xlfn.AGGREGATE(15,6,(ROW(Management!$B$3:$B$50)-ROW(Management!$B$3)+1)/((IF(Management!$C$3:$C$50="Unlimited",10^15,Management!$C$3:$C$50))&gt;='1'!$I138),COLUMN(O137))),"")</f>
        <v/>
      </c>
      <c r="P138" t="str">
        <f>IFERROR(INDEX(Management!$B$3:$B$50,_xlfn.AGGREGATE(15,6,(ROW(Management!$B$3:$B$50)-ROW(Management!$B$3)+1)/((IF(Management!$C$3:$C$50="Unlimited",10^15,Management!$C$3:$C$50))&gt;='1'!$I138),COLUMN(P137))),"")</f>
        <v/>
      </c>
      <c r="Q138" t="str">
        <f>IFERROR(INDEX(Management!$B$3:$B$50,_xlfn.AGGREGATE(15,6,(ROW(Management!$B$3:$B$50)-ROW(Management!$B$3)+1)/((IF(Management!$C$3:$C$50="Unlimited",10^15,Management!$C$3:$C$50))&gt;='1'!$I138),COLUMN(Q137))),"")</f>
        <v/>
      </c>
      <c r="R138" t="str">
        <f>IFERROR(INDEX(Management!$B$3:$B$50,_xlfn.AGGREGATE(15,6,(ROW(Management!$B$3:$B$50)-ROW(Management!$B$3)+1)/((IF(Management!$C$3:$C$50="Unlimited",10^15,Management!$C$3:$C$50))&gt;='1'!$I138),COLUMN(R137))),"")</f>
        <v/>
      </c>
      <c r="S138" t="str">
        <f>IFERROR(INDEX(Management!$B$3:$B$50,_xlfn.AGGREGATE(15,6,(ROW(Management!$B$3:$B$50)-ROW(Management!$B$3)+1)/((IF(Management!$C$3:$C$50="Unlimited",10^15,Management!$C$3:$C$50))&gt;='1'!$I138),COLUMN(S137))),"")</f>
        <v/>
      </c>
      <c r="T138" t="str">
        <f>IFERROR(INDEX(Management!$B$3:$B$50,_xlfn.AGGREGATE(15,6,(ROW(Management!$B$3:$B$50)-ROW(Management!$B$3)+1)/((IF(Management!$C$3:$C$50="Unlimited",10^15,Management!$C$3:$C$50))&gt;='1'!$I138),COLUMN(T137))),"")</f>
        <v/>
      </c>
    </row>
    <row r="139" spans="1:20">
      <c r="A139" t="str">
        <f>IFERROR(INDEX(Management!$B$3:$B$50,_xlfn.AGGREGATE(15,6,(ROW(Management!$B$3:$B$50)-ROW(Management!$B$3)+1)/((IF(Management!$C$3:$C$50="Unlimited",10^15,Management!$C$3:$C$50))&gt;='1'!$I139),COLUMN(A138))),"")</f>
        <v/>
      </c>
      <c r="B139" t="str">
        <f>IFERROR(INDEX(Management!$B$3:$B$50,_xlfn.AGGREGATE(15,6,(ROW(Management!$B$3:$B$50)-ROW(Management!$B$3)+1)/((IF(Management!$C$3:$C$50="Unlimited",10^15,Management!$C$3:$C$50))&gt;='1'!$I139),COLUMN(B138))),"")</f>
        <v/>
      </c>
      <c r="C139" t="str">
        <f>IFERROR(INDEX(Management!$B$3:$B$50,_xlfn.AGGREGATE(15,6,(ROW(Management!$B$3:$B$50)-ROW(Management!$B$3)+1)/((IF(Management!$C$3:$C$50="Unlimited",10^15,Management!$C$3:$C$50))&gt;='1'!$I139),COLUMN(C138))),"")</f>
        <v/>
      </c>
      <c r="D139" t="str">
        <f>IFERROR(INDEX(Management!$B$3:$B$50,_xlfn.AGGREGATE(15,6,(ROW(Management!$B$3:$B$50)-ROW(Management!$B$3)+1)/((IF(Management!$C$3:$C$50="Unlimited",10^15,Management!$C$3:$C$50))&gt;='1'!$I139),COLUMN(D138))),"")</f>
        <v/>
      </c>
      <c r="E139" t="str">
        <f>IFERROR(INDEX(Management!$B$3:$B$50,_xlfn.AGGREGATE(15,6,(ROW(Management!$B$3:$B$50)-ROW(Management!$B$3)+1)/((IF(Management!$C$3:$C$50="Unlimited",10^15,Management!$C$3:$C$50))&gt;='1'!$I139),COLUMN(E138))),"")</f>
        <v/>
      </c>
      <c r="F139" t="str">
        <f>IFERROR(INDEX(Management!$B$3:$B$50,_xlfn.AGGREGATE(15,6,(ROW(Management!$B$3:$B$50)-ROW(Management!$B$3)+1)/((IF(Management!$C$3:$C$50="Unlimited",10^15,Management!$C$3:$C$50))&gt;='1'!$I139),COLUMN(F138))),"")</f>
        <v/>
      </c>
      <c r="G139" t="str">
        <f>IFERROR(INDEX(Management!$B$3:$B$50,_xlfn.AGGREGATE(15,6,(ROW(Management!$B$3:$B$50)-ROW(Management!$B$3)+1)/((IF(Management!$C$3:$C$50="Unlimited",10^15,Management!$C$3:$C$50))&gt;='1'!$I139),COLUMN(G138))),"")</f>
        <v/>
      </c>
      <c r="H139" t="str">
        <f>IFERROR(INDEX(Management!$B$3:$B$50,_xlfn.AGGREGATE(15,6,(ROW(Management!$B$3:$B$50)-ROW(Management!$B$3)+1)/((IF(Management!$C$3:$C$50="Unlimited",10^15,Management!$C$3:$C$50))&gt;='1'!$I139),COLUMN(H138))),"")</f>
        <v/>
      </c>
      <c r="I139" t="str">
        <f>IFERROR(INDEX(Management!$B$3:$B$50,_xlfn.AGGREGATE(15,6,(ROW(Management!$B$3:$B$50)-ROW(Management!$B$3)+1)/((IF(Management!$C$3:$C$50="Unlimited",10^15,Management!$C$3:$C$50))&gt;='1'!$I139),COLUMN(I138))),"")</f>
        <v/>
      </c>
      <c r="J139" t="str">
        <f>IFERROR(INDEX(Management!$B$3:$B$50,_xlfn.AGGREGATE(15,6,(ROW(Management!$B$3:$B$50)-ROW(Management!$B$3)+1)/((IF(Management!$C$3:$C$50="Unlimited",10^15,Management!$C$3:$C$50))&gt;='1'!$I139),COLUMN(J138))),"")</f>
        <v/>
      </c>
      <c r="K139" t="str">
        <f>IFERROR(INDEX(Management!$B$3:$B$50,_xlfn.AGGREGATE(15,6,(ROW(Management!$B$3:$B$50)-ROW(Management!$B$3)+1)/((IF(Management!$C$3:$C$50="Unlimited",10^15,Management!$C$3:$C$50))&gt;='1'!$I139),COLUMN(K138))),"")</f>
        <v/>
      </c>
      <c r="L139" t="str">
        <f>IFERROR(INDEX(Management!$B$3:$B$50,_xlfn.AGGREGATE(15,6,(ROW(Management!$B$3:$B$50)-ROW(Management!$B$3)+1)/((IF(Management!$C$3:$C$50="Unlimited",10^15,Management!$C$3:$C$50))&gt;='1'!$I139),COLUMN(L138))),"")</f>
        <v/>
      </c>
      <c r="M139" t="str">
        <f>IFERROR(INDEX(Management!$B$3:$B$50,_xlfn.AGGREGATE(15,6,(ROW(Management!$B$3:$B$50)-ROW(Management!$B$3)+1)/((IF(Management!$C$3:$C$50="Unlimited",10^15,Management!$C$3:$C$50))&gt;='1'!$I139),COLUMN(M138))),"")</f>
        <v/>
      </c>
      <c r="N139" t="str">
        <f>IFERROR(INDEX(Management!$B$3:$B$50,_xlfn.AGGREGATE(15,6,(ROW(Management!$B$3:$B$50)-ROW(Management!$B$3)+1)/((IF(Management!$C$3:$C$50="Unlimited",10^15,Management!$C$3:$C$50))&gt;='1'!$I139),COLUMN(N138))),"")</f>
        <v/>
      </c>
      <c r="O139" t="str">
        <f>IFERROR(INDEX(Management!$B$3:$B$50,_xlfn.AGGREGATE(15,6,(ROW(Management!$B$3:$B$50)-ROW(Management!$B$3)+1)/((IF(Management!$C$3:$C$50="Unlimited",10^15,Management!$C$3:$C$50))&gt;='1'!$I139),COLUMN(O138))),"")</f>
        <v/>
      </c>
      <c r="P139" t="str">
        <f>IFERROR(INDEX(Management!$B$3:$B$50,_xlfn.AGGREGATE(15,6,(ROW(Management!$B$3:$B$50)-ROW(Management!$B$3)+1)/((IF(Management!$C$3:$C$50="Unlimited",10^15,Management!$C$3:$C$50))&gt;='1'!$I139),COLUMN(P138))),"")</f>
        <v/>
      </c>
      <c r="Q139" t="str">
        <f>IFERROR(INDEX(Management!$B$3:$B$50,_xlfn.AGGREGATE(15,6,(ROW(Management!$B$3:$B$50)-ROW(Management!$B$3)+1)/((IF(Management!$C$3:$C$50="Unlimited",10^15,Management!$C$3:$C$50))&gt;='1'!$I139),COLUMN(Q138))),"")</f>
        <v/>
      </c>
      <c r="R139" t="str">
        <f>IFERROR(INDEX(Management!$B$3:$B$50,_xlfn.AGGREGATE(15,6,(ROW(Management!$B$3:$B$50)-ROW(Management!$B$3)+1)/((IF(Management!$C$3:$C$50="Unlimited",10^15,Management!$C$3:$C$50))&gt;='1'!$I139),COLUMN(R138))),"")</f>
        <v/>
      </c>
      <c r="S139" t="str">
        <f>IFERROR(INDEX(Management!$B$3:$B$50,_xlfn.AGGREGATE(15,6,(ROW(Management!$B$3:$B$50)-ROW(Management!$B$3)+1)/((IF(Management!$C$3:$C$50="Unlimited",10^15,Management!$C$3:$C$50))&gt;='1'!$I139),COLUMN(S138))),"")</f>
        <v/>
      </c>
      <c r="T139" t="str">
        <f>IFERROR(INDEX(Management!$B$3:$B$50,_xlfn.AGGREGATE(15,6,(ROW(Management!$B$3:$B$50)-ROW(Management!$B$3)+1)/((IF(Management!$C$3:$C$50="Unlimited",10^15,Management!$C$3:$C$50))&gt;='1'!$I139),COLUMN(T138))),"")</f>
        <v/>
      </c>
    </row>
    <row r="140" spans="1:20">
      <c r="A140" t="str">
        <f>IFERROR(INDEX(Management!$B$3:$B$50,_xlfn.AGGREGATE(15,6,(ROW(Management!$B$3:$B$50)-ROW(Management!$B$3)+1)/((IF(Management!$C$3:$C$50="Unlimited",10^15,Management!$C$3:$C$50))&gt;='1'!$I140),COLUMN(A139))),"")</f>
        <v/>
      </c>
      <c r="B140" t="str">
        <f>IFERROR(INDEX(Management!$B$3:$B$50,_xlfn.AGGREGATE(15,6,(ROW(Management!$B$3:$B$50)-ROW(Management!$B$3)+1)/((IF(Management!$C$3:$C$50="Unlimited",10^15,Management!$C$3:$C$50))&gt;='1'!$I140),COLUMN(B139))),"")</f>
        <v/>
      </c>
      <c r="C140" t="str">
        <f>IFERROR(INDEX(Management!$B$3:$B$50,_xlfn.AGGREGATE(15,6,(ROW(Management!$B$3:$B$50)-ROW(Management!$B$3)+1)/((IF(Management!$C$3:$C$50="Unlimited",10^15,Management!$C$3:$C$50))&gt;='1'!$I140),COLUMN(C139))),"")</f>
        <v/>
      </c>
      <c r="D140" t="str">
        <f>IFERROR(INDEX(Management!$B$3:$B$50,_xlfn.AGGREGATE(15,6,(ROW(Management!$B$3:$B$50)-ROW(Management!$B$3)+1)/((IF(Management!$C$3:$C$50="Unlimited",10^15,Management!$C$3:$C$50))&gt;='1'!$I140),COLUMN(D139))),"")</f>
        <v/>
      </c>
      <c r="E140" t="str">
        <f>IFERROR(INDEX(Management!$B$3:$B$50,_xlfn.AGGREGATE(15,6,(ROW(Management!$B$3:$B$50)-ROW(Management!$B$3)+1)/((IF(Management!$C$3:$C$50="Unlimited",10^15,Management!$C$3:$C$50))&gt;='1'!$I140),COLUMN(E139))),"")</f>
        <v/>
      </c>
      <c r="F140" t="str">
        <f>IFERROR(INDEX(Management!$B$3:$B$50,_xlfn.AGGREGATE(15,6,(ROW(Management!$B$3:$B$50)-ROW(Management!$B$3)+1)/((IF(Management!$C$3:$C$50="Unlimited",10^15,Management!$C$3:$C$50))&gt;='1'!$I140),COLUMN(F139))),"")</f>
        <v/>
      </c>
      <c r="G140" t="str">
        <f>IFERROR(INDEX(Management!$B$3:$B$50,_xlfn.AGGREGATE(15,6,(ROW(Management!$B$3:$B$50)-ROW(Management!$B$3)+1)/((IF(Management!$C$3:$C$50="Unlimited",10^15,Management!$C$3:$C$50))&gt;='1'!$I140),COLUMN(G139))),"")</f>
        <v/>
      </c>
      <c r="H140" t="str">
        <f>IFERROR(INDEX(Management!$B$3:$B$50,_xlfn.AGGREGATE(15,6,(ROW(Management!$B$3:$B$50)-ROW(Management!$B$3)+1)/((IF(Management!$C$3:$C$50="Unlimited",10^15,Management!$C$3:$C$50))&gt;='1'!$I140),COLUMN(H139))),"")</f>
        <v/>
      </c>
      <c r="I140" t="str">
        <f>IFERROR(INDEX(Management!$B$3:$B$50,_xlfn.AGGREGATE(15,6,(ROW(Management!$B$3:$B$50)-ROW(Management!$B$3)+1)/((IF(Management!$C$3:$C$50="Unlimited",10^15,Management!$C$3:$C$50))&gt;='1'!$I140),COLUMN(I139))),"")</f>
        <v/>
      </c>
      <c r="J140" t="str">
        <f>IFERROR(INDEX(Management!$B$3:$B$50,_xlfn.AGGREGATE(15,6,(ROW(Management!$B$3:$B$50)-ROW(Management!$B$3)+1)/((IF(Management!$C$3:$C$50="Unlimited",10^15,Management!$C$3:$C$50))&gt;='1'!$I140),COLUMN(J139))),"")</f>
        <v/>
      </c>
      <c r="K140" t="str">
        <f>IFERROR(INDEX(Management!$B$3:$B$50,_xlfn.AGGREGATE(15,6,(ROW(Management!$B$3:$B$50)-ROW(Management!$B$3)+1)/((IF(Management!$C$3:$C$50="Unlimited",10^15,Management!$C$3:$C$50))&gt;='1'!$I140),COLUMN(K139))),"")</f>
        <v/>
      </c>
      <c r="L140" t="str">
        <f>IFERROR(INDEX(Management!$B$3:$B$50,_xlfn.AGGREGATE(15,6,(ROW(Management!$B$3:$B$50)-ROW(Management!$B$3)+1)/((IF(Management!$C$3:$C$50="Unlimited",10^15,Management!$C$3:$C$50))&gt;='1'!$I140),COLUMN(L139))),"")</f>
        <v/>
      </c>
      <c r="M140" t="str">
        <f>IFERROR(INDEX(Management!$B$3:$B$50,_xlfn.AGGREGATE(15,6,(ROW(Management!$B$3:$B$50)-ROW(Management!$B$3)+1)/((IF(Management!$C$3:$C$50="Unlimited",10^15,Management!$C$3:$C$50))&gt;='1'!$I140),COLUMN(M139))),"")</f>
        <v/>
      </c>
      <c r="N140" t="str">
        <f>IFERROR(INDEX(Management!$B$3:$B$50,_xlfn.AGGREGATE(15,6,(ROW(Management!$B$3:$B$50)-ROW(Management!$B$3)+1)/((IF(Management!$C$3:$C$50="Unlimited",10^15,Management!$C$3:$C$50))&gt;='1'!$I140),COLUMN(N139))),"")</f>
        <v/>
      </c>
      <c r="O140" t="str">
        <f>IFERROR(INDEX(Management!$B$3:$B$50,_xlfn.AGGREGATE(15,6,(ROW(Management!$B$3:$B$50)-ROW(Management!$B$3)+1)/((IF(Management!$C$3:$C$50="Unlimited",10^15,Management!$C$3:$C$50))&gt;='1'!$I140),COLUMN(O139))),"")</f>
        <v/>
      </c>
      <c r="P140" t="str">
        <f>IFERROR(INDEX(Management!$B$3:$B$50,_xlfn.AGGREGATE(15,6,(ROW(Management!$B$3:$B$50)-ROW(Management!$B$3)+1)/((IF(Management!$C$3:$C$50="Unlimited",10^15,Management!$C$3:$C$50))&gt;='1'!$I140),COLUMN(P139))),"")</f>
        <v/>
      </c>
      <c r="Q140" t="str">
        <f>IFERROR(INDEX(Management!$B$3:$B$50,_xlfn.AGGREGATE(15,6,(ROW(Management!$B$3:$B$50)-ROW(Management!$B$3)+1)/((IF(Management!$C$3:$C$50="Unlimited",10^15,Management!$C$3:$C$50))&gt;='1'!$I140),COLUMN(Q139))),"")</f>
        <v/>
      </c>
      <c r="R140" t="str">
        <f>IFERROR(INDEX(Management!$B$3:$B$50,_xlfn.AGGREGATE(15,6,(ROW(Management!$B$3:$B$50)-ROW(Management!$B$3)+1)/((IF(Management!$C$3:$C$50="Unlimited",10^15,Management!$C$3:$C$50))&gt;='1'!$I140),COLUMN(R139))),"")</f>
        <v/>
      </c>
      <c r="S140" t="str">
        <f>IFERROR(INDEX(Management!$B$3:$B$50,_xlfn.AGGREGATE(15,6,(ROW(Management!$B$3:$B$50)-ROW(Management!$B$3)+1)/((IF(Management!$C$3:$C$50="Unlimited",10^15,Management!$C$3:$C$50))&gt;='1'!$I140),COLUMN(S139))),"")</f>
        <v/>
      </c>
      <c r="T140" t="str">
        <f>IFERROR(INDEX(Management!$B$3:$B$50,_xlfn.AGGREGATE(15,6,(ROW(Management!$B$3:$B$50)-ROW(Management!$B$3)+1)/((IF(Management!$C$3:$C$50="Unlimited",10^15,Management!$C$3:$C$50))&gt;='1'!$I140),COLUMN(T139))),"")</f>
        <v/>
      </c>
    </row>
    <row r="141" spans="1:20">
      <c r="A141" t="str">
        <f>IFERROR(INDEX(Management!$B$3:$B$50,_xlfn.AGGREGATE(15,6,(ROW(Management!$B$3:$B$50)-ROW(Management!$B$3)+1)/((IF(Management!$C$3:$C$50="Unlimited",10^15,Management!$C$3:$C$50))&gt;='1'!$I141),COLUMN(A140))),"")</f>
        <v/>
      </c>
      <c r="B141" t="str">
        <f>IFERROR(INDEX(Management!$B$3:$B$50,_xlfn.AGGREGATE(15,6,(ROW(Management!$B$3:$B$50)-ROW(Management!$B$3)+1)/((IF(Management!$C$3:$C$50="Unlimited",10^15,Management!$C$3:$C$50))&gt;='1'!$I141),COLUMN(B140))),"")</f>
        <v/>
      </c>
      <c r="C141" t="str">
        <f>IFERROR(INDEX(Management!$B$3:$B$50,_xlfn.AGGREGATE(15,6,(ROW(Management!$B$3:$B$50)-ROW(Management!$B$3)+1)/((IF(Management!$C$3:$C$50="Unlimited",10^15,Management!$C$3:$C$50))&gt;='1'!$I141),COLUMN(C140))),"")</f>
        <v/>
      </c>
      <c r="D141" t="str">
        <f>IFERROR(INDEX(Management!$B$3:$B$50,_xlfn.AGGREGATE(15,6,(ROW(Management!$B$3:$B$50)-ROW(Management!$B$3)+1)/((IF(Management!$C$3:$C$50="Unlimited",10^15,Management!$C$3:$C$50))&gt;='1'!$I141),COLUMN(D140))),"")</f>
        <v/>
      </c>
      <c r="E141" t="str">
        <f>IFERROR(INDEX(Management!$B$3:$B$50,_xlfn.AGGREGATE(15,6,(ROW(Management!$B$3:$B$50)-ROW(Management!$B$3)+1)/((IF(Management!$C$3:$C$50="Unlimited",10^15,Management!$C$3:$C$50))&gt;='1'!$I141),COLUMN(E140))),"")</f>
        <v/>
      </c>
      <c r="F141" t="str">
        <f>IFERROR(INDEX(Management!$B$3:$B$50,_xlfn.AGGREGATE(15,6,(ROW(Management!$B$3:$B$50)-ROW(Management!$B$3)+1)/((IF(Management!$C$3:$C$50="Unlimited",10^15,Management!$C$3:$C$50))&gt;='1'!$I141),COLUMN(F140))),"")</f>
        <v/>
      </c>
      <c r="G141" t="str">
        <f>IFERROR(INDEX(Management!$B$3:$B$50,_xlfn.AGGREGATE(15,6,(ROW(Management!$B$3:$B$50)-ROW(Management!$B$3)+1)/((IF(Management!$C$3:$C$50="Unlimited",10^15,Management!$C$3:$C$50))&gt;='1'!$I141),COLUMN(G140))),"")</f>
        <v/>
      </c>
      <c r="H141" t="str">
        <f>IFERROR(INDEX(Management!$B$3:$B$50,_xlfn.AGGREGATE(15,6,(ROW(Management!$B$3:$B$50)-ROW(Management!$B$3)+1)/((IF(Management!$C$3:$C$50="Unlimited",10^15,Management!$C$3:$C$50))&gt;='1'!$I141),COLUMN(H140))),"")</f>
        <v/>
      </c>
      <c r="I141" t="str">
        <f>IFERROR(INDEX(Management!$B$3:$B$50,_xlfn.AGGREGATE(15,6,(ROW(Management!$B$3:$B$50)-ROW(Management!$B$3)+1)/((IF(Management!$C$3:$C$50="Unlimited",10^15,Management!$C$3:$C$50))&gt;='1'!$I141),COLUMN(I140))),"")</f>
        <v/>
      </c>
      <c r="J141" t="str">
        <f>IFERROR(INDEX(Management!$B$3:$B$50,_xlfn.AGGREGATE(15,6,(ROW(Management!$B$3:$B$50)-ROW(Management!$B$3)+1)/((IF(Management!$C$3:$C$50="Unlimited",10^15,Management!$C$3:$C$50))&gt;='1'!$I141),COLUMN(J140))),"")</f>
        <v/>
      </c>
      <c r="K141" t="str">
        <f>IFERROR(INDEX(Management!$B$3:$B$50,_xlfn.AGGREGATE(15,6,(ROW(Management!$B$3:$B$50)-ROW(Management!$B$3)+1)/((IF(Management!$C$3:$C$50="Unlimited",10^15,Management!$C$3:$C$50))&gt;='1'!$I141),COLUMN(K140))),"")</f>
        <v/>
      </c>
      <c r="L141" t="str">
        <f>IFERROR(INDEX(Management!$B$3:$B$50,_xlfn.AGGREGATE(15,6,(ROW(Management!$B$3:$B$50)-ROW(Management!$B$3)+1)/((IF(Management!$C$3:$C$50="Unlimited",10^15,Management!$C$3:$C$50))&gt;='1'!$I141),COLUMN(L140))),"")</f>
        <v/>
      </c>
      <c r="M141" t="str">
        <f>IFERROR(INDEX(Management!$B$3:$B$50,_xlfn.AGGREGATE(15,6,(ROW(Management!$B$3:$B$50)-ROW(Management!$B$3)+1)/((IF(Management!$C$3:$C$50="Unlimited",10^15,Management!$C$3:$C$50))&gt;='1'!$I141),COLUMN(M140))),"")</f>
        <v/>
      </c>
      <c r="N141" t="str">
        <f>IFERROR(INDEX(Management!$B$3:$B$50,_xlfn.AGGREGATE(15,6,(ROW(Management!$B$3:$B$50)-ROW(Management!$B$3)+1)/((IF(Management!$C$3:$C$50="Unlimited",10^15,Management!$C$3:$C$50))&gt;='1'!$I141),COLUMN(N140))),"")</f>
        <v/>
      </c>
      <c r="O141" t="str">
        <f>IFERROR(INDEX(Management!$B$3:$B$50,_xlfn.AGGREGATE(15,6,(ROW(Management!$B$3:$B$50)-ROW(Management!$B$3)+1)/((IF(Management!$C$3:$C$50="Unlimited",10^15,Management!$C$3:$C$50))&gt;='1'!$I141),COLUMN(O140))),"")</f>
        <v/>
      </c>
      <c r="P141" t="str">
        <f>IFERROR(INDEX(Management!$B$3:$B$50,_xlfn.AGGREGATE(15,6,(ROW(Management!$B$3:$B$50)-ROW(Management!$B$3)+1)/((IF(Management!$C$3:$C$50="Unlimited",10^15,Management!$C$3:$C$50))&gt;='1'!$I141),COLUMN(P140))),"")</f>
        <v/>
      </c>
      <c r="Q141" t="str">
        <f>IFERROR(INDEX(Management!$B$3:$B$50,_xlfn.AGGREGATE(15,6,(ROW(Management!$B$3:$B$50)-ROW(Management!$B$3)+1)/((IF(Management!$C$3:$C$50="Unlimited",10^15,Management!$C$3:$C$50))&gt;='1'!$I141),COLUMN(Q140))),"")</f>
        <v/>
      </c>
      <c r="R141" t="str">
        <f>IFERROR(INDEX(Management!$B$3:$B$50,_xlfn.AGGREGATE(15,6,(ROW(Management!$B$3:$B$50)-ROW(Management!$B$3)+1)/((IF(Management!$C$3:$C$50="Unlimited",10^15,Management!$C$3:$C$50))&gt;='1'!$I141),COLUMN(R140))),"")</f>
        <v/>
      </c>
      <c r="S141" t="str">
        <f>IFERROR(INDEX(Management!$B$3:$B$50,_xlfn.AGGREGATE(15,6,(ROW(Management!$B$3:$B$50)-ROW(Management!$B$3)+1)/((IF(Management!$C$3:$C$50="Unlimited",10^15,Management!$C$3:$C$50))&gt;='1'!$I141),COLUMN(S140))),"")</f>
        <v/>
      </c>
      <c r="T141" t="str">
        <f>IFERROR(INDEX(Management!$B$3:$B$50,_xlfn.AGGREGATE(15,6,(ROW(Management!$B$3:$B$50)-ROW(Management!$B$3)+1)/((IF(Management!$C$3:$C$50="Unlimited",10^15,Management!$C$3:$C$50))&gt;='1'!$I141),COLUMN(T140))),"")</f>
        <v/>
      </c>
    </row>
    <row r="142" spans="1:20">
      <c r="A142" t="str">
        <f>IFERROR(INDEX(Management!$B$3:$B$50,_xlfn.AGGREGATE(15,6,(ROW(Management!$B$3:$B$50)-ROW(Management!$B$3)+1)/((IF(Management!$C$3:$C$50="Unlimited",10^15,Management!$C$3:$C$50))&gt;='1'!$I142),COLUMN(A141))),"")</f>
        <v/>
      </c>
      <c r="B142" t="str">
        <f>IFERROR(INDEX(Management!$B$3:$B$50,_xlfn.AGGREGATE(15,6,(ROW(Management!$B$3:$B$50)-ROW(Management!$B$3)+1)/((IF(Management!$C$3:$C$50="Unlimited",10^15,Management!$C$3:$C$50))&gt;='1'!$I142),COLUMN(B141))),"")</f>
        <v/>
      </c>
      <c r="C142" t="str">
        <f>IFERROR(INDEX(Management!$B$3:$B$50,_xlfn.AGGREGATE(15,6,(ROW(Management!$B$3:$B$50)-ROW(Management!$B$3)+1)/((IF(Management!$C$3:$C$50="Unlimited",10^15,Management!$C$3:$C$50))&gt;='1'!$I142),COLUMN(C141))),"")</f>
        <v/>
      </c>
      <c r="D142" t="str">
        <f>IFERROR(INDEX(Management!$B$3:$B$50,_xlfn.AGGREGATE(15,6,(ROW(Management!$B$3:$B$50)-ROW(Management!$B$3)+1)/((IF(Management!$C$3:$C$50="Unlimited",10^15,Management!$C$3:$C$50))&gt;='1'!$I142),COLUMN(D141))),"")</f>
        <v/>
      </c>
      <c r="E142" t="str">
        <f>IFERROR(INDEX(Management!$B$3:$B$50,_xlfn.AGGREGATE(15,6,(ROW(Management!$B$3:$B$50)-ROW(Management!$B$3)+1)/((IF(Management!$C$3:$C$50="Unlimited",10^15,Management!$C$3:$C$50))&gt;='1'!$I142),COLUMN(E141))),"")</f>
        <v/>
      </c>
      <c r="F142" t="str">
        <f>IFERROR(INDEX(Management!$B$3:$B$50,_xlfn.AGGREGATE(15,6,(ROW(Management!$B$3:$B$50)-ROW(Management!$B$3)+1)/((IF(Management!$C$3:$C$50="Unlimited",10^15,Management!$C$3:$C$50))&gt;='1'!$I142),COLUMN(F141))),"")</f>
        <v/>
      </c>
      <c r="G142" t="str">
        <f>IFERROR(INDEX(Management!$B$3:$B$50,_xlfn.AGGREGATE(15,6,(ROW(Management!$B$3:$B$50)-ROW(Management!$B$3)+1)/((IF(Management!$C$3:$C$50="Unlimited",10^15,Management!$C$3:$C$50))&gt;='1'!$I142),COLUMN(G141))),"")</f>
        <v/>
      </c>
      <c r="H142" t="str">
        <f>IFERROR(INDEX(Management!$B$3:$B$50,_xlfn.AGGREGATE(15,6,(ROW(Management!$B$3:$B$50)-ROW(Management!$B$3)+1)/((IF(Management!$C$3:$C$50="Unlimited",10^15,Management!$C$3:$C$50))&gt;='1'!$I142),COLUMN(H141))),"")</f>
        <v/>
      </c>
      <c r="I142" t="str">
        <f>IFERROR(INDEX(Management!$B$3:$B$50,_xlfn.AGGREGATE(15,6,(ROW(Management!$B$3:$B$50)-ROW(Management!$B$3)+1)/((IF(Management!$C$3:$C$50="Unlimited",10^15,Management!$C$3:$C$50))&gt;='1'!$I142),COLUMN(I141))),"")</f>
        <v/>
      </c>
      <c r="J142" t="str">
        <f>IFERROR(INDEX(Management!$B$3:$B$50,_xlfn.AGGREGATE(15,6,(ROW(Management!$B$3:$B$50)-ROW(Management!$B$3)+1)/((IF(Management!$C$3:$C$50="Unlimited",10^15,Management!$C$3:$C$50))&gt;='1'!$I142),COLUMN(J141))),"")</f>
        <v/>
      </c>
      <c r="K142" t="str">
        <f>IFERROR(INDEX(Management!$B$3:$B$50,_xlfn.AGGREGATE(15,6,(ROW(Management!$B$3:$B$50)-ROW(Management!$B$3)+1)/((IF(Management!$C$3:$C$50="Unlimited",10^15,Management!$C$3:$C$50))&gt;='1'!$I142),COLUMN(K141))),"")</f>
        <v/>
      </c>
      <c r="L142" t="str">
        <f>IFERROR(INDEX(Management!$B$3:$B$50,_xlfn.AGGREGATE(15,6,(ROW(Management!$B$3:$B$50)-ROW(Management!$B$3)+1)/((IF(Management!$C$3:$C$50="Unlimited",10^15,Management!$C$3:$C$50))&gt;='1'!$I142),COLUMN(L141))),"")</f>
        <v/>
      </c>
      <c r="M142" t="str">
        <f>IFERROR(INDEX(Management!$B$3:$B$50,_xlfn.AGGREGATE(15,6,(ROW(Management!$B$3:$B$50)-ROW(Management!$B$3)+1)/((IF(Management!$C$3:$C$50="Unlimited",10^15,Management!$C$3:$C$50))&gt;='1'!$I142),COLUMN(M141))),"")</f>
        <v/>
      </c>
      <c r="N142" t="str">
        <f>IFERROR(INDEX(Management!$B$3:$B$50,_xlfn.AGGREGATE(15,6,(ROW(Management!$B$3:$B$50)-ROW(Management!$B$3)+1)/((IF(Management!$C$3:$C$50="Unlimited",10^15,Management!$C$3:$C$50))&gt;='1'!$I142),COLUMN(N141))),"")</f>
        <v/>
      </c>
      <c r="O142" t="str">
        <f>IFERROR(INDEX(Management!$B$3:$B$50,_xlfn.AGGREGATE(15,6,(ROW(Management!$B$3:$B$50)-ROW(Management!$B$3)+1)/((IF(Management!$C$3:$C$50="Unlimited",10^15,Management!$C$3:$C$50))&gt;='1'!$I142),COLUMN(O141))),"")</f>
        <v/>
      </c>
      <c r="P142" t="str">
        <f>IFERROR(INDEX(Management!$B$3:$B$50,_xlfn.AGGREGATE(15,6,(ROW(Management!$B$3:$B$50)-ROW(Management!$B$3)+1)/((IF(Management!$C$3:$C$50="Unlimited",10^15,Management!$C$3:$C$50))&gt;='1'!$I142),COLUMN(P141))),"")</f>
        <v/>
      </c>
      <c r="Q142" t="str">
        <f>IFERROR(INDEX(Management!$B$3:$B$50,_xlfn.AGGREGATE(15,6,(ROW(Management!$B$3:$B$50)-ROW(Management!$B$3)+1)/((IF(Management!$C$3:$C$50="Unlimited",10^15,Management!$C$3:$C$50))&gt;='1'!$I142),COLUMN(Q141))),"")</f>
        <v/>
      </c>
      <c r="R142" t="str">
        <f>IFERROR(INDEX(Management!$B$3:$B$50,_xlfn.AGGREGATE(15,6,(ROW(Management!$B$3:$B$50)-ROW(Management!$B$3)+1)/((IF(Management!$C$3:$C$50="Unlimited",10^15,Management!$C$3:$C$50))&gt;='1'!$I142),COLUMN(R141))),"")</f>
        <v/>
      </c>
      <c r="S142" t="str">
        <f>IFERROR(INDEX(Management!$B$3:$B$50,_xlfn.AGGREGATE(15,6,(ROW(Management!$B$3:$B$50)-ROW(Management!$B$3)+1)/((IF(Management!$C$3:$C$50="Unlimited",10^15,Management!$C$3:$C$50))&gt;='1'!$I142),COLUMN(S141))),"")</f>
        <v/>
      </c>
      <c r="T142" t="str">
        <f>IFERROR(INDEX(Management!$B$3:$B$50,_xlfn.AGGREGATE(15,6,(ROW(Management!$B$3:$B$50)-ROW(Management!$B$3)+1)/((IF(Management!$C$3:$C$50="Unlimited",10^15,Management!$C$3:$C$50))&gt;='1'!$I142),COLUMN(T141))),"")</f>
        <v/>
      </c>
    </row>
    <row r="143" spans="1:20">
      <c r="A143" t="str">
        <f>IFERROR(INDEX(Management!$B$3:$B$50,_xlfn.AGGREGATE(15,6,(ROW(Management!$B$3:$B$50)-ROW(Management!$B$3)+1)/((IF(Management!$C$3:$C$50="Unlimited",10^15,Management!$C$3:$C$50))&gt;='1'!$I143),COLUMN(A142))),"")</f>
        <v/>
      </c>
      <c r="B143" t="str">
        <f>IFERROR(INDEX(Management!$B$3:$B$50,_xlfn.AGGREGATE(15,6,(ROW(Management!$B$3:$B$50)-ROW(Management!$B$3)+1)/((IF(Management!$C$3:$C$50="Unlimited",10^15,Management!$C$3:$C$50))&gt;='1'!$I143),COLUMN(B142))),"")</f>
        <v/>
      </c>
      <c r="C143" t="str">
        <f>IFERROR(INDEX(Management!$B$3:$B$50,_xlfn.AGGREGATE(15,6,(ROW(Management!$B$3:$B$50)-ROW(Management!$B$3)+1)/((IF(Management!$C$3:$C$50="Unlimited",10^15,Management!$C$3:$C$50))&gt;='1'!$I143),COLUMN(C142))),"")</f>
        <v/>
      </c>
      <c r="D143" t="str">
        <f>IFERROR(INDEX(Management!$B$3:$B$50,_xlfn.AGGREGATE(15,6,(ROW(Management!$B$3:$B$50)-ROW(Management!$B$3)+1)/((IF(Management!$C$3:$C$50="Unlimited",10^15,Management!$C$3:$C$50))&gt;='1'!$I143),COLUMN(D142))),"")</f>
        <v/>
      </c>
      <c r="E143" t="str">
        <f>IFERROR(INDEX(Management!$B$3:$B$50,_xlfn.AGGREGATE(15,6,(ROW(Management!$B$3:$B$50)-ROW(Management!$B$3)+1)/((IF(Management!$C$3:$C$50="Unlimited",10^15,Management!$C$3:$C$50))&gt;='1'!$I143),COLUMN(E142))),"")</f>
        <v/>
      </c>
      <c r="F143" t="str">
        <f>IFERROR(INDEX(Management!$B$3:$B$50,_xlfn.AGGREGATE(15,6,(ROW(Management!$B$3:$B$50)-ROW(Management!$B$3)+1)/((IF(Management!$C$3:$C$50="Unlimited",10^15,Management!$C$3:$C$50))&gt;='1'!$I143),COLUMN(F142))),"")</f>
        <v/>
      </c>
      <c r="G143" t="str">
        <f>IFERROR(INDEX(Management!$B$3:$B$50,_xlfn.AGGREGATE(15,6,(ROW(Management!$B$3:$B$50)-ROW(Management!$B$3)+1)/((IF(Management!$C$3:$C$50="Unlimited",10^15,Management!$C$3:$C$50))&gt;='1'!$I143),COLUMN(G142))),"")</f>
        <v/>
      </c>
      <c r="H143" t="str">
        <f>IFERROR(INDEX(Management!$B$3:$B$50,_xlfn.AGGREGATE(15,6,(ROW(Management!$B$3:$B$50)-ROW(Management!$B$3)+1)/((IF(Management!$C$3:$C$50="Unlimited",10^15,Management!$C$3:$C$50))&gt;='1'!$I143),COLUMN(H142))),"")</f>
        <v/>
      </c>
      <c r="I143" t="str">
        <f>IFERROR(INDEX(Management!$B$3:$B$50,_xlfn.AGGREGATE(15,6,(ROW(Management!$B$3:$B$50)-ROW(Management!$B$3)+1)/((IF(Management!$C$3:$C$50="Unlimited",10^15,Management!$C$3:$C$50))&gt;='1'!$I143),COLUMN(I142))),"")</f>
        <v/>
      </c>
      <c r="J143" t="str">
        <f>IFERROR(INDEX(Management!$B$3:$B$50,_xlfn.AGGREGATE(15,6,(ROW(Management!$B$3:$B$50)-ROW(Management!$B$3)+1)/((IF(Management!$C$3:$C$50="Unlimited",10^15,Management!$C$3:$C$50))&gt;='1'!$I143),COLUMN(J142))),"")</f>
        <v/>
      </c>
      <c r="K143" t="str">
        <f>IFERROR(INDEX(Management!$B$3:$B$50,_xlfn.AGGREGATE(15,6,(ROW(Management!$B$3:$B$50)-ROW(Management!$B$3)+1)/((IF(Management!$C$3:$C$50="Unlimited",10^15,Management!$C$3:$C$50))&gt;='1'!$I143),COLUMN(K142))),"")</f>
        <v/>
      </c>
      <c r="L143" t="str">
        <f>IFERROR(INDEX(Management!$B$3:$B$50,_xlfn.AGGREGATE(15,6,(ROW(Management!$B$3:$B$50)-ROW(Management!$B$3)+1)/((IF(Management!$C$3:$C$50="Unlimited",10^15,Management!$C$3:$C$50))&gt;='1'!$I143),COLUMN(L142))),"")</f>
        <v/>
      </c>
      <c r="M143" t="str">
        <f>IFERROR(INDEX(Management!$B$3:$B$50,_xlfn.AGGREGATE(15,6,(ROW(Management!$B$3:$B$50)-ROW(Management!$B$3)+1)/((IF(Management!$C$3:$C$50="Unlimited",10^15,Management!$C$3:$C$50))&gt;='1'!$I143),COLUMN(M142))),"")</f>
        <v/>
      </c>
      <c r="N143" t="str">
        <f>IFERROR(INDEX(Management!$B$3:$B$50,_xlfn.AGGREGATE(15,6,(ROW(Management!$B$3:$B$50)-ROW(Management!$B$3)+1)/((IF(Management!$C$3:$C$50="Unlimited",10^15,Management!$C$3:$C$50))&gt;='1'!$I143),COLUMN(N142))),"")</f>
        <v/>
      </c>
      <c r="O143" t="str">
        <f>IFERROR(INDEX(Management!$B$3:$B$50,_xlfn.AGGREGATE(15,6,(ROW(Management!$B$3:$B$50)-ROW(Management!$B$3)+1)/((IF(Management!$C$3:$C$50="Unlimited",10^15,Management!$C$3:$C$50))&gt;='1'!$I143),COLUMN(O142))),"")</f>
        <v/>
      </c>
      <c r="P143" t="str">
        <f>IFERROR(INDEX(Management!$B$3:$B$50,_xlfn.AGGREGATE(15,6,(ROW(Management!$B$3:$B$50)-ROW(Management!$B$3)+1)/((IF(Management!$C$3:$C$50="Unlimited",10^15,Management!$C$3:$C$50))&gt;='1'!$I143),COLUMN(P142))),"")</f>
        <v/>
      </c>
      <c r="Q143" t="str">
        <f>IFERROR(INDEX(Management!$B$3:$B$50,_xlfn.AGGREGATE(15,6,(ROW(Management!$B$3:$B$50)-ROW(Management!$B$3)+1)/((IF(Management!$C$3:$C$50="Unlimited",10^15,Management!$C$3:$C$50))&gt;='1'!$I143),COLUMN(Q142))),"")</f>
        <v/>
      </c>
      <c r="R143" t="str">
        <f>IFERROR(INDEX(Management!$B$3:$B$50,_xlfn.AGGREGATE(15,6,(ROW(Management!$B$3:$B$50)-ROW(Management!$B$3)+1)/((IF(Management!$C$3:$C$50="Unlimited",10^15,Management!$C$3:$C$50))&gt;='1'!$I143),COLUMN(R142))),"")</f>
        <v/>
      </c>
      <c r="S143" t="str">
        <f>IFERROR(INDEX(Management!$B$3:$B$50,_xlfn.AGGREGATE(15,6,(ROW(Management!$B$3:$B$50)-ROW(Management!$B$3)+1)/((IF(Management!$C$3:$C$50="Unlimited",10^15,Management!$C$3:$C$50))&gt;='1'!$I143),COLUMN(S142))),"")</f>
        <v/>
      </c>
      <c r="T143" t="str">
        <f>IFERROR(INDEX(Management!$B$3:$B$50,_xlfn.AGGREGATE(15,6,(ROW(Management!$B$3:$B$50)-ROW(Management!$B$3)+1)/((IF(Management!$C$3:$C$50="Unlimited",10^15,Management!$C$3:$C$50))&gt;='1'!$I143),COLUMN(T142))),"")</f>
        <v/>
      </c>
    </row>
    <row r="144" spans="1:20">
      <c r="A144" t="str">
        <f>IFERROR(INDEX(Management!$B$3:$B$50,_xlfn.AGGREGATE(15,6,(ROW(Management!$B$3:$B$50)-ROW(Management!$B$3)+1)/((IF(Management!$C$3:$C$50="Unlimited",10^15,Management!$C$3:$C$50))&gt;='1'!$I144),COLUMN(A143))),"")</f>
        <v/>
      </c>
      <c r="B144" t="str">
        <f>IFERROR(INDEX(Management!$B$3:$B$50,_xlfn.AGGREGATE(15,6,(ROW(Management!$B$3:$B$50)-ROW(Management!$B$3)+1)/((IF(Management!$C$3:$C$50="Unlimited",10^15,Management!$C$3:$C$50))&gt;='1'!$I144),COLUMN(B143))),"")</f>
        <v/>
      </c>
      <c r="C144" t="str">
        <f>IFERROR(INDEX(Management!$B$3:$B$50,_xlfn.AGGREGATE(15,6,(ROW(Management!$B$3:$B$50)-ROW(Management!$B$3)+1)/((IF(Management!$C$3:$C$50="Unlimited",10^15,Management!$C$3:$C$50))&gt;='1'!$I144),COLUMN(C143))),"")</f>
        <v/>
      </c>
      <c r="D144" t="str">
        <f>IFERROR(INDEX(Management!$B$3:$B$50,_xlfn.AGGREGATE(15,6,(ROW(Management!$B$3:$B$50)-ROW(Management!$B$3)+1)/((IF(Management!$C$3:$C$50="Unlimited",10^15,Management!$C$3:$C$50))&gt;='1'!$I144),COLUMN(D143))),"")</f>
        <v/>
      </c>
      <c r="E144" t="str">
        <f>IFERROR(INDEX(Management!$B$3:$B$50,_xlfn.AGGREGATE(15,6,(ROW(Management!$B$3:$B$50)-ROW(Management!$B$3)+1)/((IF(Management!$C$3:$C$50="Unlimited",10^15,Management!$C$3:$C$50))&gt;='1'!$I144),COLUMN(E143))),"")</f>
        <v/>
      </c>
      <c r="F144" t="str">
        <f>IFERROR(INDEX(Management!$B$3:$B$50,_xlfn.AGGREGATE(15,6,(ROW(Management!$B$3:$B$50)-ROW(Management!$B$3)+1)/((IF(Management!$C$3:$C$50="Unlimited",10^15,Management!$C$3:$C$50))&gt;='1'!$I144),COLUMN(F143))),"")</f>
        <v/>
      </c>
      <c r="G144" t="str">
        <f>IFERROR(INDEX(Management!$B$3:$B$50,_xlfn.AGGREGATE(15,6,(ROW(Management!$B$3:$B$50)-ROW(Management!$B$3)+1)/((IF(Management!$C$3:$C$50="Unlimited",10^15,Management!$C$3:$C$50))&gt;='1'!$I144),COLUMN(G143))),"")</f>
        <v/>
      </c>
      <c r="H144" t="str">
        <f>IFERROR(INDEX(Management!$B$3:$B$50,_xlfn.AGGREGATE(15,6,(ROW(Management!$B$3:$B$50)-ROW(Management!$B$3)+1)/((IF(Management!$C$3:$C$50="Unlimited",10^15,Management!$C$3:$C$50))&gt;='1'!$I144),COLUMN(H143))),"")</f>
        <v/>
      </c>
      <c r="I144" t="str">
        <f>IFERROR(INDEX(Management!$B$3:$B$50,_xlfn.AGGREGATE(15,6,(ROW(Management!$B$3:$B$50)-ROW(Management!$B$3)+1)/((IF(Management!$C$3:$C$50="Unlimited",10^15,Management!$C$3:$C$50))&gt;='1'!$I144),COLUMN(I143))),"")</f>
        <v/>
      </c>
      <c r="J144" t="str">
        <f>IFERROR(INDEX(Management!$B$3:$B$50,_xlfn.AGGREGATE(15,6,(ROW(Management!$B$3:$B$50)-ROW(Management!$B$3)+1)/((IF(Management!$C$3:$C$50="Unlimited",10^15,Management!$C$3:$C$50))&gt;='1'!$I144),COLUMN(J143))),"")</f>
        <v/>
      </c>
      <c r="K144" t="str">
        <f>IFERROR(INDEX(Management!$B$3:$B$50,_xlfn.AGGREGATE(15,6,(ROW(Management!$B$3:$B$50)-ROW(Management!$B$3)+1)/((IF(Management!$C$3:$C$50="Unlimited",10^15,Management!$C$3:$C$50))&gt;='1'!$I144),COLUMN(K143))),"")</f>
        <v/>
      </c>
      <c r="L144" t="str">
        <f>IFERROR(INDEX(Management!$B$3:$B$50,_xlfn.AGGREGATE(15,6,(ROW(Management!$B$3:$B$50)-ROW(Management!$B$3)+1)/((IF(Management!$C$3:$C$50="Unlimited",10^15,Management!$C$3:$C$50))&gt;='1'!$I144),COLUMN(L143))),"")</f>
        <v/>
      </c>
      <c r="M144" t="str">
        <f>IFERROR(INDEX(Management!$B$3:$B$50,_xlfn.AGGREGATE(15,6,(ROW(Management!$B$3:$B$50)-ROW(Management!$B$3)+1)/((IF(Management!$C$3:$C$50="Unlimited",10^15,Management!$C$3:$C$50))&gt;='1'!$I144),COLUMN(M143))),"")</f>
        <v/>
      </c>
      <c r="N144" t="str">
        <f>IFERROR(INDEX(Management!$B$3:$B$50,_xlfn.AGGREGATE(15,6,(ROW(Management!$B$3:$B$50)-ROW(Management!$B$3)+1)/((IF(Management!$C$3:$C$50="Unlimited",10^15,Management!$C$3:$C$50))&gt;='1'!$I144),COLUMN(N143))),"")</f>
        <v/>
      </c>
      <c r="O144" t="str">
        <f>IFERROR(INDEX(Management!$B$3:$B$50,_xlfn.AGGREGATE(15,6,(ROW(Management!$B$3:$B$50)-ROW(Management!$B$3)+1)/((IF(Management!$C$3:$C$50="Unlimited",10^15,Management!$C$3:$C$50))&gt;='1'!$I144),COLUMN(O143))),"")</f>
        <v/>
      </c>
      <c r="P144" t="str">
        <f>IFERROR(INDEX(Management!$B$3:$B$50,_xlfn.AGGREGATE(15,6,(ROW(Management!$B$3:$B$50)-ROW(Management!$B$3)+1)/((IF(Management!$C$3:$C$50="Unlimited",10^15,Management!$C$3:$C$50))&gt;='1'!$I144),COLUMN(P143))),"")</f>
        <v/>
      </c>
      <c r="Q144" t="str">
        <f>IFERROR(INDEX(Management!$B$3:$B$50,_xlfn.AGGREGATE(15,6,(ROW(Management!$B$3:$B$50)-ROW(Management!$B$3)+1)/((IF(Management!$C$3:$C$50="Unlimited",10^15,Management!$C$3:$C$50))&gt;='1'!$I144),COLUMN(Q143))),"")</f>
        <v/>
      </c>
      <c r="R144" t="str">
        <f>IFERROR(INDEX(Management!$B$3:$B$50,_xlfn.AGGREGATE(15,6,(ROW(Management!$B$3:$B$50)-ROW(Management!$B$3)+1)/((IF(Management!$C$3:$C$50="Unlimited",10^15,Management!$C$3:$C$50))&gt;='1'!$I144),COLUMN(R143))),"")</f>
        <v/>
      </c>
      <c r="S144" t="str">
        <f>IFERROR(INDEX(Management!$B$3:$B$50,_xlfn.AGGREGATE(15,6,(ROW(Management!$B$3:$B$50)-ROW(Management!$B$3)+1)/((IF(Management!$C$3:$C$50="Unlimited",10^15,Management!$C$3:$C$50))&gt;='1'!$I144),COLUMN(S143))),"")</f>
        <v/>
      </c>
      <c r="T144" t="str">
        <f>IFERROR(INDEX(Management!$B$3:$B$50,_xlfn.AGGREGATE(15,6,(ROW(Management!$B$3:$B$50)-ROW(Management!$B$3)+1)/((IF(Management!$C$3:$C$50="Unlimited",10^15,Management!$C$3:$C$50))&gt;='1'!$I144),COLUMN(T143))),"")</f>
        <v/>
      </c>
    </row>
    <row r="145" spans="1:20">
      <c r="A145" t="str">
        <f>IFERROR(INDEX(Management!$B$3:$B$50,_xlfn.AGGREGATE(15,6,(ROW(Management!$B$3:$B$50)-ROW(Management!$B$3)+1)/((IF(Management!$C$3:$C$50="Unlimited",10^15,Management!$C$3:$C$50))&gt;='1'!$I145),COLUMN(A144))),"")</f>
        <v/>
      </c>
      <c r="B145" t="str">
        <f>IFERROR(INDEX(Management!$B$3:$B$50,_xlfn.AGGREGATE(15,6,(ROW(Management!$B$3:$B$50)-ROW(Management!$B$3)+1)/((IF(Management!$C$3:$C$50="Unlimited",10^15,Management!$C$3:$C$50))&gt;='1'!$I145),COLUMN(B144))),"")</f>
        <v/>
      </c>
      <c r="C145" t="str">
        <f>IFERROR(INDEX(Management!$B$3:$B$50,_xlfn.AGGREGATE(15,6,(ROW(Management!$B$3:$B$50)-ROW(Management!$B$3)+1)/((IF(Management!$C$3:$C$50="Unlimited",10^15,Management!$C$3:$C$50))&gt;='1'!$I145),COLUMN(C144))),"")</f>
        <v/>
      </c>
      <c r="D145" t="str">
        <f>IFERROR(INDEX(Management!$B$3:$B$50,_xlfn.AGGREGATE(15,6,(ROW(Management!$B$3:$B$50)-ROW(Management!$B$3)+1)/((IF(Management!$C$3:$C$50="Unlimited",10^15,Management!$C$3:$C$50))&gt;='1'!$I145),COLUMN(D144))),"")</f>
        <v/>
      </c>
      <c r="E145" t="str">
        <f>IFERROR(INDEX(Management!$B$3:$B$50,_xlfn.AGGREGATE(15,6,(ROW(Management!$B$3:$B$50)-ROW(Management!$B$3)+1)/((IF(Management!$C$3:$C$50="Unlimited",10^15,Management!$C$3:$C$50))&gt;='1'!$I145),COLUMN(E144))),"")</f>
        <v/>
      </c>
      <c r="F145" t="str">
        <f>IFERROR(INDEX(Management!$B$3:$B$50,_xlfn.AGGREGATE(15,6,(ROW(Management!$B$3:$B$50)-ROW(Management!$B$3)+1)/((IF(Management!$C$3:$C$50="Unlimited",10^15,Management!$C$3:$C$50))&gt;='1'!$I145),COLUMN(F144))),"")</f>
        <v/>
      </c>
      <c r="G145" t="str">
        <f>IFERROR(INDEX(Management!$B$3:$B$50,_xlfn.AGGREGATE(15,6,(ROW(Management!$B$3:$B$50)-ROW(Management!$B$3)+1)/((IF(Management!$C$3:$C$50="Unlimited",10^15,Management!$C$3:$C$50))&gt;='1'!$I145),COLUMN(G144))),"")</f>
        <v/>
      </c>
      <c r="H145" t="str">
        <f>IFERROR(INDEX(Management!$B$3:$B$50,_xlfn.AGGREGATE(15,6,(ROW(Management!$B$3:$B$50)-ROW(Management!$B$3)+1)/((IF(Management!$C$3:$C$50="Unlimited",10^15,Management!$C$3:$C$50))&gt;='1'!$I145),COLUMN(H144))),"")</f>
        <v/>
      </c>
      <c r="I145" t="str">
        <f>IFERROR(INDEX(Management!$B$3:$B$50,_xlfn.AGGREGATE(15,6,(ROW(Management!$B$3:$B$50)-ROW(Management!$B$3)+1)/((IF(Management!$C$3:$C$50="Unlimited",10^15,Management!$C$3:$C$50))&gt;='1'!$I145),COLUMN(I144))),"")</f>
        <v/>
      </c>
      <c r="J145" t="str">
        <f>IFERROR(INDEX(Management!$B$3:$B$50,_xlfn.AGGREGATE(15,6,(ROW(Management!$B$3:$B$50)-ROW(Management!$B$3)+1)/((IF(Management!$C$3:$C$50="Unlimited",10^15,Management!$C$3:$C$50))&gt;='1'!$I145),COLUMN(J144))),"")</f>
        <v/>
      </c>
      <c r="K145" t="str">
        <f>IFERROR(INDEX(Management!$B$3:$B$50,_xlfn.AGGREGATE(15,6,(ROW(Management!$B$3:$B$50)-ROW(Management!$B$3)+1)/((IF(Management!$C$3:$C$50="Unlimited",10^15,Management!$C$3:$C$50))&gt;='1'!$I145),COLUMN(K144))),"")</f>
        <v/>
      </c>
      <c r="L145" t="str">
        <f>IFERROR(INDEX(Management!$B$3:$B$50,_xlfn.AGGREGATE(15,6,(ROW(Management!$B$3:$B$50)-ROW(Management!$B$3)+1)/((IF(Management!$C$3:$C$50="Unlimited",10^15,Management!$C$3:$C$50))&gt;='1'!$I145),COLUMN(L144))),"")</f>
        <v/>
      </c>
      <c r="M145" t="str">
        <f>IFERROR(INDEX(Management!$B$3:$B$50,_xlfn.AGGREGATE(15,6,(ROW(Management!$B$3:$B$50)-ROW(Management!$B$3)+1)/((IF(Management!$C$3:$C$50="Unlimited",10^15,Management!$C$3:$C$50))&gt;='1'!$I145),COLUMN(M144))),"")</f>
        <v/>
      </c>
      <c r="N145" t="str">
        <f>IFERROR(INDEX(Management!$B$3:$B$50,_xlfn.AGGREGATE(15,6,(ROW(Management!$B$3:$B$50)-ROW(Management!$B$3)+1)/((IF(Management!$C$3:$C$50="Unlimited",10^15,Management!$C$3:$C$50))&gt;='1'!$I145),COLUMN(N144))),"")</f>
        <v/>
      </c>
      <c r="O145" t="str">
        <f>IFERROR(INDEX(Management!$B$3:$B$50,_xlfn.AGGREGATE(15,6,(ROW(Management!$B$3:$B$50)-ROW(Management!$B$3)+1)/((IF(Management!$C$3:$C$50="Unlimited",10^15,Management!$C$3:$C$50))&gt;='1'!$I145),COLUMN(O144))),"")</f>
        <v/>
      </c>
      <c r="P145" t="str">
        <f>IFERROR(INDEX(Management!$B$3:$B$50,_xlfn.AGGREGATE(15,6,(ROW(Management!$B$3:$B$50)-ROW(Management!$B$3)+1)/((IF(Management!$C$3:$C$50="Unlimited",10^15,Management!$C$3:$C$50))&gt;='1'!$I145),COLUMN(P144))),"")</f>
        <v/>
      </c>
      <c r="Q145" t="str">
        <f>IFERROR(INDEX(Management!$B$3:$B$50,_xlfn.AGGREGATE(15,6,(ROW(Management!$B$3:$B$50)-ROW(Management!$B$3)+1)/((IF(Management!$C$3:$C$50="Unlimited",10^15,Management!$C$3:$C$50))&gt;='1'!$I145),COLUMN(Q144))),"")</f>
        <v/>
      </c>
      <c r="R145" t="str">
        <f>IFERROR(INDEX(Management!$B$3:$B$50,_xlfn.AGGREGATE(15,6,(ROW(Management!$B$3:$B$50)-ROW(Management!$B$3)+1)/((IF(Management!$C$3:$C$50="Unlimited",10^15,Management!$C$3:$C$50))&gt;='1'!$I145),COLUMN(R144))),"")</f>
        <v/>
      </c>
      <c r="S145" t="str">
        <f>IFERROR(INDEX(Management!$B$3:$B$50,_xlfn.AGGREGATE(15,6,(ROW(Management!$B$3:$B$50)-ROW(Management!$B$3)+1)/((IF(Management!$C$3:$C$50="Unlimited",10^15,Management!$C$3:$C$50))&gt;='1'!$I145),COLUMN(S144))),"")</f>
        <v/>
      </c>
      <c r="T145" t="str">
        <f>IFERROR(INDEX(Management!$B$3:$B$50,_xlfn.AGGREGATE(15,6,(ROW(Management!$B$3:$B$50)-ROW(Management!$B$3)+1)/((IF(Management!$C$3:$C$50="Unlimited",10^15,Management!$C$3:$C$50))&gt;='1'!$I145),COLUMN(T144))),"")</f>
        <v/>
      </c>
    </row>
    <row r="146" spans="1:20">
      <c r="A146" t="str">
        <f>IFERROR(INDEX(Management!$B$3:$B$50,_xlfn.AGGREGATE(15,6,(ROW(Management!$B$3:$B$50)-ROW(Management!$B$3)+1)/((IF(Management!$C$3:$C$50="Unlimited",10^15,Management!$C$3:$C$50))&gt;='1'!$I146),COLUMN(A145))),"")</f>
        <v/>
      </c>
      <c r="B146" t="str">
        <f>IFERROR(INDEX(Management!$B$3:$B$50,_xlfn.AGGREGATE(15,6,(ROW(Management!$B$3:$B$50)-ROW(Management!$B$3)+1)/((IF(Management!$C$3:$C$50="Unlimited",10^15,Management!$C$3:$C$50))&gt;='1'!$I146),COLUMN(B145))),"")</f>
        <v/>
      </c>
      <c r="C146" t="str">
        <f>IFERROR(INDEX(Management!$B$3:$B$50,_xlfn.AGGREGATE(15,6,(ROW(Management!$B$3:$B$50)-ROW(Management!$B$3)+1)/((IF(Management!$C$3:$C$50="Unlimited",10^15,Management!$C$3:$C$50))&gt;='1'!$I146),COLUMN(C145))),"")</f>
        <v/>
      </c>
      <c r="D146" t="str">
        <f>IFERROR(INDEX(Management!$B$3:$B$50,_xlfn.AGGREGATE(15,6,(ROW(Management!$B$3:$B$50)-ROW(Management!$B$3)+1)/((IF(Management!$C$3:$C$50="Unlimited",10^15,Management!$C$3:$C$50))&gt;='1'!$I146),COLUMN(D145))),"")</f>
        <v/>
      </c>
      <c r="E146" t="str">
        <f>IFERROR(INDEX(Management!$B$3:$B$50,_xlfn.AGGREGATE(15,6,(ROW(Management!$B$3:$B$50)-ROW(Management!$B$3)+1)/((IF(Management!$C$3:$C$50="Unlimited",10^15,Management!$C$3:$C$50))&gt;='1'!$I146),COLUMN(E145))),"")</f>
        <v/>
      </c>
      <c r="F146" t="str">
        <f>IFERROR(INDEX(Management!$B$3:$B$50,_xlfn.AGGREGATE(15,6,(ROW(Management!$B$3:$B$50)-ROW(Management!$B$3)+1)/((IF(Management!$C$3:$C$50="Unlimited",10^15,Management!$C$3:$C$50))&gt;='1'!$I146),COLUMN(F145))),"")</f>
        <v/>
      </c>
      <c r="G146" t="str">
        <f>IFERROR(INDEX(Management!$B$3:$B$50,_xlfn.AGGREGATE(15,6,(ROW(Management!$B$3:$B$50)-ROW(Management!$B$3)+1)/((IF(Management!$C$3:$C$50="Unlimited",10^15,Management!$C$3:$C$50))&gt;='1'!$I146),COLUMN(G145))),"")</f>
        <v/>
      </c>
      <c r="H146" t="str">
        <f>IFERROR(INDEX(Management!$B$3:$B$50,_xlfn.AGGREGATE(15,6,(ROW(Management!$B$3:$B$50)-ROW(Management!$B$3)+1)/((IF(Management!$C$3:$C$50="Unlimited",10^15,Management!$C$3:$C$50))&gt;='1'!$I146),COLUMN(H145))),"")</f>
        <v/>
      </c>
      <c r="I146" t="str">
        <f>IFERROR(INDEX(Management!$B$3:$B$50,_xlfn.AGGREGATE(15,6,(ROW(Management!$B$3:$B$50)-ROW(Management!$B$3)+1)/((IF(Management!$C$3:$C$50="Unlimited",10^15,Management!$C$3:$C$50))&gt;='1'!$I146),COLUMN(I145))),"")</f>
        <v/>
      </c>
      <c r="J146" t="str">
        <f>IFERROR(INDEX(Management!$B$3:$B$50,_xlfn.AGGREGATE(15,6,(ROW(Management!$B$3:$B$50)-ROW(Management!$B$3)+1)/((IF(Management!$C$3:$C$50="Unlimited",10^15,Management!$C$3:$C$50))&gt;='1'!$I146),COLUMN(J145))),"")</f>
        <v/>
      </c>
      <c r="K146" t="str">
        <f>IFERROR(INDEX(Management!$B$3:$B$50,_xlfn.AGGREGATE(15,6,(ROW(Management!$B$3:$B$50)-ROW(Management!$B$3)+1)/((IF(Management!$C$3:$C$50="Unlimited",10^15,Management!$C$3:$C$50))&gt;='1'!$I146),COLUMN(K145))),"")</f>
        <v/>
      </c>
      <c r="L146" t="str">
        <f>IFERROR(INDEX(Management!$B$3:$B$50,_xlfn.AGGREGATE(15,6,(ROW(Management!$B$3:$B$50)-ROW(Management!$B$3)+1)/((IF(Management!$C$3:$C$50="Unlimited",10^15,Management!$C$3:$C$50))&gt;='1'!$I146),COLUMN(L145))),"")</f>
        <v/>
      </c>
      <c r="M146" t="str">
        <f>IFERROR(INDEX(Management!$B$3:$B$50,_xlfn.AGGREGATE(15,6,(ROW(Management!$B$3:$B$50)-ROW(Management!$B$3)+1)/((IF(Management!$C$3:$C$50="Unlimited",10^15,Management!$C$3:$C$50))&gt;='1'!$I146),COLUMN(M145))),"")</f>
        <v/>
      </c>
      <c r="N146" t="str">
        <f>IFERROR(INDEX(Management!$B$3:$B$50,_xlfn.AGGREGATE(15,6,(ROW(Management!$B$3:$B$50)-ROW(Management!$B$3)+1)/((IF(Management!$C$3:$C$50="Unlimited",10^15,Management!$C$3:$C$50))&gt;='1'!$I146),COLUMN(N145))),"")</f>
        <v/>
      </c>
      <c r="O146" t="str">
        <f>IFERROR(INDEX(Management!$B$3:$B$50,_xlfn.AGGREGATE(15,6,(ROW(Management!$B$3:$B$50)-ROW(Management!$B$3)+1)/((IF(Management!$C$3:$C$50="Unlimited",10^15,Management!$C$3:$C$50))&gt;='1'!$I146),COLUMN(O145))),"")</f>
        <v/>
      </c>
      <c r="P146" t="str">
        <f>IFERROR(INDEX(Management!$B$3:$B$50,_xlfn.AGGREGATE(15,6,(ROW(Management!$B$3:$B$50)-ROW(Management!$B$3)+1)/((IF(Management!$C$3:$C$50="Unlimited",10^15,Management!$C$3:$C$50))&gt;='1'!$I146),COLUMN(P145))),"")</f>
        <v/>
      </c>
      <c r="Q146" t="str">
        <f>IFERROR(INDEX(Management!$B$3:$B$50,_xlfn.AGGREGATE(15,6,(ROW(Management!$B$3:$B$50)-ROW(Management!$B$3)+1)/((IF(Management!$C$3:$C$50="Unlimited",10^15,Management!$C$3:$C$50))&gt;='1'!$I146),COLUMN(Q145))),"")</f>
        <v/>
      </c>
      <c r="R146" t="str">
        <f>IFERROR(INDEX(Management!$B$3:$B$50,_xlfn.AGGREGATE(15,6,(ROW(Management!$B$3:$B$50)-ROW(Management!$B$3)+1)/((IF(Management!$C$3:$C$50="Unlimited",10^15,Management!$C$3:$C$50))&gt;='1'!$I146),COLUMN(R145))),"")</f>
        <v/>
      </c>
      <c r="S146" t="str">
        <f>IFERROR(INDEX(Management!$B$3:$B$50,_xlfn.AGGREGATE(15,6,(ROW(Management!$B$3:$B$50)-ROW(Management!$B$3)+1)/((IF(Management!$C$3:$C$50="Unlimited",10^15,Management!$C$3:$C$50))&gt;='1'!$I146),COLUMN(S145))),"")</f>
        <v/>
      </c>
      <c r="T146" t="str">
        <f>IFERROR(INDEX(Management!$B$3:$B$50,_xlfn.AGGREGATE(15,6,(ROW(Management!$B$3:$B$50)-ROW(Management!$B$3)+1)/((IF(Management!$C$3:$C$50="Unlimited",10^15,Management!$C$3:$C$50))&gt;='1'!$I146),COLUMN(T145))),"")</f>
        <v/>
      </c>
    </row>
    <row r="147" spans="1:20">
      <c r="A147" t="str">
        <f>IFERROR(INDEX(Management!$B$3:$B$50,_xlfn.AGGREGATE(15,6,(ROW(Management!$B$3:$B$50)-ROW(Management!$B$3)+1)/((IF(Management!$C$3:$C$50="Unlimited",10^15,Management!$C$3:$C$50))&gt;='1'!$I147),COLUMN(A146))),"")</f>
        <v/>
      </c>
      <c r="B147" t="str">
        <f>IFERROR(INDEX(Management!$B$3:$B$50,_xlfn.AGGREGATE(15,6,(ROW(Management!$B$3:$B$50)-ROW(Management!$B$3)+1)/((IF(Management!$C$3:$C$50="Unlimited",10^15,Management!$C$3:$C$50))&gt;='1'!$I147),COLUMN(B146))),"")</f>
        <v/>
      </c>
      <c r="C147" t="str">
        <f>IFERROR(INDEX(Management!$B$3:$B$50,_xlfn.AGGREGATE(15,6,(ROW(Management!$B$3:$B$50)-ROW(Management!$B$3)+1)/((IF(Management!$C$3:$C$50="Unlimited",10^15,Management!$C$3:$C$50))&gt;='1'!$I147),COLUMN(C146))),"")</f>
        <v/>
      </c>
      <c r="D147" t="str">
        <f>IFERROR(INDEX(Management!$B$3:$B$50,_xlfn.AGGREGATE(15,6,(ROW(Management!$B$3:$B$50)-ROW(Management!$B$3)+1)/((IF(Management!$C$3:$C$50="Unlimited",10^15,Management!$C$3:$C$50))&gt;='1'!$I147),COLUMN(D146))),"")</f>
        <v/>
      </c>
      <c r="E147" t="str">
        <f>IFERROR(INDEX(Management!$B$3:$B$50,_xlfn.AGGREGATE(15,6,(ROW(Management!$B$3:$B$50)-ROW(Management!$B$3)+1)/((IF(Management!$C$3:$C$50="Unlimited",10^15,Management!$C$3:$C$50))&gt;='1'!$I147),COLUMN(E146))),"")</f>
        <v/>
      </c>
      <c r="F147" t="str">
        <f>IFERROR(INDEX(Management!$B$3:$B$50,_xlfn.AGGREGATE(15,6,(ROW(Management!$B$3:$B$50)-ROW(Management!$B$3)+1)/((IF(Management!$C$3:$C$50="Unlimited",10^15,Management!$C$3:$C$50))&gt;='1'!$I147),COLUMN(F146))),"")</f>
        <v/>
      </c>
      <c r="G147" t="str">
        <f>IFERROR(INDEX(Management!$B$3:$B$50,_xlfn.AGGREGATE(15,6,(ROW(Management!$B$3:$B$50)-ROW(Management!$B$3)+1)/((IF(Management!$C$3:$C$50="Unlimited",10^15,Management!$C$3:$C$50))&gt;='1'!$I147),COLUMN(G146))),"")</f>
        <v/>
      </c>
      <c r="H147" t="str">
        <f>IFERROR(INDEX(Management!$B$3:$B$50,_xlfn.AGGREGATE(15,6,(ROW(Management!$B$3:$B$50)-ROW(Management!$B$3)+1)/((IF(Management!$C$3:$C$50="Unlimited",10^15,Management!$C$3:$C$50))&gt;='1'!$I147),COLUMN(H146))),"")</f>
        <v/>
      </c>
      <c r="I147" t="str">
        <f>IFERROR(INDEX(Management!$B$3:$B$50,_xlfn.AGGREGATE(15,6,(ROW(Management!$B$3:$B$50)-ROW(Management!$B$3)+1)/((IF(Management!$C$3:$C$50="Unlimited",10^15,Management!$C$3:$C$50))&gt;='1'!$I147),COLUMN(I146))),"")</f>
        <v/>
      </c>
      <c r="J147" t="str">
        <f>IFERROR(INDEX(Management!$B$3:$B$50,_xlfn.AGGREGATE(15,6,(ROW(Management!$B$3:$B$50)-ROW(Management!$B$3)+1)/((IF(Management!$C$3:$C$50="Unlimited",10^15,Management!$C$3:$C$50))&gt;='1'!$I147),COLUMN(J146))),"")</f>
        <v/>
      </c>
      <c r="K147" t="str">
        <f>IFERROR(INDEX(Management!$B$3:$B$50,_xlfn.AGGREGATE(15,6,(ROW(Management!$B$3:$B$50)-ROW(Management!$B$3)+1)/((IF(Management!$C$3:$C$50="Unlimited",10^15,Management!$C$3:$C$50))&gt;='1'!$I147),COLUMN(K146))),"")</f>
        <v/>
      </c>
      <c r="L147" t="str">
        <f>IFERROR(INDEX(Management!$B$3:$B$50,_xlfn.AGGREGATE(15,6,(ROW(Management!$B$3:$B$50)-ROW(Management!$B$3)+1)/((IF(Management!$C$3:$C$50="Unlimited",10^15,Management!$C$3:$C$50))&gt;='1'!$I147),COLUMN(L146))),"")</f>
        <v/>
      </c>
      <c r="M147" t="str">
        <f>IFERROR(INDEX(Management!$B$3:$B$50,_xlfn.AGGREGATE(15,6,(ROW(Management!$B$3:$B$50)-ROW(Management!$B$3)+1)/((IF(Management!$C$3:$C$50="Unlimited",10^15,Management!$C$3:$C$50))&gt;='1'!$I147),COLUMN(M146))),"")</f>
        <v/>
      </c>
      <c r="N147" t="str">
        <f>IFERROR(INDEX(Management!$B$3:$B$50,_xlfn.AGGREGATE(15,6,(ROW(Management!$B$3:$B$50)-ROW(Management!$B$3)+1)/((IF(Management!$C$3:$C$50="Unlimited",10^15,Management!$C$3:$C$50))&gt;='1'!$I147),COLUMN(N146))),"")</f>
        <v/>
      </c>
      <c r="O147" t="str">
        <f>IFERROR(INDEX(Management!$B$3:$B$50,_xlfn.AGGREGATE(15,6,(ROW(Management!$B$3:$B$50)-ROW(Management!$B$3)+1)/((IF(Management!$C$3:$C$50="Unlimited",10^15,Management!$C$3:$C$50))&gt;='1'!$I147),COLUMN(O146))),"")</f>
        <v/>
      </c>
      <c r="P147" t="str">
        <f>IFERROR(INDEX(Management!$B$3:$B$50,_xlfn.AGGREGATE(15,6,(ROW(Management!$B$3:$B$50)-ROW(Management!$B$3)+1)/((IF(Management!$C$3:$C$50="Unlimited",10^15,Management!$C$3:$C$50))&gt;='1'!$I147),COLUMN(P146))),"")</f>
        <v/>
      </c>
      <c r="Q147" t="str">
        <f>IFERROR(INDEX(Management!$B$3:$B$50,_xlfn.AGGREGATE(15,6,(ROW(Management!$B$3:$B$50)-ROW(Management!$B$3)+1)/((IF(Management!$C$3:$C$50="Unlimited",10^15,Management!$C$3:$C$50))&gt;='1'!$I147),COLUMN(Q146))),"")</f>
        <v/>
      </c>
      <c r="R147" t="str">
        <f>IFERROR(INDEX(Management!$B$3:$B$50,_xlfn.AGGREGATE(15,6,(ROW(Management!$B$3:$B$50)-ROW(Management!$B$3)+1)/((IF(Management!$C$3:$C$50="Unlimited",10^15,Management!$C$3:$C$50))&gt;='1'!$I147),COLUMN(R146))),"")</f>
        <v/>
      </c>
      <c r="S147" t="str">
        <f>IFERROR(INDEX(Management!$B$3:$B$50,_xlfn.AGGREGATE(15,6,(ROW(Management!$B$3:$B$50)-ROW(Management!$B$3)+1)/((IF(Management!$C$3:$C$50="Unlimited",10^15,Management!$C$3:$C$50))&gt;='1'!$I147),COLUMN(S146))),"")</f>
        <v/>
      </c>
      <c r="T147" t="str">
        <f>IFERROR(INDEX(Management!$B$3:$B$50,_xlfn.AGGREGATE(15,6,(ROW(Management!$B$3:$B$50)-ROW(Management!$B$3)+1)/((IF(Management!$C$3:$C$50="Unlimited",10^15,Management!$C$3:$C$50))&gt;='1'!$I147),COLUMN(T146))),"")</f>
        <v/>
      </c>
    </row>
    <row r="148" spans="1:20">
      <c r="A148" t="str">
        <f>IFERROR(INDEX(Management!$B$3:$B$50,_xlfn.AGGREGATE(15,6,(ROW(Management!$B$3:$B$50)-ROW(Management!$B$3)+1)/((IF(Management!$C$3:$C$50="Unlimited",10^15,Management!$C$3:$C$50))&gt;='1'!$I148),COLUMN(A147))),"")</f>
        <v/>
      </c>
      <c r="B148" t="str">
        <f>IFERROR(INDEX(Management!$B$3:$B$50,_xlfn.AGGREGATE(15,6,(ROW(Management!$B$3:$B$50)-ROW(Management!$B$3)+1)/((IF(Management!$C$3:$C$50="Unlimited",10^15,Management!$C$3:$C$50))&gt;='1'!$I148),COLUMN(B147))),"")</f>
        <v/>
      </c>
      <c r="C148" t="str">
        <f>IFERROR(INDEX(Management!$B$3:$B$50,_xlfn.AGGREGATE(15,6,(ROW(Management!$B$3:$B$50)-ROW(Management!$B$3)+1)/((IF(Management!$C$3:$C$50="Unlimited",10^15,Management!$C$3:$C$50))&gt;='1'!$I148),COLUMN(C147))),"")</f>
        <v/>
      </c>
      <c r="D148" t="str">
        <f>IFERROR(INDEX(Management!$B$3:$B$50,_xlfn.AGGREGATE(15,6,(ROW(Management!$B$3:$B$50)-ROW(Management!$B$3)+1)/((IF(Management!$C$3:$C$50="Unlimited",10^15,Management!$C$3:$C$50))&gt;='1'!$I148),COLUMN(D147))),"")</f>
        <v/>
      </c>
      <c r="E148" t="str">
        <f>IFERROR(INDEX(Management!$B$3:$B$50,_xlfn.AGGREGATE(15,6,(ROW(Management!$B$3:$B$50)-ROW(Management!$B$3)+1)/((IF(Management!$C$3:$C$50="Unlimited",10^15,Management!$C$3:$C$50))&gt;='1'!$I148),COLUMN(E147))),"")</f>
        <v/>
      </c>
      <c r="F148" t="str">
        <f>IFERROR(INDEX(Management!$B$3:$B$50,_xlfn.AGGREGATE(15,6,(ROW(Management!$B$3:$B$50)-ROW(Management!$B$3)+1)/((IF(Management!$C$3:$C$50="Unlimited",10^15,Management!$C$3:$C$50))&gt;='1'!$I148),COLUMN(F147))),"")</f>
        <v/>
      </c>
      <c r="G148" t="str">
        <f>IFERROR(INDEX(Management!$B$3:$B$50,_xlfn.AGGREGATE(15,6,(ROW(Management!$B$3:$B$50)-ROW(Management!$B$3)+1)/((IF(Management!$C$3:$C$50="Unlimited",10^15,Management!$C$3:$C$50))&gt;='1'!$I148),COLUMN(G147))),"")</f>
        <v/>
      </c>
      <c r="H148" t="str">
        <f>IFERROR(INDEX(Management!$B$3:$B$50,_xlfn.AGGREGATE(15,6,(ROW(Management!$B$3:$B$50)-ROW(Management!$B$3)+1)/((IF(Management!$C$3:$C$50="Unlimited",10^15,Management!$C$3:$C$50))&gt;='1'!$I148),COLUMN(H147))),"")</f>
        <v/>
      </c>
      <c r="I148" t="str">
        <f>IFERROR(INDEX(Management!$B$3:$B$50,_xlfn.AGGREGATE(15,6,(ROW(Management!$B$3:$B$50)-ROW(Management!$B$3)+1)/((IF(Management!$C$3:$C$50="Unlimited",10^15,Management!$C$3:$C$50))&gt;='1'!$I148),COLUMN(I147))),"")</f>
        <v/>
      </c>
      <c r="J148" t="str">
        <f>IFERROR(INDEX(Management!$B$3:$B$50,_xlfn.AGGREGATE(15,6,(ROW(Management!$B$3:$B$50)-ROW(Management!$B$3)+1)/((IF(Management!$C$3:$C$50="Unlimited",10^15,Management!$C$3:$C$50))&gt;='1'!$I148),COLUMN(J147))),"")</f>
        <v/>
      </c>
      <c r="K148" t="str">
        <f>IFERROR(INDEX(Management!$B$3:$B$50,_xlfn.AGGREGATE(15,6,(ROW(Management!$B$3:$B$50)-ROW(Management!$B$3)+1)/((IF(Management!$C$3:$C$50="Unlimited",10^15,Management!$C$3:$C$50))&gt;='1'!$I148),COLUMN(K147))),"")</f>
        <v/>
      </c>
      <c r="L148" t="str">
        <f>IFERROR(INDEX(Management!$B$3:$B$50,_xlfn.AGGREGATE(15,6,(ROW(Management!$B$3:$B$50)-ROW(Management!$B$3)+1)/((IF(Management!$C$3:$C$50="Unlimited",10^15,Management!$C$3:$C$50))&gt;='1'!$I148),COLUMN(L147))),"")</f>
        <v/>
      </c>
      <c r="M148" t="str">
        <f>IFERROR(INDEX(Management!$B$3:$B$50,_xlfn.AGGREGATE(15,6,(ROW(Management!$B$3:$B$50)-ROW(Management!$B$3)+1)/((IF(Management!$C$3:$C$50="Unlimited",10^15,Management!$C$3:$C$50))&gt;='1'!$I148),COLUMN(M147))),"")</f>
        <v/>
      </c>
      <c r="N148" t="str">
        <f>IFERROR(INDEX(Management!$B$3:$B$50,_xlfn.AGGREGATE(15,6,(ROW(Management!$B$3:$B$50)-ROW(Management!$B$3)+1)/((IF(Management!$C$3:$C$50="Unlimited",10^15,Management!$C$3:$C$50))&gt;='1'!$I148),COLUMN(N147))),"")</f>
        <v/>
      </c>
      <c r="O148" t="str">
        <f>IFERROR(INDEX(Management!$B$3:$B$50,_xlfn.AGGREGATE(15,6,(ROW(Management!$B$3:$B$50)-ROW(Management!$B$3)+1)/((IF(Management!$C$3:$C$50="Unlimited",10^15,Management!$C$3:$C$50))&gt;='1'!$I148),COLUMN(O147))),"")</f>
        <v/>
      </c>
      <c r="P148" t="str">
        <f>IFERROR(INDEX(Management!$B$3:$B$50,_xlfn.AGGREGATE(15,6,(ROW(Management!$B$3:$B$50)-ROW(Management!$B$3)+1)/((IF(Management!$C$3:$C$50="Unlimited",10^15,Management!$C$3:$C$50))&gt;='1'!$I148),COLUMN(P147))),"")</f>
        <v/>
      </c>
      <c r="Q148" t="str">
        <f>IFERROR(INDEX(Management!$B$3:$B$50,_xlfn.AGGREGATE(15,6,(ROW(Management!$B$3:$B$50)-ROW(Management!$B$3)+1)/((IF(Management!$C$3:$C$50="Unlimited",10^15,Management!$C$3:$C$50))&gt;='1'!$I148),COLUMN(Q147))),"")</f>
        <v/>
      </c>
      <c r="R148" t="str">
        <f>IFERROR(INDEX(Management!$B$3:$B$50,_xlfn.AGGREGATE(15,6,(ROW(Management!$B$3:$B$50)-ROW(Management!$B$3)+1)/((IF(Management!$C$3:$C$50="Unlimited",10^15,Management!$C$3:$C$50))&gt;='1'!$I148),COLUMN(R147))),"")</f>
        <v/>
      </c>
      <c r="S148" t="str">
        <f>IFERROR(INDEX(Management!$B$3:$B$50,_xlfn.AGGREGATE(15,6,(ROW(Management!$B$3:$B$50)-ROW(Management!$B$3)+1)/((IF(Management!$C$3:$C$50="Unlimited",10^15,Management!$C$3:$C$50))&gt;='1'!$I148),COLUMN(S147))),"")</f>
        <v/>
      </c>
      <c r="T148" t="str">
        <f>IFERROR(INDEX(Management!$B$3:$B$50,_xlfn.AGGREGATE(15,6,(ROW(Management!$B$3:$B$50)-ROW(Management!$B$3)+1)/((IF(Management!$C$3:$C$50="Unlimited",10^15,Management!$C$3:$C$50))&gt;='1'!$I148),COLUMN(T147))),"")</f>
        <v/>
      </c>
    </row>
    <row r="149" spans="1:20">
      <c r="A149" t="str">
        <f>IFERROR(INDEX(Management!$B$3:$B$50,_xlfn.AGGREGATE(15,6,(ROW(Management!$B$3:$B$50)-ROW(Management!$B$3)+1)/((IF(Management!$C$3:$C$50="Unlimited",10^15,Management!$C$3:$C$50))&gt;='1'!$I149),COLUMN(A148))),"")</f>
        <v/>
      </c>
      <c r="B149" t="str">
        <f>IFERROR(INDEX(Management!$B$3:$B$50,_xlfn.AGGREGATE(15,6,(ROW(Management!$B$3:$B$50)-ROW(Management!$B$3)+1)/((IF(Management!$C$3:$C$50="Unlimited",10^15,Management!$C$3:$C$50))&gt;='1'!$I149),COLUMN(B148))),"")</f>
        <v/>
      </c>
      <c r="C149" t="str">
        <f>IFERROR(INDEX(Management!$B$3:$B$50,_xlfn.AGGREGATE(15,6,(ROW(Management!$B$3:$B$50)-ROW(Management!$B$3)+1)/((IF(Management!$C$3:$C$50="Unlimited",10^15,Management!$C$3:$C$50))&gt;='1'!$I149),COLUMN(C148))),"")</f>
        <v/>
      </c>
      <c r="D149" t="str">
        <f>IFERROR(INDEX(Management!$B$3:$B$50,_xlfn.AGGREGATE(15,6,(ROW(Management!$B$3:$B$50)-ROW(Management!$B$3)+1)/((IF(Management!$C$3:$C$50="Unlimited",10^15,Management!$C$3:$C$50))&gt;='1'!$I149),COLUMN(D148))),"")</f>
        <v/>
      </c>
      <c r="E149" t="str">
        <f>IFERROR(INDEX(Management!$B$3:$B$50,_xlfn.AGGREGATE(15,6,(ROW(Management!$B$3:$B$50)-ROW(Management!$B$3)+1)/((IF(Management!$C$3:$C$50="Unlimited",10^15,Management!$C$3:$C$50))&gt;='1'!$I149),COLUMN(E148))),"")</f>
        <v/>
      </c>
      <c r="F149" t="str">
        <f>IFERROR(INDEX(Management!$B$3:$B$50,_xlfn.AGGREGATE(15,6,(ROW(Management!$B$3:$B$50)-ROW(Management!$B$3)+1)/((IF(Management!$C$3:$C$50="Unlimited",10^15,Management!$C$3:$C$50))&gt;='1'!$I149),COLUMN(F148))),"")</f>
        <v/>
      </c>
      <c r="G149" t="str">
        <f>IFERROR(INDEX(Management!$B$3:$B$50,_xlfn.AGGREGATE(15,6,(ROW(Management!$B$3:$B$50)-ROW(Management!$B$3)+1)/((IF(Management!$C$3:$C$50="Unlimited",10^15,Management!$C$3:$C$50))&gt;='1'!$I149),COLUMN(G148))),"")</f>
        <v/>
      </c>
      <c r="H149" t="str">
        <f>IFERROR(INDEX(Management!$B$3:$B$50,_xlfn.AGGREGATE(15,6,(ROW(Management!$B$3:$B$50)-ROW(Management!$B$3)+1)/((IF(Management!$C$3:$C$50="Unlimited",10^15,Management!$C$3:$C$50))&gt;='1'!$I149),COLUMN(H148))),"")</f>
        <v/>
      </c>
      <c r="I149" t="str">
        <f>IFERROR(INDEX(Management!$B$3:$B$50,_xlfn.AGGREGATE(15,6,(ROW(Management!$B$3:$B$50)-ROW(Management!$B$3)+1)/((IF(Management!$C$3:$C$50="Unlimited",10^15,Management!$C$3:$C$50))&gt;='1'!$I149),COLUMN(I148))),"")</f>
        <v/>
      </c>
      <c r="J149" t="str">
        <f>IFERROR(INDEX(Management!$B$3:$B$50,_xlfn.AGGREGATE(15,6,(ROW(Management!$B$3:$B$50)-ROW(Management!$B$3)+1)/((IF(Management!$C$3:$C$50="Unlimited",10^15,Management!$C$3:$C$50))&gt;='1'!$I149),COLUMN(J148))),"")</f>
        <v/>
      </c>
      <c r="K149" t="str">
        <f>IFERROR(INDEX(Management!$B$3:$B$50,_xlfn.AGGREGATE(15,6,(ROW(Management!$B$3:$B$50)-ROW(Management!$B$3)+1)/((IF(Management!$C$3:$C$50="Unlimited",10^15,Management!$C$3:$C$50))&gt;='1'!$I149),COLUMN(K148))),"")</f>
        <v/>
      </c>
      <c r="L149" t="str">
        <f>IFERROR(INDEX(Management!$B$3:$B$50,_xlfn.AGGREGATE(15,6,(ROW(Management!$B$3:$B$50)-ROW(Management!$B$3)+1)/((IF(Management!$C$3:$C$50="Unlimited",10^15,Management!$C$3:$C$50))&gt;='1'!$I149),COLUMN(L148))),"")</f>
        <v/>
      </c>
      <c r="M149" t="str">
        <f>IFERROR(INDEX(Management!$B$3:$B$50,_xlfn.AGGREGATE(15,6,(ROW(Management!$B$3:$B$50)-ROW(Management!$B$3)+1)/((IF(Management!$C$3:$C$50="Unlimited",10^15,Management!$C$3:$C$50))&gt;='1'!$I149),COLUMN(M148))),"")</f>
        <v/>
      </c>
      <c r="N149" t="str">
        <f>IFERROR(INDEX(Management!$B$3:$B$50,_xlfn.AGGREGATE(15,6,(ROW(Management!$B$3:$B$50)-ROW(Management!$B$3)+1)/((IF(Management!$C$3:$C$50="Unlimited",10^15,Management!$C$3:$C$50))&gt;='1'!$I149),COLUMN(N148))),"")</f>
        <v/>
      </c>
      <c r="O149" t="str">
        <f>IFERROR(INDEX(Management!$B$3:$B$50,_xlfn.AGGREGATE(15,6,(ROW(Management!$B$3:$B$50)-ROW(Management!$B$3)+1)/((IF(Management!$C$3:$C$50="Unlimited",10^15,Management!$C$3:$C$50))&gt;='1'!$I149),COLUMN(O148))),"")</f>
        <v/>
      </c>
      <c r="P149" t="str">
        <f>IFERROR(INDEX(Management!$B$3:$B$50,_xlfn.AGGREGATE(15,6,(ROW(Management!$B$3:$B$50)-ROW(Management!$B$3)+1)/((IF(Management!$C$3:$C$50="Unlimited",10^15,Management!$C$3:$C$50))&gt;='1'!$I149),COLUMN(P148))),"")</f>
        <v/>
      </c>
      <c r="Q149" t="str">
        <f>IFERROR(INDEX(Management!$B$3:$B$50,_xlfn.AGGREGATE(15,6,(ROW(Management!$B$3:$B$50)-ROW(Management!$B$3)+1)/((IF(Management!$C$3:$C$50="Unlimited",10^15,Management!$C$3:$C$50))&gt;='1'!$I149),COLUMN(Q148))),"")</f>
        <v/>
      </c>
      <c r="R149" t="str">
        <f>IFERROR(INDEX(Management!$B$3:$B$50,_xlfn.AGGREGATE(15,6,(ROW(Management!$B$3:$B$50)-ROW(Management!$B$3)+1)/((IF(Management!$C$3:$C$50="Unlimited",10^15,Management!$C$3:$C$50))&gt;='1'!$I149),COLUMN(R148))),"")</f>
        <v/>
      </c>
      <c r="S149" t="str">
        <f>IFERROR(INDEX(Management!$B$3:$B$50,_xlfn.AGGREGATE(15,6,(ROW(Management!$B$3:$B$50)-ROW(Management!$B$3)+1)/((IF(Management!$C$3:$C$50="Unlimited",10^15,Management!$C$3:$C$50))&gt;='1'!$I149),COLUMN(S148))),"")</f>
        <v/>
      </c>
      <c r="T149" t="str">
        <f>IFERROR(INDEX(Management!$B$3:$B$50,_xlfn.AGGREGATE(15,6,(ROW(Management!$B$3:$B$50)-ROW(Management!$B$3)+1)/((IF(Management!$C$3:$C$50="Unlimited",10^15,Management!$C$3:$C$50))&gt;='1'!$I149),COLUMN(T148))),"")</f>
        <v/>
      </c>
    </row>
    <row r="150" spans="1:20">
      <c r="A150" t="str">
        <f>IFERROR(INDEX(Management!$B$3:$B$50,_xlfn.AGGREGATE(15,6,(ROW(Management!$B$3:$B$50)-ROW(Management!$B$3)+1)/((IF(Management!$C$3:$C$50="Unlimited",10^15,Management!$C$3:$C$50))&gt;='1'!$I150),COLUMN(A149))),"")</f>
        <v/>
      </c>
      <c r="B150" t="str">
        <f>IFERROR(INDEX(Management!$B$3:$B$50,_xlfn.AGGREGATE(15,6,(ROW(Management!$B$3:$B$50)-ROW(Management!$B$3)+1)/((IF(Management!$C$3:$C$50="Unlimited",10^15,Management!$C$3:$C$50))&gt;='1'!$I150),COLUMN(B149))),"")</f>
        <v/>
      </c>
      <c r="C150" t="str">
        <f>IFERROR(INDEX(Management!$B$3:$B$50,_xlfn.AGGREGATE(15,6,(ROW(Management!$B$3:$B$50)-ROW(Management!$B$3)+1)/((IF(Management!$C$3:$C$50="Unlimited",10^15,Management!$C$3:$C$50))&gt;='1'!$I150),COLUMN(C149))),"")</f>
        <v/>
      </c>
      <c r="D150" t="str">
        <f>IFERROR(INDEX(Management!$B$3:$B$50,_xlfn.AGGREGATE(15,6,(ROW(Management!$B$3:$B$50)-ROW(Management!$B$3)+1)/((IF(Management!$C$3:$C$50="Unlimited",10^15,Management!$C$3:$C$50))&gt;='1'!$I150),COLUMN(D149))),"")</f>
        <v/>
      </c>
      <c r="E150" t="str">
        <f>IFERROR(INDEX(Management!$B$3:$B$50,_xlfn.AGGREGATE(15,6,(ROW(Management!$B$3:$B$50)-ROW(Management!$B$3)+1)/((IF(Management!$C$3:$C$50="Unlimited",10^15,Management!$C$3:$C$50))&gt;='1'!$I150),COLUMN(E149))),"")</f>
        <v/>
      </c>
      <c r="F150" t="str">
        <f>IFERROR(INDEX(Management!$B$3:$B$50,_xlfn.AGGREGATE(15,6,(ROW(Management!$B$3:$B$50)-ROW(Management!$B$3)+1)/((IF(Management!$C$3:$C$50="Unlimited",10^15,Management!$C$3:$C$50))&gt;='1'!$I150),COLUMN(F149))),"")</f>
        <v/>
      </c>
      <c r="G150" t="str">
        <f>IFERROR(INDEX(Management!$B$3:$B$50,_xlfn.AGGREGATE(15,6,(ROW(Management!$B$3:$B$50)-ROW(Management!$B$3)+1)/((IF(Management!$C$3:$C$50="Unlimited",10^15,Management!$C$3:$C$50))&gt;='1'!$I150),COLUMN(G149))),"")</f>
        <v/>
      </c>
      <c r="H150" t="str">
        <f>IFERROR(INDEX(Management!$B$3:$B$50,_xlfn.AGGREGATE(15,6,(ROW(Management!$B$3:$B$50)-ROW(Management!$B$3)+1)/((IF(Management!$C$3:$C$50="Unlimited",10^15,Management!$C$3:$C$50))&gt;='1'!$I150),COLUMN(H149))),"")</f>
        <v/>
      </c>
      <c r="I150" t="str">
        <f>IFERROR(INDEX(Management!$B$3:$B$50,_xlfn.AGGREGATE(15,6,(ROW(Management!$B$3:$B$50)-ROW(Management!$B$3)+1)/((IF(Management!$C$3:$C$50="Unlimited",10^15,Management!$C$3:$C$50))&gt;='1'!$I150),COLUMN(I149))),"")</f>
        <v/>
      </c>
      <c r="J150" t="str">
        <f>IFERROR(INDEX(Management!$B$3:$B$50,_xlfn.AGGREGATE(15,6,(ROW(Management!$B$3:$B$50)-ROW(Management!$B$3)+1)/((IF(Management!$C$3:$C$50="Unlimited",10^15,Management!$C$3:$C$50))&gt;='1'!$I150),COLUMN(J149))),"")</f>
        <v/>
      </c>
      <c r="K150" t="str">
        <f>IFERROR(INDEX(Management!$B$3:$B$50,_xlfn.AGGREGATE(15,6,(ROW(Management!$B$3:$B$50)-ROW(Management!$B$3)+1)/((IF(Management!$C$3:$C$50="Unlimited",10^15,Management!$C$3:$C$50))&gt;='1'!$I150),COLUMN(K149))),"")</f>
        <v/>
      </c>
      <c r="L150" t="str">
        <f>IFERROR(INDEX(Management!$B$3:$B$50,_xlfn.AGGREGATE(15,6,(ROW(Management!$B$3:$B$50)-ROW(Management!$B$3)+1)/((IF(Management!$C$3:$C$50="Unlimited",10^15,Management!$C$3:$C$50))&gt;='1'!$I150),COLUMN(L149))),"")</f>
        <v/>
      </c>
      <c r="M150" t="str">
        <f>IFERROR(INDEX(Management!$B$3:$B$50,_xlfn.AGGREGATE(15,6,(ROW(Management!$B$3:$B$50)-ROW(Management!$B$3)+1)/((IF(Management!$C$3:$C$50="Unlimited",10^15,Management!$C$3:$C$50))&gt;='1'!$I150),COLUMN(M149))),"")</f>
        <v/>
      </c>
      <c r="N150" t="str">
        <f>IFERROR(INDEX(Management!$B$3:$B$50,_xlfn.AGGREGATE(15,6,(ROW(Management!$B$3:$B$50)-ROW(Management!$B$3)+1)/((IF(Management!$C$3:$C$50="Unlimited",10^15,Management!$C$3:$C$50))&gt;='1'!$I150),COLUMN(N149))),"")</f>
        <v/>
      </c>
      <c r="O150" t="str">
        <f>IFERROR(INDEX(Management!$B$3:$B$50,_xlfn.AGGREGATE(15,6,(ROW(Management!$B$3:$B$50)-ROW(Management!$B$3)+1)/((IF(Management!$C$3:$C$50="Unlimited",10^15,Management!$C$3:$C$50))&gt;='1'!$I150),COLUMN(O149))),"")</f>
        <v/>
      </c>
      <c r="P150" t="str">
        <f>IFERROR(INDEX(Management!$B$3:$B$50,_xlfn.AGGREGATE(15,6,(ROW(Management!$B$3:$B$50)-ROW(Management!$B$3)+1)/((IF(Management!$C$3:$C$50="Unlimited",10^15,Management!$C$3:$C$50))&gt;='1'!$I150),COLUMN(P149))),"")</f>
        <v/>
      </c>
      <c r="Q150" t="str">
        <f>IFERROR(INDEX(Management!$B$3:$B$50,_xlfn.AGGREGATE(15,6,(ROW(Management!$B$3:$B$50)-ROW(Management!$B$3)+1)/((IF(Management!$C$3:$C$50="Unlimited",10^15,Management!$C$3:$C$50))&gt;='1'!$I150),COLUMN(Q149))),"")</f>
        <v/>
      </c>
      <c r="R150" t="str">
        <f>IFERROR(INDEX(Management!$B$3:$B$50,_xlfn.AGGREGATE(15,6,(ROW(Management!$B$3:$B$50)-ROW(Management!$B$3)+1)/((IF(Management!$C$3:$C$50="Unlimited",10^15,Management!$C$3:$C$50))&gt;='1'!$I150),COLUMN(R149))),"")</f>
        <v/>
      </c>
      <c r="S150" t="str">
        <f>IFERROR(INDEX(Management!$B$3:$B$50,_xlfn.AGGREGATE(15,6,(ROW(Management!$B$3:$B$50)-ROW(Management!$B$3)+1)/((IF(Management!$C$3:$C$50="Unlimited",10^15,Management!$C$3:$C$50))&gt;='1'!$I150),COLUMN(S149))),"")</f>
        <v/>
      </c>
      <c r="T150" t="str">
        <f>IFERROR(INDEX(Management!$B$3:$B$50,_xlfn.AGGREGATE(15,6,(ROW(Management!$B$3:$B$50)-ROW(Management!$B$3)+1)/((IF(Management!$C$3:$C$50="Unlimited",10^15,Management!$C$3:$C$50))&gt;='1'!$I150),COLUMN(T149))),"")</f>
        <v/>
      </c>
    </row>
    <row r="151" spans="1:20">
      <c r="A151" t="str">
        <f>IFERROR(INDEX(Management!$B$3:$B$50,_xlfn.AGGREGATE(15,6,(ROW(Management!$B$3:$B$50)-ROW(Management!$B$3)+1)/((IF(Management!$C$3:$C$50="Unlimited",10^15,Management!$C$3:$C$50))&gt;='1'!$I151),COLUMN(A150))),"")</f>
        <v/>
      </c>
      <c r="B151" t="str">
        <f>IFERROR(INDEX(Management!$B$3:$B$50,_xlfn.AGGREGATE(15,6,(ROW(Management!$B$3:$B$50)-ROW(Management!$B$3)+1)/((IF(Management!$C$3:$C$50="Unlimited",10^15,Management!$C$3:$C$50))&gt;='1'!$I151),COLUMN(B150))),"")</f>
        <v/>
      </c>
      <c r="C151" t="str">
        <f>IFERROR(INDEX(Management!$B$3:$B$50,_xlfn.AGGREGATE(15,6,(ROW(Management!$B$3:$B$50)-ROW(Management!$B$3)+1)/((IF(Management!$C$3:$C$50="Unlimited",10^15,Management!$C$3:$C$50))&gt;='1'!$I151),COLUMN(C150))),"")</f>
        <v/>
      </c>
      <c r="D151" t="str">
        <f>IFERROR(INDEX(Management!$B$3:$B$50,_xlfn.AGGREGATE(15,6,(ROW(Management!$B$3:$B$50)-ROW(Management!$B$3)+1)/((IF(Management!$C$3:$C$50="Unlimited",10^15,Management!$C$3:$C$50))&gt;='1'!$I151),COLUMN(D150))),"")</f>
        <v/>
      </c>
      <c r="E151" t="str">
        <f>IFERROR(INDEX(Management!$B$3:$B$50,_xlfn.AGGREGATE(15,6,(ROW(Management!$B$3:$B$50)-ROW(Management!$B$3)+1)/((IF(Management!$C$3:$C$50="Unlimited",10^15,Management!$C$3:$C$50))&gt;='1'!$I151),COLUMN(E150))),"")</f>
        <v/>
      </c>
      <c r="F151" t="str">
        <f>IFERROR(INDEX(Management!$B$3:$B$50,_xlfn.AGGREGATE(15,6,(ROW(Management!$B$3:$B$50)-ROW(Management!$B$3)+1)/((IF(Management!$C$3:$C$50="Unlimited",10^15,Management!$C$3:$C$50))&gt;='1'!$I151),COLUMN(F150))),"")</f>
        <v/>
      </c>
      <c r="G151" t="str">
        <f>IFERROR(INDEX(Management!$B$3:$B$50,_xlfn.AGGREGATE(15,6,(ROW(Management!$B$3:$B$50)-ROW(Management!$B$3)+1)/((IF(Management!$C$3:$C$50="Unlimited",10^15,Management!$C$3:$C$50))&gt;='1'!$I151),COLUMN(G150))),"")</f>
        <v/>
      </c>
      <c r="H151" t="str">
        <f>IFERROR(INDEX(Management!$B$3:$B$50,_xlfn.AGGREGATE(15,6,(ROW(Management!$B$3:$B$50)-ROW(Management!$B$3)+1)/((IF(Management!$C$3:$C$50="Unlimited",10^15,Management!$C$3:$C$50))&gt;='1'!$I151),COLUMN(H150))),"")</f>
        <v/>
      </c>
      <c r="I151" t="str">
        <f>IFERROR(INDEX(Management!$B$3:$B$50,_xlfn.AGGREGATE(15,6,(ROW(Management!$B$3:$B$50)-ROW(Management!$B$3)+1)/((IF(Management!$C$3:$C$50="Unlimited",10^15,Management!$C$3:$C$50))&gt;='1'!$I151),COLUMN(I150))),"")</f>
        <v/>
      </c>
      <c r="J151" t="str">
        <f>IFERROR(INDEX(Management!$B$3:$B$50,_xlfn.AGGREGATE(15,6,(ROW(Management!$B$3:$B$50)-ROW(Management!$B$3)+1)/((IF(Management!$C$3:$C$50="Unlimited",10^15,Management!$C$3:$C$50))&gt;='1'!$I151),COLUMN(J150))),"")</f>
        <v/>
      </c>
      <c r="K151" t="str">
        <f>IFERROR(INDEX(Management!$B$3:$B$50,_xlfn.AGGREGATE(15,6,(ROW(Management!$B$3:$B$50)-ROW(Management!$B$3)+1)/((IF(Management!$C$3:$C$50="Unlimited",10^15,Management!$C$3:$C$50))&gt;='1'!$I151),COLUMN(K150))),"")</f>
        <v/>
      </c>
      <c r="L151" t="str">
        <f>IFERROR(INDEX(Management!$B$3:$B$50,_xlfn.AGGREGATE(15,6,(ROW(Management!$B$3:$B$50)-ROW(Management!$B$3)+1)/((IF(Management!$C$3:$C$50="Unlimited",10^15,Management!$C$3:$C$50))&gt;='1'!$I151),COLUMN(L150))),"")</f>
        <v/>
      </c>
      <c r="M151" t="str">
        <f>IFERROR(INDEX(Management!$B$3:$B$50,_xlfn.AGGREGATE(15,6,(ROW(Management!$B$3:$B$50)-ROW(Management!$B$3)+1)/((IF(Management!$C$3:$C$50="Unlimited",10^15,Management!$C$3:$C$50))&gt;='1'!$I151),COLUMN(M150))),"")</f>
        <v/>
      </c>
      <c r="N151" t="str">
        <f>IFERROR(INDEX(Management!$B$3:$B$50,_xlfn.AGGREGATE(15,6,(ROW(Management!$B$3:$B$50)-ROW(Management!$B$3)+1)/((IF(Management!$C$3:$C$50="Unlimited",10^15,Management!$C$3:$C$50))&gt;='1'!$I151),COLUMN(N150))),"")</f>
        <v/>
      </c>
      <c r="O151" t="str">
        <f>IFERROR(INDEX(Management!$B$3:$B$50,_xlfn.AGGREGATE(15,6,(ROW(Management!$B$3:$B$50)-ROW(Management!$B$3)+1)/((IF(Management!$C$3:$C$50="Unlimited",10^15,Management!$C$3:$C$50))&gt;='1'!$I151),COLUMN(O150))),"")</f>
        <v/>
      </c>
      <c r="P151" t="str">
        <f>IFERROR(INDEX(Management!$B$3:$B$50,_xlfn.AGGREGATE(15,6,(ROW(Management!$B$3:$B$50)-ROW(Management!$B$3)+1)/((IF(Management!$C$3:$C$50="Unlimited",10^15,Management!$C$3:$C$50))&gt;='1'!$I151),COLUMN(P150))),"")</f>
        <v/>
      </c>
      <c r="Q151" t="str">
        <f>IFERROR(INDEX(Management!$B$3:$B$50,_xlfn.AGGREGATE(15,6,(ROW(Management!$B$3:$B$50)-ROW(Management!$B$3)+1)/((IF(Management!$C$3:$C$50="Unlimited",10^15,Management!$C$3:$C$50))&gt;='1'!$I151),COLUMN(Q150))),"")</f>
        <v/>
      </c>
      <c r="R151" t="str">
        <f>IFERROR(INDEX(Management!$B$3:$B$50,_xlfn.AGGREGATE(15,6,(ROW(Management!$B$3:$B$50)-ROW(Management!$B$3)+1)/((IF(Management!$C$3:$C$50="Unlimited",10^15,Management!$C$3:$C$50))&gt;='1'!$I151),COLUMN(R150))),"")</f>
        <v/>
      </c>
      <c r="S151" t="str">
        <f>IFERROR(INDEX(Management!$B$3:$B$50,_xlfn.AGGREGATE(15,6,(ROW(Management!$B$3:$B$50)-ROW(Management!$B$3)+1)/((IF(Management!$C$3:$C$50="Unlimited",10^15,Management!$C$3:$C$50))&gt;='1'!$I151),COLUMN(S150))),"")</f>
        <v/>
      </c>
      <c r="T151" t="str">
        <f>IFERROR(INDEX(Management!$B$3:$B$50,_xlfn.AGGREGATE(15,6,(ROW(Management!$B$3:$B$50)-ROW(Management!$B$3)+1)/((IF(Management!$C$3:$C$50="Unlimited",10^15,Management!$C$3:$C$50))&gt;='1'!$I151),COLUMN(T150))),"")</f>
        <v/>
      </c>
    </row>
    <row r="152" spans="1:20">
      <c r="A152" t="str">
        <f>IFERROR(INDEX(Management!$B$3:$B$50,_xlfn.AGGREGATE(15,6,(ROW(Management!$B$3:$B$50)-ROW(Management!$B$3)+1)/((IF(Management!$C$3:$C$50="Unlimited",10^15,Management!$C$3:$C$50))&gt;='1'!$I152),COLUMN(A151))),"")</f>
        <v/>
      </c>
      <c r="B152" t="str">
        <f>IFERROR(INDEX(Management!$B$3:$B$50,_xlfn.AGGREGATE(15,6,(ROW(Management!$B$3:$B$50)-ROW(Management!$B$3)+1)/((IF(Management!$C$3:$C$50="Unlimited",10^15,Management!$C$3:$C$50))&gt;='1'!$I152),COLUMN(B151))),"")</f>
        <v/>
      </c>
      <c r="C152" t="str">
        <f>IFERROR(INDEX(Management!$B$3:$B$50,_xlfn.AGGREGATE(15,6,(ROW(Management!$B$3:$B$50)-ROW(Management!$B$3)+1)/((IF(Management!$C$3:$C$50="Unlimited",10^15,Management!$C$3:$C$50))&gt;='1'!$I152),COLUMN(C151))),"")</f>
        <v/>
      </c>
      <c r="D152" t="str">
        <f>IFERROR(INDEX(Management!$B$3:$B$50,_xlfn.AGGREGATE(15,6,(ROW(Management!$B$3:$B$50)-ROW(Management!$B$3)+1)/((IF(Management!$C$3:$C$50="Unlimited",10^15,Management!$C$3:$C$50))&gt;='1'!$I152),COLUMN(D151))),"")</f>
        <v/>
      </c>
      <c r="E152" t="str">
        <f>IFERROR(INDEX(Management!$B$3:$B$50,_xlfn.AGGREGATE(15,6,(ROW(Management!$B$3:$B$50)-ROW(Management!$B$3)+1)/((IF(Management!$C$3:$C$50="Unlimited",10^15,Management!$C$3:$C$50))&gt;='1'!$I152),COLUMN(E151))),"")</f>
        <v/>
      </c>
      <c r="F152" t="str">
        <f>IFERROR(INDEX(Management!$B$3:$B$50,_xlfn.AGGREGATE(15,6,(ROW(Management!$B$3:$B$50)-ROW(Management!$B$3)+1)/((IF(Management!$C$3:$C$50="Unlimited",10^15,Management!$C$3:$C$50))&gt;='1'!$I152),COLUMN(F151))),"")</f>
        <v/>
      </c>
      <c r="G152" t="str">
        <f>IFERROR(INDEX(Management!$B$3:$B$50,_xlfn.AGGREGATE(15,6,(ROW(Management!$B$3:$B$50)-ROW(Management!$B$3)+1)/((IF(Management!$C$3:$C$50="Unlimited",10^15,Management!$C$3:$C$50))&gt;='1'!$I152),COLUMN(G151))),"")</f>
        <v/>
      </c>
      <c r="H152" t="str">
        <f>IFERROR(INDEX(Management!$B$3:$B$50,_xlfn.AGGREGATE(15,6,(ROW(Management!$B$3:$B$50)-ROW(Management!$B$3)+1)/((IF(Management!$C$3:$C$50="Unlimited",10^15,Management!$C$3:$C$50))&gt;='1'!$I152),COLUMN(H151))),"")</f>
        <v/>
      </c>
      <c r="I152" t="str">
        <f>IFERROR(INDEX(Management!$B$3:$B$50,_xlfn.AGGREGATE(15,6,(ROW(Management!$B$3:$B$50)-ROW(Management!$B$3)+1)/((IF(Management!$C$3:$C$50="Unlimited",10^15,Management!$C$3:$C$50))&gt;='1'!$I152),COLUMN(I151))),"")</f>
        <v/>
      </c>
      <c r="J152" t="str">
        <f>IFERROR(INDEX(Management!$B$3:$B$50,_xlfn.AGGREGATE(15,6,(ROW(Management!$B$3:$B$50)-ROW(Management!$B$3)+1)/((IF(Management!$C$3:$C$50="Unlimited",10^15,Management!$C$3:$C$50))&gt;='1'!$I152),COLUMN(J151))),"")</f>
        <v/>
      </c>
      <c r="K152" t="str">
        <f>IFERROR(INDEX(Management!$B$3:$B$50,_xlfn.AGGREGATE(15,6,(ROW(Management!$B$3:$B$50)-ROW(Management!$B$3)+1)/((IF(Management!$C$3:$C$50="Unlimited",10^15,Management!$C$3:$C$50))&gt;='1'!$I152),COLUMN(K151))),"")</f>
        <v/>
      </c>
      <c r="L152" t="str">
        <f>IFERROR(INDEX(Management!$B$3:$B$50,_xlfn.AGGREGATE(15,6,(ROW(Management!$B$3:$B$50)-ROW(Management!$B$3)+1)/((IF(Management!$C$3:$C$50="Unlimited",10^15,Management!$C$3:$C$50))&gt;='1'!$I152),COLUMN(L151))),"")</f>
        <v/>
      </c>
      <c r="M152" t="str">
        <f>IFERROR(INDEX(Management!$B$3:$B$50,_xlfn.AGGREGATE(15,6,(ROW(Management!$B$3:$B$50)-ROW(Management!$B$3)+1)/((IF(Management!$C$3:$C$50="Unlimited",10^15,Management!$C$3:$C$50))&gt;='1'!$I152),COLUMN(M151))),"")</f>
        <v/>
      </c>
      <c r="N152" t="str">
        <f>IFERROR(INDEX(Management!$B$3:$B$50,_xlfn.AGGREGATE(15,6,(ROW(Management!$B$3:$B$50)-ROW(Management!$B$3)+1)/((IF(Management!$C$3:$C$50="Unlimited",10^15,Management!$C$3:$C$50))&gt;='1'!$I152),COLUMN(N151))),"")</f>
        <v/>
      </c>
      <c r="O152" t="str">
        <f>IFERROR(INDEX(Management!$B$3:$B$50,_xlfn.AGGREGATE(15,6,(ROW(Management!$B$3:$B$50)-ROW(Management!$B$3)+1)/((IF(Management!$C$3:$C$50="Unlimited",10^15,Management!$C$3:$C$50))&gt;='1'!$I152),COLUMN(O151))),"")</f>
        <v/>
      </c>
      <c r="P152" t="str">
        <f>IFERROR(INDEX(Management!$B$3:$B$50,_xlfn.AGGREGATE(15,6,(ROW(Management!$B$3:$B$50)-ROW(Management!$B$3)+1)/((IF(Management!$C$3:$C$50="Unlimited",10^15,Management!$C$3:$C$50))&gt;='1'!$I152),COLUMN(P151))),"")</f>
        <v/>
      </c>
      <c r="Q152" t="str">
        <f>IFERROR(INDEX(Management!$B$3:$B$50,_xlfn.AGGREGATE(15,6,(ROW(Management!$B$3:$B$50)-ROW(Management!$B$3)+1)/((IF(Management!$C$3:$C$50="Unlimited",10^15,Management!$C$3:$C$50))&gt;='1'!$I152),COLUMN(Q151))),"")</f>
        <v/>
      </c>
      <c r="R152" t="str">
        <f>IFERROR(INDEX(Management!$B$3:$B$50,_xlfn.AGGREGATE(15,6,(ROW(Management!$B$3:$B$50)-ROW(Management!$B$3)+1)/((IF(Management!$C$3:$C$50="Unlimited",10^15,Management!$C$3:$C$50))&gt;='1'!$I152),COLUMN(R151))),"")</f>
        <v/>
      </c>
      <c r="S152" t="str">
        <f>IFERROR(INDEX(Management!$B$3:$B$50,_xlfn.AGGREGATE(15,6,(ROW(Management!$B$3:$B$50)-ROW(Management!$B$3)+1)/((IF(Management!$C$3:$C$50="Unlimited",10^15,Management!$C$3:$C$50))&gt;='1'!$I152),COLUMN(S151))),"")</f>
        <v/>
      </c>
      <c r="T152" t="str">
        <f>IFERROR(INDEX(Management!$B$3:$B$50,_xlfn.AGGREGATE(15,6,(ROW(Management!$B$3:$B$50)-ROW(Management!$B$3)+1)/((IF(Management!$C$3:$C$50="Unlimited",10^15,Management!$C$3:$C$50))&gt;='1'!$I152),COLUMN(T151))),"")</f>
        <v/>
      </c>
    </row>
    <row r="153" spans="1:20">
      <c r="A153" t="str">
        <f>IFERROR(INDEX(Management!$B$3:$B$50,_xlfn.AGGREGATE(15,6,(ROW(Management!$B$3:$B$50)-ROW(Management!$B$3)+1)/((IF(Management!$C$3:$C$50="Unlimited",10^15,Management!$C$3:$C$50))&gt;='1'!$I153),COLUMN(A152))),"")</f>
        <v/>
      </c>
      <c r="B153" t="str">
        <f>IFERROR(INDEX(Management!$B$3:$B$50,_xlfn.AGGREGATE(15,6,(ROW(Management!$B$3:$B$50)-ROW(Management!$B$3)+1)/((IF(Management!$C$3:$C$50="Unlimited",10^15,Management!$C$3:$C$50))&gt;='1'!$I153),COLUMN(B152))),"")</f>
        <v/>
      </c>
      <c r="C153" t="str">
        <f>IFERROR(INDEX(Management!$B$3:$B$50,_xlfn.AGGREGATE(15,6,(ROW(Management!$B$3:$B$50)-ROW(Management!$B$3)+1)/((IF(Management!$C$3:$C$50="Unlimited",10^15,Management!$C$3:$C$50))&gt;='1'!$I153),COLUMN(C152))),"")</f>
        <v/>
      </c>
      <c r="D153" t="str">
        <f>IFERROR(INDEX(Management!$B$3:$B$50,_xlfn.AGGREGATE(15,6,(ROW(Management!$B$3:$B$50)-ROW(Management!$B$3)+1)/((IF(Management!$C$3:$C$50="Unlimited",10^15,Management!$C$3:$C$50))&gt;='1'!$I153),COLUMN(D152))),"")</f>
        <v/>
      </c>
      <c r="E153" t="str">
        <f>IFERROR(INDEX(Management!$B$3:$B$50,_xlfn.AGGREGATE(15,6,(ROW(Management!$B$3:$B$50)-ROW(Management!$B$3)+1)/((IF(Management!$C$3:$C$50="Unlimited",10^15,Management!$C$3:$C$50))&gt;='1'!$I153),COLUMN(E152))),"")</f>
        <v/>
      </c>
      <c r="F153" t="str">
        <f>IFERROR(INDEX(Management!$B$3:$B$50,_xlfn.AGGREGATE(15,6,(ROW(Management!$B$3:$B$50)-ROW(Management!$B$3)+1)/((IF(Management!$C$3:$C$50="Unlimited",10^15,Management!$C$3:$C$50))&gt;='1'!$I153),COLUMN(F152))),"")</f>
        <v/>
      </c>
      <c r="G153" t="str">
        <f>IFERROR(INDEX(Management!$B$3:$B$50,_xlfn.AGGREGATE(15,6,(ROW(Management!$B$3:$B$50)-ROW(Management!$B$3)+1)/((IF(Management!$C$3:$C$50="Unlimited",10^15,Management!$C$3:$C$50))&gt;='1'!$I153),COLUMN(G152))),"")</f>
        <v/>
      </c>
      <c r="H153" t="str">
        <f>IFERROR(INDEX(Management!$B$3:$B$50,_xlfn.AGGREGATE(15,6,(ROW(Management!$B$3:$B$50)-ROW(Management!$B$3)+1)/((IF(Management!$C$3:$C$50="Unlimited",10^15,Management!$C$3:$C$50))&gt;='1'!$I153),COLUMN(H152))),"")</f>
        <v/>
      </c>
      <c r="I153" t="str">
        <f>IFERROR(INDEX(Management!$B$3:$B$50,_xlfn.AGGREGATE(15,6,(ROW(Management!$B$3:$B$50)-ROW(Management!$B$3)+1)/((IF(Management!$C$3:$C$50="Unlimited",10^15,Management!$C$3:$C$50))&gt;='1'!$I153),COLUMN(I152))),"")</f>
        <v/>
      </c>
      <c r="J153" t="str">
        <f>IFERROR(INDEX(Management!$B$3:$B$50,_xlfn.AGGREGATE(15,6,(ROW(Management!$B$3:$B$50)-ROW(Management!$B$3)+1)/((IF(Management!$C$3:$C$50="Unlimited",10^15,Management!$C$3:$C$50))&gt;='1'!$I153),COLUMN(J152))),"")</f>
        <v/>
      </c>
      <c r="K153" t="str">
        <f>IFERROR(INDEX(Management!$B$3:$B$50,_xlfn.AGGREGATE(15,6,(ROW(Management!$B$3:$B$50)-ROW(Management!$B$3)+1)/((IF(Management!$C$3:$C$50="Unlimited",10^15,Management!$C$3:$C$50))&gt;='1'!$I153),COLUMN(K152))),"")</f>
        <v/>
      </c>
      <c r="L153" t="str">
        <f>IFERROR(INDEX(Management!$B$3:$B$50,_xlfn.AGGREGATE(15,6,(ROW(Management!$B$3:$B$50)-ROW(Management!$B$3)+1)/((IF(Management!$C$3:$C$50="Unlimited",10^15,Management!$C$3:$C$50))&gt;='1'!$I153),COLUMN(L152))),"")</f>
        <v/>
      </c>
      <c r="M153" t="str">
        <f>IFERROR(INDEX(Management!$B$3:$B$50,_xlfn.AGGREGATE(15,6,(ROW(Management!$B$3:$B$50)-ROW(Management!$B$3)+1)/((IF(Management!$C$3:$C$50="Unlimited",10^15,Management!$C$3:$C$50))&gt;='1'!$I153),COLUMN(M152))),"")</f>
        <v/>
      </c>
      <c r="N153" t="str">
        <f>IFERROR(INDEX(Management!$B$3:$B$50,_xlfn.AGGREGATE(15,6,(ROW(Management!$B$3:$B$50)-ROW(Management!$B$3)+1)/((IF(Management!$C$3:$C$50="Unlimited",10^15,Management!$C$3:$C$50))&gt;='1'!$I153),COLUMN(N152))),"")</f>
        <v/>
      </c>
      <c r="O153" t="str">
        <f>IFERROR(INDEX(Management!$B$3:$B$50,_xlfn.AGGREGATE(15,6,(ROW(Management!$B$3:$B$50)-ROW(Management!$B$3)+1)/((IF(Management!$C$3:$C$50="Unlimited",10^15,Management!$C$3:$C$50))&gt;='1'!$I153),COLUMN(O152))),"")</f>
        <v/>
      </c>
      <c r="P153" t="str">
        <f>IFERROR(INDEX(Management!$B$3:$B$50,_xlfn.AGGREGATE(15,6,(ROW(Management!$B$3:$B$50)-ROW(Management!$B$3)+1)/((IF(Management!$C$3:$C$50="Unlimited",10^15,Management!$C$3:$C$50))&gt;='1'!$I153),COLUMN(P152))),"")</f>
        <v/>
      </c>
      <c r="Q153" t="str">
        <f>IFERROR(INDEX(Management!$B$3:$B$50,_xlfn.AGGREGATE(15,6,(ROW(Management!$B$3:$B$50)-ROW(Management!$B$3)+1)/((IF(Management!$C$3:$C$50="Unlimited",10^15,Management!$C$3:$C$50))&gt;='1'!$I153),COLUMN(Q152))),"")</f>
        <v/>
      </c>
      <c r="R153" t="str">
        <f>IFERROR(INDEX(Management!$B$3:$B$50,_xlfn.AGGREGATE(15,6,(ROW(Management!$B$3:$B$50)-ROW(Management!$B$3)+1)/((IF(Management!$C$3:$C$50="Unlimited",10^15,Management!$C$3:$C$50))&gt;='1'!$I153),COLUMN(R152))),"")</f>
        <v/>
      </c>
      <c r="S153" t="str">
        <f>IFERROR(INDEX(Management!$B$3:$B$50,_xlfn.AGGREGATE(15,6,(ROW(Management!$B$3:$B$50)-ROW(Management!$B$3)+1)/((IF(Management!$C$3:$C$50="Unlimited",10^15,Management!$C$3:$C$50))&gt;='1'!$I153),COLUMN(S152))),"")</f>
        <v/>
      </c>
      <c r="T153" t="str">
        <f>IFERROR(INDEX(Management!$B$3:$B$50,_xlfn.AGGREGATE(15,6,(ROW(Management!$B$3:$B$50)-ROW(Management!$B$3)+1)/((IF(Management!$C$3:$C$50="Unlimited",10^15,Management!$C$3:$C$50))&gt;='1'!$I153),COLUMN(T152))),"")</f>
        <v/>
      </c>
    </row>
    <row r="154" spans="1:20">
      <c r="A154" t="str">
        <f>IFERROR(INDEX(Management!$B$3:$B$50,_xlfn.AGGREGATE(15,6,(ROW(Management!$B$3:$B$50)-ROW(Management!$B$3)+1)/((IF(Management!$C$3:$C$50="Unlimited",10^15,Management!$C$3:$C$50))&gt;='1'!$I154),COLUMN(A153))),"")</f>
        <v/>
      </c>
      <c r="B154" t="str">
        <f>IFERROR(INDEX(Management!$B$3:$B$50,_xlfn.AGGREGATE(15,6,(ROW(Management!$B$3:$B$50)-ROW(Management!$B$3)+1)/((IF(Management!$C$3:$C$50="Unlimited",10^15,Management!$C$3:$C$50))&gt;='1'!$I154),COLUMN(B153))),"")</f>
        <v/>
      </c>
      <c r="C154" t="str">
        <f>IFERROR(INDEX(Management!$B$3:$B$50,_xlfn.AGGREGATE(15,6,(ROW(Management!$B$3:$B$50)-ROW(Management!$B$3)+1)/((IF(Management!$C$3:$C$50="Unlimited",10^15,Management!$C$3:$C$50))&gt;='1'!$I154),COLUMN(C153))),"")</f>
        <v/>
      </c>
      <c r="D154" t="str">
        <f>IFERROR(INDEX(Management!$B$3:$B$50,_xlfn.AGGREGATE(15,6,(ROW(Management!$B$3:$B$50)-ROW(Management!$B$3)+1)/((IF(Management!$C$3:$C$50="Unlimited",10^15,Management!$C$3:$C$50))&gt;='1'!$I154),COLUMN(D153))),"")</f>
        <v/>
      </c>
      <c r="E154" t="str">
        <f>IFERROR(INDEX(Management!$B$3:$B$50,_xlfn.AGGREGATE(15,6,(ROW(Management!$B$3:$B$50)-ROW(Management!$B$3)+1)/((IF(Management!$C$3:$C$50="Unlimited",10^15,Management!$C$3:$C$50))&gt;='1'!$I154),COLUMN(E153))),"")</f>
        <v/>
      </c>
      <c r="F154" t="str">
        <f>IFERROR(INDEX(Management!$B$3:$B$50,_xlfn.AGGREGATE(15,6,(ROW(Management!$B$3:$B$50)-ROW(Management!$B$3)+1)/((IF(Management!$C$3:$C$50="Unlimited",10^15,Management!$C$3:$C$50))&gt;='1'!$I154),COLUMN(F153))),"")</f>
        <v/>
      </c>
      <c r="G154" t="str">
        <f>IFERROR(INDEX(Management!$B$3:$B$50,_xlfn.AGGREGATE(15,6,(ROW(Management!$B$3:$B$50)-ROW(Management!$B$3)+1)/((IF(Management!$C$3:$C$50="Unlimited",10^15,Management!$C$3:$C$50))&gt;='1'!$I154),COLUMN(G153))),"")</f>
        <v/>
      </c>
      <c r="H154" t="str">
        <f>IFERROR(INDEX(Management!$B$3:$B$50,_xlfn.AGGREGATE(15,6,(ROW(Management!$B$3:$B$50)-ROW(Management!$B$3)+1)/((IF(Management!$C$3:$C$50="Unlimited",10^15,Management!$C$3:$C$50))&gt;='1'!$I154),COLUMN(H153))),"")</f>
        <v/>
      </c>
      <c r="I154" t="str">
        <f>IFERROR(INDEX(Management!$B$3:$B$50,_xlfn.AGGREGATE(15,6,(ROW(Management!$B$3:$B$50)-ROW(Management!$B$3)+1)/((IF(Management!$C$3:$C$50="Unlimited",10^15,Management!$C$3:$C$50))&gt;='1'!$I154),COLUMN(I153))),"")</f>
        <v/>
      </c>
      <c r="J154" t="str">
        <f>IFERROR(INDEX(Management!$B$3:$B$50,_xlfn.AGGREGATE(15,6,(ROW(Management!$B$3:$B$50)-ROW(Management!$B$3)+1)/((IF(Management!$C$3:$C$50="Unlimited",10^15,Management!$C$3:$C$50))&gt;='1'!$I154),COLUMN(J153))),"")</f>
        <v/>
      </c>
      <c r="K154" t="str">
        <f>IFERROR(INDEX(Management!$B$3:$B$50,_xlfn.AGGREGATE(15,6,(ROW(Management!$B$3:$B$50)-ROW(Management!$B$3)+1)/((IF(Management!$C$3:$C$50="Unlimited",10^15,Management!$C$3:$C$50))&gt;='1'!$I154),COLUMN(K153))),"")</f>
        <v/>
      </c>
      <c r="L154" t="str">
        <f>IFERROR(INDEX(Management!$B$3:$B$50,_xlfn.AGGREGATE(15,6,(ROW(Management!$B$3:$B$50)-ROW(Management!$B$3)+1)/((IF(Management!$C$3:$C$50="Unlimited",10^15,Management!$C$3:$C$50))&gt;='1'!$I154),COLUMN(L153))),"")</f>
        <v/>
      </c>
      <c r="M154" t="str">
        <f>IFERROR(INDEX(Management!$B$3:$B$50,_xlfn.AGGREGATE(15,6,(ROW(Management!$B$3:$B$50)-ROW(Management!$B$3)+1)/((IF(Management!$C$3:$C$50="Unlimited",10^15,Management!$C$3:$C$50))&gt;='1'!$I154),COLUMN(M153))),"")</f>
        <v/>
      </c>
      <c r="N154" t="str">
        <f>IFERROR(INDEX(Management!$B$3:$B$50,_xlfn.AGGREGATE(15,6,(ROW(Management!$B$3:$B$50)-ROW(Management!$B$3)+1)/((IF(Management!$C$3:$C$50="Unlimited",10^15,Management!$C$3:$C$50))&gt;='1'!$I154),COLUMN(N153))),"")</f>
        <v/>
      </c>
      <c r="O154" t="str">
        <f>IFERROR(INDEX(Management!$B$3:$B$50,_xlfn.AGGREGATE(15,6,(ROW(Management!$B$3:$B$50)-ROW(Management!$B$3)+1)/((IF(Management!$C$3:$C$50="Unlimited",10^15,Management!$C$3:$C$50))&gt;='1'!$I154),COLUMN(O153))),"")</f>
        <v/>
      </c>
      <c r="P154" t="str">
        <f>IFERROR(INDEX(Management!$B$3:$B$50,_xlfn.AGGREGATE(15,6,(ROW(Management!$B$3:$B$50)-ROW(Management!$B$3)+1)/((IF(Management!$C$3:$C$50="Unlimited",10^15,Management!$C$3:$C$50))&gt;='1'!$I154),COLUMN(P153))),"")</f>
        <v/>
      </c>
      <c r="Q154" t="str">
        <f>IFERROR(INDEX(Management!$B$3:$B$50,_xlfn.AGGREGATE(15,6,(ROW(Management!$B$3:$B$50)-ROW(Management!$B$3)+1)/((IF(Management!$C$3:$C$50="Unlimited",10^15,Management!$C$3:$C$50))&gt;='1'!$I154),COLUMN(Q153))),"")</f>
        <v/>
      </c>
      <c r="R154" t="str">
        <f>IFERROR(INDEX(Management!$B$3:$B$50,_xlfn.AGGREGATE(15,6,(ROW(Management!$B$3:$B$50)-ROW(Management!$B$3)+1)/((IF(Management!$C$3:$C$50="Unlimited",10^15,Management!$C$3:$C$50))&gt;='1'!$I154),COLUMN(R153))),"")</f>
        <v/>
      </c>
      <c r="S154" t="str">
        <f>IFERROR(INDEX(Management!$B$3:$B$50,_xlfn.AGGREGATE(15,6,(ROW(Management!$B$3:$B$50)-ROW(Management!$B$3)+1)/((IF(Management!$C$3:$C$50="Unlimited",10^15,Management!$C$3:$C$50))&gt;='1'!$I154),COLUMN(S153))),"")</f>
        <v/>
      </c>
      <c r="T154" t="str">
        <f>IFERROR(INDEX(Management!$B$3:$B$50,_xlfn.AGGREGATE(15,6,(ROW(Management!$B$3:$B$50)-ROW(Management!$B$3)+1)/((IF(Management!$C$3:$C$50="Unlimited",10^15,Management!$C$3:$C$50))&gt;='1'!$I154),COLUMN(T153))),"")</f>
        <v/>
      </c>
    </row>
    <row r="155" spans="1:20">
      <c r="A155" t="str">
        <f>IFERROR(INDEX(Management!$B$3:$B$50,_xlfn.AGGREGATE(15,6,(ROW(Management!$B$3:$B$50)-ROW(Management!$B$3)+1)/((IF(Management!$C$3:$C$50="Unlimited",10^15,Management!$C$3:$C$50))&gt;='1'!$I155),COLUMN(A154))),"")</f>
        <v/>
      </c>
      <c r="B155" t="str">
        <f>IFERROR(INDEX(Management!$B$3:$B$50,_xlfn.AGGREGATE(15,6,(ROW(Management!$B$3:$B$50)-ROW(Management!$B$3)+1)/((IF(Management!$C$3:$C$50="Unlimited",10^15,Management!$C$3:$C$50))&gt;='1'!$I155),COLUMN(B154))),"")</f>
        <v/>
      </c>
      <c r="C155" t="str">
        <f>IFERROR(INDEX(Management!$B$3:$B$50,_xlfn.AGGREGATE(15,6,(ROW(Management!$B$3:$B$50)-ROW(Management!$B$3)+1)/((IF(Management!$C$3:$C$50="Unlimited",10^15,Management!$C$3:$C$50))&gt;='1'!$I155),COLUMN(C154))),"")</f>
        <v/>
      </c>
      <c r="D155" t="str">
        <f>IFERROR(INDEX(Management!$B$3:$B$50,_xlfn.AGGREGATE(15,6,(ROW(Management!$B$3:$B$50)-ROW(Management!$B$3)+1)/((IF(Management!$C$3:$C$50="Unlimited",10^15,Management!$C$3:$C$50))&gt;='1'!$I155),COLUMN(D154))),"")</f>
        <v/>
      </c>
      <c r="E155" t="str">
        <f>IFERROR(INDEX(Management!$B$3:$B$50,_xlfn.AGGREGATE(15,6,(ROW(Management!$B$3:$B$50)-ROW(Management!$B$3)+1)/((IF(Management!$C$3:$C$50="Unlimited",10^15,Management!$C$3:$C$50))&gt;='1'!$I155),COLUMN(E154))),"")</f>
        <v/>
      </c>
      <c r="F155" t="str">
        <f>IFERROR(INDEX(Management!$B$3:$B$50,_xlfn.AGGREGATE(15,6,(ROW(Management!$B$3:$B$50)-ROW(Management!$B$3)+1)/((IF(Management!$C$3:$C$50="Unlimited",10^15,Management!$C$3:$C$50))&gt;='1'!$I155),COLUMN(F154))),"")</f>
        <v/>
      </c>
      <c r="G155" t="str">
        <f>IFERROR(INDEX(Management!$B$3:$B$50,_xlfn.AGGREGATE(15,6,(ROW(Management!$B$3:$B$50)-ROW(Management!$B$3)+1)/((IF(Management!$C$3:$C$50="Unlimited",10^15,Management!$C$3:$C$50))&gt;='1'!$I155),COLUMN(G154))),"")</f>
        <v/>
      </c>
      <c r="H155" t="str">
        <f>IFERROR(INDEX(Management!$B$3:$B$50,_xlfn.AGGREGATE(15,6,(ROW(Management!$B$3:$B$50)-ROW(Management!$B$3)+1)/((IF(Management!$C$3:$C$50="Unlimited",10^15,Management!$C$3:$C$50))&gt;='1'!$I155),COLUMN(H154))),"")</f>
        <v/>
      </c>
      <c r="I155" t="str">
        <f>IFERROR(INDEX(Management!$B$3:$B$50,_xlfn.AGGREGATE(15,6,(ROW(Management!$B$3:$B$50)-ROW(Management!$B$3)+1)/((IF(Management!$C$3:$C$50="Unlimited",10^15,Management!$C$3:$C$50))&gt;='1'!$I155),COLUMN(I154))),"")</f>
        <v/>
      </c>
      <c r="J155" t="str">
        <f>IFERROR(INDEX(Management!$B$3:$B$50,_xlfn.AGGREGATE(15,6,(ROW(Management!$B$3:$B$50)-ROW(Management!$B$3)+1)/((IF(Management!$C$3:$C$50="Unlimited",10^15,Management!$C$3:$C$50))&gt;='1'!$I155),COLUMN(J154))),"")</f>
        <v/>
      </c>
      <c r="K155" t="str">
        <f>IFERROR(INDEX(Management!$B$3:$B$50,_xlfn.AGGREGATE(15,6,(ROW(Management!$B$3:$B$50)-ROW(Management!$B$3)+1)/((IF(Management!$C$3:$C$50="Unlimited",10^15,Management!$C$3:$C$50))&gt;='1'!$I155),COLUMN(K154))),"")</f>
        <v/>
      </c>
      <c r="L155" t="str">
        <f>IFERROR(INDEX(Management!$B$3:$B$50,_xlfn.AGGREGATE(15,6,(ROW(Management!$B$3:$B$50)-ROW(Management!$B$3)+1)/((IF(Management!$C$3:$C$50="Unlimited",10^15,Management!$C$3:$C$50))&gt;='1'!$I155),COLUMN(L154))),"")</f>
        <v/>
      </c>
      <c r="M155" t="str">
        <f>IFERROR(INDEX(Management!$B$3:$B$50,_xlfn.AGGREGATE(15,6,(ROW(Management!$B$3:$B$50)-ROW(Management!$B$3)+1)/((IF(Management!$C$3:$C$50="Unlimited",10^15,Management!$C$3:$C$50))&gt;='1'!$I155),COLUMN(M154))),"")</f>
        <v/>
      </c>
      <c r="N155" t="str">
        <f>IFERROR(INDEX(Management!$B$3:$B$50,_xlfn.AGGREGATE(15,6,(ROW(Management!$B$3:$B$50)-ROW(Management!$B$3)+1)/((IF(Management!$C$3:$C$50="Unlimited",10^15,Management!$C$3:$C$50))&gt;='1'!$I155),COLUMN(N154))),"")</f>
        <v/>
      </c>
      <c r="O155" t="str">
        <f>IFERROR(INDEX(Management!$B$3:$B$50,_xlfn.AGGREGATE(15,6,(ROW(Management!$B$3:$B$50)-ROW(Management!$B$3)+1)/((IF(Management!$C$3:$C$50="Unlimited",10^15,Management!$C$3:$C$50))&gt;='1'!$I155),COLUMN(O154))),"")</f>
        <v/>
      </c>
      <c r="P155" t="str">
        <f>IFERROR(INDEX(Management!$B$3:$B$50,_xlfn.AGGREGATE(15,6,(ROW(Management!$B$3:$B$50)-ROW(Management!$B$3)+1)/((IF(Management!$C$3:$C$50="Unlimited",10^15,Management!$C$3:$C$50))&gt;='1'!$I155),COLUMN(P154))),"")</f>
        <v/>
      </c>
      <c r="Q155" t="str">
        <f>IFERROR(INDEX(Management!$B$3:$B$50,_xlfn.AGGREGATE(15,6,(ROW(Management!$B$3:$B$50)-ROW(Management!$B$3)+1)/((IF(Management!$C$3:$C$50="Unlimited",10^15,Management!$C$3:$C$50))&gt;='1'!$I155),COLUMN(Q154))),"")</f>
        <v/>
      </c>
      <c r="R155" t="str">
        <f>IFERROR(INDEX(Management!$B$3:$B$50,_xlfn.AGGREGATE(15,6,(ROW(Management!$B$3:$B$50)-ROW(Management!$B$3)+1)/((IF(Management!$C$3:$C$50="Unlimited",10^15,Management!$C$3:$C$50))&gt;='1'!$I155),COLUMN(R154))),"")</f>
        <v/>
      </c>
      <c r="S155" t="str">
        <f>IFERROR(INDEX(Management!$B$3:$B$50,_xlfn.AGGREGATE(15,6,(ROW(Management!$B$3:$B$50)-ROW(Management!$B$3)+1)/((IF(Management!$C$3:$C$50="Unlimited",10^15,Management!$C$3:$C$50))&gt;='1'!$I155),COLUMN(S154))),"")</f>
        <v/>
      </c>
      <c r="T155" t="str">
        <f>IFERROR(INDEX(Management!$B$3:$B$50,_xlfn.AGGREGATE(15,6,(ROW(Management!$B$3:$B$50)-ROW(Management!$B$3)+1)/((IF(Management!$C$3:$C$50="Unlimited",10^15,Management!$C$3:$C$50))&gt;='1'!$I155),COLUMN(T154))),"")</f>
        <v/>
      </c>
    </row>
    <row r="156" spans="1:20">
      <c r="A156" t="str">
        <f>IFERROR(INDEX(Management!$B$3:$B$50,_xlfn.AGGREGATE(15,6,(ROW(Management!$B$3:$B$50)-ROW(Management!$B$3)+1)/((IF(Management!$C$3:$C$50="Unlimited",10^15,Management!$C$3:$C$50))&gt;='1'!$I156),COLUMN(A155))),"")</f>
        <v/>
      </c>
      <c r="B156" t="str">
        <f>IFERROR(INDEX(Management!$B$3:$B$50,_xlfn.AGGREGATE(15,6,(ROW(Management!$B$3:$B$50)-ROW(Management!$B$3)+1)/((IF(Management!$C$3:$C$50="Unlimited",10^15,Management!$C$3:$C$50))&gt;='1'!$I156),COLUMN(B155))),"")</f>
        <v/>
      </c>
      <c r="C156" t="str">
        <f>IFERROR(INDEX(Management!$B$3:$B$50,_xlfn.AGGREGATE(15,6,(ROW(Management!$B$3:$B$50)-ROW(Management!$B$3)+1)/((IF(Management!$C$3:$C$50="Unlimited",10^15,Management!$C$3:$C$50))&gt;='1'!$I156),COLUMN(C155))),"")</f>
        <v/>
      </c>
      <c r="D156" t="str">
        <f>IFERROR(INDEX(Management!$B$3:$B$50,_xlfn.AGGREGATE(15,6,(ROW(Management!$B$3:$B$50)-ROW(Management!$B$3)+1)/((IF(Management!$C$3:$C$50="Unlimited",10^15,Management!$C$3:$C$50))&gt;='1'!$I156),COLUMN(D155))),"")</f>
        <v/>
      </c>
      <c r="E156" t="str">
        <f>IFERROR(INDEX(Management!$B$3:$B$50,_xlfn.AGGREGATE(15,6,(ROW(Management!$B$3:$B$50)-ROW(Management!$B$3)+1)/((IF(Management!$C$3:$C$50="Unlimited",10^15,Management!$C$3:$C$50))&gt;='1'!$I156),COLUMN(E155))),"")</f>
        <v/>
      </c>
      <c r="F156" t="str">
        <f>IFERROR(INDEX(Management!$B$3:$B$50,_xlfn.AGGREGATE(15,6,(ROW(Management!$B$3:$B$50)-ROW(Management!$B$3)+1)/((IF(Management!$C$3:$C$50="Unlimited",10^15,Management!$C$3:$C$50))&gt;='1'!$I156),COLUMN(F155))),"")</f>
        <v/>
      </c>
      <c r="G156" t="str">
        <f>IFERROR(INDEX(Management!$B$3:$B$50,_xlfn.AGGREGATE(15,6,(ROW(Management!$B$3:$B$50)-ROW(Management!$B$3)+1)/((IF(Management!$C$3:$C$50="Unlimited",10^15,Management!$C$3:$C$50))&gt;='1'!$I156),COLUMN(G155))),"")</f>
        <v/>
      </c>
      <c r="H156" t="str">
        <f>IFERROR(INDEX(Management!$B$3:$B$50,_xlfn.AGGREGATE(15,6,(ROW(Management!$B$3:$B$50)-ROW(Management!$B$3)+1)/((IF(Management!$C$3:$C$50="Unlimited",10^15,Management!$C$3:$C$50))&gt;='1'!$I156),COLUMN(H155))),"")</f>
        <v/>
      </c>
      <c r="I156" t="str">
        <f>IFERROR(INDEX(Management!$B$3:$B$50,_xlfn.AGGREGATE(15,6,(ROW(Management!$B$3:$B$50)-ROW(Management!$B$3)+1)/((IF(Management!$C$3:$C$50="Unlimited",10^15,Management!$C$3:$C$50))&gt;='1'!$I156),COLUMN(I155))),"")</f>
        <v/>
      </c>
      <c r="J156" t="str">
        <f>IFERROR(INDEX(Management!$B$3:$B$50,_xlfn.AGGREGATE(15,6,(ROW(Management!$B$3:$B$50)-ROW(Management!$B$3)+1)/((IF(Management!$C$3:$C$50="Unlimited",10^15,Management!$C$3:$C$50))&gt;='1'!$I156),COLUMN(J155))),"")</f>
        <v/>
      </c>
      <c r="K156" t="str">
        <f>IFERROR(INDEX(Management!$B$3:$B$50,_xlfn.AGGREGATE(15,6,(ROW(Management!$B$3:$B$50)-ROW(Management!$B$3)+1)/((IF(Management!$C$3:$C$50="Unlimited",10^15,Management!$C$3:$C$50))&gt;='1'!$I156),COLUMN(K155))),"")</f>
        <v/>
      </c>
      <c r="L156" t="str">
        <f>IFERROR(INDEX(Management!$B$3:$B$50,_xlfn.AGGREGATE(15,6,(ROW(Management!$B$3:$B$50)-ROW(Management!$B$3)+1)/((IF(Management!$C$3:$C$50="Unlimited",10^15,Management!$C$3:$C$50))&gt;='1'!$I156),COLUMN(L155))),"")</f>
        <v/>
      </c>
      <c r="M156" t="str">
        <f>IFERROR(INDEX(Management!$B$3:$B$50,_xlfn.AGGREGATE(15,6,(ROW(Management!$B$3:$B$50)-ROW(Management!$B$3)+1)/((IF(Management!$C$3:$C$50="Unlimited",10^15,Management!$C$3:$C$50))&gt;='1'!$I156),COLUMN(M155))),"")</f>
        <v/>
      </c>
      <c r="N156" t="str">
        <f>IFERROR(INDEX(Management!$B$3:$B$50,_xlfn.AGGREGATE(15,6,(ROW(Management!$B$3:$B$50)-ROW(Management!$B$3)+1)/((IF(Management!$C$3:$C$50="Unlimited",10^15,Management!$C$3:$C$50))&gt;='1'!$I156),COLUMN(N155))),"")</f>
        <v/>
      </c>
      <c r="O156" t="str">
        <f>IFERROR(INDEX(Management!$B$3:$B$50,_xlfn.AGGREGATE(15,6,(ROW(Management!$B$3:$B$50)-ROW(Management!$B$3)+1)/((IF(Management!$C$3:$C$50="Unlimited",10^15,Management!$C$3:$C$50))&gt;='1'!$I156),COLUMN(O155))),"")</f>
        <v/>
      </c>
      <c r="P156" t="str">
        <f>IFERROR(INDEX(Management!$B$3:$B$50,_xlfn.AGGREGATE(15,6,(ROW(Management!$B$3:$B$50)-ROW(Management!$B$3)+1)/((IF(Management!$C$3:$C$50="Unlimited",10^15,Management!$C$3:$C$50))&gt;='1'!$I156),COLUMN(P155))),"")</f>
        <v/>
      </c>
      <c r="Q156" t="str">
        <f>IFERROR(INDEX(Management!$B$3:$B$50,_xlfn.AGGREGATE(15,6,(ROW(Management!$B$3:$B$50)-ROW(Management!$B$3)+1)/((IF(Management!$C$3:$C$50="Unlimited",10^15,Management!$C$3:$C$50))&gt;='1'!$I156),COLUMN(Q155))),"")</f>
        <v/>
      </c>
      <c r="R156" t="str">
        <f>IFERROR(INDEX(Management!$B$3:$B$50,_xlfn.AGGREGATE(15,6,(ROW(Management!$B$3:$B$50)-ROW(Management!$B$3)+1)/((IF(Management!$C$3:$C$50="Unlimited",10^15,Management!$C$3:$C$50))&gt;='1'!$I156),COLUMN(R155))),"")</f>
        <v/>
      </c>
      <c r="S156" t="str">
        <f>IFERROR(INDEX(Management!$B$3:$B$50,_xlfn.AGGREGATE(15,6,(ROW(Management!$B$3:$B$50)-ROW(Management!$B$3)+1)/((IF(Management!$C$3:$C$50="Unlimited",10^15,Management!$C$3:$C$50))&gt;='1'!$I156),COLUMN(S155))),"")</f>
        <v/>
      </c>
      <c r="T156" t="str">
        <f>IFERROR(INDEX(Management!$B$3:$B$50,_xlfn.AGGREGATE(15,6,(ROW(Management!$B$3:$B$50)-ROW(Management!$B$3)+1)/((IF(Management!$C$3:$C$50="Unlimited",10^15,Management!$C$3:$C$50))&gt;='1'!$I156),COLUMN(T155))),"")</f>
        <v/>
      </c>
    </row>
    <row r="157" spans="1:20">
      <c r="A157" t="str">
        <f>IFERROR(INDEX(Management!$B$3:$B$50,_xlfn.AGGREGATE(15,6,(ROW(Management!$B$3:$B$50)-ROW(Management!$B$3)+1)/((IF(Management!$C$3:$C$50="Unlimited",10^15,Management!$C$3:$C$50))&gt;='1'!$I157),COLUMN(A156))),"")</f>
        <v/>
      </c>
      <c r="B157" t="str">
        <f>IFERROR(INDEX(Management!$B$3:$B$50,_xlfn.AGGREGATE(15,6,(ROW(Management!$B$3:$B$50)-ROW(Management!$B$3)+1)/((IF(Management!$C$3:$C$50="Unlimited",10^15,Management!$C$3:$C$50))&gt;='1'!$I157),COLUMN(B156))),"")</f>
        <v/>
      </c>
      <c r="C157" t="str">
        <f>IFERROR(INDEX(Management!$B$3:$B$50,_xlfn.AGGREGATE(15,6,(ROW(Management!$B$3:$B$50)-ROW(Management!$B$3)+1)/((IF(Management!$C$3:$C$50="Unlimited",10^15,Management!$C$3:$C$50))&gt;='1'!$I157),COLUMN(C156))),"")</f>
        <v/>
      </c>
      <c r="D157" t="str">
        <f>IFERROR(INDEX(Management!$B$3:$B$50,_xlfn.AGGREGATE(15,6,(ROW(Management!$B$3:$B$50)-ROW(Management!$B$3)+1)/((IF(Management!$C$3:$C$50="Unlimited",10^15,Management!$C$3:$C$50))&gt;='1'!$I157),COLUMN(D156))),"")</f>
        <v/>
      </c>
      <c r="E157" t="str">
        <f>IFERROR(INDEX(Management!$B$3:$B$50,_xlfn.AGGREGATE(15,6,(ROW(Management!$B$3:$B$50)-ROW(Management!$B$3)+1)/((IF(Management!$C$3:$C$50="Unlimited",10^15,Management!$C$3:$C$50))&gt;='1'!$I157),COLUMN(E156))),"")</f>
        <v/>
      </c>
      <c r="F157" t="str">
        <f>IFERROR(INDEX(Management!$B$3:$B$50,_xlfn.AGGREGATE(15,6,(ROW(Management!$B$3:$B$50)-ROW(Management!$B$3)+1)/((IF(Management!$C$3:$C$50="Unlimited",10^15,Management!$C$3:$C$50))&gt;='1'!$I157),COLUMN(F156))),"")</f>
        <v/>
      </c>
      <c r="G157" t="str">
        <f>IFERROR(INDEX(Management!$B$3:$B$50,_xlfn.AGGREGATE(15,6,(ROW(Management!$B$3:$B$50)-ROW(Management!$B$3)+1)/((IF(Management!$C$3:$C$50="Unlimited",10^15,Management!$C$3:$C$50))&gt;='1'!$I157),COLUMN(G156))),"")</f>
        <v/>
      </c>
      <c r="H157" t="str">
        <f>IFERROR(INDEX(Management!$B$3:$B$50,_xlfn.AGGREGATE(15,6,(ROW(Management!$B$3:$B$50)-ROW(Management!$B$3)+1)/((IF(Management!$C$3:$C$50="Unlimited",10^15,Management!$C$3:$C$50))&gt;='1'!$I157),COLUMN(H156))),"")</f>
        <v/>
      </c>
      <c r="I157" t="str">
        <f>IFERROR(INDEX(Management!$B$3:$B$50,_xlfn.AGGREGATE(15,6,(ROW(Management!$B$3:$B$50)-ROW(Management!$B$3)+1)/((IF(Management!$C$3:$C$50="Unlimited",10^15,Management!$C$3:$C$50))&gt;='1'!$I157),COLUMN(I156))),"")</f>
        <v/>
      </c>
      <c r="J157" t="str">
        <f>IFERROR(INDEX(Management!$B$3:$B$50,_xlfn.AGGREGATE(15,6,(ROW(Management!$B$3:$B$50)-ROW(Management!$B$3)+1)/((IF(Management!$C$3:$C$50="Unlimited",10^15,Management!$C$3:$C$50))&gt;='1'!$I157),COLUMN(J156))),"")</f>
        <v/>
      </c>
      <c r="K157" t="str">
        <f>IFERROR(INDEX(Management!$B$3:$B$50,_xlfn.AGGREGATE(15,6,(ROW(Management!$B$3:$B$50)-ROW(Management!$B$3)+1)/((IF(Management!$C$3:$C$50="Unlimited",10^15,Management!$C$3:$C$50))&gt;='1'!$I157),COLUMN(K156))),"")</f>
        <v/>
      </c>
      <c r="L157" t="str">
        <f>IFERROR(INDEX(Management!$B$3:$B$50,_xlfn.AGGREGATE(15,6,(ROW(Management!$B$3:$B$50)-ROW(Management!$B$3)+1)/((IF(Management!$C$3:$C$50="Unlimited",10^15,Management!$C$3:$C$50))&gt;='1'!$I157),COLUMN(L156))),"")</f>
        <v/>
      </c>
      <c r="M157" t="str">
        <f>IFERROR(INDEX(Management!$B$3:$B$50,_xlfn.AGGREGATE(15,6,(ROW(Management!$B$3:$B$50)-ROW(Management!$B$3)+1)/((IF(Management!$C$3:$C$50="Unlimited",10^15,Management!$C$3:$C$50))&gt;='1'!$I157),COLUMN(M156))),"")</f>
        <v/>
      </c>
      <c r="N157" t="str">
        <f>IFERROR(INDEX(Management!$B$3:$B$50,_xlfn.AGGREGATE(15,6,(ROW(Management!$B$3:$B$50)-ROW(Management!$B$3)+1)/((IF(Management!$C$3:$C$50="Unlimited",10^15,Management!$C$3:$C$50))&gt;='1'!$I157),COLUMN(N156))),"")</f>
        <v/>
      </c>
      <c r="O157" t="str">
        <f>IFERROR(INDEX(Management!$B$3:$B$50,_xlfn.AGGREGATE(15,6,(ROW(Management!$B$3:$B$50)-ROW(Management!$B$3)+1)/((IF(Management!$C$3:$C$50="Unlimited",10^15,Management!$C$3:$C$50))&gt;='1'!$I157),COLUMN(O156))),"")</f>
        <v/>
      </c>
      <c r="P157" t="str">
        <f>IFERROR(INDEX(Management!$B$3:$B$50,_xlfn.AGGREGATE(15,6,(ROW(Management!$B$3:$B$50)-ROW(Management!$B$3)+1)/((IF(Management!$C$3:$C$50="Unlimited",10^15,Management!$C$3:$C$50))&gt;='1'!$I157),COLUMN(P156))),"")</f>
        <v/>
      </c>
      <c r="Q157" t="str">
        <f>IFERROR(INDEX(Management!$B$3:$B$50,_xlfn.AGGREGATE(15,6,(ROW(Management!$B$3:$B$50)-ROW(Management!$B$3)+1)/((IF(Management!$C$3:$C$50="Unlimited",10^15,Management!$C$3:$C$50))&gt;='1'!$I157),COLUMN(Q156))),"")</f>
        <v/>
      </c>
      <c r="R157" t="str">
        <f>IFERROR(INDEX(Management!$B$3:$B$50,_xlfn.AGGREGATE(15,6,(ROW(Management!$B$3:$B$50)-ROW(Management!$B$3)+1)/((IF(Management!$C$3:$C$50="Unlimited",10^15,Management!$C$3:$C$50))&gt;='1'!$I157),COLUMN(R156))),"")</f>
        <v/>
      </c>
      <c r="S157" t="str">
        <f>IFERROR(INDEX(Management!$B$3:$B$50,_xlfn.AGGREGATE(15,6,(ROW(Management!$B$3:$B$50)-ROW(Management!$B$3)+1)/((IF(Management!$C$3:$C$50="Unlimited",10^15,Management!$C$3:$C$50))&gt;='1'!$I157),COLUMN(S156))),"")</f>
        <v/>
      </c>
      <c r="T157" t="str">
        <f>IFERROR(INDEX(Management!$B$3:$B$50,_xlfn.AGGREGATE(15,6,(ROW(Management!$B$3:$B$50)-ROW(Management!$B$3)+1)/((IF(Management!$C$3:$C$50="Unlimited",10^15,Management!$C$3:$C$50))&gt;='1'!$I157),COLUMN(T156))),"")</f>
        <v/>
      </c>
    </row>
    <row r="158" spans="1:20">
      <c r="A158" t="str">
        <f>IFERROR(INDEX(Management!$B$3:$B$50,_xlfn.AGGREGATE(15,6,(ROW(Management!$B$3:$B$50)-ROW(Management!$B$3)+1)/((IF(Management!$C$3:$C$50="Unlimited",10^15,Management!$C$3:$C$50))&gt;='1'!$I158),COLUMN(A157))),"")</f>
        <v/>
      </c>
      <c r="B158" t="str">
        <f>IFERROR(INDEX(Management!$B$3:$B$50,_xlfn.AGGREGATE(15,6,(ROW(Management!$B$3:$B$50)-ROW(Management!$B$3)+1)/((IF(Management!$C$3:$C$50="Unlimited",10^15,Management!$C$3:$C$50))&gt;='1'!$I158),COLUMN(B157))),"")</f>
        <v/>
      </c>
      <c r="C158" t="str">
        <f>IFERROR(INDEX(Management!$B$3:$B$50,_xlfn.AGGREGATE(15,6,(ROW(Management!$B$3:$B$50)-ROW(Management!$B$3)+1)/((IF(Management!$C$3:$C$50="Unlimited",10^15,Management!$C$3:$C$50))&gt;='1'!$I158),COLUMN(C157))),"")</f>
        <v/>
      </c>
      <c r="D158" t="str">
        <f>IFERROR(INDEX(Management!$B$3:$B$50,_xlfn.AGGREGATE(15,6,(ROW(Management!$B$3:$B$50)-ROW(Management!$B$3)+1)/((IF(Management!$C$3:$C$50="Unlimited",10^15,Management!$C$3:$C$50))&gt;='1'!$I158),COLUMN(D157))),"")</f>
        <v/>
      </c>
      <c r="E158" t="str">
        <f>IFERROR(INDEX(Management!$B$3:$B$50,_xlfn.AGGREGATE(15,6,(ROW(Management!$B$3:$B$50)-ROW(Management!$B$3)+1)/((IF(Management!$C$3:$C$50="Unlimited",10^15,Management!$C$3:$C$50))&gt;='1'!$I158),COLUMN(E157))),"")</f>
        <v/>
      </c>
      <c r="F158" t="str">
        <f>IFERROR(INDEX(Management!$B$3:$B$50,_xlfn.AGGREGATE(15,6,(ROW(Management!$B$3:$B$50)-ROW(Management!$B$3)+1)/((IF(Management!$C$3:$C$50="Unlimited",10^15,Management!$C$3:$C$50))&gt;='1'!$I158),COLUMN(F157))),"")</f>
        <v/>
      </c>
      <c r="G158" t="str">
        <f>IFERROR(INDEX(Management!$B$3:$B$50,_xlfn.AGGREGATE(15,6,(ROW(Management!$B$3:$B$50)-ROW(Management!$B$3)+1)/((IF(Management!$C$3:$C$50="Unlimited",10^15,Management!$C$3:$C$50))&gt;='1'!$I158),COLUMN(G157))),"")</f>
        <v/>
      </c>
      <c r="H158" t="str">
        <f>IFERROR(INDEX(Management!$B$3:$B$50,_xlfn.AGGREGATE(15,6,(ROW(Management!$B$3:$B$50)-ROW(Management!$B$3)+1)/((IF(Management!$C$3:$C$50="Unlimited",10^15,Management!$C$3:$C$50))&gt;='1'!$I158),COLUMN(H157))),"")</f>
        <v/>
      </c>
      <c r="I158" t="str">
        <f>IFERROR(INDEX(Management!$B$3:$B$50,_xlfn.AGGREGATE(15,6,(ROW(Management!$B$3:$B$50)-ROW(Management!$B$3)+1)/((IF(Management!$C$3:$C$50="Unlimited",10^15,Management!$C$3:$C$50))&gt;='1'!$I158),COLUMN(I157))),"")</f>
        <v/>
      </c>
      <c r="J158" t="str">
        <f>IFERROR(INDEX(Management!$B$3:$B$50,_xlfn.AGGREGATE(15,6,(ROW(Management!$B$3:$B$50)-ROW(Management!$B$3)+1)/((IF(Management!$C$3:$C$50="Unlimited",10^15,Management!$C$3:$C$50))&gt;='1'!$I158),COLUMN(J157))),"")</f>
        <v/>
      </c>
      <c r="K158" t="str">
        <f>IFERROR(INDEX(Management!$B$3:$B$50,_xlfn.AGGREGATE(15,6,(ROW(Management!$B$3:$B$50)-ROW(Management!$B$3)+1)/((IF(Management!$C$3:$C$50="Unlimited",10^15,Management!$C$3:$C$50))&gt;='1'!$I158),COLUMN(K157))),"")</f>
        <v/>
      </c>
      <c r="L158" t="str">
        <f>IFERROR(INDEX(Management!$B$3:$B$50,_xlfn.AGGREGATE(15,6,(ROW(Management!$B$3:$B$50)-ROW(Management!$B$3)+1)/((IF(Management!$C$3:$C$50="Unlimited",10^15,Management!$C$3:$C$50))&gt;='1'!$I158),COLUMN(L157))),"")</f>
        <v/>
      </c>
      <c r="M158" t="str">
        <f>IFERROR(INDEX(Management!$B$3:$B$50,_xlfn.AGGREGATE(15,6,(ROW(Management!$B$3:$B$50)-ROW(Management!$B$3)+1)/((IF(Management!$C$3:$C$50="Unlimited",10^15,Management!$C$3:$C$50))&gt;='1'!$I158),COLUMN(M157))),"")</f>
        <v/>
      </c>
      <c r="N158" t="str">
        <f>IFERROR(INDEX(Management!$B$3:$B$50,_xlfn.AGGREGATE(15,6,(ROW(Management!$B$3:$B$50)-ROW(Management!$B$3)+1)/((IF(Management!$C$3:$C$50="Unlimited",10^15,Management!$C$3:$C$50))&gt;='1'!$I158),COLUMN(N157))),"")</f>
        <v/>
      </c>
      <c r="O158" t="str">
        <f>IFERROR(INDEX(Management!$B$3:$B$50,_xlfn.AGGREGATE(15,6,(ROW(Management!$B$3:$B$50)-ROW(Management!$B$3)+1)/((IF(Management!$C$3:$C$50="Unlimited",10^15,Management!$C$3:$C$50))&gt;='1'!$I158),COLUMN(O157))),"")</f>
        <v/>
      </c>
      <c r="P158" t="str">
        <f>IFERROR(INDEX(Management!$B$3:$B$50,_xlfn.AGGREGATE(15,6,(ROW(Management!$B$3:$B$50)-ROW(Management!$B$3)+1)/((IF(Management!$C$3:$C$50="Unlimited",10^15,Management!$C$3:$C$50))&gt;='1'!$I158),COLUMN(P157))),"")</f>
        <v/>
      </c>
      <c r="Q158" t="str">
        <f>IFERROR(INDEX(Management!$B$3:$B$50,_xlfn.AGGREGATE(15,6,(ROW(Management!$B$3:$B$50)-ROW(Management!$B$3)+1)/((IF(Management!$C$3:$C$50="Unlimited",10^15,Management!$C$3:$C$50))&gt;='1'!$I158),COLUMN(Q157))),"")</f>
        <v/>
      </c>
      <c r="R158" t="str">
        <f>IFERROR(INDEX(Management!$B$3:$B$50,_xlfn.AGGREGATE(15,6,(ROW(Management!$B$3:$B$50)-ROW(Management!$B$3)+1)/((IF(Management!$C$3:$C$50="Unlimited",10^15,Management!$C$3:$C$50))&gt;='1'!$I158),COLUMN(R157))),"")</f>
        <v/>
      </c>
      <c r="S158" t="str">
        <f>IFERROR(INDEX(Management!$B$3:$B$50,_xlfn.AGGREGATE(15,6,(ROW(Management!$B$3:$B$50)-ROW(Management!$B$3)+1)/((IF(Management!$C$3:$C$50="Unlimited",10^15,Management!$C$3:$C$50))&gt;='1'!$I158),COLUMN(S157))),"")</f>
        <v/>
      </c>
      <c r="T158" t="str">
        <f>IFERROR(INDEX(Management!$B$3:$B$50,_xlfn.AGGREGATE(15,6,(ROW(Management!$B$3:$B$50)-ROW(Management!$B$3)+1)/((IF(Management!$C$3:$C$50="Unlimited",10^15,Management!$C$3:$C$50))&gt;='1'!$I158),COLUMN(T157))),"")</f>
        <v/>
      </c>
    </row>
    <row r="159" spans="1:20">
      <c r="A159" t="str">
        <f>IFERROR(INDEX(Management!$B$3:$B$50,_xlfn.AGGREGATE(15,6,(ROW(Management!$B$3:$B$50)-ROW(Management!$B$3)+1)/((IF(Management!$C$3:$C$50="Unlimited",10^15,Management!$C$3:$C$50))&gt;='1'!$I159),COLUMN(A158))),"")</f>
        <v/>
      </c>
      <c r="B159" t="str">
        <f>IFERROR(INDEX(Management!$B$3:$B$50,_xlfn.AGGREGATE(15,6,(ROW(Management!$B$3:$B$50)-ROW(Management!$B$3)+1)/((IF(Management!$C$3:$C$50="Unlimited",10^15,Management!$C$3:$C$50))&gt;='1'!$I159),COLUMN(B158))),"")</f>
        <v/>
      </c>
      <c r="C159" t="str">
        <f>IFERROR(INDEX(Management!$B$3:$B$50,_xlfn.AGGREGATE(15,6,(ROW(Management!$B$3:$B$50)-ROW(Management!$B$3)+1)/((IF(Management!$C$3:$C$50="Unlimited",10^15,Management!$C$3:$C$50))&gt;='1'!$I159),COLUMN(C158))),"")</f>
        <v/>
      </c>
      <c r="D159" t="str">
        <f>IFERROR(INDEX(Management!$B$3:$B$50,_xlfn.AGGREGATE(15,6,(ROW(Management!$B$3:$B$50)-ROW(Management!$B$3)+1)/((IF(Management!$C$3:$C$50="Unlimited",10^15,Management!$C$3:$C$50))&gt;='1'!$I159),COLUMN(D158))),"")</f>
        <v/>
      </c>
      <c r="E159" t="str">
        <f>IFERROR(INDEX(Management!$B$3:$B$50,_xlfn.AGGREGATE(15,6,(ROW(Management!$B$3:$B$50)-ROW(Management!$B$3)+1)/((IF(Management!$C$3:$C$50="Unlimited",10^15,Management!$C$3:$C$50))&gt;='1'!$I159),COLUMN(E158))),"")</f>
        <v/>
      </c>
      <c r="F159" t="str">
        <f>IFERROR(INDEX(Management!$B$3:$B$50,_xlfn.AGGREGATE(15,6,(ROW(Management!$B$3:$B$50)-ROW(Management!$B$3)+1)/((IF(Management!$C$3:$C$50="Unlimited",10^15,Management!$C$3:$C$50))&gt;='1'!$I159),COLUMN(F158))),"")</f>
        <v/>
      </c>
      <c r="G159" t="str">
        <f>IFERROR(INDEX(Management!$B$3:$B$50,_xlfn.AGGREGATE(15,6,(ROW(Management!$B$3:$B$50)-ROW(Management!$B$3)+1)/((IF(Management!$C$3:$C$50="Unlimited",10^15,Management!$C$3:$C$50))&gt;='1'!$I159),COLUMN(G158))),"")</f>
        <v/>
      </c>
      <c r="H159" t="str">
        <f>IFERROR(INDEX(Management!$B$3:$B$50,_xlfn.AGGREGATE(15,6,(ROW(Management!$B$3:$B$50)-ROW(Management!$B$3)+1)/((IF(Management!$C$3:$C$50="Unlimited",10^15,Management!$C$3:$C$50))&gt;='1'!$I159),COLUMN(H158))),"")</f>
        <v/>
      </c>
      <c r="I159" t="str">
        <f>IFERROR(INDEX(Management!$B$3:$B$50,_xlfn.AGGREGATE(15,6,(ROW(Management!$B$3:$B$50)-ROW(Management!$B$3)+1)/((IF(Management!$C$3:$C$50="Unlimited",10^15,Management!$C$3:$C$50))&gt;='1'!$I159),COLUMN(I158))),"")</f>
        <v/>
      </c>
      <c r="J159" t="str">
        <f>IFERROR(INDEX(Management!$B$3:$B$50,_xlfn.AGGREGATE(15,6,(ROW(Management!$B$3:$B$50)-ROW(Management!$B$3)+1)/((IF(Management!$C$3:$C$50="Unlimited",10^15,Management!$C$3:$C$50))&gt;='1'!$I159),COLUMN(J158))),"")</f>
        <v/>
      </c>
      <c r="K159" t="str">
        <f>IFERROR(INDEX(Management!$B$3:$B$50,_xlfn.AGGREGATE(15,6,(ROW(Management!$B$3:$B$50)-ROW(Management!$B$3)+1)/((IF(Management!$C$3:$C$50="Unlimited",10^15,Management!$C$3:$C$50))&gt;='1'!$I159),COLUMN(K158))),"")</f>
        <v/>
      </c>
      <c r="L159" t="str">
        <f>IFERROR(INDEX(Management!$B$3:$B$50,_xlfn.AGGREGATE(15,6,(ROW(Management!$B$3:$B$50)-ROW(Management!$B$3)+1)/((IF(Management!$C$3:$C$50="Unlimited",10^15,Management!$C$3:$C$50))&gt;='1'!$I159),COLUMN(L158))),"")</f>
        <v/>
      </c>
      <c r="M159" t="str">
        <f>IFERROR(INDEX(Management!$B$3:$B$50,_xlfn.AGGREGATE(15,6,(ROW(Management!$B$3:$B$50)-ROW(Management!$B$3)+1)/((IF(Management!$C$3:$C$50="Unlimited",10^15,Management!$C$3:$C$50))&gt;='1'!$I159),COLUMN(M158))),"")</f>
        <v/>
      </c>
      <c r="N159" t="str">
        <f>IFERROR(INDEX(Management!$B$3:$B$50,_xlfn.AGGREGATE(15,6,(ROW(Management!$B$3:$B$50)-ROW(Management!$B$3)+1)/((IF(Management!$C$3:$C$50="Unlimited",10^15,Management!$C$3:$C$50))&gt;='1'!$I159),COLUMN(N158))),"")</f>
        <v/>
      </c>
      <c r="O159" t="str">
        <f>IFERROR(INDEX(Management!$B$3:$B$50,_xlfn.AGGREGATE(15,6,(ROW(Management!$B$3:$B$50)-ROW(Management!$B$3)+1)/((IF(Management!$C$3:$C$50="Unlimited",10^15,Management!$C$3:$C$50))&gt;='1'!$I159),COLUMN(O158))),"")</f>
        <v/>
      </c>
      <c r="P159" t="str">
        <f>IFERROR(INDEX(Management!$B$3:$B$50,_xlfn.AGGREGATE(15,6,(ROW(Management!$B$3:$B$50)-ROW(Management!$B$3)+1)/((IF(Management!$C$3:$C$50="Unlimited",10^15,Management!$C$3:$C$50))&gt;='1'!$I159),COLUMN(P158))),"")</f>
        <v/>
      </c>
      <c r="Q159" t="str">
        <f>IFERROR(INDEX(Management!$B$3:$B$50,_xlfn.AGGREGATE(15,6,(ROW(Management!$B$3:$B$50)-ROW(Management!$B$3)+1)/((IF(Management!$C$3:$C$50="Unlimited",10^15,Management!$C$3:$C$50))&gt;='1'!$I159),COLUMN(Q158))),"")</f>
        <v/>
      </c>
      <c r="R159" t="str">
        <f>IFERROR(INDEX(Management!$B$3:$B$50,_xlfn.AGGREGATE(15,6,(ROW(Management!$B$3:$B$50)-ROW(Management!$B$3)+1)/((IF(Management!$C$3:$C$50="Unlimited",10^15,Management!$C$3:$C$50))&gt;='1'!$I159),COLUMN(R158))),"")</f>
        <v/>
      </c>
      <c r="S159" t="str">
        <f>IFERROR(INDEX(Management!$B$3:$B$50,_xlfn.AGGREGATE(15,6,(ROW(Management!$B$3:$B$50)-ROW(Management!$B$3)+1)/((IF(Management!$C$3:$C$50="Unlimited",10^15,Management!$C$3:$C$50))&gt;='1'!$I159),COLUMN(S158))),"")</f>
        <v/>
      </c>
      <c r="T159" t="str">
        <f>IFERROR(INDEX(Management!$B$3:$B$50,_xlfn.AGGREGATE(15,6,(ROW(Management!$B$3:$B$50)-ROW(Management!$B$3)+1)/((IF(Management!$C$3:$C$50="Unlimited",10^15,Management!$C$3:$C$50))&gt;='1'!$I159),COLUMN(T158))),"")</f>
        <v/>
      </c>
    </row>
    <row r="160" spans="1:20">
      <c r="A160" t="str">
        <f>IFERROR(INDEX(Management!$B$3:$B$50,_xlfn.AGGREGATE(15,6,(ROW(Management!$B$3:$B$50)-ROW(Management!$B$3)+1)/((IF(Management!$C$3:$C$50="Unlimited",10^15,Management!$C$3:$C$50))&gt;='1'!$I160),COLUMN(A159))),"")</f>
        <v/>
      </c>
      <c r="B160" t="str">
        <f>IFERROR(INDEX(Management!$B$3:$B$50,_xlfn.AGGREGATE(15,6,(ROW(Management!$B$3:$B$50)-ROW(Management!$B$3)+1)/((IF(Management!$C$3:$C$50="Unlimited",10^15,Management!$C$3:$C$50))&gt;='1'!$I160),COLUMN(B159))),"")</f>
        <v/>
      </c>
      <c r="C160" t="str">
        <f>IFERROR(INDEX(Management!$B$3:$B$50,_xlfn.AGGREGATE(15,6,(ROW(Management!$B$3:$B$50)-ROW(Management!$B$3)+1)/((IF(Management!$C$3:$C$50="Unlimited",10^15,Management!$C$3:$C$50))&gt;='1'!$I160),COLUMN(C159))),"")</f>
        <v/>
      </c>
      <c r="D160" t="str">
        <f>IFERROR(INDEX(Management!$B$3:$B$50,_xlfn.AGGREGATE(15,6,(ROW(Management!$B$3:$B$50)-ROW(Management!$B$3)+1)/((IF(Management!$C$3:$C$50="Unlimited",10^15,Management!$C$3:$C$50))&gt;='1'!$I160),COLUMN(D159))),"")</f>
        <v/>
      </c>
      <c r="E160" t="str">
        <f>IFERROR(INDEX(Management!$B$3:$B$50,_xlfn.AGGREGATE(15,6,(ROW(Management!$B$3:$B$50)-ROW(Management!$B$3)+1)/((IF(Management!$C$3:$C$50="Unlimited",10^15,Management!$C$3:$C$50))&gt;='1'!$I160),COLUMN(E159))),"")</f>
        <v/>
      </c>
      <c r="F160" t="str">
        <f>IFERROR(INDEX(Management!$B$3:$B$50,_xlfn.AGGREGATE(15,6,(ROW(Management!$B$3:$B$50)-ROW(Management!$B$3)+1)/((IF(Management!$C$3:$C$50="Unlimited",10^15,Management!$C$3:$C$50))&gt;='1'!$I160),COLUMN(F159))),"")</f>
        <v/>
      </c>
      <c r="G160" t="str">
        <f>IFERROR(INDEX(Management!$B$3:$B$50,_xlfn.AGGREGATE(15,6,(ROW(Management!$B$3:$B$50)-ROW(Management!$B$3)+1)/((IF(Management!$C$3:$C$50="Unlimited",10^15,Management!$C$3:$C$50))&gt;='1'!$I160),COLUMN(G159))),"")</f>
        <v/>
      </c>
      <c r="H160" t="str">
        <f>IFERROR(INDEX(Management!$B$3:$B$50,_xlfn.AGGREGATE(15,6,(ROW(Management!$B$3:$B$50)-ROW(Management!$B$3)+1)/((IF(Management!$C$3:$C$50="Unlimited",10^15,Management!$C$3:$C$50))&gt;='1'!$I160),COLUMN(H159))),"")</f>
        <v/>
      </c>
      <c r="I160" t="str">
        <f>IFERROR(INDEX(Management!$B$3:$B$50,_xlfn.AGGREGATE(15,6,(ROW(Management!$B$3:$B$50)-ROW(Management!$B$3)+1)/((IF(Management!$C$3:$C$50="Unlimited",10^15,Management!$C$3:$C$50))&gt;='1'!$I160),COLUMN(I159))),"")</f>
        <v/>
      </c>
      <c r="J160" t="str">
        <f>IFERROR(INDEX(Management!$B$3:$B$50,_xlfn.AGGREGATE(15,6,(ROW(Management!$B$3:$B$50)-ROW(Management!$B$3)+1)/((IF(Management!$C$3:$C$50="Unlimited",10^15,Management!$C$3:$C$50))&gt;='1'!$I160),COLUMN(J159))),"")</f>
        <v/>
      </c>
      <c r="K160" t="str">
        <f>IFERROR(INDEX(Management!$B$3:$B$50,_xlfn.AGGREGATE(15,6,(ROW(Management!$B$3:$B$50)-ROW(Management!$B$3)+1)/((IF(Management!$C$3:$C$50="Unlimited",10^15,Management!$C$3:$C$50))&gt;='1'!$I160),COLUMN(K159))),"")</f>
        <v/>
      </c>
      <c r="L160" t="str">
        <f>IFERROR(INDEX(Management!$B$3:$B$50,_xlfn.AGGREGATE(15,6,(ROW(Management!$B$3:$B$50)-ROW(Management!$B$3)+1)/((IF(Management!$C$3:$C$50="Unlimited",10^15,Management!$C$3:$C$50))&gt;='1'!$I160),COLUMN(L159))),"")</f>
        <v/>
      </c>
      <c r="M160" t="str">
        <f>IFERROR(INDEX(Management!$B$3:$B$50,_xlfn.AGGREGATE(15,6,(ROW(Management!$B$3:$B$50)-ROW(Management!$B$3)+1)/((IF(Management!$C$3:$C$50="Unlimited",10^15,Management!$C$3:$C$50))&gt;='1'!$I160),COLUMN(M159))),"")</f>
        <v/>
      </c>
      <c r="N160" t="str">
        <f>IFERROR(INDEX(Management!$B$3:$B$50,_xlfn.AGGREGATE(15,6,(ROW(Management!$B$3:$B$50)-ROW(Management!$B$3)+1)/((IF(Management!$C$3:$C$50="Unlimited",10^15,Management!$C$3:$C$50))&gt;='1'!$I160),COLUMN(N159))),"")</f>
        <v/>
      </c>
      <c r="O160" t="str">
        <f>IFERROR(INDEX(Management!$B$3:$B$50,_xlfn.AGGREGATE(15,6,(ROW(Management!$B$3:$B$50)-ROW(Management!$B$3)+1)/((IF(Management!$C$3:$C$50="Unlimited",10^15,Management!$C$3:$C$50))&gt;='1'!$I160),COLUMN(O159))),"")</f>
        <v/>
      </c>
      <c r="P160" t="str">
        <f>IFERROR(INDEX(Management!$B$3:$B$50,_xlfn.AGGREGATE(15,6,(ROW(Management!$B$3:$B$50)-ROW(Management!$B$3)+1)/((IF(Management!$C$3:$C$50="Unlimited",10^15,Management!$C$3:$C$50))&gt;='1'!$I160),COLUMN(P159))),"")</f>
        <v/>
      </c>
      <c r="Q160" t="str">
        <f>IFERROR(INDEX(Management!$B$3:$B$50,_xlfn.AGGREGATE(15,6,(ROW(Management!$B$3:$B$50)-ROW(Management!$B$3)+1)/((IF(Management!$C$3:$C$50="Unlimited",10^15,Management!$C$3:$C$50))&gt;='1'!$I160),COLUMN(Q159))),"")</f>
        <v/>
      </c>
      <c r="R160" t="str">
        <f>IFERROR(INDEX(Management!$B$3:$B$50,_xlfn.AGGREGATE(15,6,(ROW(Management!$B$3:$B$50)-ROW(Management!$B$3)+1)/((IF(Management!$C$3:$C$50="Unlimited",10^15,Management!$C$3:$C$50))&gt;='1'!$I160),COLUMN(R159))),"")</f>
        <v/>
      </c>
      <c r="S160" t="str">
        <f>IFERROR(INDEX(Management!$B$3:$B$50,_xlfn.AGGREGATE(15,6,(ROW(Management!$B$3:$B$50)-ROW(Management!$B$3)+1)/((IF(Management!$C$3:$C$50="Unlimited",10^15,Management!$C$3:$C$50))&gt;='1'!$I160),COLUMN(S159))),"")</f>
        <v/>
      </c>
      <c r="T160" t="str">
        <f>IFERROR(INDEX(Management!$B$3:$B$50,_xlfn.AGGREGATE(15,6,(ROW(Management!$B$3:$B$50)-ROW(Management!$B$3)+1)/((IF(Management!$C$3:$C$50="Unlimited",10^15,Management!$C$3:$C$50))&gt;='1'!$I160),COLUMN(T159))),"")</f>
        <v/>
      </c>
    </row>
    <row r="161" spans="1:20">
      <c r="A161" t="str">
        <f>IFERROR(INDEX(Management!$B$3:$B$50,_xlfn.AGGREGATE(15,6,(ROW(Management!$B$3:$B$50)-ROW(Management!$B$3)+1)/((IF(Management!$C$3:$C$50="Unlimited",10^15,Management!$C$3:$C$50))&gt;='1'!$I161),COLUMN(A160))),"")</f>
        <v/>
      </c>
      <c r="B161" t="str">
        <f>IFERROR(INDEX(Management!$B$3:$B$50,_xlfn.AGGREGATE(15,6,(ROW(Management!$B$3:$B$50)-ROW(Management!$B$3)+1)/((IF(Management!$C$3:$C$50="Unlimited",10^15,Management!$C$3:$C$50))&gt;='1'!$I161),COLUMN(B160))),"")</f>
        <v/>
      </c>
      <c r="C161" t="str">
        <f>IFERROR(INDEX(Management!$B$3:$B$50,_xlfn.AGGREGATE(15,6,(ROW(Management!$B$3:$B$50)-ROW(Management!$B$3)+1)/((IF(Management!$C$3:$C$50="Unlimited",10^15,Management!$C$3:$C$50))&gt;='1'!$I161),COLUMN(C160))),"")</f>
        <v/>
      </c>
      <c r="D161" t="str">
        <f>IFERROR(INDEX(Management!$B$3:$B$50,_xlfn.AGGREGATE(15,6,(ROW(Management!$B$3:$B$50)-ROW(Management!$B$3)+1)/((IF(Management!$C$3:$C$50="Unlimited",10^15,Management!$C$3:$C$50))&gt;='1'!$I161),COLUMN(D160))),"")</f>
        <v/>
      </c>
      <c r="E161" t="str">
        <f>IFERROR(INDEX(Management!$B$3:$B$50,_xlfn.AGGREGATE(15,6,(ROW(Management!$B$3:$B$50)-ROW(Management!$B$3)+1)/((IF(Management!$C$3:$C$50="Unlimited",10^15,Management!$C$3:$C$50))&gt;='1'!$I161),COLUMN(E160))),"")</f>
        <v/>
      </c>
      <c r="F161" t="str">
        <f>IFERROR(INDEX(Management!$B$3:$B$50,_xlfn.AGGREGATE(15,6,(ROW(Management!$B$3:$B$50)-ROW(Management!$B$3)+1)/((IF(Management!$C$3:$C$50="Unlimited",10^15,Management!$C$3:$C$50))&gt;='1'!$I161),COLUMN(F160))),"")</f>
        <v/>
      </c>
      <c r="G161" t="str">
        <f>IFERROR(INDEX(Management!$B$3:$B$50,_xlfn.AGGREGATE(15,6,(ROW(Management!$B$3:$B$50)-ROW(Management!$B$3)+1)/((IF(Management!$C$3:$C$50="Unlimited",10^15,Management!$C$3:$C$50))&gt;='1'!$I161),COLUMN(G160))),"")</f>
        <v/>
      </c>
      <c r="H161" t="str">
        <f>IFERROR(INDEX(Management!$B$3:$B$50,_xlfn.AGGREGATE(15,6,(ROW(Management!$B$3:$B$50)-ROW(Management!$B$3)+1)/((IF(Management!$C$3:$C$50="Unlimited",10^15,Management!$C$3:$C$50))&gt;='1'!$I161),COLUMN(H160))),"")</f>
        <v/>
      </c>
      <c r="I161" t="str">
        <f>IFERROR(INDEX(Management!$B$3:$B$50,_xlfn.AGGREGATE(15,6,(ROW(Management!$B$3:$B$50)-ROW(Management!$B$3)+1)/((IF(Management!$C$3:$C$50="Unlimited",10^15,Management!$C$3:$C$50))&gt;='1'!$I161),COLUMN(I160))),"")</f>
        <v/>
      </c>
      <c r="J161" t="str">
        <f>IFERROR(INDEX(Management!$B$3:$B$50,_xlfn.AGGREGATE(15,6,(ROW(Management!$B$3:$B$50)-ROW(Management!$B$3)+1)/((IF(Management!$C$3:$C$50="Unlimited",10^15,Management!$C$3:$C$50))&gt;='1'!$I161),COLUMN(J160))),"")</f>
        <v/>
      </c>
      <c r="K161" t="str">
        <f>IFERROR(INDEX(Management!$B$3:$B$50,_xlfn.AGGREGATE(15,6,(ROW(Management!$B$3:$B$50)-ROW(Management!$B$3)+1)/((IF(Management!$C$3:$C$50="Unlimited",10^15,Management!$C$3:$C$50))&gt;='1'!$I161),COLUMN(K160))),"")</f>
        <v/>
      </c>
      <c r="L161" t="str">
        <f>IFERROR(INDEX(Management!$B$3:$B$50,_xlfn.AGGREGATE(15,6,(ROW(Management!$B$3:$B$50)-ROW(Management!$B$3)+1)/((IF(Management!$C$3:$C$50="Unlimited",10^15,Management!$C$3:$C$50))&gt;='1'!$I161),COLUMN(L160))),"")</f>
        <v/>
      </c>
      <c r="M161" t="str">
        <f>IFERROR(INDEX(Management!$B$3:$B$50,_xlfn.AGGREGATE(15,6,(ROW(Management!$B$3:$B$50)-ROW(Management!$B$3)+1)/((IF(Management!$C$3:$C$50="Unlimited",10^15,Management!$C$3:$C$50))&gt;='1'!$I161),COLUMN(M160))),"")</f>
        <v/>
      </c>
      <c r="N161" t="str">
        <f>IFERROR(INDEX(Management!$B$3:$B$50,_xlfn.AGGREGATE(15,6,(ROW(Management!$B$3:$B$50)-ROW(Management!$B$3)+1)/((IF(Management!$C$3:$C$50="Unlimited",10^15,Management!$C$3:$C$50))&gt;='1'!$I161),COLUMN(N160))),"")</f>
        <v/>
      </c>
      <c r="O161" t="str">
        <f>IFERROR(INDEX(Management!$B$3:$B$50,_xlfn.AGGREGATE(15,6,(ROW(Management!$B$3:$B$50)-ROW(Management!$B$3)+1)/((IF(Management!$C$3:$C$50="Unlimited",10^15,Management!$C$3:$C$50))&gt;='1'!$I161),COLUMN(O160))),"")</f>
        <v/>
      </c>
      <c r="P161" t="str">
        <f>IFERROR(INDEX(Management!$B$3:$B$50,_xlfn.AGGREGATE(15,6,(ROW(Management!$B$3:$B$50)-ROW(Management!$B$3)+1)/((IF(Management!$C$3:$C$50="Unlimited",10^15,Management!$C$3:$C$50))&gt;='1'!$I161),COLUMN(P160))),"")</f>
        <v/>
      </c>
      <c r="Q161" t="str">
        <f>IFERROR(INDEX(Management!$B$3:$B$50,_xlfn.AGGREGATE(15,6,(ROW(Management!$B$3:$B$50)-ROW(Management!$B$3)+1)/((IF(Management!$C$3:$C$50="Unlimited",10^15,Management!$C$3:$C$50))&gt;='1'!$I161),COLUMN(Q160))),"")</f>
        <v/>
      </c>
      <c r="R161" t="str">
        <f>IFERROR(INDEX(Management!$B$3:$B$50,_xlfn.AGGREGATE(15,6,(ROW(Management!$B$3:$B$50)-ROW(Management!$B$3)+1)/((IF(Management!$C$3:$C$50="Unlimited",10^15,Management!$C$3:$C$50))&gt;='1'!$I161),COLUMN(R160))),"")</f>
        <v/>
      </c>
      <c r="S161" t="str">
        <f>IFERROR(INDEX(Management!$B$3:$B$50,_xlfn.AGGREGATE(15,6,(ROW(Management!$B$3:$B$50)-ROW(Management!$B$3)+1)/((IF(Management!$C$3:$C$50="Unlimited",10^15,Management!$C$3:$C$50))&gt;='1'!$I161),COLUMN(S160))),"")</f>
        <v/>
      </c>
      <c r="T161" t="str">
        <f>IFERROR(INDEX(Management!$B$3:$B$50,_xlfn.AGGREGATE(15,6,(ROW(Management!$B$3:$B$50)-ROW(Management!$B$3)+1)/((IF(Management!$C$3:$C$50="Unlimited",10^15,Management!$C$3:$C$50))&gt;='1'!$I161),COLUMN(T160))),"")</f>
        <v/>
      </c>
    </row>
    <row r="162" spans="1:20">
      <c r="A162" t="str">
        <f>IFERROR(INDEX(Management!$B$3:$B$50,_xlfn.AGGREGATE(15,6,(ROW(Management!$B$3:$B$50)-ROW(Management!$B$3)+1)/((IF(Management!$C$3:$C$50="Unlimited",10^15,Management!$C$3:$C$50))&gt;='1'!$I162),COLUMN(A161))),"")</f>
        <v/>
      </c>
      <c r="B162" t="str">
        <f>IFERROR(INDEX(Management!$B$3:$B$50,_xlfn.AGGREGATE(15,6,(ROW(Management!$B$3:$B$50)-ROW(Management!$B$3)+1)/((IF(Management!$C$3:$C$50="Unlimited",10^15,Management!$C$3:$C$50))&gt;='1'!$I162),COLUMN(B161))),"")</f>
        <v/>
      </c>
      <c r="C162" t="str">
        <f>IFERROR(INDEX(Management!$B$3:$B$50,_xlfn.AGGREGATE(15,6,(ROW(Management!$B$3:$B$50)-ROW(Management!$B$3)+1)/((IF(Management!$C$3:$C$50="Unlimited",10^15,Management!$C$3:$C$50))&gt;='1'!$I162),COLUMN(C161))),"")</f>
        <v/>
      </c>
      <c r="D162" t="str">
        <f>IFERROR(INDEX(Management!$B$3:$B$50,_xlfn.AGGREGATE(15,6,(ROW(Management!$B$3:$B$50)-ROW(Management!$B$3)+1)/((IF(Management!$C$3:$C$50="Unlimited",10^15,Management!$C$3:$C$50))&gt;='1'!$I162),COLUMN(D161))),"")</f>
        <v/>
      </c>
      <c r="E162" t="str">
        <f>IFERROR(INDEX(Management!$B$3:$B$50,_xlfn.AGGREGATE(15,6,(ROW(Management!$B$3:$B$50)-ROW(Management!$B$3)+1)/((IF(Management!$C$3:$C$50="Unlimited",10^15,Management!$C$3:$C$50))&gt;='1'!$I162),COLUMN(E161))),"")</f>
        <v/>
      </c>
      <c r="F162" t="str">
        <f>IFERROR(INDEX(Management!$B$3:$B$50,_xlfn.AGGREGATE(15,6,(ROW(Management!$B$3:$B$50)-ROW(Management!$B$3)+1)/((IF(Management!$C$3:$C$50="Unlimited",10^15,Management!$C$3:$C$50))&gt;='1'!$I162),COLUMN(F161))),"")</f>
        <v/>
      </c>
      <c r="G162" t="str">
        <f>IFERROR(INDEX(Management!$B$3:$B$50,_xlfn.AGGREGATE(15,6,(ROW(Management!$B$3:$B$50)-ROW(Management!$B$3)+1)/((IF(Management!$C$3:$C$50="Unlimited",10^15,Management!$C$3:$C$50))&gt;='1'!$I162),COLUMN(G161))),"")</f>
        <v/>
      </c>
      <c r="H162" t="str">
        <f>IFERROR(INDEX(Management!$B$3:$B$50,_xlfn.AGGREGATE(15,6,(ROW(Management!$B$3:$B$50)-ROW(Management!$B$3)+1)/((IF(Management!$C$3:$C$50="Unlimited",10^15,Management!$C$3:$C$50))&gt;='1'!$I162),COLUMN(H161))),"")</f>
        <v/>
      </c>
      <c r="I162" t="str">
        <f>IFERROR(INDEX(Management!$B$3:$B$50,_xlfn.AGGREGATE(15,6,(ROW(Management!$B$3:$B$50)-ROW(Management!$B$3)+1)/((IF(Management!$C$3:$C$50="Unlimited",10^15,Management!$C$3:$C$50))&gt;='1'!$I162),COLUMN(I161))),"")</f>
        <v/>
      </c>
      <c r="J162" t="str">
        <f>IFERROR(INDEX(Management!$B$3:$B$50,_xlfn.AGGREGATE(15,6,(ROW(Management!$B$3:$B$50)-ROW(Management!$B$3)+1)/((IF(Management!$C$3:$C$50="Unlimited",10^15,Management!$C$3:$C$50))&gt;='1'!$I162),COLUMN(J161))),"")</f>
        <v/>
      </c>
      <c r="K162" t="str">
        <f>IFERROR(INDEX(Management!$B$3:$B$50,_xlfn.AGGREGATE(15,6,(ROW(Management!$B$3:$B$50)-ROW(Management!$B$3)+1)/((IF(Management!$C$3:$C$50="Unlimited",10^15,Management!$C$3:$C$50))&gt;='1'!$I162),COLUMN(K161))),"")</f>
        <v/>
      </c>
      <c r="L162" t="str">
        <f>IFERROR(INDEX(Management!$B$3:$B$50,_xlfn.AGGREGATE(15,6,(ROW(Management!$B$3:$B$50)-ROW(Management!$B$3)+1)/((IF(Management!$C$3:$C$50="Unlimited",10^15,Management!$C$3:$C$50))&gt;='1'!$I162),COLUMN(L161))),"")</f>
        <v/>
      </c>
      <c r="M162" t="str">
        <f>IFERROR(INDEX(Management!$B$3:$B$50,_xlfn.AGGREGATE(15,6,(ROW(Management!$B$3:$B$50)-ROW(Management!$B$3)+1)/((IF(Management!$C$3:$C$50="Unlimited",10^15,Management!$C$3:$C$50))&gt;='1'!$I162),COLUMN(M161))),"")</f>
        <v/>
      </c>
      <c r="N162" t="str">
        <f>IFERROR(INDEX(Management!$B$3:$B$50,_xlfn.AGGREGATE(15,6,(ROW(Management!$B$3:$B$50)-ROW(Management!$B$3)+1)/((IF(Management!$C$3:$C$50="Unlimited",10^15,Management!$C$3:$C$50))&gt;='1'!$I162),COLUMN(N161))),"")</f>
        <v/>
      </c>
      <c r="O162" t="str">
        <f>IFERROR(INDEX(Management!$B$3:$B$50,_xlfn.AGGREGATE(15,6,(ROW(Management!$B$3:$B$50)-ROW(Management!$B$3)+1)/((IF(Management!$C$3:$C$50="Unlimited",10^15,Management!$C$3:$C$50))&gt;='1'!$I162),COLUMN(O161))),"")</f>
        <v/>
      </c>
      <c r="P162" t="str">
        <f>IFERROR(INDEX(Management!$B$3:$B$50,_xlfn.AGGREGATE(15,6,(ROW(Management!$B$3:$B$50)-ROW(Management!$B$3)+1)/((IF(Management!$C$3:$C$50="Unlimited",10^15,Management!$C$3:$C$50))&gt;='1'!$I162),COLUMN(P161))),"")</f>
        <v/>
      </c>
      <c r="Q162" t="str">
        <f>IFERROR(INDEX(Management!$B$3:$B$50,_xlfn.AGGREGATE(15,6,(ROW(Management!$B$3:$B$50)-ROW(Management!$B$3)+1)/((IF(Management!$C$3:$C$50="Unlimited",10^15,Management!$C$3:$C$50))&gt;='1'!$I162),COLUMN(Q161))),"")</f>
        <v/>
      </c>
      <c r="R162" t="str">
        <f>IFERROR(INDEX(Management!$B$3:$B$50,_xlfn.AGGREGATE(15,6,(ROW(Management!$B$3:$B$50)-ROW(Management!$B$3)+1)/((IF(Management!$C$3:$C$50="Unlimited",10^15,Management!$C$3:$C$50))&gt;='1'!$I162),COLUMN(R161))),"")</f>
        <v/>
      </c>
      <c r="S162" t="str">
        <f>IFERROR(INDEX(Management!$B$3:$B$50,_xlfn.AGGREGATE(15,6,(ROW(Management!$B$3:$B$50)-ROW(Management!$B$3)+1)/((IF(Management!$C$3:$C$50="Unlimited",10^15,Management!$C$3:$C$50))&gt;='1'!$I162),COLUMN(S161))),"")</f>
        <v/>
      </c>
      <c r="T162" t="str">
        <f>IFERROR(INDEX(Management!$B$3:$B$50,_xlfn.AGGREGATE(15,6,(ROW(Management!$B$3:$B$50)-ROW(Management!$B$3)+1)/((IF(Management!$C$3:$C$50="Unlimited",10^15,Management!$C$3:$C$50))&gt;='1'!$I162),COLUMN(T161))),"")</f>
        <v/>
      </c>
    </row>
    <row r="163" spans="1:20">
      <c r="A163" t="str">
        <f>IFERROR(INDEX(Management!$B$3:$B$50,_xlfn.AGGREGATE(15,6,(ROW(Management!$B$3:$B$50)-ROW(Management!$B$3)+1)/((IF(Management!$C$3:$C$50="Unlimited",10^15,Management!$C$3:$C$50))&gt;='1'!$I163),COLUMN(A162))),"")</f>
        <v/>
      </c>
      <c r="B163" t="str">
        <f>IFERROR(INDEX(Management!$B$3:$B$50,_xlfn.AGGREGATE(15,6,(ROW(Management!$B$3:$B$50)-ROW(Management!$B$3)+1)/((IF(Management!$C$3:$C$50="Unlimited",10^15,Management!$C$3:$C$50))&gt;='1'!$I163),COLUMN(B162))),"")</f>
        <v/>
      </c>
      <c r="C163" t="str">
        <f>IFERROR(INDEX(Management!$B$3:$B$50,_xlfn.AGGREGATE(15,6,(ROW(Management!$B$3:$B$50)-ROW(Management!$B$3)+1)/((IF(Management!$C$3:$C$50="Unlimited",10^15,Management!$C$3:$C$50))&gt;='1'!$I163),COLUMN(C162))),"")</f>
        <v/>
      </c>
      <c r="D163" t="str">
        <f>IFERROR(INDEX(Management!$B$3:$B$50,_xlfn.AGGREGATE(15,6,(ROW(Management!$B$3:$B$50)-ROW(Management!$B$3)+1)/((IF(Management!$C$3:$C$50="Unlimited",10^15,Management!$C$3:$C$50))&gt;='1'!$I163),COLUMN(D162))),"")</f>
        <v/>
      </c>
      <c r="E163" t="str">
        <f>IFERROR(INDEX(Management!$B$3:$B$50,_xlfn.AGGREGATE(15,6,(ROW(Management!$B$3:$B$50)-ROW(Management!$B$3)+1)/((IF(Management!$C$3:$C$50="Unlimited",10^15,Management!$C$3:$C$50))&gt;='1'!$I163),COLUMN(E162))),"")</f>
        <v/>
      </c>
      <c r="F163" t="str">
        <f>IFERROR(INDEX(Management!$B$3:$B$50,_xlfn.AGGREGATE(15,6,(ROW(Management!$B$3:$B$50)-ROW(Management!$B$3)+1)/((IF(Management!$C$3:$C$50="Unlimited",10^15,Management!$C$3:$C$50))&gt;='1'!$I163),COLUMN(F162))),"")</f>
        <v/>
      </c>
      <c r="G163" t="str">
        <f>IFERROR(INDEX(Management!$B$3:$B$50,_xlfn.AGGREGATE(15,6,(ROW(Management!$B$3:$B$50)-ROW(Management!$B$3)+1)/((IF(Management!$C$3:$C$50="Unlimited",10^15,Management!$C$3:$C$50))&gt;='1'!$I163),COLUMN(G162))),"")</f>
        <v/>
      </c>
      <c r="H163" t="str">
        <f>IFERROR(INDEX(Management!$B$3:$B$50,_xlfn.AGGREGATE(15,6,(ROW(Management!$B$3:$B$50)-ROW(Management!$B$3)+1)/((IF(Management!$C$3:$C$50="Unlimited",10^15,Management!$C$3:$C$50))&gt;='1'!$I163),COLUMN(H162))),"")</f>
        <v/>
      </c>
      <c r="I163" t="str">
        <f>IFERROR(INDEX(Management!$B$3:$B$50,_xlfn.AGGREGATE(15,6,(ROW(Management!$B$3:$B$50)-ROW(Management!$B$3)+1)/((IF(Management!$C$3:$C$50="Unlimited",10^15,Management!$C$3:$C$50))&gt;='1'!$I163),COLUMN(I162))),"")</f>
        <v/>
      </c>
      <c r="J163" t="str">
        <f>IFERROR(INDEX(Management!$B$3:$B$50,_xlfn.AGGREGATE(15,6,(ROW(Management!$B$3:$B$50)-ROW(Management!$B$3)+1)/((IF(Management!$C$3:$C$50="Unlimited",10^15,Management!$C$3:$C$50))&gt;='1'!$I163),COLUMN(J162))),"")</f>
        <v/>
      </c>
      <c r="K163" t="str">
        <f>IFERROR(INDEX(Management!$B$3:$B$50,_xlfn.AGGREGATE(15,6,(ROW(Management!$B$3:$B$50)-ROW(Management!$B$3)+1)/((IF(Management!$C$3:$C$50="Unlimited",10^15,Management!$C$3:$C$50))&gt;='1'!$I163),COLUMN(K162))),"")</f>
        <v/>
      </c>
      <c r="L163" t="str">
        <f>IFERROR(INDEX(Management!$B$3:$B$50,_xlfn.AGGREGATE(15,6,(ROW(Management!$B$3:$B$50)-ROW(Management!$B$3)+1)/((IF(Management!$C$3:$C$50="Unlimited",10^15,Management!$C$3:$C$50))&gt;='1'!$I163),COLUMN(L162))),"")</f>
        <v/>
      </c>
      <c r="M163" t="str">
        <f>IFERROR(INDEX(Management!$B$3:$B$50,_xlfn.AGGREGATE(15,6,(ROW(Management!$B$3:$B$50)-ROW(Management!$B$3)+1)/((IF(Management!$C$3:$C$50="Unlimited",10^15,Management!$C$3:$C$50))&gt;='1'!$I163),COLUMN(M162))),"")</f>
        <v/>
      </c>
      <c r="N163" t="str">
        <f>IFERROR(INDEX(Management!$B$3:$B$50,_xlfn.AGGREGATE(15,6,(ROW(Management!$B$3:$B$50)-ROW(Management!$B$3)+1)/((IF(Management!$C$3:$C$50="Unlimited",10^15,Management!$C$3:$C$50))&gt;='1'!$I163),COLUMN(N162))),"")</f>
        <v/>
      </c>
      <c r="O163" t="str">
        <f>IFERROR(INDEX(Management!$B$3:$B$50,_xlfn.AGGREGATE(15,6,(ROW(Management!$B$3:$B$50)-ROW(Management!$B$3)+1)/((IF(Management!$C$3:$C$50="Unlimited",10^15,Management!$C$3:$C$50))&gt;='1'!$I163),COLUMN(O162))),"")</f>
        <v/>
      </c>
      <c r="P163" t="str">
        <f>IFERROR(INDEX(Management!$B$3:$B$50,_xlfn.AGGREGATE(15,6,(ROW(Management!$B$3:$B$50)-ROW(Management!$B$3)+1)/((IF(Management!$C$3:$C$50="Unlimited",10^15,Management!$C$3:$C$50))&gt;='1'!$I163),COLUMN(P162))),"")</f>
        <v/>
      </c>
      <c r="Q163" t="str">
        <f>IFERROR(INDEX(Management!$B$3:$B$50,_xlfn.AGGREGATE(15,6,(ROW(Management!$B$3:$B$50)-ROW(Management!$B$3)+1)/((IF(Management!$C$3:$C$50="Unlimited",10^15,Management!$C$3:$C$50))&gt;='1'!$I163),COLUMN(Q162))),"")</f>
        <v/>
      </c>
      <c r="R163" t="str">
        <f>IFERROR(INDEX(Management!$B$3:$B$50,_xlfn.AGGREGATE(15,6,(ROW(Management!$B$3:$B$50)-ROW(Management!$B$3)+1)/((IF(Management!$C$3:$C$50="Unlimited",10^15,Management!$C$3:$C$50))&gt;='1'!$I163),COLUMN(R162))),"")</f>
        <v/>
      </c>
      <c r="S163" t="str">
        <f>IFERROR(INDEX(Management!$B$3:$B$50,_xlfn.AGGREGATE(15,6,(ROW(Management!$B$3:$B$50)-ROW(Management!$B$3)+1)/((IF(Management!$C$3:$C$50="Unlimited",10^15,Management!$C$3:$C$50))&gt;='1'!$I163),COLUMN(S162))),"")</f>
        <v/>
      </c>
      <c r="T163" t="str">
        <f>IFERROR(INDEX(Management!$B$3:$B$50,_xlfn.AGGREGATE(15,6,(ROW(Management!$B$3:$B$50)-ROW(Management!$B$3)+1)/((IF(Management!$C$3:$C$50="Unlimited",10^15,Management!$C$3:$C$50))&gt;='1'!$I163),COLUMN(T162))),"")</f>
        <v/>
      </c>
    </row>
    <row r="164" spans="1:20">
      <c r="A164" t="str">
        <f>IFERROR(INDEX(Management!$B$3:$B$50,_xlfn.AGGREGATE(15,6,(ROW(Management!$B$3:$B$50)-ROW(Management!$B$3)+1)/((IF(Management!$C$3:$C$50="Unlimited",10^15,Management!$C$3:$C$50))&gt;='1'!$I164),COLUMN(A163))),"")</f>
        <v/>
      </c>
      <c r="B164" t="str">
        <f>IFERROR(INDEX(Management!$B$3:$B$50,_xlfn.AGGREGATE(15,6,(ROW(Management!$B$3:$B$50)-ROW(Management!$B$3)+1)/((IF(Management!$C$3:$C$50="Unlimited",10^15,Management!$C$3:$C$50))&gt;='1'!$I164),COLUMN(B163))),"")</f>
        <v/>
      </c>
      <c r="C164" t="str">
        <f>IFERROR(INDEX(Management!$B$3:$B$50,_xlfn.AGGREGATE(15,6,(ROW(Management!$B$3:$B$50)-ROW(Management!$B$3)+1)/((IF(Management!$C$3:$C$50="Unlimited",10^15,Management!$C$3:$C$50))&gt;='1'!$I164),COLUMN(C163))),"")</f>
        <v/>
      </c>
      <c r="D164" t="str">
        <f>IFERROR(INDEX(Management!$B$3:$B$50,_xlfn.AGGREGATE(15,6,(ROW(Management!$B$3:$B$50)-ROW(Management!$B$3)+1)/((IF(Management!$C$3:$C$50="Unlimited",10^15,Management!$C$3:$C$50))&gt;='1'!$I164),COLUMN(D163))),"")</f>
        <v/>
      </c>
      <c r="E164" t="str">
        <f>IFERROR(INDEX(Management!$B$3:$B$50,_xlfn.AGGREGATE(15,6,(ROW(Management!$B$3:$B$50)-ROW(Management!$B$3)+1)/((IF(Management!$C$3:$C$50="Unlimited",10^15,Management!$C$3:$C$50))&gt;='1'!$I164),COLUMN(E163))),"")</f>
        <v/>
      </c>
      <c r="F164" t="str">
        <f>IFERROR(INDEX(Management!$B$3:$B$50,_xlfn.AGGREGATE(15,6,(ROW(Management!$B$3:$B$50)-ROW(Management!$B$3)+1)/((IF(Management!$C$3:$C$50="Unlimited",10^15,Management!$C$3:$C$50))&gt;='1'!$I164),COLUMN(F163))),"")</f>
        <v/>
      </c>
      <c r="G164" t="str">
        <f>IFERROR(INDEX(Management!$B$3:$B$50,_xlfn.AGGREGATE(15,6,(ROW(Management!$B$3:$B$50)-ROW(Management!$B$3)+1)/((IF(Management!$C$3:$C$50="Unlimited",10^15,Management!$C$3:$C$50))&gt;='1'!$I164),COLUMN(G163))),"")</f>
        <v/>
      </c>
      <c r="H164" t="str">
        <f>IFERROR(INDEX(Management!$B$3:$B$50,_xlfn.AGGREGATE(15,6,(ROW(Management!$B$3:$B$50)-ROW(Management!$B$3)+1)/((IF(Management!$C$3:$C$50="Unlimited",10^15,Management!$C$3:$C$50))&gt;='1'!$I164),COLUMN(H163))),"")</f>
        <v/>
      </c>
      <c r="I164" t="str">
        <f>IFERROR(INDEX(Management!$B$3:$B$50,_xlfn.AGGREGATE(15,6,(ROW(Management!$B$3:$B$50)-ROW(Management!$B$3)+1)/((IF(Management!$C$3:$C$50="Unlimited",10^15,Management!$C$3:$C$50))&gt;='1'!$I164),COLUMN(I163))),"")</f>
        <v/>
      </c>
      <c r="J164" t="str">
        <f>IFERROR(INDEX(Management!$B$3:$B$50,_xlfn.AGGREGATE(15,6,(ROW(Management!$B$3:$B$50)-ROW(Management!$B$3)+1)/((IF(Management!$C$3:$C$50="Unlimited",10^15,Management!$C$3:$C$50))&gt;='1'!$I164),COLUMN(J163))),"")</f>
        <v/>
      </c>
      <c r="K164" t="str">
        <f>IFERROR(INDEX(Management!$B$3:$B$50,_xlfn.AGGREGATE(15,6,(ROW(Management!$B$3:$B$50)-ROW(Management!$B$3)+1)/((IF(Management!$C$3:$C$50="Unlimited",10^15,Management!$C$3:$C$50))&gt;='1'!$I164),COLUMN(K163))),"")</f>
        <v/>
      </c>
      <c r="L164" t="str">
        <f>IFERROR(INDEX(Management!$B$3:$B$50,_xlfn.AGGREGATE(15,6,(ROW(Management!$B$3:$B$50)-ROW(Management!$B$3)+1)/((IF(Management!$C$3:$C$50="Unlimited",10^15,Management!$C$3:$C$50))&gt;='1'!$I164),COLUMN(L163))),"")</f>
        <v/>
      </c>
      <c r="M164" t="str">
        <f>IFERROR(INDEX(Management!$B$3:$B$50,_xlfn.AGGREGATE(15,6,(ROW(Management!$B$3:$B$50)-ROW(Management!$B$3)+1)/((IF(Management!$C$3:$C$50="Unlimited",10^15,Management!$C$3:$C$50))&gt;='1'!$I164),COLUMN(M163))),"")</f>
        <v/>
      </c>
      <c r="N164" t="str">
        <f>IFERROR(INDEX(Management!$B$3:$B$50,_xlfn.AGGREGATE(15,6,(ROW(Management!$B$3:$B$50)-ROW(Management!$B$3)+1)/((IF(Management!$C$3:$C$50="Unlimited",10^15,Management!$C$3:$C$50))&gt;='1'!$I164),COLUMN(N163))),"")</f>
        <v/>
      </c>
      <c r="O164" t="str">
        <f>IFERROR(INDEX(Management!$B$3:$B$50,_xlfn.AGGREGATE(15,6,(ROW(Management!$B$3:$B$50)-ROW(Management!$B$3)+1)/((IF(Management!$C$3:$C$50="Unlimited",10^15,Management!$C$3:$C$50))&gt;='1'!$I164),COLUMN(O163))),"")</f>
        <v/>
      </c>
      <c r="P164" t="str">
        <f>IFERROR(INDEX(Management!$B$3:$B$50,_xlfn.AGGREGATE(15,6,(ROW(Management!$B$3:$B$50)-ROW(Management!$B$3)+1)/((IF(Management!$C$3:$C$50="Unlimited",10^15,Management!$C$3:$C$50))&gt;='1'!$I164),COLUMN(P163))),"")</f>
        <v/>
      </c>
      <c r="Q164" t="str">
        <f>IFERROR(INDEX(Management!$B$3:$B$50,_xlfn.AGGREGATE(15,6,(ROW(Management!$B$3:$B$50)-ROW(Management!$B$3)+1)/((IF(Management!$C$3:$C$50="Unlimited",10^15,Management!$C$3:$C$50))&gt;='1'!$I164),COLUMN(Q163))),"")</f>
        <v/>
      </c>
      <c r="R164" t="str">
        <f>IFERROR(INDEX(Management!$B$3:$B$50,_xlfn.AGGREGATE(15,6,(ROW(Management!$B$3:$B$50)-ROW(Management!$B$3)+1)/((IF(Management!$C$3:$C$50="Unlimited",10^15,Management!$C$3:$C$50))&gt;='1'!$I164),COLUMN(R163))),"")</f>
        <v/>
      </c>
      <c r="S164" t="str">
        <f>IFERROR(INDEX(Management!$B$3:$B$50,_xlfn.AGGREGATE(15,6,(ROW(Management!$B$3:$B$50)-ROW(Management!$B$3)+1)/((IF(Management!$C$3:$C$50="Unlimited",10^15,Management!$C$3:$C$50))&gt;='1'!$I164),COLUMN(S163))),"")</f>
        <v/>
      </c>
      <c r="T164" t="str">
        <f>IFERROR(INDEX(Management!$B$3:$B$50,_xlfn.AGGREGATE(15,6,(ROW(Management!$B$3:$B$50)-ROW(Management!$B$3)+1)/((IF(Management!$C$3:$C$50="Unlimited",10^15,Management!$C$3:$C$50))&gt;='1'!$I164),COLUMN(T163))),"")</f>
        <v/>
      </c>
    </row>
    <row r="165" spans="1:20">
      <c r="A165" t="str">
        <f>IFERROR(INDEX(Management!$B$3:$B$50,_xlfn.AGGREGATE(15,6,(ROW(Management!$B$3:$B$50)-ROW(Management!$B$3)+1)/((IF(Management!$C$3:$C$50="Unlimited",10^15,Management!$C$3:$C$50))&gt;='1'!$I165),COLUMN(A164))),"")</f>
        <v/>
      </c>
      <c r="B165" t="str">
        <f>IFERROR(INDEX(Management!$B$3:$B$50,_xlfn.AGGREGATE(15,6,(ROW(Management!$B$3:$B$50)-ROW(Management!$B$3)+1)/((IF(Management!$C$3:$C$50="Unlimited",10^15,Management!$C$3:$C$50))&gt;='1'!$I165),COLUMN(B164))),"")</f>
        <v/>
      </c>
      <c r="C165" t="str">
        <f>IFERROR(INDEX(Management!$B$3:$B$50,_xlfn.AGGREGATE(15,6,(ROW(Management!$B$3:$B$50)-ROW(Management!$B$3)+1)/((IF(Management!$C$3:$C$50="Unlimited",10^15,Management!$C$3:$C$50))&gt;='1'!$I165),COLUMN(C164))),"")</f>
        <v/>
      </c>
      <c r="D165" t="str">
        <f>IFERROR(INDEX(Management!$B$3:$B$50,_xlfn.AGGREGATE(15,6,(ROW(Management!$B$3:$B$50)-ROW(Management!$B$3)+1)/((IF(Management!$C$3:$C$50="Unlimited",10^15,Management!$C$3:$C$50))&gt;='1'!$I165),COLUMN(D164))),"")</f>
        <v/>
      </c>
      <c r="E165" t="str">
        <f>IFERROR(INDEX(Management!$B$3:$B$50,_xlfn.AGGREGATE(15,6,(ROW(Management!$B$3:$B$50)-ROW(Management!$B$3)+1)/((IF(Management!$C$3:$C$50="Unlimited",10^15,Management!$C$3:$C$50))&gt;='1'!$I165),COLUMN(E164))),"")</f>
        <v/>
      </c>
      <c r="F165" t="str">
        <f>IFERROR(INDEX(Management!$B$3:$B$50,_xlfn.AGGREGATE(15,6,(ROW(Management!$B$3:$B$50)-ROW(Management!$B$3)+1)/((IF(Management!$C$3:$C$50="Unlimited",10^15,Management!$C$3:$C$50))&gt;='1'!$I165),COLUMN(F164))),"")</f>
        <v/>
      </c>
      <c r="G165" t="str">
        <f>IFERROR(INDEX(Management!$B$3:$B$50,_xlfn.AGGREGATE(15,6,(ROW(Management!$B$3:$B$50)-ROW(Management!$B$3)+1)/((IF(Management!$C$3:$C$50="Unlimited",10^15,Management!$C$3:$C$50))&gt;='1'!$I165),COLUMN(G164))),"")</f>
        <v/>
      </c>
      <c r="H165" t="str">
        <f>IFERROR(INDEX(Management!$B$3:$B$50,_xlfn.AGGREGATE(15,6,(ROW(Management!$B$3:$B$50)-ROW(Management!$B$3)+1)/((IF(Management!$C$3:$C$50="Unlimited",10^15,Management!$C$3:$C$50))&gt;='1'!$I165),COLUMN(H164))),"")</f>
        <v/>
      </c>
      <c r="I165" t="str">
        <f>IFERROR(INDEX(Management!$B$3:$B$50,_xlfn.AGGREGATE(15,6,(ROW(Management!$B$3:$B$50)-ROW(Management!$B$3)+1)/((IF(Management!$C$3:$C$50="Unlimited",10^15,Management!$C$3:$C$50))&gt;='1'!$I165),COLUMN(I164))),"")</f>
        <v/>
      </c>
      <c r="J165" t="str">
        <f>IFERROR(INDEX(Management!$B$3:$B$50,_xlfn.AGGREGATE(15,6,(ROW(Management!$B$3:$B$50)-ROW(Management!$B$3)+1)/((IF(Management!$C$3:$C$50="Unlimited",10^15,Management!$C$3:$C$50))&gt;='1'!$I165),COLUMN(J164))),"")</f>
        <v/>
      </c>
      <c r="K165" t="str">
        <f>IFERROR(INDEX(Management!$B$3:$B$50,_xlfn.AGGREGATE(15,6,(ROW(Management!$B$3:$B$50)-ROW(Management!$B$3)+1)/((IF(Management!$C$3:$C$50="Unlimited",10^15,Management!$C$3:$C$50))&gt;='1'!$I165),COLUMN(K164))),"")</f>
        <v/>
      </c>
      <c r="L165" t="str">
        <f>IFERROR(INDEX(Management!$B$3:$B$50,_xlfn.AGGREGATE(15,6,(ROW(Management!$B$3:$B$50)-ROW(Management!$B$3)+1)/((IF(Management!$C$3:$C$50="Unlimited",10^15,Management!$C$3:$C$50))&gt;='1'!$I165),COLUMN(L164))),"")</f>
        <v/>
      </c>
      <c r="M165" t="str">
        <f>IFERROR(INDEX(Management!$B$3:$B$50,_xlfn.AGGREGATE(15,6,(ROW(Management!$B$3:$B$50)-ROW(Management!$B$3)+1)/((IF(Management!$C$3:$C$50="Unlimited",10^15,Management!$C$3:$C$50))&gt;='1'!$I165),COLUMN(M164))),"")</f>
        <v/>
      </c>
      <c r="N165" t="str">
        <f>IFERROR(INDEX(Management!$B$3:$B$50,_xlfn.AGGREGATE(15,6,(ROW(Management!$B$3:$B$50)-ROW(Management!$B$3)+1)/((IF(Management!$C$3:$C$50="Unlimited",10^15,Management!$C$3:$C$50))&gt;='1'!$I165),COLUMN(N164))),"")</f>
        <v/>
      </c>
      <c r="O165" t="str">
        <f>IFERROR(INDEX(Management!$B$3:$B$50,_xlfn.AGGREGATE(15,6,(ROW(Management!$B$3:$B$50)-ROW(Management!$B$3)+1)/((IF(Management!$C$3:$C$50="Unlimited",10^15,Management!$C$3:$C$50))&gt;='1'!$I165),COLUMN(O164))),"")</f>
        <v/>
      </c>
      <c r="P165" t="str">
        <f>IFERROR(INDEX(Management!$B$3:$B$50,_xlfn.AGGREGATE(15,6,(ROW(Management!$B$3:$B$50)-ROW(Management!$B$3)+1)/((IF(Management!$C$3:$C$50="Unlimited",10^15,Management!$C$3:$C$50))&gt;='1'!$I165),COLUMN(P164))),"")</f>
        <v/>
      </c>
      <c r="Q165" t="str">
        <f>IFERROR(INDEX(Management!$B$3:$B$50,_xlfn.AGGREGATE(15,6,(ROW(Management!$B$3:$B$50)-ROW(Management!$B$3)+1)/((IF(Management!$C$3:$C$50="Unlimited",10^15,Management!$C$3:$C$50))&gt;='1'!$I165),COLUMN(Q164))),"")</f>
        <v/>
      </c>
      <c r="R165" t="str">
        <f>IFERROR(INDEX(Management!$B$3:$B$50,_xlfn.AGGREGATE(15,6,(ROW(Management!$B$3:$B$50)-ROW(Management!$B$3)+1)/((IF(Management!$C$3:$C$50="Unlimited",10^15,Management!$C$3:$C$50))&gt;='1'!$I165),COLUMN(R164))),"")</f>
        <v/>
      </c>
      <c r="S165" t="str">
        <f>IFERROR(INDEX(Management!$B$3:$B$50,_xlfn.AGGREGATE(15,6,(ROW(Management!$B$3:$B$50)-ROW(Management!$B$3)+1)/((IF(Management!$C$3:$C$50="Unlimited",10^15,Management!$C$3:$C$50))&gt;='1'!$I165),COLUMN(S164))),"")</f>
        <v/>
      </c>
      <c r="T165" t="str">
        <f>IFERROR(INDEX(Management!$B$3:$B$50,_xlfn.AGGREGATE(15,6,(ROW(Management!$B$3:$B$50)-ROW(Management!$B$3)+1)/((IF(Management!$C$3:$C$50="Unlimited",10^15,Management!$C$3:$C$50))&gt;='1'!$I165),COLUMN(T164))),"")</f>
        <v/>
      </c>
    </row>
    <row r="166" spans="1:20">
      <c r="A166" t="str">
        <f>IFERROR(INDEX(Management!$B$3:$B$50,_xlfn.AGGREGATE(15,6,(ROW(Management!$B$3:$B$50)-ROW(Management!$B$3)+1)/((IF(Management!$C$3:$C$50="Unlimited",10^15,Management!$C$3:$C$50))&gt;='1'!$I166),COLUMN(A165))),"")</f>
        <v/>
      </c>
      <c r="B166" t="str">
        <f>IFERROR(INDEX(Management!$B$3:$B$50,_xlfn.AGGREGATE(15,6,(ROW(Management!$B$3:$B$50)-ROW(Management!$B$3)+1)/((IF(Management!$C$3:$C$50="Unlimited",10^15,Management!$C$3:$C$50))&gt;='1'!$I166),COLUMN(B165))),"")</f>
        <v/>
      </c>
      <c r="C166" t="str">
        <f>IFERROR(INDEX(Management!$B$3:$B$50,_xlfn.AGGREGATE(15,6,(ROW(Management!$B$3:$B$50)-ROW(Management!$B$3)+1)/((IF(Management!$C$3:$C$50="Unlimited",10^15,Management!$C$3:$C$50))&gt;='1'!$I166),COLUMN(C165))),"")</f>
        <v/>
      </c>
      <c r="D166" t="str">
        <f>IFERROR(INDEX(Management!$B$3:$B$50,_xlfn.AGGREGATE(15,6,(ROW(Management!$B$3:$B$50)-ROW(Management!$B$3)+1)/((IF(Management!$C$3:$C$50="Unlimited",10^15,Management!$C$3:$C$50))&gt;='1'!$I166),COLUMN(D165))),"")</f>
        <v/>
      </c>
      <c r="E166" t="str">
        <f>IFERROR(INDEX(Management!$B$3:$B$50,_xlfn.AGGREGATE(15,6,(ROW(Management!$B$3:$B$50)-ROW(Management!$B$3)+1)/((IF(Management!$C$3:$C$50="Unlimited",10^15,Management!$C$3:$C$50))&gt;='1'!$I166),COLUMN(E165))),"")</f>
        <v/>
      </c>
      <c r="F166" t="str">
        <f>IFERROR(INDEX(Management!$B$3:$B$50,_xlfn.AGGREGATE(15,6,(ROW(Management!$B$3:$B$50)-ROW(Management!$B$3)+1)/((IF(Management!$C$3:$C$50="Unlimited",10^15,Management!$C$3:$C$50))&gt;='1'!$I166),COLUMN(F165))),"")</f>
        <v/>
      </c>
      <c r="G166" t="str">
        <f>IFERROR(INDEX(Management!$B$3:$B$50,_xlfn.AGGREGATE(15,6,(ROW(Management!$B$3:$B$50)-ROW(Management!$B$3)+1)/((IF(Management!$C$3:$C$50="Unlimited",10^15,Management!$C$3:$C$50))&gt;='1'!$I166),COLUMN(G165))),"")</f>
        <v/>
      </c>
      <c r="H166" t="str">
        <f>IFERROR(INDEX(Management!$B$3:$B$50,_xlfn.AGGREGATE(15,6,(ROW(Management!$B$3:$B$50)-ROW(Management!$B$3)+1)/((IF(Management!$C$3:$C$50="Unlimited",10^15,Management!$C$3:$C$50))&gt;='1'!$I166),COLUMN(H165))),"")</f>
        <v/>
      </c>
      <c r="I166" t="str">
        <f>IFERROR(INDEX(Management!$B$3:$B$50,_xlfn.AGGREGATE(15,6,(ROW(Management!$B$3:$B$50)-ROW(Management!$B$3)+1)/((IF(Management!$C$3:$C$50="Unlimited",10^15,Management!$C$3:$C$50))&gt;='1'!$I166),COLUMN(I165))),"")</f>
        <v/>
      </c>
      <c r="J166" t="str">
        <f>IFERROR(INDEX(Management!$B$3:$B$50,_xlfn.AGGREGATE(15,6,(ROW(Management!$B$3:$B$50)-ROW(Management!$B$3)+1)/((IF(Management!$C$3:$C$50="Unlimited",10^15,Management!$C$3:$C$50))&gt;='1'!$I166),COLUMN(J165))),"")</f>
        <v/>
      </c>
      <c r="K166" t="str">
        <f>IFERROR(INDEX(Management!$B$3:$B$50,_xlfn.AGGREGATE(15,6,(ROW(Management!$B$3:$B$50)-ROW(Management!$B$3)+1)/((IF(Management!$C$3:$C$50="Unlimited",10^15,Management!$C$3:$C$50))&gt;='1'!$I166),COLUMN(K165))),"")</f>
        <v/>
      </c>
      <c r="L166" t="str">
        <f>IFERROR(INDEX(Management!$B$3:$B$50,_xlfn.AGGREGATE(15,6,(ROW(Management!$B$3:$B$50)-ROW(Management!$B$3)+1)/((IF(Management!$C$3:$C$50="Unlimited",10^15,Management!$C$3:$C$50))&gt;='1'!$I166),COLUMN(L165))),"")</f>
        <v/>
      </c>
      <c r="M166" t="str">
        <f>IFERROR(INDEX(Management!$B$3:$B$50,_xlfn.AGGREGATE(15,6,(ROW(Management!$B$3:$B$50)-ROW(Management!$B$3)+1)/((IF(Management!$C$3:$C$50="Unlimited",10^15,Management!$C$3:$C$50))&gt;='1'!$I166),COLUMN(M165))),"")</f>
        <v/>
      </c>
      <c r="N166" t="str">
        <f>IFERROR(INDEX(Management!$B$3:$B$50,_xlfn.AGGREGATE(15,6,(ROW(Management!$B$3:$B$50)-ROW(Management!$B$3)+1)/((IF(Management!$C$3:$C$50="Unlimited",10^15,Management!$C$3:$C$50))&gt;='1'!$I166),COLUMN(N165))),"")</f>
        <v/>
      </c>
      <c r="O166" t="str">
        <f>IFERROR(INDEX(Management!$B$3:$B$50,_xlfn.AGGREGATE(15,6,(ROW(Management!$B$3:$B$50)-ROW(Management!$B$3)+1)/((IF(Management!$C$3:$C$50="Unlimited",10^15,Management!$C$3:$C$50))&gt;='1'!$I166),COLUMN(O165))),"")</f>
        <v/>
      </c>
      <c r="P166" t="str">
        <f>IFERROR(INDEX(Management!$B$3:$B$50,_xlfn.AGGREGATE(15,6,(ROW(Management!$B$3:$B$50)-ROW(Management!$B$3)+1)/((IF(Management!$C$3:$C$50="Unlimited",10^15,Management!$C$3:$C$50))&gt;='1'!$I166),COLUMN(P165))),"")</f>
        <v/>
      </c>
      <c r="Q166" t="str">
        <f>IFERROR(INDEX(Management!$B$3:$B$50,_xlfn.AGGREGATE(15,6,(ROW(Management!$B$3:$B$50)-ROW(Management!$B$3)+1)/((IF(Management!$C$3:$C$50="Unlimited",10^15,Management!$C$3:$C$50))&gt;='1'!$I166),COLUMN(Q165))),"")</f>
        <v/>
      </c>
      <c r="R166" t="str">
        <f>IFERROR(INDEX(Management!$B$3:$B$50,_xlfn.AGGREGATE(15,6,(ROW(Management!$B$3:$B$50)-ROW(Management!$B$3)+1)/((IF(Management!$C$3:$C$50="Unlimited",10^15,Management!$C$3:$C$50))&gt;='1'!$I166),COLUMN(R165))),"")</f>
        <v/>
      </c>
      <c r="S166" t="str">
        <f>IFERROR(INDEX(Management!$B$3:$B$50,_xlfn.AGGREGATE(15,6,(ROW(Management!$B$3:$B$50)-ROW(Management!$B$3)+1)/((IF(Management!$C$3:$C$50="Unlimited",10^15,Management!$C$3:$C$50))&gt;='1'!$I166),COLUMN(S165))),"")</f>
        <v/>
      </c>
      <c r="T166" t="str">
        <f>IFERROR(INDEX(Management!$B$3:$B$50,_xlfn.AGGREGATE(15,6,(ROW(Management!$B$3:$B$50)-ROW(Management!$B$3)+1)/((IF(Management!$C$3:$C$50="Unlimited",10^15,Management!$C$3:$C$50))&gt;='1'!$I166),COLUMN(T165))),"")</f>
        <v/>
      </c>
    </row>
    <row r="167" spans="1:20">
      <c r="A167" t="str">
        <f>IFERROR(INDEX(Management!$B$3:$B$50,_xlfn.AGGREGATE(15,6,(ROW(Management!$B$3:$B$50)-ROW(Management!$B$3)+1)/((IF(Management!$C$3:$C$50="Unlimited",10^15,Management!$C$3:$C$50))&gt;='1'!$I167),COLUMN(A166))),"")</f>
        <v/>
      </c>
      <c r="B167" t="str">
        <f>IFERROR(INDEX(Management!$B$3:$B$50,_xlfn.AGGREGATE(15,6,(ROW(Management!$B$3:$B$50)-ROW(Management!$B$3)+1)/((IF(Management!$C$3:$C$50="Unlimited",10^15,Management!$C$3:$C$50))&gt;='1'!$I167),COLUMN(B166))),"")</f>
        <v/>
      </c>
      <c r="C167" t="str">
        <f>IFERROR(INDEX(Management!$B$3:$B$50,_xlfn.AGGREGATE(15,6,(ROW(Management!$B$3:$B$50)-ROW(Management!$B$3)+1)/((IF(Management!$C$3:$C$50="Unlimited",10^15,Management!$C$3:$C$50))&gt;='1'!$I167),COLUMN(C166))),"")</f>
        <v/>
      </c>
      <c r="D167" t="str">
        <f>IFERROR(INDEX(Management!$B$3:$B$50,_xlfn.AGGREGATE(15,6,(ROW(Management!$B$3:$B$50)-ROW(Management!$B$3)+1)/((IF(Management!$C$3:$C$50="Unlimited",10^15,Management!$C$3:$C$50))&gt;='1'!$I167),COLUMN(D166))),"")</f>
        <v/>
      </c>
      <c r="E167" t="str">
        <f>IFERROR(INDEX(Management!$B$3:$B$50,_xlfn.AGGREGATE(15,6,(ROW(Management!$B$3:$B$50)-ROW(Management!$B$3)+1)/((IF(Management!$C$3:$C$50="Unlimited",10^15,Management!$C$3:$C$50))&gt;='1'!$I167),COLUMN(E166))),"")</f>
        <v/>
      </c>
      <c r="F167" t="str">
        <f>IFERROR(INDEX(Management!$B$3:$B$50,_xlfn.AGGREGATE(15,6,(ROW(Management!$B$3:$B$50)-ROW(Management!$B$3)+1)/((IF(Management!$C$3:$C$50="Unlimited",10^15,Management!$C$3:$C$50))&gt;='1'!$I167),COLUMN(F166))),"")</f>
        <v/>
      </c>
      <c r="G167" t="str">
        <f>IFERROR(INDEX(Management!$B$3:$B$50,_xlfn.AGGREGATE(15,6,(ROW(Management!$B$3:$B$50)-ROW(Management!$B$3)+1)/((IF(Management!$C$3:$C$50="Unlimited",10^15,Management!$C$3:$C$50))&gt;='1'!$I167),COLUMN(G166))),"")</f>
        <v/>
      </c>
      <c r="H167" t="str">
        <f>IFERROR(INDEX(Management!$B$3:$B$50,_xlfn.AGGREGATE(15,6,(ROW(Management!$B$3:$B$50)-ROW(Management!$B$3)+1)/((IF(Management!$C$3:$C$50="Unlimited",10^15,Management!$C$3:$C$50))&gt;='1'!$I167),COLUMN(H166))),"")</f>
        <v/>
      </c>
      <c r="I167" t="str">
        <f>IFERROR(INDEX(Management!$B$3:$B$50,_xlfn.AGGREGATE(15,6,(ROW(Management!$B$3:$B$50)-ROW(Management!$B$3)+1)/((IF(Management!$C$3:$C$50="Unlimited",10^15,Management!$C$3:$C$50))&gt;='1'!$I167),COLUMN(I166))),"")</f>
        <v/>
      </c>
      <c r="J167" t="str">
        <f>IFERROR(INDEX(Management!$B$3:$B$50,_xlfn.AGGREGATE(15,6,(ROW(Management!$B$3:$B$50)-ROW(Management!$B$3)+1)/((IF(Management!$C$3:$C$50="Unlimited",10^15,Management!$C$3:$C$50))&gt;='1'!$I167),COLUMN(J166))),"")</f>
        <v/>
      </c>
      <c r="K167" t="str">
        <f>IFERROR(INDEX(Management!$B$3:$B$50,_xlfn.AGGREGATE(15,6,(ROW(Management!$B$3:$B$50)-ROW(Management!$B$3)+1)/((IF(Management!$C$3:$C$50="Unlimited",10^15,Management!$C$3:$C$50))&gt;='1'!$I167),COLUMN(K166))),"")</f>
        <v/>
      </c>
      <c r="L167" t="str">
        <f>IFERROR(INDEX(Management!$B$3:$B$50,_xlfn.AGGREGATE(15,6,(ROW(Management!$B$3:$B$50)-ROW(Management!$B$3)+1)/((IF(Management!$C$3:$C$50="Unlimited",10^15,Management!$C$3:$C$50))&gt;='1'!$I167),COLUMN(L166))),"")</f>
        <v/>
      </c>
      <c r="M167" t="str">
        <f>IFERROR(INDEX(Management!$B$3:$B$50,_xlfn.AGGREGATE(15,6,(ROW(Management!$B$3:$B$50)-ROW(Management!$B$3)+1)/((IF(Management!$C$3:$C$50="Unlimited",10^15,Management!$C$3:$C$50))&gt;='1'!$I167),COLUMN(M166))),"")</f>
        <v/>
      </c>
      <c r="N167" t="str">
        <f>IFERROR(INDEX(Management!$B$3:$B$50,_xlfn.AGGREGATE(15,6,(ROW(Management!$B$3:$B$50)-ROW(Management!$B$3)+1)/((IF(Management!$C$3:$C$50="Unlimited",10^15,Management!$C$3:$C$50))&gt;='1'!$I167),COLUMN(N166))),"")</f>
        <v/>
      </c>
      <c r="O167" t="str">
        <f>IFERROR(INDEX(Management!$B$3:$B$50,_xlfn.AGGREGATE(15,6,(ROW(Management!$B$3:$B$50)-ROW(Management!$B$3)+1)/((IF(Management!$C$3:$C$50="Unlimited",10^15,Management!$C$3:$C$50))&gt;='1'!$I167),COLUMN(O166))),"")</f>
        <v/>
      </c>
      <c r="P167" t="str">
        <f>IFERROR(INDEX(Management!$B$3:$B$50,_xlfn.AGGREGATE(15,6,(ROW(Management!$B$3:$B$50)-ROW(Management!$B$3)+1)/((IF(Management!$C$3:$C$50="Unlimited",10^15,Management!$C$3:$C$50))&gt;='1'!$I167),COLUMN(P166))),"")</f>
        <v/>
      </c>
      <c r="Q167" t="str">
        <f>IFERROR(INDEX(Management!$B$3:$B$50,_xlfn.AGGREGATE(15,6,(ROW(Management!$B$3:$B$50)-ROW(Management!$B$3)+1)/((IF(Management!$C$3:$C$50="Unlimited",10^15,Management!$C$3:$C$50))&gt;='1'!$I167),COLUMN(Q166))),"")</f>
        <v/>
      </c>
      <c r="R167" t="str">
        <f>IFERROR(INDEX(Management!$B$3:$B$50,_xlfn.AGGREGATE(15,6,(ROW(Management!$B$3:$B$50)-ROW(Management!$B$3)+1)/((IF(Management!$C$3:$C$50="Unlimited",10^15,Management!$C$3:$C$50))&gt;='1'!$I167),COLUMN(R166))),"")</f>
        <v/>
      </c>
      <c r="S167" t="str">
        <f>IFERROR(INDEX(Management!$B$3:$B$50,_xlfn.AGGREGATE(15,6,(ROW(Management!$B$3:$B$50)-ROW(Management!$B$3)+1)/((IF(Management!$C$3:$C$50="Unlimited",10^15,Management!$C$3:$C$50))&gt;='1'!$I167),COLUMN(S166))),"")</f>
        <v/>
      </c>
      <c r="T167" t="str">
        <f>IFERROR(INDEX(Management!$B$3:$B$50,_xlfn.AGGREGATE(15,6,(ROW(Management!$B$3:$B$50)-ROW(Management!$B$3)+1)/((IF(Management!$C$3:$C$50="Unlimited",10^15,Management!$C$3:$C$50))&gt;='1'!$I167),COLUMN(T166))),"")</f>
        <v/>
      </c>
    </row>
    <row r="168" spans="1:20">
      <c r="A168" t="str">
        <f>IFERROR(INDEX(Management!$B$3:$B$50,_xlfn.AGGREGATE(15,6,(ROW(Management!$B$3:$B$50)-ROW(Management!$B$3)+1)/((IF(Management!$C$3:$C$50="Unlimited",10^15,Management!$C$3:$C$50))&gt;='1'!$I168),COLUMN(A167))),"")</f>
        <v/>
      </c>
      <c r="B168" t="str">
        <f>IFERROR(INDEX(Management!$B$3:$B$50,_xlfn.AGGREGATE(15,6,(ROW(Management!$B$3:$B$50)-ROW(Management!$B$3)+1)/((IF(Management!$C$3:$C$50="Unlimited",10^15,Management!$C$3:$C$50))&gt;='1'!$I168),COLUMN(B167))),"")</f>
        <v/>
      </c>
      <c r="C168" t="str">
        <f>IFERROR(INDEX(Management!$B$3:$B$50,_xlfn.AGGREGATE(15,6,(ROW(Management!$B$3:$B$50)-ROW(Management!$B$3)+1)/((IF(Management!$C$3:$C$50="Unlimited",10^15,Management!$C$3:$C$50))&gt;='1'!$I168),COLUMN(C167))),"")</f>
        <v/>
      </c>
      <c r="D168" t="str">
        <f>IFERROR(INDEX(Management!$B$3:$B$50,_xlfn.AGGREGATE(15,6,(ROW(Management!$B$3:$B$50)-ROW(Management!$B$3)+1)/((IF(Management!$C$3:$C$50="Unlimited",10^15,Management!$C$3:$C$50))&gt;='1'!$I168),COLUMN(D167))),"")</f>
        <v/>
      </c>
      <c r="E168" t="str">
        <f>IFERROR(INDEX(Management!$B$3:$B$50,_xlfn.AGGREGATE(15,6,(ROW(Management!$B$3:$B$50)-ROW(Management!$B$3)+1)/((IF(Management!$C$3:$C$50="Unlimited",10^15,Management!$C$3:$C$50))&gt;='1'!$I168),COLUMN(E167))),"")</f>
        <v/>
      </c>
      <c r="F168" t="str">
        <f>IFERROR(INDEX(Management!$B$3:$B$50,_xlfn.AGGREGATE(15,6,(ROW(Management!$B$3:$B$50)-ROW(Management!$B$3)+1)/((IF(Management!$C$3:$C$50="Unlimited",10^15,Management!$C$3:$C$50))&gt;='1'!$I168),COLUMN(F167))),"")</f>
        <v/>
      </c>
      <c r="G168" t="str">
        <f>IFERROR(INDEX(Management!$B$3:$B$50,_xlfn.AGGREGATE(15,6,(ROW(Management!$B$3:$B$50)-ROW(Management!$B$3)+1)/((IF(Management!$C$3:$C$50="Unlimited",10^15,Management!$C$3:$C$50))&gt;='1'!$I168),COLUMN(G167))),"")</f>
        <v/>
      </c>
      <c r="H168" t="str">
        <f>IFERROR(INDEX(Management!$B$3:$B$50,_xlfn.AGGREGATE(15,6,(ROW(Management!$B$3:$B$50)-ROW(Management!$B$3)+1)/((IF(Management!$C$3:$C$50="Unlimited",10^15,Management!$C$3:$C$50))&gt;='1'!$I168),COLUMN(H167))),"")</f>
        <v/>
      </c>
      <c r="I168" t="str">
        <f>IFERROR(INDEX(Management!$B$3:$B$50,_xlfn.AGGREGATE(15,6,(ROW(Management!$B$3:$B$50)-ROW(Management!$B$3)+1)/((IF(Management!$C$3:$C$50="Unlimited",10^15,Management!$C$3:$C$50))&gt;='1'!$I168),COLUMN(I167))),"")</f>
        <v/>
      </c>
      <c r="J168" t="str">
        <f>IFERROR(INDEX(Management!$B$3:$B$50,_xlfn.AGGREGATE(15,6,(ROW(Management!$B$3:$B$50)-ROW(Management!$B$3)+1)/((IF(Management!$C$3:$C$50="Unlimited",10^15,Management!$C$3:$C$50))&gt;='1'!$I168),COLUMN(J167))),"")</f>
        <v/>
      </c>
      <c r="K168" t="str">
        <f>IFERROR(INDEX(Management!$B$3:$B$50,_xlfn.AGGREGATE(15,6,(ROW(Management!$B$3:$B$50)-ROW(Management!$B$3)+1)/((IF(Management!$C$3:$C$50="Unlimited",10^15,Management!$C$3:$C$50))&gt;='1'!$I168),COLUMN(K167))),"")</f>
        <v/>
      </c>
      <c r="L168" t="str">
        <f>IFERROR(INDEX(Management!$B$3:$B$50,_xlfn.AGGREGATE(15,6,(ROW(Management!$B$3:$B$50)-ROW(Management!$B$3)+1)/((IF(Management!$C$3:$C$50="Unlimited",10^15,Management!$C$3:$C$50))&gt;='1'!$I168),COLUMN(L167))),"")</f>
        <v/>
      </c>
      <c r="M168" t="str">
        <f>IFERROR(INDEX(Management!$B$3:$B$50,_xlfn.AGGREGATE(15,6,(ROW(Management!$B$3:$B$50)-ROW(Management!$B$3)+1)/((IF(Management!$C$3:$C$50="Unlimited",10^15,Management!$C$3:$C$50))&gt;='1'!$I168),COLUMN(M167))),"")</f>
        <v/>
      </c>
      <c r="N168" t="str">
        <f>IFERROR(INDEX(Management!$B$3:$B$50,_xlfn.AGGREGATE(15,6,(ROW(Management!$B$3:$B$50)-ROW(Management!$B$3)+1)/((IF(Management!$C$3:$C$50="Unlimited",10^15,Management!$C$3:$C$50))&gt;='1'!$I168),COLUMN(N167))),"")</f>
        <v/>
      </c>
      <c r="O168" t="str">
        <f>IFERROR(INDEX(Management!$B$3:$B$50,_xlfn.AGGREGATE(15,6,(ROW(Management!$B$3:$B$50)-ROW(Management!$B$3)+1)/((IF(Management!$C$3:$C$50="Unlimited",10^15,Management!$C$3:$C$50))&gt;='1'!$I168),COLUMN(O167))),"")</f>
        <v/>
      </c>
      <c r="P168" t="str">
        <f>IFERROR(INDEX(Management!$B$3:$B$50,_xlfn.AGGREGATE(15,6,(ROW(Management!$B$3:$B$50)-ROW(Management!$B$3)+1)/((IF(Management!$C$3:$C$50="Unlimited",10^15,Management!$C$3:$C$50))&gt;='1'!$I168),COLUMN(P167))),"")</f>
        <v/>
      </c>
      <c r="Q168" t="str">
        <f>IFERROR(INDEX(Management!$B$3:$B$50,_xlfn.AGGREGATE(15,6,(ROW(Management!$B$3:$B$50)-ROW(Management!$B$3)+1)/((IF(Management!$C$3:$C$50="Unlimited",10^15,Management!$C$3:$C$50))&gt;='1'!$I168),COLUMN(Q167))),"")</f>
        <v/>
      </c>
      <c r="R168" t="str">
        <f>IFERROR(INDEX(Management!$B$3:$B$50,_xlfn.AGGREGATE(15,6,(ROW(Management!$B$3:$B$50)-ROW(Management!$B$3)+1)/((IF(Management!$C$3:$C$50="Unlimited",10^15,Management!$C$3:$C$50))&gt;='1'!$I168),COLUMN(R167))),"")</f>
        <v/>
      </c>
      <c r="S168" t="str">
        <f>IFERROR(INDEX(Management!$B$3:$B$50,_xlfn.AGGREGATE(15,6,(ROW(Management!$B$3:$B$50)-ROW(Management!$B$3)+1)/((IF(Management!$C$3:$C$50="Unlimited",10^15,Management!$C$3:$C$50))&gt;='1'!$I168),COLUMN(S167))),"")</f>
        <v/>
      </c>
      <c r="T168" t="str">
        <f>IFERROR(INDEX(Management!$B$3:$B$50,_xlfn.AGGREGATE(15,6,(ROW(Management!$B$3:$B$50)-ROW(Management!$B$3)+1)/((IF(Management!$C$3:$C$50="Unlimited",10^15,Management!$C$3:$C$50))&gt;='1'!$I168),COLUMN(T167))),"")</f>
        <v/>
      </c>
    </row>
    <row r="169" spans="1:20">
      <c r="A169" t="str">
        <f>IFERROR(INDEX(Management!$B$3:$B$50,_xlfn.AGGREGATE(15,6,(ROW(Management!$B$3:$B$50)-ROW(Management!$B$3)+1)/((IF(Management!$C$3:$C$50="Unlimited",10^15,Management!$C$3:$C$50))&gt;='1'!$I169),COLUMN(A168))),"")</f>
        <v/>
      </c>
      <c r="B169" t="str">
        <f>IFERROR(INDEX(Management!$B$3:$B$50,_xlfn.AGGREGATE(15,6,(ROW(Management!$B$3:$B$50)-ROW(Management!$B$3)+1)/((IF(Management!$C$3:$C$50="Unlimited",10^15,Management!$C$3:$C$50))&gt;='1'!$I169),COLUMN(B168))),"")</f>
        <v/>
      </c>
      <c r="C169" t="str">
        <f>IFERROR(INDEX(Management!$B$3:$B$50,_xlfn.AGGREGATE(15,6,(ROW(Management!$B$3:$B$50)-ROW(Management!$B$3)+1)/((IF(Management!$C$3:$C$50="Unlimited",10^15,Management!$C$3:$C$50))&gt;='1'!$I169),COLUMN(C168))),"")</f>
        <v/>
      </c>
      <c r="D169" t="str">
        <f>IFERROR(INDEX(Management!$B$3:$B$50,_xlfn.AGGREGATE(15,6,(ROW(Management!$B$3:$B$50)-ROW(Management!$B$3)+1)/((IF(Management!$C$3:$C$50="Unlimited",10^15,Management!$C$3:$C$50))&gt;='1'!$I169),COLUMN(D168))),"")</f>
        <v/>
      </c>
      <c r="E169" t="str">
        <f>IFERROR(INDEX(Management!$B$3:$B$50,_xlfn.AGGREGATE(15,6,(ROW(Management!$B$3:$B$50)-ROW(Management!$B$3)+1)/((IF(Management!$C$3:$C$50="Unlimited",10^15,Management!$C$3:$C$50))&gt;='1'!$I169),COLUMN(E168))),"")</f>
        <v/>
      </c>
      <c r="F169" t="str">
        <f>IFERROR(INDEX(Management!$B$3:$B$50,_xlfn.AGGREGATE(15,6,(ROW(Management!$B$3:$B$50)-ROW(Management!$B$3)+1)/((IF(Management!$C$3:$C$50="Unlimited",10^15,Management!$C$3:$C$50))&gt;='1'!$I169),COLUMN(F168))),"")</f>
        <v/>
      </c>
      <c r="G169" t="str">
        <f>IFERROR(INDEX(Management!$B$3:$B$50,_xlfn.AGGREGATE(15,6,(ROW(Management!$B$3:$B$50)-ROW(Management!$B$3)+1)/((IF(Management!$C$3:$C$50="Unlimited",10^15,Management!$C$3:$C$50))&gt;='1'!$I169),COLUMN(G168))),"")</f>
        <v/>
      </c>
      <c r="H169" t="str">
        <f>IFERROR(INDEX(Management!$B$3:$B$50,_xlfn.AGGREGATE(15,6,(ROW(Management!$B$3:$B$50)-ROW(Management!$B$3)+1)/((IF(Management!$C$3:$C$50="Unlimited",10^15,Management!$C$3:$C$50))&gt;='1'!$I169),COLUMN(H168))),"")</f>
        <v/>
      </c>
      <c r="I169" t="str">
        <f>IFERROR(INDEX(Management!$B$3:$B$50,_xlfn.AGGREGATE(15,6,(ROW(Management!$B$3:$B$50)-ROW(Management!$B$3)+1)/((IF(Management!$C$3:$C$50="Unlimited",10^15,Management!$C$3:$C$50))&gt;='1'!$I169),COLUMN(I168))),"")</f>
        <v/>
      </c>
      <c r="J169" t="str">
        <f>IFERROR(INDEX(Management!$B$3:$B$50,_xlfn.AGGREGATE(15,6,(ROW(Management!$B$3:$B$50)-ROW(Management!$B$3)+1)/((IF(Management!$C$3:$C$50="Unlimited",10^15,Management!$C$3:$C$50))&gt;='1'!$I169),COLUMN(J168))),"")</f>
        <v/>
      </c>
      <c r="K169" t="str">
        <f>IFERROR(INDEX(Management!$B$3:$B$50,_xlfn.AGGREGATE(15,6,(ROW(Management!$B$3:$B$50)-ROW(Management!$B$3)+1)/((IF(Management!$C$3:$C$50="Unlimited",10^15,Management!$C$3:$C$50))&gt;='1'!$I169),COLUMN(K168))),"")</f>
        <v/>
      </c>
      <c r="L169" t="str">
        <f>IFERROR(INDEX(Management!$B$3:$B$50,_xlfn.AGGREGATE(15,6,(ROW(Management!$B$3:$B$50)-ROW(Management!$B$3)+1)/((IF(Management!$C$3:$C$50="Unlimited",10^15,Management!$C$3:$C$50))&gt;='1'!$I169),COLUMN(L168))),"")</f>
        <v/>
      </c>
      <c r="M169" t="str">
        <f>IFERROR(INDEX(Management!$B$3:$B$50,_xlfn.AGGREGATE(15,6,(ROW(Management!$B$3:$B$50)-ROW(Management!$B$3)+1)/((IF(Management!$C$3:$C$50="Unlimited",10^15,Management!$C$3:$C$50))&gt;='1'!$I169),COLUMN(M168))),"")</f>
        <v/>
      </c>
      <c r="N169" t="str">
        <f>IFERROR(INDEX(Management!$B$3:$B$50,_xlfn.AGGREGATE(15,6,(ROW(Management!$B$3:$B$50)-ROW(Management!$B$3)+1)/((IF(Management!$C$3:$C$50="Unlimited",10^15,Management!$C$3:$C$50))&gt;='1'!$I169),COLUMN(N168))),"")</f>
        <v/>
      </c>
      <c r="O169" t="str">
        <f>IFERROR(INDEX(Management!$B$3:$B$50,_xlfn.AGGREGATE(15,6,(ROW(Management!$B$3:$B$50)-ROW(Management!$B$3)+1)/((IF(Management!$C$3:$C$50="Unlimited",10^15,Management!$C$3:$C$50))&gt;='1'!$I169),COLUMN(O168))),"")</f>
        <v/>
      </c>
      <c r="P169" t="str">
        <f>IFERROR(INDEX(Management!$B$3:$B$50,_xlfn.AGGREGATE(15,6,(ROW(Management!$B$3:$B$50)-ROW(Management!$B$3)+1)/((IF(Management!$C$3:$C$50="Unlimited",10^15,Management!$C$3:$C$50))&gt;='1'!$I169),COLUMN(P168))),"")</f>
        <v/>
      </c>
      <c r="Q169" t="str">
        <f>IFERROR(INDEX(Management!$B$3:$B$50,_xlfn.AGGREGATE(15,6,(ROW(Management!$B$3:$B$50)-ROW(Management!$B$3)+1)/((IF(Management!$C$3:$C$50="Unlimited",10^15,Management!$C$3:$C$50))&gt;='1'!$I169),COLUMN(Q168))),"")</f>
        <v/>
      </c>
      <c r="R169" t="str">
        <f>IFERROR(INDEX(Management!$B$3:$B$50,_xlfn.AGGREGATE(15,6,(ROW(Management!$B$3:$B$50)-ROW(Management!$B$3)+1)/((IF(Management!$C$3:$C$50="Unlimited",10^15,Management!$C$3:$C$50))&gt;='1'!$I169),COLUMN(R168))),"")</f>
        <v/>
      </c>
      <c r="S169" t="str">
        <f>IFERROR(INDEX(Management!$B$3:$B$50,_xlfn.AGGREGATE(15,6,(ROW(Management!$B$3:$B$50)-ROW(Management!$B$3)+1)/((IF(Management!$C$3:$C$50="Unlimited",10^15,Management!$C$3:$C$50))&gt;='1'!$I169),COLUMN(S168))),"")</f>
        <v/>
      </c>
      <c r="T169" t="str">
        <f>IFERROR(INDEX(Management!$B$3:$B$50,_xlfn.AGGREGATE(15,6,(ROW(Management!$B$3:$B$50)-ROW(Management!$B$3)+1)/((IF(Management!$C$3:$C$50="Unlimited",10^15,Management!$C$3:$C$50))&gt;='1'!$I169),COLUMN(T168))),"")</f>
        <v/>
      </c>
    </row>
    <row r="170" spans="1:20">
      <c r="A170" t="str">
        <f>IFERROR(INDEX(Management!$B$3:$B$50,_xlfn.AGGREGATE(15,6,(ROW(Management!$B$3:$B$50)-ROW(Management!$B$3)+1)/((IF(Management!$C$3:$C$50="Unlimited",10^15,Management!$C$3:$C$50))&gt;='1'!$I170),COLUMN(A169))),"")</f>
        <v/>
      </c>
      <c r="B170" t="str">
        <f>IFERROR(INDEX(Management!$B$3:$B$50,_xlfn.AGGREGATE(15,6,(ROW(Management!$B$3:$B$50)-ROW(Management!$B$3)+1)/((IF(Management!$C$3:$C$50="Unlimited",10^15,Management!$C$3:$C$50))&gt;='1'!$I170),COLUMN(B169))),"")</f>
        <v/>
      </c>
      <c r="C170" t="str">
        <f>IFERROR(INDEX(Management!$B$3:$B$50,_xlfn.AGGREGATE(15,6,(ROW(Management!$B$3:$B$50)-ROW(Management!$B$3)+1)/((IF(Management!$C$3:$C$50="Unlimited",10^15,Management!$C$3:$C$50))&gt;='1'!$I170),COLUMN(C169))),"")</f>
        <v/>
      </c>
      <c r="D170" t="str">
        <f>IFERROR(INDEX(Management!$B$3:$B$50,_xlfn.AGGREGATE(15,6,(ROW(Management!$B$3:$B$50)-ROW(Management!$B$3)+1)/((IF(Management!$C$3:$C$50="Unlimited",10^15,Management!$C$3:$C$50))&gt;='1'!$I170),COLUMN(D169))),"")</f>
        <v/>
      </c>
      <c r="E170" t="str">
        <f>IFERROR(INDEX(Management!$B$3:$B$50,_xlfn.AGGREGATE(15,6,(ROW(Management!$B$3:$B$50)-ROW(Management!$B$3)+1)/((IF(Management!$C$3:$C$50="Unlimited",10^15,Management!$C$3:$C$50))&gt;='1'!$I170),COLUMN(E169))),"")</f>
        <v/>
      </c>
      <c r="F170" t="str">
        <f>IFERROR(INDEX(Management!$B$3:$B$50,_xlfn.AGGREGATE(15,6,(ROW(Management!$B$3:$B$50)-ROW(Management!$B$3)+1)/((IF(Management!$C$3:$C$50="Unlimited",10^15,Management!$C$3:$C$50))&gt;='1'!$I170),COLUMN(F169))),"")</f>
        <v/>
      </c>
      <c r="G170" t="str">
        <f>IFERROR(INDEX(Management!$B$3:$B$50,_xlfn.AGGREGATE(15,6,(ROW(Management!$B$3:$B$50)-ROW(Management!$B$3)+1)/((IF(Management!$C$3:$C$50="Unlimited",10^15,Management!$C$3:$C$50))&gt;='1'!$I170),COLUMN(G169))),"")</f>
        <v/>
      </c>
      <c r="H170" t="str">
        <f>IFERROR(INDEX(Management!$B$3:$B$50,_xlfn.AGGREGATE(15,6,(ROW(Management!$B$3:$B$50)-ROW(Management!$B$3)+1)/((IF(Management!$C$3:$C$50="Unlimited",10^15,Management!$C$3:$C$50))&gt;='1'!$I170),COLUMN(H169))),"")</f>
        <v/>
      </c>
      <c r="I170" t="str">
        <f>IFERROR(INDEX(Management!$B$3:$B$50,_xlfn.AGGREGATE(15,6,(ROW(Management!$B$3:$B$50)-ROW(Management!$B$3)+1)/((IF(Management!$C$3:$C$50="Unlimited",10^15,Management!$C$3:$C$50))&gt;='1'!$I170),COLUMN(I169))),"")</f>
        <v/>
      </c>
      <c r="J170" t="str">
        <f>IFERROR(INDEX(Management!$B$3:$B$50,_xlfn.AGGREGATE(15,6,(ROW(Management!$B$3:$B$50)-ROW(Management!$B$3)+1)/((IF(Management!$C$3:$C$50="Unlimited",10^15,Management!$C$3:$C$50))&gt;='1'!$I170),COLUMN(J169))),"")</f>
        <v/>
      </c>
      <c r="K170" t="str">
        <f>IFERROR(INDEX(Management!$B$3:$B$50,_xlfn.AGGREGATE(15,6,(ROW(Management!$B$3:$B$50)-ROW(Management!$B$3)+1)/((IF(Management!$C$3:$C$50="Unlimited",10^15,Management!$C$3:$C$50))&gt;='1'!$I170),COLUMN(K169))),"")</f>
        <v/>
      </c>
      <c r="L170" t="str">
        <f>IFERROR(INDEX(Management!$B$3:$B$50,_xlfn.AGGREGATE(15,6,(ROW(Management!$B$3:$B$50)-ROW(Management!$B$3)+1)/((IF(Management!$C$3:$C$50="Unlimited",10^15,Management!$C$3:$C$50))&gt;='1'!$I170),COLUMN(L169))),"")</f>
        <v/>
      </c>
      <c r="M170" t="str">
        <f>IFERROR(INDEX(Management!$B$3:$B$50,_xlfn.AGGREGATE(15,6,(ROW(Management!$B$3:$B$50)-ROW(Management!$B$3)+1)/((IF(Management!$C$3:$C$50="Unlimited",10^15,Management!$C$3:$C$50))&gt;='1'!$I170),COLUMN(M169))),"")</f>
        <v/>
      </c>
      <c r="N170" t="str">
        <f>IFERROR(INDEX(Management!$B$3:$B$50,_xlfn.AGGREGATE(15,6,(ROW(Management!$B$3:$B$50)-ROW(Management!$B$3)+1)/((IF(Management!$C$3:$C$50="Unlimited",10^15,Management!$C$3:$C$50))&gt;='1'!$I170),COLUMN(N169))),"")</f>
        <v/>
      </c>
      <c r="O170" t="str">
        <f>IFERROR(INDEX(Management!$B$3:$B$50,_xlfn.AGGREGATE(15,6,(ROW(Management!$B$3:$B$50)-ROW(Management!$B$3)+1)/((IF(Management!$C$3:$C$50="Unlimited",10^15,Management!$C$3:$C$50))&gt;='1'!$I170),COLUMN(O169))),"")</f>
        <v/>
      </c>
      <c r="P170" t="str">
        <f>IFERROR(INDEX(Management!$B$3:$B$50,_xlfn.AGGREGATE(15,6,(ROW(Management!$B$3:$B$50)-ROW(Management!$B$3)+1)/((IF(Management!$C$3:$C$50="Unlimited",10^15,Management!$C$3:$C$50))&gt;='1'!$I170),COLUMN(P169))),"")</f>
        <v/>
      </c>
      <c r="Q170" t="str">
        <f>IFERROR(INDEX(Management!$B$3:$B$50,_xlfn.AGGREGATE(15,6,(ROW(Management!$B$3:$B$50)-ROW(Management!$B$3)+1)/((IF(Management!$C$3:$C$50="Unlimited",10^15,Management!$C$3:$C$50))&gt;='1'!$I170),COLUMN(Q169))),"")</f>
        <v/>
      </c>
      <c r="R170" t="str">
        <f>IFERROR(INDEX(Management!$B$3:$B$50,_xlfn.AGGREGATE(15,6,(ROW(Management!$B$3:$B$50)-ROW(Management!$B$3)+1)/((IF(Management!$C$3:$C$50="Unlimited",10^15,Management!$C$3:$C$50))&gt;='1'!$I170),COLUMN(R169))),"")</f>
        <v/>
      </c>
      <c r="S170" t="str">
        <f>IFERROR(INDEX(Management!$B$3:$B$50,_xlfn.AGGREGATE(15,6,(ROW(Management!$B$3:$B$50)-ROW(Management!$B$3)+1)/((IF(Management!$C$3:$C$50="Unlimited",10^15,Management!$C$3:$C$50))&gt;='1'!$I170),COLUMN(S169))),"")</f>
        <v/>
      </c>
      <c r="T170" t="str">
        <f>IFERROR(INDEX(Management!$B$3:$B$50,_xlfn.AGGREGATE(15,6,(ROW(Management!$B$3:$B$50)-ROW(Management!$B$3)+1)/((IF(Management!$C$3:$C$50="Unlimited",10^15,Management!$C$3:$C$50))&gt;='1'!$I170),COLUMN(T169))),"")</f>
        <v/>
      </c>
    </row>
    <row r="171" spans="1:20">
      <c r="A171" t="str">
        <f>IFERROR(INDEX(Management!$B$3:$B$50,_xlfn.AGGREGATE(15,6,(ROW(Management!$B$3:$B$50)-ROW(Management!$B$3)+1)/((IF(Management!$C$3:$C$50="Unlimited",10^15,Management!$C$3:$C$50))&gt;='1'!$I171),COLUMN(A170))),"")</f>
        <v/>
      </c>
      <c r="B171" t="str">
        <f>IFERROR(INDEX(Management!$B$3:$B$50,_xlfn.AGGREGATE(15,6,(ROW(Management!$B$3:$B$50)-ROW(Management!$B$3)+1)/((IF(Management!$C$3:$C$50="Unlimited",10^15,Management!$C$3:$C$50))&gt;='1'!$I171),COLUMN(B170))),"")</f>
        <v/>
      </c>
      <c r="C171" t="str">
        <f>IFERROR(INDEX(Management!$B$3:$B$50,_xlfn.AGGREGATE(15,6,(ROW(Management!$B$3:$B$50)-ROW(Management!$B$3)+1)/((IF(Management!$C$3:$C$50="Unlimited",10^15,Management!$C$3:$C$50))&gt;='1'!$I171),COLUMN(C170))),"")</f>
        <v/>
      </c>
      <c r="D171" t="str">
        <f>IFERROR(INDEX(Management!$B$3:$B$50,_xlfn.AGGREGATE(15,6,(ROW(Management!$B$3:$B$50)-ROW(Management!$B$3)+1)/((IF(Management!$C$3:$C$50="Unlimited",10^15,Management!$C$3:$C$50))&gt;='1'!$I171),COLUMN(D170))),"")</f>
        <v/>
      </c>
      <c r="E171" t="str">
        <f>IFERROR(INDEX(Management!$B$3:$B$50,_xlfn.AGGREGATE(15,6,(ROW(Management!$B$3:$B$50)-ROW(Management!$B$3)+1)/((IF(Management!$C$3:$C$50="Unlimited",10^15,Management!$C$3:$C$50))&gt;='1'!$I171),COLUMN(E170))),"")</f>
        <v/>
      </c>
      <c r="F171" t="str">
        <f>IFERROR(INDEX(Management!$B$3:$B$50,_xlfn.AGGREGATE(15,6,(ROW(Management!$B$3:$B$50)-ROW(Management!$B$3)+1)/((IF(Management!$C$3:$C$50="Unlimited",10^15,Management!$C$3:$C$50))&gt;='1'!$I171),COLUMN(F170))),"")</f>
        <v/>
      </c>
      <c r="G171" t="str">
        <f>IFERROR(INDEX(Management!$B$3:$B$50,_xlfn.AGGREGATE(15,6,(ROW(Management!$B$3:$B$50)-ROW(Management!$B$3)+1)/((IF(Management!$C$3:$C$50="Unlimited",10^15,Management!$C$3:$C$50))&gt;='1'!$I171),COLUMN(G170))),"")</f>
        <v/>
      </c>
      <c r="H171" t="str">
        <f>IFERROR(INDEX(Management!$B$3:$B$50,_xlfn.AGGREGATE(15,6,(ROW(Management!$B$3:$B$50)-ROW(Management!$B$3)+1)/((IF(Management!$C$3:$C$50="Unlimited",10^15,Management!$C$3:$C$50))&gt;='1'!$I171),COLUMN(H170))),"")</f>
        <v/>
      </c>
      <c r="I171" t="str">
        <f>IFERROR(INDEX(Management!$B$3:$B$50,_xlfn.AGGREGATE(15,6,(ROW(Management!$B$3:$B$50)-ROW(Management!$B$3)+1)/((IF(Management!$C$3:$C$50="Unlimited",10^15,Management!$C$3:$C$50))&gt;='1'!$I171),COLUMN(I170))),"")</f>
        <v/>
      </c>
      <c r="J171" t="str">
        <f>IFERROR(INDEX(Management!$B$3:$B$50,_xlfn.AGGREGATE(15,6,(ROW(Management!$B$3:$B$50)-ROW(Management!$B$3)+1)/((IF(Management!$C$3:$C$50="Unlimited",10^15,Management!$C$3:$C$50))&gt;='1'!$I171),COLUMN(J170))),"")</f>
        <v/>
      </c>
      <c r="K171" t="str">
        <f>IFERROR(INDEX(Management!$B$3:$B$50,_xlfn.AGGREGATE(15,6,(ROW(Management!$B$3:$B$50)-ROW(Management!$B$3)+1)/((IF(Management!$C$3:$C$50="Unlimited",10^15,Management!$C$3:$C$50))&gt;='1'!$I171),COLUMN(K170))),"")</f>
        <v/>
      </c>
      <c r="L171" t="str">
        <f>IFERROR(INDEX(Management!$B$3:$B$50,_xlfn.AGGREGATE(15,6,(ROW(Management!$B$3:$B$50)-ROW(Management!$B$3)+1)/((IF(Management!$C$3:$C$50="Unlimited",10^15,Management!$C$3:$C$50))&gt;='1'!$I171),COLUMN(L170))),"")</f>
        <v/>
      </c>
      <c r="M171" t="str">
        <f>IFERROR(INDEX(Management!$B$3:$B$50,_xlfn.AGGREGATE(15,6,(ROW(Management!$B$3:$B$50)-ROW(Management!$B$3)+1)/((IF(Management!$C$3:$C$50="Unlimited",10^15,Management!$C$3:$C$50))&gt;='1'!$I171),COLUMN(M170))),"")</f>
        <v/>
      </c>
      <c r="N171" t="str">
        <f>IFERROR(INDEX(Management!$B$3:$B$50,_xlfn.AGGREGATE(15,6,(ROW(Management!$B$3:$B$50)-ROW(Management!$B$3)+1)/((IF(Management!$C$3:$C$50="Unlimited",10^15,Management!$C$3:$C$50))&gt;='1'!$I171),COLUMN(N170))),"")</f>
        <v/>
      </c>
      <c r="O171" t="str">
        <f>IFERROR(INDEX(Management!$B$3:$B$50,_xlfn.AGGREGATE(15,6,(ROW(Management!$B$3:$B$50)-ROW(Management!$B$3)+1)/((IF(Management!$C$3:$C$50="Unlimited",10^15,Management!$C$3:$C$50))&gt;='1'!$I171),COLUMN(O170))),"")</f>
        <v/>
      </c>
      <c r="P171" t="str">
        <f>IFERROR(INDEX(Management!$B$3:$B$50,_xlfn.AGGREGATE(15,6,(ROW(Management!$B$3:$B$50)-ROW(Management!$B$3)+1)/((IF(Management!$C$3:$C$50="Unlimited",10^15,Management!$C$3:$C$50))&gt;='1'!$I171),COLUMN(P170))),"")</f>
        <v/>
      </c>
      <c r="Q171" t="str">
        <f>IFERROR(INDEX(Management!$B$3:$B$50,_xlfn.AGGREGATE(15,6,(ROW(Management!$B$3:$B$50)-ROW(Management!$B$3)+1)/((IF(Management!$C$3:$C$50="Unlimited",10^15,Management!$C$3:$C$50))&gt;='1'!$I171),COLUMN(Q170))),"")</f>
        <v/>
      </c>
      <c r="R171" t="str">
        <f>IFERROR(INDEX(Management!$B$3:$B$50,_xlfn.AGGREGATE(15,6,(ROW(Management!$B$3:$B$50)-ROW(Management!$B$3)+1)/((IF(Management!$C$3:$C$50="Unlimited",10^15,Management!$C$3:$C$50))&gt;='1'!$I171),COLUMN(R170))),"")</f>
        <v/>
      </c>
      <c r="S171" t="str">
        <f>IFERROR(INDEX(Management!$B$3:$B$50,_xlfn.AGGREGATE(15,6,(ROW(Management!$B$3:$B$50)-ROW(Management!$B$3)+1)/((IF(Management!$C$3:$C$50="Unlimited",10^15,Management!$C$3:$C$50))&gt;='1'!$I171),COLUMN(S170))),"")</f>
        <v/>
      </c>
      <c r="T171" t="str">
        <f>IFERROR(INDEX(Management!$B$3:$B$50,_xlfn.AGGREGATE(15,6,(ROW(Management!$B$3:$B$50)-ROW(Management!$B$3)+1)/((IF(Management!$C$3:$C$50="Unlimited",10^15,Management!$C$3:$C$50))&gt;='1'!$I171),COLUMN(T170))),"")</f>
        <v/>
      </c>
    </row>
    <row r="172" spans="1:20">
      <c r="A172" t="str">
        <f>IFERROR(INDEX(Management!$B$3:$B$50,_xlfn.AGGREGATE(15,6,(ROW(Management!$B$3:$B$50)-ROW(Management!$B$3)+1)/((IF(Management!$C$3:$C$50="Unlimited",10^15,Management!$C$3:$C$50))&gt;='1'!$I172),COLUMN(A171))),"")</f>
        <v/>
      </c>
      <c r="B172" t="str">
        <f>IFERROR(INDEX(Management!$B$3:$B$50,_xlfn.AGGREGATE(15,6,(ROW(Management!$B$3:$B$50)-ROW(Management!$B$3)+1)/((IF(Management!$C$3:$C$50="Unlimited",10^15,Management!$C$3:$C$50))&gt;='1'!$I172),COLUMN(B171))),"")</f>
        <v/>
      </c>
      <c r="C172" t="str">
        <f>IFERROR(INDEX(Management!$B$3:$B$50,_xlfn.AGGREGATE(15,6,(ROW(Management!$B$3:$B$50)-ROW(Management!$B$3)+1)/((IF(Management!$C$3:$C$50="Unlimited",10^15,Management!$C$3:$C$50))&gt;='1'!$I172),COLUMN(C171))),"")</f>
        <v/>
      </c>
      <c r="D172" t="str">
        <f>IFERROR(INDEX(Management!$B$3:$B$50,_xlfn.AGGREGATE(15,6,(ROW(Management!$B$3:$B$50)-ROW(Management!$B$3)+1)/((IF(Management!$C$3:$C$50="Unlimited",10^15,Management!$C$3:$C$50))&gt;='1'!$I172),COLUMN(D171))),"")</f>
        <v/>
      </c>
      <c r="E172" t="str">
        <f>IFERROR(INDEX(Management!$B$3:$B$50,_xlfn.AGGREGATE(15,6,(ROW(Management!$B$3:$B$50)-ROW(Management!$B$3)+1)/((IF(Management!$C$3:$C$50="Unlimited",10^15,Management!$C$3:$C$50))&gt;='1'!$I172),COLUMN(E171))),"")</f>
        <v/>
      </c>
      <c r="F172" t="str">
        <f>IFERROR(INDEX(Management!$B$3:$B$50,_xlfn.AGGREGATE(15,6,(ROW(Management!$B$3:$B$50)-ROW(Management!$B$3)+1)/((IF(Management!$C$3:$C$50="Unlimited",10^15,Management!$C$3:$C$50))&gt;='1'!$I172),COLUMN(F171))),"")</f>
        <v/>
      </c>
      <c r="G172" t="str">
        <f>IFERROR(INDEX(Management!$B$3:$B$50,_xlfn.AGGREGATE(15,6,(ROW(Management!$B$3:$B$50)-ROW(Management!$B$3)+1)/((IF(Management!$C$3:$C$50="Unlimited",10^15,Management!$C$3:$C$50))&gt;='1'!$I172),COLUMN(G171))),"")</f>
        <v/>
      </c>
      <c r="H172" t="str">
        <f>IFERROR(INDEX(Management!$B$3:$B$50,_xlfn.AGGREGATE(15,6,(ROW(Management!$B$3:$B$50)-ROW(Management!$B$3)+1)/((IF(Management!$C$3:$C$50="Unlimited",10^15,Management!$C$3:$C$50))&gt;='1'!$I172),COLUMN(H171))),"")</f>
        <v/>
      </c>
      <c r="I172" t="str">
        <f>IFERROR(INDEX(Management!$B$3:$B$50,_xlfn.AGGREGATE(15,6,(ROW(Management!$B$3:$B$50)-ROW(Management!$B$3)+1)/((IF(Management!$C$3:$C$50="Unlimited",10^15,Management!$C$3:$C$50))&gt;='1'!$I172),COLUMN(I171))),"")</f>
        <v/>
      </c>
      <c r="J172" t="str">
        <f>IFERROR(INDEX(Management!$B$3:$B$50,_xlfn.AGGREGATE(15,6,(ROW(Management!$B$3:$B$50)-ROW(Management!$B$3)+1)/((IF(Management!$C$3:$C$50="Unlimited",10^15,Management!$C$3:$C$50))&gt;='1'!$I172),COLUMN(J171))),"")</f>
        <v/>
      </c>
      <c r="K172" t="str">
        <f>IFERROR(INDEX(Management!$B$3:$B$50,_xlfn.AGGREGATE(15,6,(ROW(Management!$B$3:$B$50)-ROW(Management!$B$3)+1)/((IF(Management!$C$3:$C$50="Unlimited",10^15,Management!$C$3:$C$50))&gt;='1'!$I172),COLUMN(K171))),"")</f>
        <v/>
      </c>
      <c r="L172" t="str">
        <f>IFERROR(INDEX(Management!$B$3:$B$50,_xlfn.AGGREGATE(15,6,(ROW(Management!$B$3:$B$50)-ROW(Management!$B$3)+1)/((IF(Management!$C$3:$C$50="Unlimited",10^15,Management!$C$3:$C$50))&gt;='1'!$I172),COLUMN(L171))),"")</f>
        <v/>
      </c>
      <c r="M172" t="str">
        <f>IFERROR(INDEX(Management!$B$3:$B$50,_xlfn.AGGREGATE(15,6,(ROW(Management!$B$3:$B$50)-ROW(Management!$B$3)+1)/((IF(Management!$C$3:$C$50="Unlimited",10^15,Management!$C$3:$C$50))&gt;='1'!$I172),COLUMN(M171))),"")</f>
        <v/>
      </c>
      <c r="N172" t="str">
        <f>IFERROR(INDEX(Management!$B$3:$B$50,_xlfn.AGGREGATE(15,6,(ROW(Management!$B$3:$B$50)-ROW(Management!$B$3)+1)/((IF(Management!$C$3:$C$50="Unlimited",10^15,Management!$C$3:$C$50))&gt;='1'!$I172),COLUMN(N171))),"")</f>
        <v/>
      </c>
      <c r="O172" t="str">
        <f>IFERROR(INDEX(Management!$B$3:$B$50,_xlfn.AGGREGATE(15,6,(ROW(Management!$B$3:$B$50)-ROW(Management!$B$3)+1)/((IF(Management!$C$3:$C$50="Unlimited",10^15,Management!$C$3:$C$50))&gt;='1'!$I172),COLUMN(O171))),"")</f>
        <v/>
      </c>
      <c r="P172" t="str">
        <f>IFERROR(INDEX(Management!$B$3:$B$50,_xlfn.AGGREGATE(15,6,(ROW(Management!$B$3:$B$50)-ROW(Management!$B$3)+1)/((IF(Management!$C$3:$C$50="Unlimited",10^15,Management!$C$3:$C$50))&gt;='1'!$I172),COLUMN(P171))),"")</f>
        <v/>
      </c>
      <c r="Q172" t="str">
        <f>IFERROR(INDEX(Management!$B$3:$B$50,_xlfn.AGGREGATE(15,6,(ROW(Management!$B$3:$B$50)-ROW(Management!$B$3)+1)/((IF(Management!$C$3:$C$50="Unlimited",10^15,Management!$C$3:$C$50))&gt;='1'!$I172),COLUMN(Q171))),"")</f>
        <v/>
      </c>
      <c r="R172" t="str">
        <f>IFERROR(INDEX(Management!$B$3:$B$50,_xlfn.AGGREGATE(15,6,(ROW(Management!$B$3:$B$50)-ROW(Management!$B$3)+1)/((IF(Management!$C$3:$C$50="Unlimited",10^15,Management!$C$3:$C$50))&gt;='1'!$I172),COLUMN(R171))),"")</f>
        <v/>
      </c>
      <c r="S172" t="str">
        <f>IFERROR(INDEX(Management!$B$3:$B$50,_xlfn.AGGREGATE(15,6,(ROW(Management!$B$3:$B$50)-ROW(Management!$B$3)+1)/((IF(Management!$C$3:$C$50="Unlimited",10^15,Management!$C$3:$C$50))&gt;='1'!$I172),COLUMN(S171))),"")</f>
        <v/>
      </c>
      <c r="T172" t="str">
        <f>IFERROR(INDEX(Management!$B$3:$B$50,_xlfn.AGGREGATE(15,6,(ROW(Management!$B$3:$B$50)-ROW(Management!$B$3)+1)/((IF(Management!$C$3:$C$50="Unlimited",10^15,Management!$C$3:$C$50))&gt;='1'!$I172),COLUMN(T171))),"")</f>
        <v/>
      </c>
    </row>
    <row r="173" spans="1:20">
      <c r="A173" t="str">
        <f>IFERROR(INDEX(Management!$B$3:$B$50,_xlfn.AGGREGATE(15,6,(ROW(Management!$B$3:$B$50)-ROW(Management!$B$3)+1)/((IF(Management!$C$3:$C$50="Unlimited",10^15,Management!$C$3:$C$50))&gt;='1'!$I173),COLUMN(A172))),"")</f>
        <v/>
      </c>
      <c r="B173" t="str">
        <f>IFERROR(INDEX(Management!$B$3:$B$50,_xlfn.AGGREGATE(15,6,(ROW(Management!$B$3:$B$50)-ROW(Management!$B$3)+1)/((IF(Management!$C$3:$C$50="Unlimited",10^15,Management!$C$3:$C$50))&gt;='1'!$I173),COLUMN(B172))),"")</f>
        <v/>
      </c>
      <c r="C173" t="str">
        <f>IFERROR(INDEX(Management!$B$3:$B$50,_xlfn.AGGREGATE(15,6,(ROW(Management!$B$3:$B$50)-ROW(Management!$B$3)+1)/((IF(Management!$C$3:$C$50="Unlimited",10^15,Management!$C$3:$C$50))&gt;='1'!$I173),COLUMN(C172))),"")</f>
        <v/>
      </c>
      <c r="D173" t="str">
        <f>IFERROR(INDEX(Management!$B$3:$B$50,_xlfn.AGGREGATE(15,6,(ROW(Management!$B$3:$B$50)-ROW(Management!$B$3)+1)/((IF(Management!$C$3:$C$50="Unlimited",10^15,Management!$C$3:$C$50))&gt;='1'!$I173),COLUMN(D172))),"")</f>
        <v/>
      </c>
      <c r="E173" t="str">
        <f>IFERROR(INDEX(Management!$B$3:$B$50,_xlfn.AGGREGATE(15,6,(ROW(Management!$B$3:$B$50)-ROW(Management!$B$3)+1)/((IF(Management!$C$3:$C$50="Unlimited",10^15,Management!$C$3:$C$50))&gt;='1'!$I173),COLUMN(E172))),"")</f>
        <v/>
      </c>
      <c r="F173" t="str">
        <f>IFERROR(INDEX(Management!$B$3:$B$50,_xlfn.AGGREGATE(15,6,(ROW(Management!$B$3:$B$50)-ROW(Management!$B$3)+1)/((IF(Management!$C$3:$C$50="Unlimited",10^15,Management!$C$3:$C$50))&gt;='1'!$I173),COLUMN(F172))),"")</f>
        <v/>
      </c>
      <c r="G173" t="str">
        <f>IFERROR(INDEX(Management!$B$3:$B$50,_xlfn.AGGREGATE(15,6,(ROW(Management!$B$3:$B$50)-ROW(Management!$B$3)+1)/((IF(Management!$C$3:$C$50="Unlimited",10^15,Management!$C$3:$C$50))&gt;='1'!$I173),COLUMN(G172))),"")</f>
        <v/>
      </c>
      <c r="H173" t="str">
        <f>IFERROR(INDEX(Management!$B$3:$B$50,_xlfn.AGGREGATE(15,6,(ROW(Management!$B$3:$B$50)-ROW(Management!$B$3)+1)/((IF(Management!$C$3:$C$50="Unlimited",10^15,Management!$C$3:$C$50))&gt;='1'!$I173),COLUMN(H172))),"")</f>
        <v/>
      </c>
      <c r="I173" t="str">
        <f>IFERROR(INDEX(Management!$B$3:$B$50,_xlfn.AGGREGATE(15,6,(ROW(Management!$B$3:$B$50)-ROW(Management!$B$3)+1)/((IF(Management!$C$3:$C$50="Unlimited",10^15,Management!$C$3:$C$50))&gt;='1'!$I173),COLUMN(I172))),"")</f>
        <v/>
      </c>
      <c r="J173" t="str">
        <f>IFERROR(INDEX(Management!$B$3:$B$50,_xlfn.AGGREGATE(15,6,(ROW(Management!$B$3:$B$50)-ROW(Management!$B$3)+1)/((IF(Management!$C$3:$C$50="Unlimited",10^15,Management!$C$3:$C$50))&gt;='1'!$I173),COLUMN(J172))),"")</f>
        <v/>
      </c>
      <c r="K173" t="str">
        <f>IFERROR(INDEX(Management!$B$3:$B$50,_xlfn.AGGREGATE(15,6,(ROW(Management!$B$3:$B$50)-ROW(Management!$B$3)+1)/((IF(Management!$C$3:$C$50="Unlimited",10^15,Management!$C$3:$C$50))&gt;='1'!$I173),COLUMN(K172))),"")</f>
        <v/>
      </c>
      <c r="L173" t="str">
        <f>IFERROR(INDEX(Management!$B$3:$B$50,_xlfn.AGGREGATE(15,6,(ROW(Management!$B$3:$B$50)-ROW(Management!$B$3)+1)/((IF(Management!$C$3:$C$50="Unlimited",10^15,Management!$C$3:$C$50))&gt;='1'!$I173),COLUMN(L172))),"")</f>
        <v/>
      </c>
      <c r="M173" t="str">
        <f>IFERROR(INDEX(Management!$B$3:$B$50,_xlfn.AGGREGATE(15,6,(ROW(Management!$B$3:$B$50)-ROW(Management!$B$3)+1)/((IF(Management!$C$3:$C$50="Unlimited",10^15,Management!$C$3:$C$50))&gt;='1'!$I173),COLUMN(M172))),"")</f>
        <v/>
      </c>
      <c r="N173" t="str">
        <f>IFERROR(INDEX(Management!$B$3:$B$50,_xlfn.AGGREGATE(15,6,(ROW(Management!$B$3:$B$50)-ROW(Management!$B$3)+1)/((IF(Management!$C$3:$C$50="Unlimited",10^15,Management!$C$3:$C$50))&gt;='1'!$I173),COLUMN(N172))),"")</f>
        <v/>
      </c>
      <c r="O173" t="str">
        <f>IFERROR(INDEX(Management!$B$3:$B$50,_xlfn.AGGREGATE(15,6,(ROW(Management!$B$3:$B$50)-ROW(Management!$B$3)+1)/((IF(Management!$C$3:$C$50="Unlimited",10^15,Management!$C$3:$C$50))&gt;='1'!$I173),COLUMN(O172))),"")</f>
        <v/>
      </c>
      <c r="P173" t="str">
        <f>IFERROR(INDEX(Management!$B$3:$B$50,_xlfn.AGGREGATE(15,6,(ROW(Management!$B$3:$B$50)-ROW(Management!$B$3)+1)/((IF(Management!$C$3:$C$50="Unlimited",10^15,Management!$C$3:$C$50))&gt;='1'!$I173),COLUMN(P172))),"")</f>
        <v/>
      </c>
      <c r="Q173" t="str">
        <f>IFERROR(INDEX(Management!$B$3:$B$50,_xlfn.AGGREGATE(15,6,(ROW(Management!$B$3:$B$50)-ROW(Management!$B$3)+1)/((IF(Management!$C$3:$C$50="Unlimited",10^15,Management!$C$3:$C$50))&gt;='1'!$I173),COLUMN(Q172))),"")</f>
        <v/>
      </c>
      <c r="R173" t="str">
        <f>IFERROR(INDEX(Management!$B$3:$B$50,_xlfn.AGGREGATE(15,6,(ROW(Management!$B$3:$B$50)-ROW(Management!$B$3)+1)/((IF(Management!$C$3:$C$50="Unlimited",10^15,Management!$C$3:$C$50))&gt;='1'!$I173),COLUMN(R172))),"")</f>
        <v/>
      </c>
      <c r="S173" t="str">
        <f>IFERROR(INDEX(Management!$B$3:$B$50,_xlfn.AGGREGATE(15,6,(ROW(Management!$B$3:$B$50)-ROW(Management!$B$3)+1)/((IF(Management!$C$3:$C$50="Unlimited",10^15,Management!$C$3:$C$50))&gt;='1'!$I173),COLUMN(S172))),"")</f>
        <v/>
      </c>
      <c r="T173" t="str">
        <f>IFERROR(INDEX(Management!$B$3:$B$50,_xlfn.AGGREGATE(15,6,(ROW(Management!$B$3:$B$50)-ROW(Management!$B$3)+1)/((IF(Management!$C$3:$C$50="Unlimited",10^15,Management!$C$3:$C$50))&gt;='1'!$I173),COLUMN(T172))),"")</f>
        <v/>
      </c>
    </row>
    <row r="174" spans="1:20">
      <c r="A174" t="str">
        <f>IFERROR(INDEX(Management!$B$3:$B$50,_xlfn.AGGREGATE(15,6,(ROW(Management!$B$3:$B$50)-ROW(Management!$B$3)+1)/((IF(Management!$C$3:$C$50="Unlimited",10^15,Management!$C$3:$C$50))&gt;='1'!$I174),COLUMN(A173))),"")</f>
        <v/>
      </c>
      <c r="B174" t="str">
        <f>IFERROR(INDEX(Management!$B$3:$B$50,_xlfn.AGGREGATE(15,6,(ROW(Management!$B$3:$B$50)-ROW(Management!$B$3)+1)/((IF(Management!$C$3:$C$50="Unlimited",10^15,Management!$C$3:$C$50))&gt;='1'!$I174),COLUMN(B173))),"")</f>
        <v/>
      </c>
      <c r="C174" t="str">
        <f>IFERROR(INDEX(Management!$B$3:$B$50,_xlfn.AGGREGATE(15,6,(ROW(Management!$B$3:$B$50)-ROW(Management!$B$3)+1)/((IF(Management!$C$3:$C$50="Unlimited",10^15,Management!$C$3:$C$50))&gt;='1'!$I174),COLUMN(C173))),"")</f>
        <v/>
      </c>
      <c r="D174" t="str">
        <f>IFERROR(INDEX(Management!$B$3:$B$50,_xlfn.AGGREGATE(15,6,(ROW(Management!$B$3:$B$50)-ROW(Management!$B$3)+1)/((IF(Management!$C$3:$C$50="Unlimited",10^15,Management!$C$3:$C$50))&gt;='1'!$I174),COLUMN(D173))),"")</f>
        <v/>
      </c>
      <c r="E174" t="str">
        <f>IFERROR(INDEX(Management!$B$3:$B$50,_xlfn.AGGREGATE(15,6,(ROW(Management!$B$3:$B$50)-ROW(Management!$B$3)+1)/((IF(Management!$C$3:$C$50="Unlimited",10^15,Management!$C$3:$C$50))&gt;='1'!$I174),COLUMN(E173))),"")</f>
        <v/>
      </c>
      <c r="F174" t="str">
        <f>IFERROR(INDEX(Management!$B$3:$B$50,_xlfn.AGGREGATE(15,6,(ROW(Management!$B$3:$B$50)-ROW(Management!$B$3)+1)/((IF(Management!$C$3:$C$50="Unlimited",10^15,Management!$C$3:$C$50))&gt;='1'!$I174),COLUMN(F173))),"")</f>
        <v/>
      </c>
      <c r="G174" t="str">
        <f>IFERROR(INDEX(Management!$B$3:$B$50,_xlfn.AGGREGATE(15,6,(ROW(Management!$B$3:$B$50)-ROW(Management!$B$3)+1)/((IF(Management!$C$3:$C$50="Unlimited",10^15,Management!$C$3:$C$50))&gt;='1'!$I174),COLUMN(G173))),"")</f>
        <v/>
      </c>
      <c r="H174" t="str">
        <f>IFERROR(INDEX(Management!$B$3:$B$50,_xlfn.AGGREGATE(15,6,(ROW(Management!$B$3:$B$50)-ROW(Management!$B$3)+1)/((IF(Management!$C$3:$C$50="Unlimited",10^15,Management!$C$3:$C$50))&gt;='1'!$I174),COLUMN(H173))),"")</f>
        <v/>
      </c>
      <c r="I174" t="str">
        <f>IFERROR(INDEX(Management!$B$3:$B$50,_xlfn.AGGREGATE(15,6,(ROW(Management!$B$3:$B$50)-ROW(Management!$B$3)+1)/((IF(Management!$C$3:$C$50="Unlimited",10^15,Management!$C$3:$C$50))&gt;='1'!$I174),COLUMN(I173))),"")</f>
        <v/>
      </c>
      <c r="J174" t="str">
        <f>IFERROR(INDEX(Management!$B$3:$B$50,_xlfn.AGGREGATE(15,6,(ROW(Management!$B$3:$B$50)-ROW(Management!$B$3)+1)/((IF(Management!$C$3:$C$50="Unlimited",10^15,Management!$C$3:$C$50))&gt;='1'!$I174),COLUMN(J173))),"")</f>
        <v/>
      </c>
      <c r="K174" t="str">
        <f>IFERROR(INDEX(Management!$B$3:$B$50,_xlfn.AGGREGATE(15,6,(ROW(Management!$B$3:$B$50)-ROW(Management!$B$3)+1)/((IF(Management!$C$3:$C$50="Unlimited",10^15,Management!$C$3:$C$50))&gt;='1'!$I174),COLUMN(K173))),"")</f>
        <v/>
      </c>
      <c r="L174" t="str">
        <f>IFERROR(INDEX(Management!$B$3:$B$50,_xlfn.AGGREGATE(15,6,(ROW(Management!$B$3:$B$50)-ROW(Management!$B$3)+1)/((IF(Management!$C$3:$C$50="Unlimited",10^15,Management!$C$3:$C$50))&gt;='1'!$I174),COLUMN(L173))),"")</f>
        <v/>
      </c>
      <c r="M174" t="str">
        <f>IFERROR(INDEX(Management!$B$3:$B$50,_xlfn.AGGREGATE(15,6,(ROW(Management!$B$3:$B$50)-ROW(Management!$B$3)+1)/((IF(Management!$C$3:$C$50="Unlimited",10^15,Management!$C$3:$C$50))&gt;='1'!$I174),COLUMN(M173))),"")</f>
        <v/>
      </c>
      <c r="N174" t="str">
        <f>IFERROR(INDEX(Management!$B$3:$B$50,_xlfn.AGGREGATE(15,6,(ROW(Management!$B$3:$B$50)-ROW(Management!$B$3)+1)/((IF(Management!$C$3:$C$50="Unlimited",10^15,Management!$C$3:$C$50))&gt;='1'!$I174),COLUMN(N173))),"")</f>
        <v/>
      </c>
      <c r="O174" t="str">
        <f>IFERROR(INDEX(Management!$B$3:$B$50,_xlfn.AGGREGATE(15,6,(ROW(Management!$B$3:$B$50)-ROW(Management!$B$3)+1)/((IF(Management!$C$3:$C$50="Unlimited",10^15,Management!$C$3:$C$50))&gt;='1'!$I174),COLUMN(O173))),"")</f>
        <v/>
      </c>
      <c r="P174" t="str">
        <f>IFERROR(INDEX(Management!$B$3:$B$50,_xlfn.AGGREGATE(15,6,(ROW(Management!$B$3:$B$50)-ROW(Management!$B$3)+1)/((IF(Management!$C$3:$C$50="Unlimited",10^15,Management!$C$3:$C$50))&gt;='1'!$I174),COLUMN(P173))),"")</f>
        <v/>
      </c>
      <c r="Q174" t="str">
        <f>IFERROR(INDEX(Management!$B$3:$B$50,_xlfn.AGGREGATE(15,6,(ROW(Management!$B$3:$B$50)-ROW(Management!$B$3)+1)/((IF(Management!$C$3:$C$50="Unlimited",10^15,Management!$C$3:$C$50))&gt;='1'!$I174),COLUMN(Q173))),"")</f>
        <v/>
      </c>
      <c r="R174" t="str">
        <f>IFERROR(INDEX(Management!$B$3:$B$50,_xlfn.AGGREGATE(15,6,(ROW(Management!$B$3:$B$50)-ROW(Management!$B$3)+1)/((IF(Management!$C$3:$C$50="Unlimited",10^15,Management!$C$3:$C$50))&gt;='1'!$I174),COLUMN(R173))),"")</f>
        <v/>
      </c>
      <c r="S174" t="str">
        <f>IFERROR(INDEX(Management!$B$3:$B$50,_xlfn.AGGREGATE(15,6,(ROW(Management!$B$3:$B$50)-ROW(Management!$B$3)+1)/((IF(Management!$C$3:$C$50="Unlimited",10^15,Management!$C$3:$C$50))&gt;='1'!$I174),COLUMN(S173))),"")</f>
        <v/>
      </c>
      <c r="T174" t="str">
        <f>IFERROR(INDEX(Management!$B$3:$B$50,_xlfn.AGGREGATE(15,6,(ROW(Management!$B$3:$B$50)-ROW(Management!$B$3)+1)/((IF(Management!$C$3:$C$50="Unlimited",10^15,Management!$C$3:$C$50))&gt;='1'!$I174),COLUMN(T173))),"")</f>
        <v/>
      </c>
    </row>
    <row r="175" spans="1:20">
      <c r="A175" t="str">
        <f>IFERROR(INDEX(Management!$B$3:$B$50,_xlfn.AGGREGATE(15,6,(ROW(Management!$B$3:$B$50)-ROW(Management!$B$3)+1)/((IF(Management!$C$3:$C$50="Unlimited",10^15,Management!$C$3:$C$50))&gt;='1'!$I175),COLUMN(A174))),"")</f>
        <v/>
      </c>
      <c r="B175" t="str">
        <f>IFERROR(INDEX(Management!$B$3:$B$50,_xlfn.AGGREGATE(15,6,(ROW(Management!$B$3:$B$50)-ROW(Management!$B$3)+1)/((IF(Management!$C$3:$C$50="Unlimited",10^15,Management!$C$3:$C$50))&gt;='1'!$I175),COLUMN(B174))),"")</f>
        <v/>
      </c>
      <c r="C175" t="str">
        <f>IFERROR(INDEX(Management!$B$3:$B$50,_xlfn.AGGREGATE(15,6,(ROW(Management!$B$3:$B$50)-ROW(Management!$B$3)+1)/((IF(Management!$C$3:$C$50="Unlimited",10^15,Management!$C$3:$C$50))&gt;='1'!$I175),COLUMN(C174))),"")</f>
        <v/>
      </c>
      <c r="D175" t="str">
        <f>IFERROR(INDEX(Management!$B$3:$B$50,_xlfn.AGGREGATE(15,6,(ROW(Management!$B$3:$B$50)-ROW(Management!$B$3)+1)/((IF(Management!$C$3:$C$50="Unlimited",10^15,Management!$C$3:$C$50))&gt;='1'!$I175),COLUMN(D174))),"")</f>
        <v/>
      </c>
      <c r="E175" t="str">
        <f>IFERROR(INDEX(Management!$B$3:$B$50,_xlfn.AGGREGATE(15,6,(ROW(Management!$B$3:$B$50)-ROW(Management!$B$3)+1)/((IF(Management!$C$3:$C$50="Unlimited",10^15,Management!$C$3:$C$50))&gt;='1'!$I175),COLUMN(E174))),"")</f>
        <v/>
      </c>
      <c r="F175" t="str">
        <f>IFERROR(INDEX(Management!$B$3:$B$50,_xlfn.AGGREGATE(15,6,(ROW(Management!$B$3:$B$50)-ROW(Management!$B$3)+1)/((IF(Management!$C$3:$C$50="Unlimited",10^15,Management!$C$3:$C$50))&gt;='1'!$I175),COLUMN(F174))),"")</f>
        <v/>
      </c>
      <c r="G175" t="str">
        <f>IFERROR(INDEX(Management!$B$3:$B$50,_xlfn.AGGREGATE(15,6,(ROW(Management!$B$3:$B$50)-ROW(Management!$B$3)+1)/((IF(Management!$C$3:$C$50="Unlimited",10^15,Management!$C$3:$C$50))&gt;='1'!$I175),COLUMN(G174))),"")</f>
        <v/>
      </c>
      <c r="H175" t="str">
        <f>IFERROR(INDEX(Management!$B$3:$B$50,_xlfn.AGGREGATE(15,6,(ROW(Management!$B$3:$B$50)-ROW(Management!$B$3)+1)/((IF(Management!$C$3:$C$50="Unlimited",10^15,Management!$C$3:$C$50))&gt;='1'!$I175),COLUMN(H174))),"")</f>
        <v/>
      </c>
      <c r="I175" t="str">
        <f>IFERROR(INDEX(Management!$B$3:$B$50,_xlfn.AGGREGATE(15,6,(ROW(Management!$B$3:$B$50)-ROW(Management!$B$3)+1)/((IF(Management!$C$3:$C$50="Unlimited",10^15,Management!$C$3:$C$50))&gt;='1'!$I175),COLUMN(I174))),"")</f>
        <v/>
      </c>
      <c r="J175" t="str">
        <f>IFERROR(INDEX(Management!$B$3:$B$50,_xlfn.AGGREGATE(15,6,(ROW(Management!$B$3:$B$50)-ROW(Management!$B$3)+1)/((IF(Management!$C$3:$C$50="Unlimited",10^15,Management!$C$3:$C$50))&gt;='1'!$I175),COLUMN(J174))),"")</f>
        <v/>
      </c>
      <c r="K175" t="str">
        <f>IFERROR(INDEX(Management!$B$3:$B$50,_xlfn.AGGREGATE(15,6,(ROW(Management!$B$3:$B$50)-ROW(Management!$B$3)+1)/((IF(Management!$C$3:$C$50="Unlimited",10^15,Management!$C$3:$C$50))&gt;='1'!$I175),COLUMN(K174))),"")</f>
        <v/>
      </c>
      <c r="L175" t="str">
        <f>IFERROR(INDEX(Management!$B$3:$B$50,_xlfn.AGGREGATE(15,6,(ROW(Management!$B$3:$B$50)-ROW(Management!$B$3)+1)/((IF(Management!$C$3:$C$50="Unlimited",10^15,Management!$C$3:$C$50))&gt;='1'!$I175),COLUMN(L174))),"")</f>
        <v/>
      </c>
      <c r="M175" t="str">
        <f>IFERROR(INDEX(Management!$B$3:$B$50,_xlfn.AGGREGATE(15,6,(ROW(Management!$B$3:$B$50)-ROW(Management!$B$3)+1)/((IF(Management!$C$3:$C$50="Unlimited",10^15,Management!$C$3:$C$50))&gt;='1'!$I175),COLUMN(M174))),"")</f>
        <v/>
      </c>
      <c r="N175" t="str">
        <f>IFERROR(INDEX(Management!$B$3:$B$50,_xlfn.AGGREGATE(15,6,(ROW(Management!$B$3:$B$50)-ROW(Management!$B$3)+1)/((IF(Management!$C$3:$C$50="Unlimited",10^15,Management!$C$3:$C$50))&gt;='1'!$I175),COLUMN(N174))),"")</f>
        <v/>
      </c>
      <c r="O175" t="str">
        <f>IFERROR(INDEX(Management!$B$3:$B$50,_xlfn.AGGREGATE(15,6,(ROW(Management!$B$3:$B$50)-ROW(Management!$B$3)+1)/((IF(Management!$C$3:$C$50="Unlimited",10^15,Management!$C$3:$C$50))&gt;='1'!$I175),COLUMN(O174))),"")</f>
        <v/>
      </c>
      <c r="P175" t="str">
        <f>IFERROR(INDEX(Management!$B$3:$B$50,_xlfn.AGGREGATE(15,6,(ROW(Management!$B$3:$B$50)-ROW(Management!$B$3)+1)/((IF(Management!$C$3:$C$50="Unlimited",10^15,Management!$C$3:$C$50))&gt;='1'!$I175),COLUMN(P174))),"")</f>
        <v/>
      </c>
      <c r="Q175" t="str">
        <f>IFERROR(INDEX(Management!$B$3:$B$50,_xlfn.AGGREGATE(15,6,(ROW(Management!$B$3:$B$50)-ROW(Management!$B$3)+1)/((IF(Management!$C$3:$C$50="Unlimited",10^15,Management!$C$3:$C$50))&gt;='1'!$I175),COLUMN(Q174))),"")</f>
        <v/>
      </c>
      <c r="R175" t="str">
        <f>IFERROR(INDEX(Management!$B$3:$B$50,_xlfn.AGGREGATE(15,6,(ROW(Management!$B$3:$B$50)-ROW(Management!$B$3)+1)/((IF(Management!$C$3:$C$50="Unlimited",10^15,Management!$C$3:$C$50))&gt;='1'!$I175),COLUMN(R174))),"")</f>
        <v/>
      </c>
      <c r="S175" t="str">
        <f>IFERROR(INDEX(Management!$B$3:$B$50,_xlfn.AGGREGATE(15,6,(ROW(Management!$B$3:$B$50)-ROW(Management!$B$3)+1)/((IF(Management!$C$3:$C$50="Unlimited",10^15,Management!$C$3:$C$50))&gt;='1'!$I175),COLUMN(S174))),"")</f>
        <v/>
      </c>
      <c r="T175" t="str">
        <f>IFERROR(INDEX(Management!$B$3:$B$50,_xlfn.AGGREGATE(15,6,(ROW(Management!$B$3:$B$50)-ROW(Management!$B$3)+1)/((IF(Management!$C$3:$C$50="Unlimited",10^15,Management!$C$3:$C$50))&gt;='1'!$I175),COLUMN(T174))),"")</f>
        <v/>
      </c>
    </row>
    <row r="176" spans="1:20">
      <c r="A176" t="str">
        <f>IFERROR(INDEX(Management!$B$3:$B$50,_xlfn.AGGREGATE(15,6,(ROW(Management!$B$3:$B$50)-ROW(Management!$B$3)+1)/((IF(Management!$C$3:$C$50="Unlimited",10^15,Management!$C$3:$C$50))&gt;='1'!$I176),COLUMN(A175))),"")</f>
        <v/>
      </c>
      <c r="B176" t="str">
        <f>IFERROR(INDEX(Management!$B$3:$B$50,_xlfn.AGGREGATE(15,6,(ROW(Management!$B$3:$B$50)-ROW(Management!$B$3)+1)/((IF(Management!$C$3:$C$50="Unlimited",10^15,Management!$C$3:$C$50))&gt;='1'!$I176),COLUMN(B175))),"")</f>
        <v/>
      </c>
      <c r="C176" t="str">
        <f>IFERROR(INDEX(Management!$B$3:$B$50,_xlfn.AGGREGATE(15,6,(ROW(Management!$B$3:$B$50)-ROW(Management!$B$3)+1)/((IF(Management!$C$3:$C$50="Unlimited",10^15,Management!$C$3:$C$50))&gt;='1'!$I176),COLUMN(C175))),"")</f>
        <v/>
      </c>
      <c r="D176" t="str">
        <f>IFERROR(INDEX(Management!$B$3:$B$50,_xlfn.AGGREGATE(15,6,(ROW(Management!$B$3:$B$50)-ROW(Management!$B$3)+1)/((IF(Management!$C$3:$C$50="Unlimited",10^15,Management!$C$3:$C$50))&gt;='1'!$I176),COLUMN(D175))),"")</f>
        <v/>
      </c>
      <c r="E176" t="str">
        <f>IFERROR(INDEX(Management!$B$3:$B$50,_xlfn.AGGREGATE(15,6,(ROW(Management!$B$3:$B$50)-ROW(Management!$B$3)+1)/((IF(Management!$C$3:$C$50="Unlimited",10^15,Management!$C$3:$C$50))&gt;='1'!$I176),COLUMN(E175))),"")</f>
        <v/>
      </c>
      <c r="F176" t="str">
        <f>IFERROR(INDEX(Management!$B$3:$B$50,_xlfn.AGGREGATE(15,6,(ROW(Management!$B$3:$B$50)-ROW(Management!$B$3)+1)/((IF(Management!$C$3:$C$50="Unlimited",10^15,Management!$C$3:$C$50))&gt;='1'!$I176),COLUMN(F175))),"")</f>
        <v/>
      </c>
      <c r="G176" t="str">
        <f>IFERROR(INDEX(Management!$B$3:$B$50,_xlfn.AGGREGATE(15,6,(ROW(Management!$B$3:$B$50)-ROW(Management!$B$3)+1)/((IF(Management!$C$3:$C$50="Unlimited",10^15,Management!$C$3:$C$50))&gt;='1'!$I176),COLUMN(G175))),"")</f>
        <v/>
      </c>
      <c r="H176" t="str">
        <f>IFERROR(INDEX(Management!$B$3:$B$50,_xlfn.AGGREGATE(15,6,(ROW(Management!$B$3:$B$50)-ROW(Management!$B$3)+1)/((IF(Management!$C$3:$C$50="Unlimited",10^15,Management!$C$3:$C$50))&gt;='1'!$I176),COLUMN(H175))),"")</f>
        <v/>
      </c>
      <c r="I176" t="str">
        <f>IFERROR(INDEX(Management!$B$3:$B$50,_xlfn.AGGREGATE(15,6,(ROW(Management!$B$3:$B$50)-ROW(Management!$B$3)+1)/((IF(Management!$C$3:$C$50="Unlimited",10^15,Management!$C$3:$C$50))&gt;='1'!$I176),COLUMN(I175))),"")</f>
        <v/>
      </c>
      <c r="J176" t="str">
        <f>IFERROR(INDEX(Management!$B$3:$B$50,_xlfn.AGGREGATE(15,6,(ROW(Management!$B$3:$B$50)-ROW(Management!$B$3)+1)/((IF(Management!$C$3:$C$50="Unlimited",10^15,Management!$C$3:$C$50))&gt;='1'!$I176),COLUMN(J175))),"")</f>
        <v/>
      </c>
      <c r="K176" t="str">
        <f>IFERROR(INDEX(Management!$B$3:$B$50,_xlfn.AGGREGATE(15,6,(ROW(Management!$B$3:$B$50)-ROW(Management!$B$3)+1)/((IF(Management!$C$3:$C$50="Unlimited",10^15,Management!$C$3:$C$50))&gt;='1'!$I176),COLUMN(K175))),"")</f>
        <v/>
      </c>
      <c r="L176" t="str">
        <f>IFERROR(INDEX(Management!$B$3:$B$50,_xlfn.AGGREGATE(15,6,(ROW(Management!$B$3:$B$50)-ROW(Management!$B$3)+1)/((IF(Management!$C$3:$C$50="Unlimited",10^15,Management!$C$3:$C$50))&gt;='1'!$I176),COLUMN(L175))),"")</f>
        <v/>
      </c>
      <c r="M176" t="str">
        <f>IFERROR(INDEX(Management!$B$3:$B$50,_xlfn.AGGREGATE(15,6,(ROW(Management!$B$3:$B$50)-ROW(Management!$B$3)+1)/((IF(Management!$C$3:$C$50="Unlimited",10^15,Management!$C$3:$C$50))&gt;='1'!$I176),COLUMN(M175))),"")</f>
        <v/>
      </c>
      <c r="N176" t="str">
        <f>IFERROR(INDEX(Management!$B$3:$B$50,_xlfn.AGGREGATE(15,6,(ROW(Management!$B$3:$B$50)-ROW(Management!$B$3)+1)/((IF(Management!$C$3:$C$50="Unlimited",10^15,Management!$C$3:$C$50))&gt;='1'!$I176),COLUMN(N175))),"")</f>
        <v/>
      </c>
      <c r="O176" t="str">
        <f>IFERROR(INDEX(Management!$B$3:$B$50,_xlfn.AGGREGATE(15,6,(ROW(Management!$B$3:$B$50)-ROW(Management!$B$3)+1)/((IF(Management!$C$3:$C$50="Unlimited",10^15,Management!$C$3:$C$50))&gt;='1'!$I176),COLUMN(O175))),"")</f>
        <v/>
      </c>
      <c r="P176" t="str">
        <f>IFERROR(INDEX(Management!$B$3:$B$50,_xlfn.AGGREGATE(15,6,(ROW(Management!$B$3:$B$50)-ROW(Management!$B$3)+1)/((IF(Management!$C$3:$C$50="Unlimited",10^15,Management!$C$3:$C$50))&gt;='1'!$I176),COLUMN(P175))),"")</f>
        <v/>
      </c>
      <c r="Q176" t="str">
        <f>IFERROR(INDEX(Management!$B$3:$B$50,_xlfn.AGGREGATE(15,6,(ROW(Management!$B$3:$B$50)-ROW(Management!$B$3)+1)/((IF(Management!$C$3:$C$50="Unlimited",10^15,Management!$C$3:$C$50))&gt;='1'!$I176),COLUMN(Q175))),"")</f>
        <v/>
      </c>
      <c r="R176" t="str">
        <f>IFERROR(INDEX(Management!$B$3:$B$50,_xlfn.AGGREGATE(15,6,(ROW(Management!$B$3:$B$50)-ROW(Management!$B$3)+1)/((IF(Management!$C$3:$C$50="Unlimited",10^15,Management!$C$3:$C$50))&gt;='1'!$I176),COLUMN(R175))),"")</f>
        <v/>
      </c>
      <c r="S176" t="str">
        <f>IFERROR(INDEX(Management!$B$3:$B$50,_xlfn.AGGREGATE(15,6,(ROW(Management!$B$3:$B$50)-ROW(Management!$B$3)+1)/((IF(Management!$C$3:$C$50="Unlimited",10^15,Management!$C$3:$C$50))&gt;='1'!$I176),COLUMN(S175))),"")</f>
        <v/>
      </c>
      <c r="T176" t="str">
        <f>IFERROR(INDEX(Management!$B$3:$B$50,_xlfn.AGGREGATE(15,6,(ROW(Management!$B$3:$B$50)-ROW(Management!$B$3)+1)/((IF(Management!$C$3:$C$50="Unlimited",10^15,Management!$C$3:$C$50))&gt;='1'!$I176),COLUMN(T175))),"")</f>
        <v/>
      </c>
    </row>
    <row r="177" spans="1:20">
      <c r="A177" t="str">
        <f>IFERROR(INDEX(Management!$B$3:$B$50,_xlfn.AGGREGATE(15,6,(ROW(Management!$B$3:$B$50)-ROW(Management!$B$3)+1)/((IF(Management!$C$3:$C$50="Unlimited",10^15,Management!$C$3:$C$50))&gt;='1'!$I177),COLUMN(A176))),"")</f>
        <v/>
      </c>
      <c r="B177" t="str">
        <f>IFERROR(INDEX(Management!$B$3:$B$50,_xlfn.AGGREGATE(15,6,(ROW(Management!$B$3:$B$50)-ROW(Management!$B$3)+1)/((IF(Management!$C$3:$C$50="Unlimited",10^15,Management!$C$3:$C$50))&gt;='1'!$I177),COLUMN(B176))),"")</f>
        <v/>
      </c>
      <c r="C177" t="str">
        <f>IFERROR(INDEX(Management!$B$3:$B$50,_xlfn.AGGREGATE(15,6,(ROW(Management!$B$3:$B$50)-ROW(Management!$B$3)+1)/((IF(Management!$C$3:$C$50="Unlimited",10^15,Management!$C$3:$C$50))&gt;='1'!$I177),COLUMN(C176))),"")</f>
        <v/>
      </c>
      <c r="D177" t="str">
        <f>IFERROR(INDEX(Management!$B$3:$B$50,_xlfn.AGGREGATE(15,6,(ROW(Management!$B$3:$B$50)-ROW(Management!$B$3)+1)/((IF(Management!$C$3:$C$50="Unlimited",10^15,Management!$C$3:$C$50))&gt;='1'!$I177),COLUMN(D176))),"")</f>
        <v/>
      </c>
      <c r="E177" t="str">
        <f>IFERROR(INDEX(Management!$B$3:$B$50,_xlfn.AGGREGATE(15,6,(ROW(Management!$B$3:$B$50)-ROW(Management!$B$3)+1)/((IF(Management!$C$3:$C$50="Unlimited",10^15,Management!$C$3:$C$50))&gt;='1'!$I177),COLUMN(E176))),"")</f>
        <v/>
      </c>
      <c r="F177" t="str">
        <f>IFERROR(INDEX(Management!$B$3:$B$50,_xlfn.AGGREGATE(15,6,(ROW(Management!$B$3:$B$50)-ROW(Management!$B$3)+1)/((IF(Management!$C$3:$C$50="Unlimited",10^15,Management!$C$3:$C$50))&gt;='1'!$I177),COLUMN(F176))),"")</f>
        <v/>
      </c>
      <c r="G177" t="str">
        <f>IFERROR(INDEX(Management!$B$3:$B$50,_xlfn.AGGREGATE(15,6,(ROW(Management!$B$3:$B$50)-ROW(Management!$B$3)+1)/((IF(Management!$C$3:$C$50="Unlimited",10^15,Management!$C$3:$C$50))&gt;='1'!$I177),COLUMN(G176))),"")</f>
        <v/>
      </c>
      <c r="H177" t="str">
        <f>IFERROR(INDEX(Management!$B$3:$B$50,_xlfn.AGGREGATE(15,6,(ROW(Management!$B$3:$B$50)-ROW(Management!$B$3)+1)/((IF(Management!$C$3:$C$50="Unlimited",10^15,Management!$C$3:$C$50))&gt;='1'!$I177),COLUMN(H176))),"")</f>
        <v/>
      </c>
      <c r="I177" t="str">
        <f>IFERROR(INDEX(Management!$B$3:$B$50,_xlfn.AGGREGATE(15,6,(ROW(Management!$B$3:$B$50)-ROW(Management!$B$3)+1)/((IF(Management!$C$3:$C$50="Unlimited",10^15,Management!$C$3:$C$50))&gt;='1'!$I177),COLUMN(I176))),"")</f>
        <v/>
      </c>
      <c r="J177" t="str">
        <f>IFERROR(INDEX(Management!$B$3:$B$50,_xlfn.AGGREGATE(15,6,(ROW(Management!$B$3:$B$50)-ROW(Management!$B$3)+1)/((IF(Management!$C$3:$C$50="Unlimited",10^15,Management!$C$3:$C$50))&gt;='1'!$I177),COLUMN(J176))),"")</f>
        <v/>
      </c>
      <c r="K177" t="str">
        <f>IFERROR(INDEX(Management!$B$3:$B$50,_xlfn.AGGREGATE(15,6,(ROW(Management!$B$3:$B$50)-ROW(Management!$B$3)+1)/((IF(Management!$C$3:$C$50="Unlimited",10^15,Management!$C$3:$C$50))&gt;='1'!$I177),COLUMN(K176))),"")</f>
        <v/>
      </c>
      <c r="L177" t="str">
        <f>IFERROR(INDEX(Management!$B$3:$B$50,_xlfn.AGGREGATE(15,6,(ROW(Management!$B$3:$B$50)-ROW(Management!$B$3)+1)/((IF(Management!$C$3:$C$50="Unlimited",10^15,Management!$C$3:$C$50))&gt;='1'!$I177),COLUMN(L176))),"")</f>
        <v/>
      </c>
      <c r="M177" t="str">
        <f>IFERROR(INDEX(Management!$B$3:$B$50,_xlfn.AGGREGATE(15,6,(ROW(Management!$B$3:$B$50)-ROW(Management!$B$3)+1)/((IF(Management!$C$3:$C$50="Unlimited",10^15,Management!$C$3:$C$50))&gt;='1'!$I177),COLUMN(M176))),"")</f>
        <v/>
      </c>
      <c r="N177" t="str">
        <f>IFERROR(INDEX(Management!$B$3:$B$50,_xlfn.AGGREGATE(15,6,(ROW(Management!$B$3:$B$50)-ROW(Management!$B$3)+1)/((IF(Management!$C$3:$C$50="Unlimited",10^15,Management!$C$3:$C$50))&gt;='1'!$I177),COLUMN(N176))),"")</f>
        <v/>
      </c>
      <c r="O177" t="str">
        <f>IFERROR(INDEX(Management!$B$3:$B$50,_xlfn.AGGREGATE(15,6,(ROW(Management!$B$3:$B$50)-ROW(Management!$B$3)+1)/((IF(Management!$C$3:$C$50="Unlimited",10^15,Management!$C$3:$C$50))&gt;='1'!$I177),COLUMN(O176))),"")</f>
        <v/>
      </c>
      <c r="P177" t="str">
        <f>IFERROR(INDEX(Management!$B$3:$B$50,_xlfn.AGGREGATE(15,6,(ROW(Management!$B$3:$B$50)-ROW(Management!$B$3)+1)/((IF(Management!$C$3:$C$50="Unlimited",10^15,Management!$C$3:$C$50))&gt;='1'!$I177),COLUMN(P176))),"")</f>
        <v/>
      </c>
      <c r="Q177" t="str">
        <f>IFERROR(INDEX(Management!$B$3:$B$50,_xlfn.AGGREGATE(15,6,(ROW(Management!$B$3:$B$50)-ROW(Management!$B$3)+1)/((IF(Management!$C$3:$C$50="Unlimited",10^15,Management!$C$3:$C$50))&gt;='1'!$I177),COLUMN(Q176))),"")</f>
        <v/>
      </c>
      <c r="R177" t="str">
        <f>IFERROR(INDEX(Management!$B$3:$B$50,_xlfn.AGGREGATE(15,6,(ROW(Management!$B$3:$B$50)-ROW(Management!$B$3)+1)/((IF(Management!$C$3:$C$50="Unlimited",10^15,Management!$C$3:$C$50))&gt;='1'!$I177),COLUMN(R176))),"")</f>
        <v/>
      </c>
      <c r="S177" t="str">
        <f>IFERROR(INDEX(Management!$B$3:$B$50,_xlfn.AGGREGATE(15,6,(ROW(Management!$B$3:$B$50)-ROW(Management!$B$3)+1)/((IF(Management!$C$3:$C$50="Unlimited",10^15,Management!$C$3:$C$50))&gt;='1'!$I177),COLUMN(S176))),"")</f>
        <v/>
      </c>
      <c r="T177" t="str">
        <f>IFERROR(INDEX(Management!$B$3:$B$50,_xlfn.AGGREGATE(15,6,(ROW(Management!$B$3:$B$50)-ROW(Management!$B$3)+1)/((IF(Management!$C$3:$C$50="Unlimited",10^15,Management!$C$3:$C$50))&gt;='1'!$I177),COLUMN(T176))),"")</f>
        <v/>
      </c>
    </row>
    <row r="178" spans="1:20">
      <c r="A178" t="str">
        <f>IFERROR(INDEX(Management!$B$3:$B$50,_xlfn.AGGREGATE(15,6,(ROW(Management!$B$3:$B$50)-ROW(Management!$B$3)+1)/((IF(Management!$C$3:$C$50="Unlimited",10^15,Management!$C$3:$C$50))&gt;='1'!$I178),COLUMN(A177))),"")</f>
        <v/>
      </c>
      <c r="B178" t="str">
        <f>IFERROR(INDEX(Management!$B$3:$B$50,_xlfn.AGGREGATE(15,6,(ROW(Management!$B$3:$B$50)-ROW(Management!$B$3)+1)/((IF(Management!$C$3:$C$50="Unlimited",10^15,Management!$C$3:$C$50))&gt;='1'!$I178),COLUMN(B177))),"")</f>
        <v/>
      </c>
      <c r="C178" t="str">
        <f>IFERROR(INDEX(Management!$B$3:$B$50,_xlfn.AGGREGATE(15,6,(ROW(Management!$B$3:$B$50)-ROW(Management!$B$3)+1)/((IF(Management!$C$3:$C$50="Unlimited",10^15,Management!$C$3:$C$50))&gt;='1'!$I178),COLUMN(C177))),"")</f>
        <v/>
      </c>
      <c r="D178" t="str">
        <f>IFERROR(INDEX(Management!$B$3:$B$50,_xlfn.AGGREGATE(15,6,(ROW(Management!$B$3:$B$50)-ROW(Management!$B$3)+1)/((IF(Management!$C$3:$C$50="Unlimited",10^15,Management!$C$3:$C$50))&gt;='1'!$I178),COLUMN(D177))),"")</f>
        <v/>
      </c>
      <c r="E178" t="str">
        <f>IFERROR(INDEX(Management!$B$3:$B$50,_xlfn.AGGREGATE(15,6,(ROW(Management!$B$3:$B$50)-ROW(Management!$B$3)+1)/((IF(Management!$C$3:$C$50="Unlimited",10^15,Management!$C$3:$C$50))&gt;='1'!$I178),COLUMN(E177))),"")</f>
        <v/>
      </c>
      <c r="F178" t="str">
        <f>IFERROR(INDEX(Management!$B$3:$B$50,_xlfn.AGGREGATE(15,6,(ROW(Management!$B$3:$B$50)-ROW(Management!$B$3)+1)/((IF(Management!$C$3:$C$50="Unlimited",10^15,Management!$C$3:$C$50))&gt;='1'!$I178),COLUMN(F177))),"")</f>
        <v/>
      </c>
      <c r="G178" t="str">
        <f>IFERROR(INDEX(Management!$B$3:$B$50,_xlfn.AGGREGATE(15,6,(ROW(Management!$B$3:$B$50)-ROW(Management!$B$3)+1)/((IF(Management!$C$3:$C$50="Unlimited",10^15,Management!$C$3:$C$50))&gt;='1'!$I178),COLUMN(G177))),"")</f>
        <v/>
      </c>
      <c r="H178" t="str">
        <f>IFERROR(INDEX(Management!$B$3:$B$50,_xlfn.AGGREGATE(15,6,(ROW(Management!$B$3:$B$50)-ROW(Management!$B$3)+1)/((IF(Management!$C$3:$C$50="Unlimited",10^15,Management!$C$3:$C$50))&gt;='1'!$I178),COLUMN(H177))),"")</f>
        <v/>
      </c>
      <c r="I178" t="str">
        <f>IFERROR(INDEX(Management!$B$3:$B$50,_xlfn.AGGREGATE(15,6,(ROW(Management!$B$3:$B$50)-ROW(Management!$B$3)+1)/((IF(Management!$C$3:$C$50="Unlimited",10^15,Management!$C$3:$C$50))&gt;='1'!$I178),COLUMN(I177))),"")</f>
        <v/>
      </c>
      <c r="J178" t="str">
        <f>IFERROR(INDEX(Management!$B$3:$B$50,_xlfn.AGGREGATE(15,6,(ROW(Management!$B$3:$B$50)-ROW(Management!$B$3)+1)/((IF(Management!$C$3:$C$50="Unlimited",10^15,Management!$C$3:$C$50))&gt;='1'!$I178),COLUMN(J177))),"")</f>
        <v/>
      </c>
      <c r="K178" t="str">
        <f>IFERROR(INDEX(Management!$B$3:$B$50,_xlfn.AGGREGATE(15,6,(ROW(Management!$B$3:$B$50)-ROW(Management!$B$3)+1)/((IF(Management!$C$3:$C$50="Unlimited",10^15,Management!$C$3:$C$50))&gt;='1'!$I178),COLUMN(K177))),"")</f>
        <v/>
      </c>
      <c r="L178" t="str">
        <f>IFERROR(INDEX(Management!$B$3:$B$50,_xlfn.AGGREGATE(15,6,(ROW(Management!$B$3:$B$50)-ROW(Management!$B$3)+1)/((IF(Management!$C$3:$C$50="Unlimited",10^15,Management!$C$3:$C$50))&gt;='1'!$I178),COLUMN(L177))),"")</f>
        <v/>
      </c>
      <c r="M178" t="str">
        <f>IFERROR(INDEX(Management!$B$3:$B$50,_xlfn.AGGREGATE(15,6,(ROW(Management!$B$3:$B$50)-ROW(Management!$B$3)+1)/((IF(Management!$C$3:$C$50="Unlimited",10^15,Management!$C$3:$C$50))&gt;='1'!$I178),COLUMN(M177))),"")</f>
        <v/>
      </c>
      <c r="N178" t="str">
        <f>IFERROR(INDEX(Management!$B$3:$B$50,_xlfn.AGGREGATE(15,6,(ROW(Management!$B$3:$B$50)-ROW(Management!$B$3)+1)/((IF(Management!$C$3:$C$50="Unlimited",10^15,Management!$C$3:$C$50))&gt;='1'!$I178),COLUMN(N177))),"")</f>
        <v/>
      </c>
      <c r="O178" t="str">
        <f>IFERROR(INDEX(Management!$B$3:$B$50,_xlfn.AGGREGATE(15,6,(ROW(Management!$B$3:$B$50)-ROW(Management!$B$3)+1)/((IF(Management!$C$3:$C$50="Unlimited",10^15,Management!$C$3:$C$50))&gt;='1'!$I178),COLUMN(O177))),"")</f>
        <v/>
      </c>
      <c r="P178" t="str">
        <f>IFERROR(INDEX(Management!$B$3:$B$50,_xlfn.AGGREGATE(15,6,(ROW(Management!$B$3:$B$50)-ROW(Management!$B$3)+1)/((IF(Management!$C$3:$C$50="Unlimited",10^15,Management!$C$3:$C$50))&gt;='1'!$I178),COLUMN(P177))),"")</f>
        <v/>
      </c>
      <c r="Q178" t="str">
        <f>IFERROR(INDEX(Management!$B$3:$B$50,_xlfn.AGGREGATE(15,6,(ROW(Management!$B$3:$B$50)-ROW(Management!$B$3)+1)/((IF(Management!$C$3:$C$50="Unlimited",10^15,Management!$C$3:$C$50))&gt;='1'!$I178),COLUMN(Q177))),"")</f>
        <v/>
      </c>
      <c r="R178" t="str">
        <f>IFERROR(INDEX(Management!$B$3:$B$50,_xlfn.AGGREGATE(15,6,(ROW(Management!$B$3:$B$50)-ROW(Management!$B$3)+1)/((IF(Management!$C$3:$C$50="Unlimited",10^15,Management!$C$3:$C$50))&gt;='1'!$I178),COLUMN(R177))),"")</f>
        <v/>
      </c>
      <c r="S178" t="str">
        <f>IFERROR(INDEX(Management!$B$3:$B$50,_xlfn.AGGREGATE(15,6,(ROW(Management!$B$3:$B$50)-ROW(Management!$B$3)+1)/((IF(Management!$C$3:$C$50="Unlimited",10^15,Management!$C$3:$C$50))&gt;='1'!$I178),COLUMN(S177))),"")</f>
        <v/>
      </c>
      <c r="T178" t="str">
        <f>IFERROR(INDEX(Management!$B$3:$B$50,_xlfn.AGGREGATE(15,6,(ROW(Management!$B$3:$B$50)-ROW(Management!$B$3)+1)/((IF(Management!$C$3:$C$50="Unlimited",10^15,Management!$C$3:$C$50))&gt;='1'!$I178),COLUMN(T177))),"")</f>
        <v/>
      </c>
    </row>
    <row r="179" spans="1:20">
      <c r="A179" t="str">
        <f>IFERROR(INDEX(Management!$B$3:$B$50,_xlfn.AGGREGATE(15,6,(ROW(Management!$B$3:$B$50)-ROW(Management!$B$3)+1)/((IF(Management!$C$3:$C$50="Unlimited",10^15,Management!$C$3:$C$50))&gt;='1'!$I179),COLUMN(A178))),"")</f>
        <v/>
      </c>
      <c r="B179" t="str">
        <f>IFERROR(INDEX(Management!$B$3:$B$50,_xlfn.AGGREGATE(15,6,(ROW(Management!$B$3:$B$50)-ROW(Management!$B$3)+1)/((IF(Management!$C$3:$C$50="Unlimited",10^15,Management!$C$3:$C$50))&gt;='1'!$I179),COLUMN(B178))),"")</f>
        <v/>
      </c>
      <c r="C179" t="str">
        <f>IFERROR(INDEX(Management!$B$3:$B$50,_xlfn.AGGREGATE(15,6,(ROW(Management!$B$3:$B$50)-ROW(Management!$B$3)+1)/((IF(Management!$C$3:$C$50="Unlimited",10^15,Management!$C$3:$C$50))&gt;='1'!$I179),COLUMN(C178))),"")</f>
        <v/>
      </c>
      <c r="D179" t="str">
        <f>IFERROR(INDEX(Management!$B$3:$B$50,_xlfn.AGGREGATE(15,6,(ROW(Management!$B$3:$B$50)-ROW(Management!$B$3)+1)/((IF(Management!$C$3:$C$50="Unlimited",10^15,Management!$C$3:$C$50))&gt;='1'!$I179),COLUMN(D178))),"")</f>
        <v/>
      </c>
      <c r="E179" t="str">
        <f>IFERROR(INDEX(Management!$B$3:$B$50,_xlfn.AGGREGATE(15,6,(ROW(Management!$B$3:$B$50)-ROW(Management!$B$3)+1)/((IF(Management!$C$3:$C$50="Unlimited",10^15,Management!$C$3:$C$50))&gt;='1'!$I179),COLUMN(E178))),"")</f>
        <v/>
      </c>
      <c r="F179" t="str">
        <f>IFERROR(INDEX(Management!$B$3:$B$50,_xlfn.AGGREGATE(15,6,(ROW(Management!$B$3:$B$50)-ROW(Management!$B$3)+1)/((IF(Management!$C$3:$C$50="Unlimited",10^15,Management!$C$3:$C$50))&gt;='1'!$I179),COLUMN(F178))),"")</f>
        <v/>
      </c>
      <c r="G179" t="str">
        <f>IFERROR(INDEX(Management!$B$3:$B$50,_xlfn.AGGREGATE(15,6,(ROW(Management!$B$3:$B$50)-ROW(Management!$B$3)+1)/((IF(Management!$C$3:$C$50="Unlimited",10^15,Management!$C$3:$C$50))&gt;='1'!$I179),COLUMN(G178))),"")</f>
        <v/>
      </c>
      <c r="H179" t="str">
        <f>IFERROR(INDEX(Management!$B$3:$B$50,_xlfn.AGGREGATE(15,6,(ROW(Management!$B$3:$B$50)-ROW(Management!$B$3)+1)/((IF(Management!$C$3:$C$50="Unlimited",10^15,Management!$C$3:$C$50))&gt;='1'!$I179),COLUMN(H178))),"")</f>
        <v/>
      </c>
      <c r="I179" t="str">
        <f>IFERROR(INDEX(Management!$B$3:$B$50,_xlfn.AGGREGATE(15,6,(ROW(Management!$B$3:$B$50)-ROW(Management!$B$3)+1)/((IF(Management!$C$3:$C$50="Unlimited",10^15,Management!$C$3:$C$50))&gt;='1'!$I179),COLUMN(I178))),"")</f>
        <v/>
      </c>
      <c r="J179" t="str">
        <f>IFERROR(INDEX(Management!$B$3:$B$50,_xlfn.AGGREGATE(15,6,(ROW(Management!$B$3:$B$50)-ROW(Management!$B$3)+1)/((IF(Management!$C$3:$C$50="Unlimited",10^15,Management!$C$3:$C$50))&gt;='1'!$I179),COLUMN(J178))),"")</f>
        <v/>
      </c>
      <c r="K179" t="str">
        <f>IFERROR(INDEX(Management!$B$3:$B$50,_xlfn.AGGREGATE(15,6,(ROW(Management!$B$3:$B$50)-ROW(Management!$B$3)+1)/((IF(Management!$C$3:$C$50="Unlimited",10^15,Management!$C$3:$C$50))&gt;='1'!$I179),COLUMN(K178))),"")</f>
        <v/>
      </c>
      <c r="L179" t="str">
        <f>IFERROR(INDEX(Management!$B$3:$B$50,_xlfn.AGGREGATE(15,6,(ROW(Management!$B$3:$B$50)-ROW(Management!$B$3)+1)/((IF(Management!$C$3:$C$50="Unlimited",10^15,Management!$C$3:$C$50))&gt;='1'!$I179),COLUMN(L178))),"")</f>
        <v/>
      </c>
      <c r="M179" t="str">
        <f>IFERROR(INDEX(Management!$B$3:$B$50,_xlfn.AGGREGATE(15,6,(ROW(Management!$B$3:$B$50)-ROW(Management!$B$3)+1)/((IF(Management!$C$3:$C$50="Unlimited",10^15,Management!$C$3:$C$50))&gt;='1'!$I179),COLUMN(M178))),"")</f>
        <v/>
      </c>
      <c r="N179" t="str">
        <f>IFERROR(INDEX(Management!$B$3:$B$50,_xlfn.AGGREGATE(15,6,(ROW(Management!$B$3:$B$50)-ROW(Management!$B$3)+1)/((IF(Management!$C$3:$C$50="Unlimited",10^15,Management!$C$3:$C$50))&gt;='1'!$I179),COLUMN(N178))),"")</f>
        <v/>
      </c>
      <c r="O179" t="str">
        <f>IFERROR(INDEX(Management!$B$3:$B$50,_xlfn.AGGREGATE(15,6,(ROW(Management!$B$3:$B$50)-ROW(Management!$B$3)+1)/((IF(Management!$C$3:$C$50="Unlimited",10^15,Management!$C$3:$C$50))&gt;='1'!$I179),COLUMN(O178))),"")</f>
        <v/>
      </c>
      <c r="P179" t="str">
        <f>IFERROR(INDEX(Management!$B$3:$B$50,_xlfn.AGGREGATE(15,6,(ROW(Management!$B$3:$B$50)-ROW(Management!$B$3)+1)/((IF(Management!$C$3:$C$50="Unlimited",10^15,Management!$C$3:$C$50))&gt;='1'!$I179),COLUMN(P178))),"")</f>
        <v/>
      </c>
      <c r="Q179" t="str">
        <f>IFERROR(INDEX(Management!$B$3:$B$50,_xlfn.AGGREGATE(15,6,(ROW(Management!$B$3:$B$50)-ROW(Management!$B$3)+1)/((IF(Management!$C$3:$C$50="Unlimited",10^15,Management!$C$3:$C$50))&gt;='1'!$I179),COLUMN(Q178))),"")</f>
        <v/>
      </c>
      <c r="R179" t="str">
        <f>IFERROR(INDEX(Management!$B$3:$B$50,_xlfn.AGGREGATE(15,6,(ROW(Management!$B$3:$B$50)-ROW(Management!$B$3)+1)/((IF(Management!$C$3:$C$50="Unlimited",10^15,Management!$C$3:$C$50))&gt;='1'!$I179),COLUMN(R178))),"")</f>
        <v/>
      </c>
      <c r="S179" t="str">
        <f>IFERROR(INDEX(Management!$B$3:$B$50,_xlfn.AGGREGATE(15,6,(ROW(Management!$B$3:$B$50)-ROW(Management!$B$3)+1)/((IF(Management!$C$3:$C$50="Unlimited",10^15,Management!$C$3:$C$50))&gt;='1'!$I179),COLUMN(S178))),"")</f>
        <v/>
      </c>
      <c r="T179" t="str">
        <f>IFERROR(INDEX(Management!$B$3:$B$50,_xlfn.AGGREGATE(15,6,(ROW(Management!$B$3:$B$50)-ROW(Management!$B$3)+1)/((IF(Management!$C$3:$C$50="Unlimited",10^15,Management!$C$3:$C$50))&gt;='1'!$I179),COLUMN(T178))),"")</f>
        <v/>
      </c>
    </row>
    <row r="180" spans="1:20">
      <c r="A180" t="str">
        <f>IFERROR(INDEX(Management!$B$3:$B$50,_xlfn.AGGREGATE(15,6,(ROW(Management!$B$3:$B$50)-ROW(Management!$B$3)+1)/((IF(Management!$C$3:$C$50="Unlimited",10^15,Management!$C$3:$C$50))&gt;='1'!$I180),COLUMN(A179))),"")</f>
        <v/>
      </c>
      <c r="B180" t="str">
        <f>IFERROR(INDEX(Management!$B$3:$B$50,_xlfn.AGGREGATE(15,6,(ROW(Management!$B$3:$B$50)-ROW(Management!$B$3)+1)/((IF(Management!$C$3:$C$50="Unlimited",10^15,Management!$C$3:$C$50))&gt;='1'!$I180),COLUMN(B179))),"")</f>
        <v/>
      </c>
      <c r="C180" t="str">
        <f>IFERROR(INDEX(Management!$B$3:$B$50,_xlfn.AGGREGATE(15,6,(ROW(Management!$B$3:$B$50)-ROW(Management!$B$3)+1)/((IF(Management!$C$3:$C$50="Unlimited",10^15,Management!$C$3:$C$50))&gt;='1'!$I180),COLUMN(C179))),"")</f>
        <v/>
      </c>
      <c r="D180" t="str">
        <f>IFERROR(INDEX(Management!$B$3:$B$50,_xlfn.AGGREGATE(15,6,(ROW(Management!$B$3:$B$50)-ROW(Management!$B$3)+1)/((IF(Management!$C$3:$C$50="Unlimited",10^15,Management!$C$3:$C$50))&gt;='1'!$I180),COLUMN(D179))),"")</f>
        <v/>
      </c>
      <c r="E180" t="str">
        <f>IFERROR(INDEX(Management!$B$3:$B$50,_xlfn.AGGREGATE(15,6,(ROW(Management!$B$3:$B$50)-ROW(Management!$B$3)+1)/((IF(Management!$C$3:$C$50="Unlimited",10^15,Management!$C$3:$C$50))&gt;='1'!$I180),COLUMN(E179))),"")</f>
        <v/>
      </c>
      <c r="F180" t="str">
        <f>IFERROR(INDEX(Management!$B$3:$B$50,_xlfn.AGGREGATE(15,6,(ROW(Management!$B$3:$B$50)-ROW(Management!$B$3)+1)/((IF(Management!$C$3:$C$50="Unlimited",10^15,Management!$C$3:$C$50))&gt;='1'!$I180),COLUMN(F179))),"")</f>
        <v/>
      </c>
      <c r="G180" t="str">
        <f>IFERROR(INDEX(Management!$B$3:$B$50,_xlfn.AGGREGATE(15,6,(ROW(Management!$B$3:$B$50)-ROW(Management!$B$3)+1)/((IF(Management!$C$3:$C$50="Unlimited",10^15,Management!$C$3:$C$50))&gt;='1'!$I180),COLUMN(G179))),"")</f>
        <v/>
      </c>
      <c r="H180" t="str">
        <f>IFERROR(INDEX(Management!$B$3:$B$50,_xlfn.AGGREGATE(15,6,(ROW(Management!$B$3:$B$50)-ROW(Management!$B$3)+1)/((IF(Management!$C$3:$C$50="Unlimited",10^15,Management!$C$3:$C$50))&gt;='1'!$I180),COLUMN(H179))),"")</f>
        <v/>
      </c>
      <c r="I180" t="str">
        <f>IFERROR(INDEX(Management!$B$3:$B$50,_xlfn.AGGREGATE(15,6,(ROW(Management!$B$3:$B$50)-ROW(Management!$B$3)+1)/((IF(Management!$C$3:$C$50="Unlimited",10^15,Management!$C$3:$C$50))&gt;='1'!$I180),COLUMN(I179))),"")</f>
        <v/>
      </c>
      <c r="J180" t="str">
        <f>IFERROR(INDEX(Management!$B$3:$B$50,_xlfn.AGGREGATE(15,6,(ROW(Management!$B$3:$B$50)-ROW(Management!$B$3)+1)/((IF(Management!$C$3:$C$50="Unlimited",10^15,Management!$C$3:$C$50))&gt;='1'!$I180),COLUMN(J179))),"")</f>
        <v/>
      </c>
      <c r="K180" t="str">
        <f>IFERROR(INDEX(Management!$B$3:$B$50,_xlfn.AGGREGATE(15,6,(ROW(Management!$B$3:$B$50)-ROW(Management!$B$3)+1)/((IF(Management!$C$3:$C$50="Unlimited",10^15,Management!$C$3:$C$50))&gt;='1'!$I180),COLUMN(K179))),"")</f>
        <v/>
      </c>
      <c r="L180" t="str">
        <f>IFERROR(INDEX(Management!$B$3:$B$50,_xlfn.AGGREGATE(15,6,(ROW(Management!$B$3:$B$50)-ROW(Management!$B$3)+1)/((IF(Management!$C$3:$C$50="Unlimited",10^15,Management!$C$3:$C$50))&gt;='1'!$I180),COLUMN(L179))),"")</f>
        <v/>
      </c>
      <c r="M180" t="str">
        <f>IFERROR(INDEX(Management!$B$3:$B$50,_xlfn.AGGREGATE(15,6,(ROW(Management!$B$3:$B$50)-ROW(Management!$B$3)+1)/((IF(Management!$C$3:$C$50="Unlimited",10^15,Management!$C$3:$C$50))&gt;='1'!$I180),COLUMN(M179))),"")</f>
        <v/>
      </c>
      <c r="N180" t="str">
        <f>IFERROR(INDEX(Management!$B$3:$B$50,_xlfn.AGGREGATE(15,6,(ROW(Management!$B$3:$B$50)-ROW(Management!$B$3)+1)/((IF(Management!$C$3:$C$50="Unlimited",10^15,Management!$C$3:$C$50))&gt;='1'!$I180),COLUMN(N179))),"")</f>
        <v/>
      </c>
      <c r="O180" t="str">
        <f>IFERROR(INDEX(Management!$B$3:$B$50,_xlfn.AGGREGATE(15,6,(ROW(Management!$B$3:$B$50)-ROW(Management!$B$3)+1)/((IF(Management!$C$3:$C$50="Unlimited",10^15,Management!$C$3:$C$50))&gt;='1'!$I180),COLUMN(O179))),"")</f>
        <v/>
      </c>
      <c r="P180" t="str">
        <f>IFERROR(INDEX(Management!$B$3:$B$50,_xlfn.AGGREGATE(15,6,(ROW(Management!$B$3:$B$50)-ROW(Management!$B$3)+1)/((IF(Management!$C$3:$C$50="Unlimited",10^15,Management!$C$3:$C$50))&gt;='1'!$I180),COLUMN(P179))),"")</f>
        <v/>
      </c>
      <c r="Q180" t="str">
        <f>IFERROR(INDEX(Management!$B$3:$B$50,_xlfn.AGGREGATE(15,6,(ROW(Management!$B$3:$B$50)-ROW(Management!$B$3)+1)/((IF(Management!$C$3:$C$50="Unlimited",10^15,Management!$C$3:$C$50))&gt;='1'!$I180),COLUMN(Q179))),"")</f>
        <v/>
      </c>
      <c r="R180" t="str">
        <f>IFERROR(INDEX(Management!$B$3:$B$50,_xlfn.AGGREGATE(15,6,(ROW(Management!$B$3:$B$50)-ROW(Management!$B$3)+1)/((IF(Management!$C$3:$C$50="Unlimited",10^15,Management!$C$3:$C$50))&gt;='1'!$I180),COLUMN(R179))),"")</f>
        <v/>
      </c>
      <c r="S180" t="str">
        <f>IFERROR(INDEX(Management!$B$3:$B$50,_xlfn.AGGREGATE(15,6,(ROW(Management!$B$3:$B$50)-ROW(Management!$B$3)+1)/((IF(Management!$C$3:$C$50="Unlimited",10^15,Management!$C$3:$C$50))&gt;='1'!$I180),COLUMN(S179))),"")</f>
        <v/>
      </c>
      <c r="T180" t="str">
        <f>IFERROR(INDEX(Management!$B$3:$B$50,_xlfn.AGGREGATE(15,6,(ROW(Management!$B$3:$B$50)-ROW(Management!$B$3)+1)/((IF(Management!$C$3:$C$50="Unlimited",10^15,Management!$C$3:$C$50))&gt;='1'!$I180),COLUMN(T179))),"")</f>
        <v/>
      </c>
    </row>
    <row r="181" spans="1:20">
      <c r="A181" t="str">
        <f>IFERROR(INDEX(Management!$B$3:$B$50,_xlfn.AGGREGATE(15,6,(ROW(Management!$B$3:$B$50)-ROW(Management!$B$3)+1)/((IF(Management!$C$3:$C$50="Unlimited",10^15,Management!$C$3:$C$50))&gt;='1'!$I181),COLUMN(A180))),"")</f>
        <v/>
      </c>
      <c r="B181" t="str">
        <f>IFERROR(INDEX(Management!$B$3:$B$50,_xlfn.AGGREGATE(15,6,(ROW(Management!$B$3:$B$50)-ROW(Management!$B$3)+1)/((IF(Management!$C$3:$C$50="Unlimited",10^15,Management!$C$3:$C$50))&gt;='1'!$I181),COLUMN(B180))),"")</f>
        <v/>
      </c>
      <c r="C181" t="str">
        <f>IFERROR(INDEX(Management!$B$3:$B$50,_xlfn.AGGREGATE(15,6,(ROW(Management!$B$3:$B$50)-ROW(Management!$B$3)+1)/((IF(Management!$C$3:$C$50="Unlimited",10^15,Management!$C$3:$C$50))&gt;='1'!$I181),COLUMN(C180))),"")</f>
        <v/>
      </c>
      <c r="D181" t="str">
        <f>IFERROR(INDEX(Management!$B$3:$B$50,_xlfn.AGGREGATE(15,6,(ROW(Management!$B$3:$B$50)-ROW(Management!$B$3)+1)/((IF(Management!$C$3:$C$50="Unlimited",10^15,Management!$C$3:$C$50))&gt;='1'!$I181),COLUMN(D180))),"")</f>
        <v/>
      </c>
      <c r="E181" t="str">
        <f>IFERROR(INDEX(Management!$B$3:$B$50,_xlfn.AGGREGATE(15,6,(ROW(Management!$B$3:$B$50)-ROW(Management!$B$3)+1)/((IF(Management!$C$3:$C$50="Unlimited",10^15,Management!$C$3:$C$50))&gt;='1'!$I181),COLUMN(E180))),"")</f>
        <v/>
      </c>
      <c r="F181" t="str">
        <f>IFERROR(INDEX(Management!$B$3:$B$50,_xlfn.AGGREGATE(15,6,(ROW(Management!$B$3:$B$50)-ROW(Management!$B$3)+1)/((IF(Management!$C$3:$C$50="Unlimited",10^15,Management!$C$3:$C$50))&gt;='1'!$I181),COLUMN(F180))),"")</f>
        <v/>
      </c>
      <c r="G181" t="str">
        <f>IFERROR(INDEX(Management!$B$3:$B$50,_xlfn.AGGREGATE(15,6,(ROW(Management!$B$3:$B$50)-ROW(Management!$B$3)+1)/((IF(Management!$C$3:$C$50="Unlimited",10^15,Management!$C$3:$C$50))&gt;='1'!$I181),COLUMN(G180))),"")</f>
        <v/>
      </c>
      <c r="H181" t="str">
        <f>IFERROR(INDEX(Management!$B$3:$B$50,_xlfn.AGGREGATE(15,6,(ROW(Management!$B$3:$B$50)-ROW(Management!$B$3)+1)/((IF(Management!$C$3:$C$50="Unlimited",10^15,Management!$C$3:$C$50))&gt;='1'!$I181),COLUMN(H180))),"")</f>
        <v/>
      </c>
      <c r="I181" t="str">
        <f>IFERROR(INDEX(Management!$B$3:$B$50,_xlfn.AGGREGATE(15,6,(ROW(Management!$B$3:$B$50)-ROW(Management!$B$3)+1)/((IF(Management!$C$3:$C$50="Unlimited",10^15,Management!$C$3:$C$50))&gt;='1'!$I181),COLUMN(I180))),"")</f>
        <v/>
      </c>
      <c r="J181" t="str">
        <f>IFERROR(INDEX(Management!$B$3:$B$50,_xlfn.AGGREGATE(15,6,(ROW(Management!$B$3:$B$50)-ROW(Management!$B$3)+1)/((IF(Management!$C$3:$C$50="Unlimited",10^15,Management!$C$3:$C$50))&gt;='1'!$I181),COLUMN(J180))),"")</f>
        <v/>
      </c>
      <c r="K181" t="str">
        <f>IFERROR(INDEX(Management!$B$3:$B$50,_xlfn.AGGREGATE(15,6,(ROW(Management!$B$3:$B$50)-ROW(Management!$B$3)+1)/((IF(Management!$C$3:$C$50="Unlimited",10^15,Management!$C$3:$C$50))&gt;='1'!$I181),COLUMN(K180))),"")</f>
        <v/>
      </c>
      <c r="L181" t="str">
        <f>IFERROR(INDEX(Management!$B$3:$B$50,_xlfn.AGGREGATE(15,6,(ROW(Management!$B$3:$B$50)-ROW(Management!$B$3)+1)/((IF(Management!$C$3:$C$50="Unlimited",10^15,Management!$C$3:$C$50))&gt;='1'!$I181),COLUMN(L180))),"")</f>
        <v/>
      </c>
      <c r="M181" t="str">
        <f>IFERROR(INDEX(Management!$B$3:$B$50,_xlfn.AGGREGATE(15,6,(ROW(Management!$B$3:$B$50)-ROW(Management!$B$3)+1)/((IF(Management!$C$3:$C$50="Unlimited",10^15,Management!$C$3:$C$50))&gt;='1'!$I181),COLUMN(M180))),"")</f>
        <v/>
      </c>
      <c r="N181" t="str">
        <f>IFERROR(INDEX(Management!$B$3:$B$50,_xlfn.AGGREGATE(15,6,(ROW(Management!$B$3:$B$50)-ROW(Management!$B$3)+1)/((IF(Management!$C$3:$C$50="Unlimited",10^15,Management!$C$3:$C$50))&gt;='1'!$I181),COLUMN(N180))),"")</f>
        <v/>
      </c>
      <c r="O181" t="str">
        <f>IFERROR(INDEX(Management!$B$3:$B$50,_xlfn.AGGREGATE(15,6,(ROW(Management!$B$3:$B$50)-ROW(Management!$B$3)+1)/((IF(Management!$C$3:$C$50="Unlimited",10^15,Management!$C$3:$C$50))&gt;='1'!$I181),COLUMN(O180))),"")</f>
        <v/>
      </c>
      <c r="P181" t="str">
        <f>IFERROR(INDEX(Management!$B$3:$B$50,_xlfn.AGGREGATE(15,6,(ROW(Management!$B$3:$B$50)-ROW(Management!$B$3)+1)/((IF(Management!$C$3:$C$50="Unlimited",10^15,Management!$C$3:$C$50))&gt;='1'!$I181),COLUMN(P180))),"")</f>
        <v/>
      </c>
      <c r="Q181" t="str">
        <f>IFERROR(INDEX(Management!$B$3:$B$50,_xlfn.AGGREGATE(15,6,(ROW(Management!$B$3:$B$50)-ROW(Management!$B$3)+1)/((IF(Management!$C$3:$C$50="Unlimited",10^15,Management!$C$3:$C$50))&gt;='1'!$I181),COLUMN(Q180))),"")</f>
        <v/>
      </c>
      <c r="R181" t="str">
        <f>IFERROR(INDEX(Management!$B$3:$B$50,_xlfn.AGGREGATE(15,6,(ROW(Management!$B$3:$B$50)-ROW(Management!$B$3)+1)/((IF(Management!$C$3:$C$50="Unlimited",10^15,Management!$C$3:$C$50))&gt;='1'!$I181),COLUMN(R180))),"")</f>
        <v/>
      </c>
      <c r="S181" t="str">
        <f>IFERROR(INDEX(Management!$B$3:$B$50,_xlfn.AGGREGATE(15,6,(ROW(Management!$B$3:$B$50)-ROW(Management!$B$3)+1)/((IF(Management!$C$3:$C$50="Unlimited",10^15,Management!$C$3:$C$50))&gt;='1'!$I181),COLUMN(S180))),"")</f>
        <v/>
      </c>
      <c r="T181" t="str">
        <f>IFERROR(INDEX(Management!$B$3:$B$50,_xlfn.AGGREGATE(15,6,(ROW(Management!$B$3:$B$50)-ROW(Management!$B$3)+1)/((IF(Management!$C$3:$C$50="Unlimited",10^15,Management!$C$3:$C$50))&gt;='1'!$I181),COLUMN(T180))),"")</f>
        <v/>
      </c>
    </row>
    <row r="182" spans="1:20">
      <c r="A182" t="str">
        <f>IFERROR(INDEX(Management!$B$3:$B$50,_xlfn.AGGREGATE(15,6,(ROW(Management!$B$3:$B$50)-ROW(Management!$B$3)+1)/((IF(Management!$C$3:$C$50="Unlimited",10^15,Management!$C$3:$C$50))&gt;='1'!$I182),COLUMN(A181))),"")</f>
        <v/>
      </c>
      <c r="B182" t="str">
        <f>IFERROR(INDEX(Management!$B$3:$B$50,_xlfn.AGGREGATE(15,6,(ROW(Management!$B$3:$B$50)-ROW(Management!$B$3)+1)/((IF(Management!$C$3:$C$50="Unlimited",10^15,Management!$C$3:$C$50))&gt;='1'!$I182),COLUMN(B181))),"")</f>
        <v/>
      </c>
      <c r="C182" t="str">
        <f>IFERROR(INDEX(Management!$B$3:$B$50,_xlfn.AGGREGATE(15,6,(ROW(Management!$B$3:$B$50)-ROW(Management!$B$3)+1)/((IF(Management!$C$3:$C$50="Unlimited",10^15,Management!$C$3:$C$50))&gt;='1'!$I182),COLUMN(C181))),"")</f>
        <v/>
      </c>
      <c r="D182" t="str">
        <f>IFERROR(INDEX(Management!$B$3:$B$50,_xlfn.AGGREGATE(15,6,(ROW(Management!$B$3:$B$50)-ROW(Management!$B$3)+1)/((IF(Management!$C$3:$C$50="Unlimited",10^15,Management!$C$3:$C$50))&gt;='1'!$I182),COLUMN(D181))),"")</f>
        <v/>
      </c>
      <c r="E182" t="str">
        <f>IFERROR(INDEX(Management!$B$3:$B$50,_xlfn.AGGREGATE(15,6,(ROW(Management!$B$3:$B$50)-ROW(Management!$B$3)+1)/((IF(Management!$C$3:$C$50="Unlimited",10^15,Management!$C$3:$C$50))&gt;='1'!$I182),COLUMN(E181))),"")</f>
        <v/>
      </c>
      <c r="F182" t="str">
        <f>IFERROR(INDEX(Management!$B$3:$B$50,_xlfn.AGGREGATE(15,6,(ROW(Management!$B$3:$B$50)-ROW(Management!$B$3)+1)/((IF(Management!$C$3:$C$50="Unlimited",10^15,Management!$C$3:$C$50))&gt;='1'!$I182),COLUMN(F181))),"")</f>
        <v/>
      </c>
      <c r="G182" t="str">
        <f>IFERROR(INDEX(Management!$B$3:$B$50,_xlfn.AGGREGATE(15,6,(ROW(Management!$B$3:$B$50)-ROW(Management!$B$3)+1)/((IF(Management!$C$3:$C$50="Unlimited",10^15,Management!$C$3:$C$50))&gt;='1'!$I182),COLUMN(G181))),"")</f>
        <v/>
      </c>
      <c r="H182" t="str">
        <f>IFERROR(INDEX(Management!$B$3:$B$50,_xlfn.AGGREGATE(15,6,(ROW(Management!$B$3:$B$50)-ROW(Management!$B$3)+1)/((IF(Management!$C$3:$C$50="Unlimited",10^15,Management!$C$3:$C$50))&gt;='1'!$I182),COLUMN(H181))),"")</f>
        <v/>
      </c>
      <c r="I182" t="str">
        <f>IFERROR(INDEX(Management!$B$3:$B$50,_xlfn.AGGREGATE(15,6,(ROW(Management!$B$3:$B$50)-ROW(Management!$B$3)+1)/((IF(Management!$C$3:$C$50="Unlimited",10^15,Management!$C$3:$C$50))&gt;='1'!$I182),COLUMN(I181))),"")</f>
        <v/>
      </c>
      <c r="J182" t="str">
        <f>IFERROR(INDEX(Management!$B$3:$B$50,_xlfn.AGGREGATE(15,6,(ROW(Management!$B$3:$B$50)-ROW(Management!$B$3)+1)/((IF(Management!$C$3:$C$50="Unlimited",10^15,Management!$C$3:$C$50))&gt;='1'!$I182),COLUMN(J181))),"")</f>
        <v/>
      </c>
      <c r="K182" t="str">
        <f>IFERROR(INDEX(Management!$B$3:$B$50,_xlfn.AGGREGATE(15,6,(ROW(Management!$B$3:$B$50)-ROW(Management!$B$3)+1)/((IF(Management!$C$3:$C$50="Unlimited",10^15,Management!$C$3:$C$50))&gt;='1'!$I182),COLUMN(K181))),"")</f>
        <v/>
      </c>
      <c r="L182" t="str">
        <f>IFERROR(INDEX(Management!$B$3:$B$50,_xlfn.AGGREGATE(15,6,(ROW(Management!$B$3:$B$50)-ROW(Management!$B$3)+1)/((IF(Management!$C$3:$C$50="Unlimited",10^15,Management!$C$3:$C$50))&gt;='1'!$I182),COLUMN(L181))),"")</f>
        <v/>
      </c>
      <c r="M182" t="str">
        <f>IFERROR(INDEX(Management!$B$3:$B$50,_xlfn.AGGREGATE(15,6,(ROW(Management!$B$3:$B$50)-ROW(Management!$B$3)+1)/((IF(Management!$C$3:$C$50="Unlimited",10^15,Management!$C$3:$C$50))&gt;='1'!$I182),COLUMN(M181))),"")</f>
        <v/>
      </c>
      <c r="N182" t="str">
        <f>IFERROR(INDEX(Management!$B$3:$B$50,_xlfn.AGGREGATE(15,6,(ROW(Management!$B$3:$B$50)-ROW(Management!$B$3)+1)/((IF(Management!$C$3:$C$50="Unlimited",10^15,Management!$C$3:$C$50))&gt;='1'!$I182),COLUMN(N181))),"")</f>
        <v/>
      </c>
      <c r="O182" t="str">
        <f>IFERROR(INDEX(Management!$B$3:$B$50,_xlfn.AGGREGATE(15,6,(ROW(Management!$B$3:$B$50)-ROW(Management!$B$3)+1)/((IF(Management!$C$3:$C$50="Unlimited",10^15,Management!$C$3:$C$50))&gt;='1'!$I182),COLUMN(O181))),"")</f>
        <v/>
      </c>
      <c r="P182" t="str">
        <f>IFERROR(INDEX(Management!$B$3:$B$50,_xlfn.AGGREGATE(15,6,(ROW(Management!$B$3:$B$50)-ROW(Management!$B$3)+1)/((IF(Management!$C$3:$C$50="Unlimited",10^15,Management!$C$3:$C$50))&gt;='1'!$I182),COLUMN(P181))),"")</f>
        <v/>
      </c>
      <c r="Q182" t="str">
        <f>IFERROR(INDEX(Management!$B$3:$B$50,_xlfn.AGGREGATE(15,6,(ROW(Management!$B$3:$B$50)-ROW(Management!$B$3)+1)/((IF(Management!$C$3:$C$50="Unlimited",10^15,Management!$C$3:$C$50))&gt;='1'!$I182),COLUMN(Q181))),"")</f>
        <v/>
      </c>
      <c r="R182" t="str">
        <f>IFERROR(INDEX(Management!$B$3:$B$50,_xlfn.AGGREGATE(15,6,(ROW(Management!$B$3:$B$50)-ROW(Management!$B$3)+1)/((IF(Management!$C$3:$C$50="Unlimited",10^15,Management!$C$3:$C$50))&gt;='1'!$I182),COLUMN(R181))),"")</f>
        <v/>
      </c>
      <c r="S182" t="str">
        <f>IFERROR(INDEX(Management!$B$3:$B$50,_xlfn.AGGREGATE(15,6,(ROW(Management!$B$3:$B$50)-ROW(Management!$B$3)+1)/((IF(Management!$C$3:$C$50="Unlimited",10^15,Management!$C$3:$C$50))&gt;='1'!$I182),COLUMN(S181))),"")</f>
        <v/>
      </c>
      <c r="T182" t="str">
        <f>IFERROR(INDEX(Management!$B$3:$B$50,_xlfn.AGGREGATE(15,6,(ROW(Management!$B$3:$B$50)-ROW(Management!$B$3)+1)/((IF(Management!$C$3:$C$50="Unlimited",10^15,Management!$C$3:$C$50))&gt;='1'!$I182),COLUMN(T181))),"")</f>
        <v/>
      </c>
    </row>
    <row r="183" spans="1:20">
      <c r="A183" t="str">
        <f>IFERROR(INDEX(Management!$B$3:$B$50,_xlfn.AGGREGATE(15,6,(ROW(Management!$B$3:$B$50)-ROW(Management!$B$3)+1)/((IF(Management!$C$3:$C$50="Unlimited",10^15,Management!$C$3:$C$50))&gt;='1'!$I183),COLUMN(A182))),"")</f>
        <v/>
      </c>
      <c r="B183" t="str">
        <f>IFERROR(INDEX(Management!$B$3:$B$50,_xlfn.AGGREGATE(15,6,(ROW(Management!$B$3:$B$50)-ROW(Management!$B$3)+1)/((IF(Management!$C$3:$C$50="Unlimited",10^15,Management!$C$3:$C$50))&gt;='1'!$I183),COLUMN(B182))),"")</f>
        <v/>
      </c>
      <c r="C183" t="str">
        <f>IFERROR(INDEX(Management!$B$3:$B$50,_xlfn.AGGREGATE(15,6,(ROW(Management!$B$3:$B$50)-ROW(Management!$B$3)+1)/((IF(Management!$C$3:$C$50="Unlimited",10^15,Management!$C$3:$C$50))&gt;='1'!$I183),COLUMN(C182))),"")</f>
        <v/>
      </c>
      <c r="D183" t="str">
        <f>IFERROR(INDEX(Management!$B$3:$B$50,_xlfn.AGGREGATE(15,6,(ROW(Management!$B$3:$B$50)-ROW(Management!$B$3)+1)/((IF(Management!$C$3:$C$50="Unlimited",10^15,Management!$C$3:$C$50))&gt;='1'!$I183),COLUMN(D182))),"")</f>
        <v/>
      </c>
      <c r="E183" t="str">
        <f>IFERROR(INDEX(Management!$B$3:$B$50,_xlfn.AGGREGATE(15,6,(ROW(Management!$B$3:$B$50)-ROW(Management!$B$3)+1)/((IF(Management!$C$3:$C$50="Unlimited",10^15,Management!$C$3:$C$50))&gt;='1'!$I183),COLUMN(E182))),"")</f>
        <v/>
      </c>
      <c r="F183" t="str">
        <f>IFERROR(INDEX(Management!$B$3:$B$50,_xlfn.AGGREGATE(15,6,(ROW(Management!$B$3:$B$50)-ROW(Management!$B$3)+1)/((IF(Management!$C$3:$C$50="Unlimited",10^15,Management!$C$3:$C$50))&gt;='1'!$I183),COLUMN(F182))),"")</f>
        <v/>
      </c>
      <c r="G183" t="str">
        <f>IFERROR(INDEX(Management!$B$3:$B$50,_xlfn.AGGREGATE(15,6,(ROW(Management!$B$3:$B$50)-ROW(Management!$B$3)+1)/((IF(Management!$C$3:$C$50="Unlimited",10^15,Management!$C$3:$C$50))&gt;='1'!$I183),COLUMN(G182))),"")</f>
        <v/>
      </c>
      <c r="H183" t="str">
        <f>IFERROR(INDEX(Management!$B$3:$B$50,_xlfn.AGGREGATE(15,6,(ROW(Management!$B$3:$B$50)-ROW(Management!$B$3)+1)/((IF(Management!$C$3:$C$50="Unlimited",10^15,Management!$C$3:$C$50))&gt;='1'!$I183),COLUMN(H182))),"")</f>
        <v/>
      </c>
      <c r="I183" t="str">
        <f>IFERROR(INDEX(Management!$B$3:$B$50,_xlfn.AGGREGATE(15,6,(ROW(Management!$B$3:$B$50)-ROW(Management!$B$3)+1)/((IF(Management!$C$3:$C$50="Unlimited",10^15,Management!$C$3:$C$50))&gt;='1'!$I183),COLUMN(I182))),"")</f>
        <v/>
      </c>
      <c r="J183" t="str">
        <f>IFERROR(INDEX(Management!$B$3:$B$50,_xlfn.AGGREGATE(15,6,(ROW(Management!$B$3:$B$50)-ROW(Management!$B$3)+1)/((IF(Management!$C$3:$C$50="Unlimited",10^15,Management!$C$3:$C$50))&gt;='1'!$I183),COLUMN(J182))),"")</f>
        <v/>
      </c>
      <c r="K183" t="str">
        <f>IFERROR(INDEX(Management!$B$3:$B$50,_xlfn.AGGREGATE(15,6,(ROW(Management!$B$3:$B$50)-ROW(Management!$B$3)+1)/((IF(Management!$C$3:$C$50="Unlimited",10^15,Management!$C$3:$C$50))&gt;='1'!$I183),COLUMN(K182))),"")</f>
        <v/>
      </c>
      <c r="L183" t="str">
        <f>IFERROR(INDEX(Management!$B$3:$B$50,_xlfn.AGGREGATE(15,6,(ROW(Management!$B$3:$B$50)-ROW(Management!$B$3)+1)/((IF(Management!$C$3:$C$50="Unlimited",10^15,Management!$C$3:$C$50))&gt;='1'!$I183),COLUMN(L182))),"")</f>
        <v/>
      </c>
      <c r="M183" t="str">
        <f>IFERROR(INDEX(Management!$B$3:$B$50,_xlfn.AGGREGATE(15,6,(ROW(Management!$B$3:$B$50)-ROW(Management!$B$3)+1)/((IF(Management!$C$3:$C$50="Unlimited",10^15,Management!$C$3:$C$50))&gt;='1'!$I183),COLUMN(M182))),"")</f>
        <v/>
      </c>
      <c r="N183" t="str">
        <f>IFERROR(INDEX(Management!$B$3:$B$50,_xlfn.AGGREGATE(15,6,(ROW(Management!$B$3:$B$50)-ROW(Management!$B$3)+1)/((IF(Management!$C$3:$C$50="Unlimited",10^15,Management!$C$3:$C$50))&gt;='1'!$I183),COLUMN(N182))),"")</f>
        <v/>
      </c>
      <c r="O183" t="str">
        <f>IFERROR(INDEX(Management!$B$3:$B$50,_xlfn.AGGREGATE(15,6,(ROW(Management!$B$3:$B$50)-ROW(Management!$B$3)+1)/((IF(Management!$C$3:$C$50="Unlimited",10^15,Management!$C$3:$C$50))&gt;='1'!$I183),COLUMN(O182))),"")</f>
        <v/>
      </c>
      <c r="P183" t="str">
        <f>IFERROR(INDEX(Management!$B$3:$B$50,_xlfn.AGGREGATE(15,6,(ROW(Management!$B$3:$B$50)-ROW(Management!$B$3)+1)/((IF(Management!$C$3:$C$50="Unlimited",10^15,Management!$C$3:$C$50))&gt;='1'!$I183),COLUMN(P182))),"")</f>
        <v/>
      </c>
      <c r="Q183" t="str">
        <f>IFERROR(INDEX(Management!$B$3:$B$50,_xlfn.AGGREGATE(15,6,(ROW(Management!$B$3:$B$50)-ROW(Management!$B$3)+1)/((IF(Management!$C$3:$C$50="Unlimited",10^15,Management!$C$3:$C$50))&gt;='1'!$I183),COLUMN(Q182))),"")</f>
        <v/>
      </c>
      <c r="R183" t="str">
        <f>IFERROR(INDEX(Management!$B$3:$B$50,_xlfn.AGGREGATE(15,6,(ROW(Management!$B$3:$B$50)-ROW(Management!$B$3)+1)/((IF(Management!$C$3:$C$50="Unlimited",10^15,Management!$C$3:$C$50))&gt;='1'!$I183),COLUMN(R182))),"")</f>
        <v/>
      </c>
      <c r="S183" t="str">
        <f>IFERROR(INDEX(Management!$B$3:$B$50,_xlfn.AGGREGATE(15,6,(ROW(Management!$B$3:$B$50)-ROW(Management!$B$3)+1)/((IF(Management!$C$3:$C$50="Unlimited",10^15,Management!$C$3:$C$50))&gt;='1'!$I183),COLUMN(S182))),"")</f>
        <v/>
      </c>
      <c r="T183" t="str">
        <f>IFERROR(INDEX(Management!$B$3:$B$50,_xlfn.AGGREGATE(15,6,(ROW(Management!$B$3:$B$50)-ROW(Management!$B$3)+1)/((IF(Management!$C$3:$C$50="Unlimited",10^15,Management!$C$3:$C$50))&gt;='1'!$I183),COLUMN(T182))),"")</f>
        <v/>
      </c>
    </row>
    <row r="184" spans="1:20">
      <c r="A184" t="str">
        <f>IFERROR(INDEX(Management!$B$3:$B$50,_xlfn.AGGREGATE(15,6,(ROW(Management!$B$3:$B$50)-ROW(Management!$B$3)+1)/((IF(Management!$C$3:$C$50="Unlimited",10^15,Management!$C$3:$C$50))&gt;='1'!$I184),COLUMN(A183))),"")</f>
        <v/>
      </c>
      <c r="B184" t="str">
        <f>IFERROR(INDEX(Management!$B$3:$B$50,_xlfn.AGGREGATE(15,6,(ROW(Management!$B$3:$B$50)-ROW(Management!$B$3)+1)/((IF(Management!$C$3:$C$50="Unlimited",10^15,Management!$C$3:$C$50))&gt;='1'!$I184),COLUMN(B183))),"")</f>
        <v/>
      </c>
      <c r="C184" t="str">
        <f>IFERROR(INDEX(Management!$B$3:$B$50,_xlfn.AGGREGATE(15,6,(ROW(Management!$B$3:$B$50)-ROW(Management!$B$3)+1)/((IF(Management!$C$3:$C$50="Unlimited",10^15,Management!$C$3:$C$50))&gt;='1'!$I184),COLUMN(C183))),"")</f>
        <v/>
      </c>
      <c r="D184" t="str">
        <f>IFERROR(INDEX(Management!$B$3:$B$50,_xlfn.AGGREGATE(15,6,(ROW(Management!$B$3:$B$50)-ROW(Management!$B$3)+1)/((IF(Management!$C$3:$C$50="Unlimited",10^15,Management!$C$3:$C$50))&gt;='1'!$I184),COLUMN(D183))),"")</f>
        <v/>
      </c>
      <c r="E184" t="str">
        <f>IFERROR(INDEX(Management!$B$3:$B$50,_xlfn.AGGREGATE(15,6,(ROW(Management!$B$3:$B$50)-ROW(Management!$B$3)+1)/((IF(Management!$C$3:$C$50="Unlimited",10^15,Management!$C$3:$C$50))&gt;='1'!$I184),COLUMN(E183))),"")</f>
        <v/>
      </c>
      <c r="F184" t="str">
        <f>IFERROR(INDEX(Management!$B$3:$B$50,_xlfn.AGGREGATE(15,6,(ROW(Management!$B$3:$B$50)-ROW(Management!$B$3)+1)/((IF(Management!$C$3:$C$50="Unlimited",10^15,Management!$C$3:$C$50))&gt;='1'!$I184),COLUMN(F183))),"")</f>
        <v/>
      </c>
      <c r="G184" t="str">
        <f>IFERROR(INDEX(Management!$B$3:$B$50,_xlfn.AGGREGATE(15,6,(ROW(Management!$B$3:$B$50)-ROW(Management!$B$3)+1)/((IF(Management!$C$3:$C$50="Unlimited",10^15,Management!$C$3:$C$50))&gt;='1'!$I184),COLUMN(G183))),"")</f>
        <v/>
      </c>
      <c r="H184" t="str">
        <f>IFERROR(INDEX(Management!$B$3:$B$50,_xlfn.AGGREGATE(15,6,(ROW(Management!$B$3:$B$50)-ROW(Management!$B$3)+1)/((IF(Management!$C$3:$C$50="Unlimited",10^15,Management!$C$3:$C$50))&gt;='1'!$I184),COLUMN(H183))),"")</f>
        <v/>
      </c>
      <c r="I184" t="str">
        <f>IFERROR(INDEX(Management!$B$3:$B$50,_xlfn.AGGREGATE(15,6,(ROW(Management!$B$3:$B$50)-ROW(Management!$B$3)+1)/((IF(Management!$C$3:$C$50="Unlimited",10^15,Management!$C$3:$C$50))&gt;='1'!$I184),COLUMN(I183))),"")</f>
        <v/>
      </c>
      <c r="J184" t="str">
        <f>IFERROR(INDEX(Management!$B$3:$B$50,_xlfn.AGGREGATE(15,6,(ROW(Management!$B$3:$B$50)-ROW(Management!$B$3)+1)/((IF(Management!$C$3:$C$50="Unlimited",10^15,Management!$C$3:$C$50))&gt;='1'!$I184),COLUMN(J183))),"")</f>
        <v/>
      </c>
      <c r="K184" t="str">
        <f>IFERROR(INDEX(Management!$B$3:$B$50,_xlfn.AGGREGATE(15,6,(ROW(Management!$B$3:$B$50)-ROW(Management!$B$3)+1)/((IF(Management!$C$3:$C$50="Unlimited",10^15,Management!$C$3:$C$50))&gt;='1'!$I184),COLUMN(K183))),"")</f>
        <v/>
      </c>
      <c r="L184" t="str">
        <f>IFERROR(INDEX(Management!$B$3:$B$50,_xlfn.AGGREGATE(15,6,(ROW(Management!$B$3:$B$50)-ROW(Management!$B$3)+1)/((IF(Management!$C$3:$C$50="Unlimited",10^15,Management!$C$3:$C$50))&gt;='1'!$I184),COLUMN(L183))),"")</f>
        <v/>
      </c>
      <c r="M184" t="str">
        <f>IFERROR(INDEX(Management!$B$3:$B$50,_xlfn.AGGREGATE(15,6,(ROW(Management!$B$3:$B$50)-ROW(Management!$B$3)+1)/((IF(Management!$C$3:$C$50="Unlimited",10^15,Management!$C$3:$C$50))&gt;='1'!$I184),COLUMN(M183))),"")</f>
        <v/>
      </c>
      <c r="N184" t="str">
        <f>IFERROR(INDEX(Management!$B$3:$B$50,_xlfn.AGGREGATE(15,6,(ROW(Management!$B$3:$B$50)-ROW(Management!$B$3)+1)/((IF(Management!$C$3:$C$50="Unlimited",10^15,Management!$C$3:$C$50))&gt;='1'!$I184),COLUMN(N183))),"")</f>
        <v/>
      </c>
      <c r="O184" t="str">
        <f>IFERROR(INDEX(Management!$B$3:$B$50,_xlfn.AGGREGATE(15,6,(ROW(Management!$B$3:$B$50)-ROW(Management!$B$3)+1)/((IF(Management!$C$3:$C$50="Unlimited",10^15,Management!$C$3:$C$50))&gt;='1'!$I184),COLUMN(O183))),"")</f>
        <v/>
      </c>
      <c r="P184" t="str">
        <f>IFERROR(INDEX(Management!$B$3:$B$50,_xlfn.AGGREGATE(15,6,(ROW(Management!$B$3:$B$50)-ROW(Management!$B$3)+1)/((IF(Management!$C$3:$C$50="Unlimited",10^15,Management!$C$3:$C$50))&gt;='1'!$I184),COLUMN(P183))),"")</f>
        <v/>
      </c>
      <c r="Q184" t="str">
        <f>IFERROR(INDEX(Management!$B$3:$B$50,_xlfn.AGGREGATE(15,6,(ROW(Management!$B$3:$B$50)-ROW(Management!$B$3)+1)/((IF(Management!$C$3:$C$50="Unlimited",10^15,Management!$C$3:$C$50))&gt;='1'!$I184),COLUMN(Q183))),"")</f>
        <v/>
      </c>
      <c r="R184" t="str">
        <f>IFERROR(INDEX(Management!$B$3:$B$50,_xlfn.AGGREGATE(15,6,(ROW(Management!$B$3:$B$50)-ROW(Management!$B$3)+1)/((IF(Management!$C$3:$C$50="Unlimited",10^15,Management!$C$3:$C$50))&gt;='1'!$I184),COLUMN(R183))),"")</f>
        <v/>
      </c>
      <c r="S184" t="str">
        <f>IFERROR(INDEX(Management!$B$3:$B$50,_xlfn.AGGREGATE(15,6,(ROW(Management!$B$3:$B$50)-ROW(Management!$B$3)+1)/((IF(Management!$C$3:$C$50="Unlimited",10^15,Management!$C$3:$C$50))&gt;='1'!$I184),COLUMN(S183))),"")</f>
        <v/>
      </c>
      <c r="T184" t="str">
        <f>IFERROR(INDEX(Management!$B$3:$B$50,_xlfn.AGGREGATE(15,6,(ROW(Management!$B$3:$B$50)-ROW(Management!$B$3)+1)/((IF(Management!$C$3:$C$50="Unlimited",10^15,Management!$C$3:$C$50))&gt;='1'!$I184),COLUMN(T183))),"")</f>
        <v/>
      </c>
    </row>
    <row r="185" spans="1:20">
      <c r="A185" t="str">
        <f>IFERROR(INDEX(Management!$B$3:$B$50,_xlfn.AGGREGATE(15,6,(ROW(Management!$B$3:$B$50)-ROW(Management!$B$3)+1)/((IF(Management!$C$3:$C$50="Unlimited",10^15,Management!$C$3:$C$50))&gt;='1'!$I185),COLUMN(A184))),"")</f>
        <v/>
      </c>
      <c r="B185" t="str">
        <f>IFERROR(INDEX(Management!$B$3:$B$50,_xlfn.AGGREGATE(15,6,(ROW(Management!$B$3:$B$50)-ROW(Management!$B$3)+1)/((IF(Management!$C$3:$C$50="Unlimited",10^15,Management!$C$3:$C$50))&gt;='1'!$I185),COLUMN(B184))),"")</f>
        <v/>
      </c>
      <c r="C185" t="str">
        <f>IFERROR(INDEX(Management!$B$3:$B$50,_xlfn.AGGREGATE(15,6,(ROW(Management!$B$3:$B$50)-ROW(Management!$B$3)+1)/((IF(Management!$C$3:$C$50="Unlimited",10^15,Management!$C$3:$C$50))&gt;='1'!$I185),COLUMN(C184))),"")</f>
        <v/>
      </c>
      <c r="D185" t="str">
        <f>IFERROR(INDEX(Management!$B$3:$B$50,_xlfn.AGGREGATE(15,6,(ROW(Management!$B$3:$B$50)-ROW(Management!$B$3)+1)/((IF(Management!$C$3:$C$50="Unlimited",10^15,Management!$C$3:$C$50))&gt;='1'!$I185),COLUMN(D184))),"")</f>
        <v/>
      </c>
      <c r="E185" t="str">
        <f>IFERROR(INDEX(Management!$B$3:$B$50,_xlfn.AGGREGATE(15,6,(ROW(Management!$B$3:$B$50)-ROW(Management!$B$3)+1)/((IF(Management!$C$3:$C$50="Unlimited",10^15,Management!$C$3:$C$50))&gt;='1'!$I185),COLUMN(E184))),"")</f>
        <v/>
      </c>
      <c r="F185" t="str">
        <f>IFERROR(INDEX(Management!$B$3:$B$50,_xlfn.AGGREGATE(15,6,(ROW(Management!$B$3:$B$50)-ROW(Management!$B$3)+1)/((IF(Management!$C$3:$C$50="Unlimited",10^15,Management!$C$3:$C$50))&gt;='1'!$I185),COLUMN(F184))),"")</f>
        <v/>
      </c>
      <c r="G185" t="str">
        <f>IFERROR(INDEX(Management!$B$3:$B$50,_xlfn.AGGREGATE(15,6,(ROW(Management!$B$3:$B$50)-ROW(Management!$B$3)+1)/((IF(Management!$C$3:$C$50="Unlimited",10^15,Management!$C$3:$C$50))&gt;='1'!$I185),COLUMN(G184))),"")</f>
        <v/>
      </c>
      <c r="H185" t="str">
        <f>IFERROR(INDEX(Management!$B$3:$B$50,_xlfn.AGGREGATE(15,6,(ROW(Management!$B$3:$B$50)-ROW(Management!$B$3)+1)/((IF(Management!$C$3:$C$50="Unlimited",10^15,Management!$C$3:$C$50))&gt;='1'!$I185),COLUMN(H184))),"")</f>
        <v/>
      </c>
      <c r="I185" t="str">
        <f>IFERROR(INDEX(Management!$B$3:$B$50,_xlfn.AGGREGATE(15,6,(ROW(Management!$B$3:$B$50)-ROW(Management!$B$3)+1)/((IF(Management!$C$3:$C$50="Unlimited",10^15,Management!$C$3:$C$50))&gt;='1'!$I185),COLUMN(I184))),"")</f>
        <v/>
      </c>
      <c r="J185" t="str">
        <f>IFERROR(INDEX(Management!$B$3:$B$50,_xlfn.AGGREGATE(15,6,(ROW(Management!$B$3:$B$50)-ROW(Management!$B$3)+1)/((IF(Management!$C$3:$C$50="Unlimited",10^15,Management!$C$3:$C$50))&gt;='1'!$I185),COLUMN(J184))),"")</f>
        <v/>
      </c>
      <c r="K185" t="str">
        <f>IFERROR(INDEX(Management!$B$3:$B$50,_xlfn.AGGREGATE(15,6,(ROW(Management!$B$3:$B$50)-ROW(Management!$B$3)+1)/((IF(Management!$C$3:$C$50="Unlimited",10^15,Management!$C$3:$C$50))&gt;='1'!$I185),COLUMN(K184))),"")</f>
        <v/>
      </c>
      <c r="L185" t="str">
        <f>IFERROR(INDEX(Management!$B$3:$B$50,_xlfn.AGGREGATE(15,6,(ROW(Management!$B$3:$B$50)-ROW(Management!$B$3)+1)/((IF(Management!$C$3:$C$50="Unlimited",10^15,Management!$C$3:$C$50))&gt;='1'!$I185),COLUMN(L184))),"")</f>
        <v/>
      </c>
      <c r="M185" t="str">
        <f>IFERROR(INDEX(Management!$B$3:$B$50,_xlfn.AGGREGATE(15,6,(ROW(Management!$B$3:$B$50)-ROW(Management!$B$3)+1)/((IF(Management!$C$3:$C$50="Unlimited",10^15,Management!$C$3:$C$50))&gt;='1'!$I185),COLUMN(M184))),"")</f>
        <v/>
      </c>
      <c r="N185" t="str">
        <f>IFERROR(INDEX(Management!$B$3:$B$50,_xlfn.AGGREGATE(15,6,(ROW(Management!$B$3:$B$50)-ROW(Management!$B$3)+1)/((IF(Management!$C$3:$C$50="Unlimited",10^15,Management!$C$3:$C$50))&gt;='1'!$I185),COLUMN(N184))),"")</f>
        <v/>
      </c>
      <c r="O185" t="str">
        <f>IFERROR(INDEX(Management!$B$3:$B$50,_xlfn.AGGREGATE(15,6,(ROW(Management!$B$3:$B$50)-ROW(Management!$B$3)+1)/((IF(Management!$C$3:$C$50="Unlimited",10^15,Management!$C$3:$C$50))&gt;='1'!$I185),COLUMN(O184))),"")</f>
        <v/>
      </c>
      <c r="P185" t="str">
        <f>IFERROR(INDEX(Management!$B$3:$B$50,_xlfn.AGGREGATE(15,6,(ROW(Management!$B$3:$B$50)-ROW(Management!$B$3)+1)/((IF(Management!$C$3:$C$50="Unlimited",10^15,Management!$C$3:$C$50))&gt;='1'!$I185),COLUMN(P184))),"")</f>
        <v/>
      </c>
      <c r="Q185" t="str">
        <f>IFERROR(INDEX(Management!$B$3:$B$50,_xlfn.AGGREGATE(15,6,(ROW(Management!$B$3:$B$50)-ROW(Management!$B$3)+1)/((IF(Management!$C$3:$C$50="Unlimited",10^15,Management!$C$3:$C$50))&gt;='1'!$I185),COLUMN(Q184))),"")</f>
        <v/>
      </c>
      <c r="R185" t="str">
        <f>IFERROR(INDEX(Management!$B$3:$B$50,_xlfn.AGGREGATE(15,6,(ROW(Management!$B$3:$B$50)-ROW(Management!$B$3)+1)/((IF(Management!$C$3:$C$50="Unlimited",10^15,Management!$C$3:$C$50))&gt;='1'!$I185),COLUMN(R184))),"")</f>
        <v/>
      </c>
      <c r="S185" t="str">
        <f>IFERROR(INDEX(Management!$B$3:$B$50,_xlfn.AGGREGATE(15,6,(ROW(Management!$B$3:$B$50)-ROW(Management!$B$3)+1)/((IF(Management!$C$3:$C$50="Unlimited",10^15,Management!$C$3:$C$50))&gt;='1'!$I185),COLUMN(S184))),"")</f>
        <v/>
      </c>
      <c r="T185" t="str">
        <f>IFERROR(INDEX(Management!$B$3:$B$50,_xlfn.AGGREGATE(15,6,(ROW(Management!$B$3:$B$50)-ROW(Management!$B$3)+1)/((IF(Management!$C$3:$C$50="Unlimited",10^15,Management!$C$3:$C$50))&gt;='1'!$I185),COLUMN(T184))),"")</f>
        <v/>
      </c>
    </row>
    <row r="186" spans="1:20">
      <c r="A186" t="str">
        <f>IFERROR(INDEX(Management!$B$3:$B$50,_xlfn.AGGREGATE(15,6,(ROW(Management!$B$3:$B$50)-ROW(Management!$B$3)+1)/((IF(Management!$C$3:$C$50="Unlimited",10^15,Management!$C$3:$C$50))&gt;='1'!$I186),COLUMN(A185))),"")</f>
        <v/>
      </c>
      <c r="B186" t="str">
        <f>IFERROR(INDEX(Management!$B$3:$B$50,_xlfn.AGGREGATE(15,6,(ROW(Management!$B$3:$B$50)-ROW(Management!$B$3)+1)/((IF(Management!$C$3:$C$50="Unlimited",10^15,Management!$C$3:$C$50))&gt;='1'!$I186),COLUMN(B185))),"")</f>
        <v/>
      </c>
      <c r="C186" t="str">
        <f>IFERROR(INDEX(Management!$B$3:$B$50,_xlfn.AGGREGATE(15,6,(ROW(Management!$B$3:$B$50)-ROW(Management!$B$3)+1)/((IF(Management!$C$3:$C$50="Unlimited",10^15,Management!$C$3:$C$50))&gt;='1'!$I186),COLUMN(C185))),"")</f>
        <v/>
      </c>
      <c r="D186" t="str">
        <f>IFERROR(INDEX(Management!$B$3:$B$50,_xlfn.AGGREGATE(15,6,(ROW(Management!$B$3:$B$50)-ROW(Management!$B$3)+1)/((IF(Management!$C$3:$C$50="Unlimited",10^15,Management!$C$3:$C$50))&gt;='1'!$I186),COLUMN(D185))),"")</f>
        <v/>
      </c>
      <c r="E186" t="str">
        <f>IFERROR(INDEX(Management!$B$3:$B$50,_xlfn.AGGREGATE(15,6,(ROW(Management!$B$3:$B$50)-ROW(Management!$B$3)+1)/((IF(Management!$C$3:$C$50="Unlimited",10^15,Management!$C$3:$C$50))&gt;='1'!$I186),COLUMN(E185))),"")</f>
        <v/>
      </c>
      <c r="F186" t="str">
        <f>IFERROR(INDEX(Management!$B$3:$B$50,_xlfn.AGGREGATE(15,6,(ROW(Management!$B$3:$B$50)-ROW(Management!$B$3)+1)/((IF(Management!$C$3:$C$50="Unlimited",10^15,Management!$C$3:$C$50))&gt;='1'!$I186),COLUMN(F185))),"")</f>
        <v/>
      </c>
      <c r="G186" t="str">
        <f>IFERROR(INDEX(Management!$B$3:$B$50,_xlfn.AGGREGATE(15,6,(ROW(Management!$B$3:$B$50)-ROW(Management!$B$3)+1)/((IF(Management!$C$3:$C$50="Unlimited",10^15,Management!$C$3:$C$50))&gt;='1'!$I186),COLUMN(G185))),"")</f>
        <v/>
      </c>
      <c r="H186" t="str">
        <f>IFERROR(INDEX(Management!$B$3:$B$50,_xlfn.AGGREGATE(15,6,(ROW(Management!$B$3:$B$50)-ROW(Management!$B$3)+1)/((IF(Management!$C$3:$C$50="Unlimited",10^15,Management!$C$3:$C$50))&gt;='1'!$I186),COLUMN(H185))),"")</f>
        <v/>
      </c>
      <c r="I186" t="str">
        <f>IFERROR(INDEX(Management!$B$3:$B$50,_xlfn.AGGREGATE(15,6,(ROW(Management!$B$3:$B$50)-ROW(Management!$B$3)+1)/((IF(Management!$C$3:$C$50="Unlimited",10^15,Management!$C$3:$C$50))&gt;='1'!$I186),COLUMN(I185))),"")</f>
        <v/>
      </c>
      <c r="J186" t="str">
        <f>IFERROR(INDEX(Management!$B$3:$B$50,_xlfn.AGGREGATE(15,6,(ROW(Management!$B$3:$B$50)-ROW(Management!$B$3)+1)/((IF(Management!$C$3:$C$50="Unlimited",10^15,Management!$C$3:$C$50))&gt;='1'!$I186),COLUMN(J185))),"")</f>
        <v/>
      </c>
      <c r="K186" t="str">
        <f>IFERROR(INDEX(Management!$B$3:$B$50,_xlfn.AGGREGATE(15,6,(ROW(Management!$B$3:$B$50)-ROW(Management!$B$3)+1)/((IF(Management!$C$3:$C$50="Unlimited",10^15,Management!$C$3:$C$50))&gt;='1'!$I186),COLUMN(K185))),"")</f>
        <v/>
      </c>
      <c r="L186" t="str">
        <f>IFERROR(INDEX(Management!$B$3:$B$50,_xlfn.AGGREGATE(15,6,(ROW(Management!$B$3:$B$50)-ROW(Management!$B$3)+1)/((IF(Management!$C$3:$C$50="Unlimited",10^15,Management!$C$3:$C$50))&gt;='1'!$I186),COLUMN(L185))),"")</f>
        <v/>
      </c>
      <c r="M186" t="str">
        <f>IFERROR(INDEX(Management!$B$3:$B$50,_xlfn.AGGREGATE(15,6,(ROW(Management!$B$3:$B$50)-ROW(Management!$B$3)+1)/((IF(Management!$C$3:$C$50="Unlimited",10^15,Management!$C$3:$C$50))&gt;='1'!$I186),COLUMN(M185))),"")</f>
        <v/>
      </c>
      <c r="N186" t="str">
        <f>IFERROR(INDEX(Management!$B$3:$B$50,_xlfn.AGGREGATE(15,6,(ROW(Management!$B$3:$B$50)-ROW(Management!$B$3)+1)/((IF(Management!$C$3:$C$50="Unlimited",10^15,Management!$C$3:$C$50))&gt;='1'!$I186),COLUMN(N185))),"")</f>
        <v/>
      </c>
      <c r="O186" t="str">
        <f>IFERROR(INDEX(Management!$B$3:$B$50,_xlfn.AGGREGATE(15,6,(ROW(Management!$B$3:$B$50)-ROW(Management!$B$3)+1)/((IF(Management!$C$3:$C$50="Unlimited",10^15,Management!$C$3:$C$50))&gt;='1'!$I186),COLUMN(O185))),"")</f>
        <v/>
      </c>
      <c r="P186" t="str">
        <f>IFERROR(INDEX(Management!$B$3:$B$50,_xlfn.AGGREGATE(15,6,(ROW(Management!$B$3:$B$50)-ROW(Management!$B$3)+1)/((IF(Management!$C$3:$C$50="Unlimited",10^15,Management!$C$3:$C$50))&gt;='1'!$I186),COLUMN(P185))),"")</f>
        <v/>
      </c>
      <c r="Q186" t="str">
        <f>IFERROR(INDEX(Management!$B$3:$B$50,_xlfn.AGGREGATE(15,6,(ROW(Management!$B$3:$B$50)-ROW(Management!$B$3)+1)/((IF(Management!$C$3:$C$50="Unlimited",10^15,Management!$C$3:$C$50))&gt;='1'!$I186),COLUMN(Q185))),"")</f>
        <v/>
      </c>
      <c r="R186" t="str">
        <f>IFERROR(INDEX(Management!$B$3:$B$50,_xlfn.AGGREGATE(15,6,(ROW(Management!$B$3:$B$50)-ROW(Management!$B$3)+1)/((IF(Management!$C$3:$C$50="Unlimited",10^15,Management!$C$3:$C$50))&gt;='1'!$I186),COLUMN(R185))),"")</f>
        <v/>
      </c>
      <c r="S186" t="str">
        <f>IFERROR(INDEX(Management!$B$3:$B$50,_xlfn.AGGREGATE(15,6,(ROW(Management!$B$3:$B$50)-ROW(Management!$B$3)+1)/((IF(Management!$C$3:$C$50="Unlimited",10^15,Management!$C$3:$C$50))&gt;='1'!$I186),COLUMN(S185))),"")</f>
        <v/>
      </c>
      <c r="T186" t="str">
        <f>IFERROR(INDEX(Management!$B$3:$B$50,_xlfn.AGGREGATE(15,6,(ROW(Management!$B$3:$B$50)-ROW(Management!$B$3)+1)/((IF(Management!$C$3:$C$50="Unlimited",10^15,Management!$C$3:$C$50))&gt;='1'!$I186),COLUMN(T185))),"")</f>
        <v/>
      </c>
    </row>
    <row r="187" spans="1:20">
      <c r="A187" t="str">
        <f>IFERROR(INDEX(Management!$B$3:$B$50,_xlfn.AGGREGATE(15,6,(ROW(Management!$B$3:$B$50)-ROW(Management!$B$3)+1)/((IF(Management!$C$3:$C$50="Unlimited",10^15,Management!$C$3:$C$50))&gt;='1'!$I187),COLUMN(A186))),"")</f>
        <v/>
      </c>
      <c r="B187" t="str">
        <f>IFERROR(INDEX(Management!$B$3:$B$50,_xlfn.AGGREGATE(15,6,(ROW(Management!$B$3:$B$50)-ROW(Management!$B$3)+1)/((IF(Management!$C$3:$C$50="Unlimited",10^15,Management!$C$3:$C$50))&gt;='1'!$I187),COLUMN(B186))),"")</f>
        <v/>
      </c>
      <c r="C187" t="str">
        <f>IFERROR(INDEX(Management!$B$3:$B$50,_xlfn.AGGREGATE(15,6,(ROW(Management!$B$3:$B$50)-ROW(Management!$B$3)+1)/((IF(Management!$C$3:$C$50="Unlimited",10^15,Management!$C$3:$C$50))&gt;='1'!$I187),COLUMN(C186))),"")</f>
        <v/>
      </c>
      <c r="D187" t="str">
        <f>IFERROR(INDEX(Management!$B$3:$B$50,_xlfn.AGGREGATE(15,6,(ROW(Management!$B$3:$B$50)-ROW(Management!$B$3)+1)/((IF(Management!$C$3:$C$50="Unlimited",10^15,Management!$C$3:$C$50))&gt;='1'!$I187),COLUMN(D186))),"")</f>
        <v/>
      </c>
      <c r="E187" t="str">
        <f>IFERROR(INDEX(Management!$B$3:$B$50,_xlfn.AGGREGATE(15,6,(ROW(Management!$B$3:$B$50)-ROW(Management!$B$3)+1)/((IF(Management!$C$3:$C$50="Unlimited",10^15,Management!$C$3:$C$50))&gt;='1'!$I187),COLUMN(E186))),"")</f>
        <v/>
      </c>
      <c r="F187" t="str">
        <f>IFERROR(INDEX(Management!$B$3:$B$50,_xlfn.AGGREGATE(15,6,(ROW(Management!$B$3:$B$50)-ROW(Management!$B$3)+1)/((IF(Management!$C$3:$C$50="Unlimited",10^15,Management!$C$3:$C$50))&gt;='1'!$I187),COLUMN(F186))),"")</f>
        <v/>
      </c>
      <c r="G187" t="str">
        <f>IFERROR(INDEX(Management!$B$3:$B$50,_xlfn.AGGREGATE(15,6,(ROW(Management!$B$3:$B$50)-ROW(Management!$B$3)+1)/((IF(Management!$C$3:$C$50="Unlimited",10^15,Management!$C$3:$C$50))&gt;='1'!$I187),COLUMN(G186))),"")</f>
        <v/>
      </c>
      <c r="H187" t="str">
        <f>IFERROR(INDEX(Management!$B$3:$B$50,_xlfn.AGGREGATE(15,6,(ROW(Management!$B$3:$B$50)-ROW(Management!$B$3)+1)/((IF(Management!$C$3:$C$50="Unlimited",10^15,Management!$C$3:$C$50))&gt;='1'!$I187),COLUMN(H186))),"")</f>
        <v/>
      </c>
      <c r="I187" t="str">
        <f>IFERROR(INDEX(Management!$B$3:$B$50,_xlfn.AGGREGATE(15,6,(ROW(Management!$B$3:$B$50)-ROW(Management!$B$3)+1)/((IF(Management!$C$3:$C$50="Unlimited",10^15,Management!$C$3:$C$50))&gt;='1'!$I187),COLUMN(I186))),"")</f>
        <v/>
      </c>
      <c r="J187" t="str">
        <f>IFERROR(INDEX(Management!$B$3:$B$50,_xlfn.AGGREGATE(15,6,(ROW(Management!$B$3:$B$50)-ROW(Management!$B$3)+1)/((IF(Management!$C$3:$C$50="Unlimited",10^15,Management!$C$3:$C$50))&gt;='1'!$I187),COLUMN(J186))),"")</f>
        <v/>
      </c>
      <c r="K187" t="str">
        <f>IFERROR(INDEX(Management!$B$3:$B$50,_xlfn.AGGREGATE(15,6,(ROW(Management!$B$3:$B$50)-ROW(Management!$B$3)+1)/((IF(Management!$C$3:$C$50="Unlimited",10^15,Management!$C$3:$C$50))&gt;='1'!$I187),COLUMN(K186))),"")</f>
        <v/>
      </c>
      <c r="L187" t="str">
        <f>IFERROR(INDEX(Management!$B$3:$B$50,_xlfn.AGGREGATE(15,6,(ROW(Management!$B$3:$B$50)-ROW(Management!$B$3)+1)/((IF(Management!$C$3:$C$50="Unlimited",10^15,Management!$C$3:$C$50))&gt;='1'!$I187),COLUMN(L186))),"")</f>
        <v/>
      </c>
      <c r="M187" t="str">
        <f>IFERROR(INDEX(Management!$B$3:$B$50,_xlfn.AGGREGATE(15,6,(ROW(Management!$B$3:$B$50)-ROW(Management!$B$3)+1)/((IF(Management!$C$3:$C$50="Unlimited",10^15,Management!$C$3:$C$50))&gt;='1'!$I187),COLUMN(M186))),"")</f>
        <v/>
      </c>
      <c r="N187" t="str">
        <f>IFERROR(INDEX(Management!$B$3:$B$50,_xlfn.AGGREGATE(15,6,(ROW(Management!$B$3:$B$50)-ROW(Management!$B$3)+1)/((IF(Management!$C$3:$C$50="Unlimited",10^15,Management!$C$3:$C$50))&gt;='1'!$I187),COLUMN(N186))),"")</f>
        <v/>
      </c>
      <c r="O187" t="str">
        <f>IFERROR(INDEX(Management!$B$3:$B$50,_xlfn.AGGREGATE(15,6,(ROW(Management!$B$3:$B$50)-ROW(Management!$B$3)+1)/((IF(Management!$C$3:$C$50="Unlimited",10^15,Management!$C$3:$C$50))&gt;='1'!$I187),COLUMN(O186))),"")</f>
        <v/>
      </c>
      <c r="P187" t="str">
        <f>IFERROR(INDEX(Management!$B$3:$B$50,_xlfn.AGGREGATE(15,6,(ROW(Management!$B$3:$B$50)-ROW(Management!$B$3)+1)/((IF(Management!$C$3:$C$50="Unlimited",10^15,Management!$C$3:$C$50))&gt;='1'!$I187),COLUMN(P186))),"")</f>
        <v/>
      </c>
      <c r="Q187" t="str">
        <f>IFERROR(INDEX(Management!$B$3:$B$50,_xlfn.AGGREGATE(15,6,(ROW(Management!$B$3:$B$50)-ROW(Management!$B$3)+1)/((IF(Management!$C$3:$C$50="Unlimited",10^15,Management!$C$3:$C$50))&gt;='1'!$I187),COLUMN(Q186))),"")</f>
        <v/>
      </c>
      <c r="R187" t="str">
        <f>IFERROR(INDEX(Management!$B$3:$B$50,_xlfn.AGGREGATE(15,6,(ROW(Management!$B$3:$B$50)-ROW(Management!$B$3)+1)/((IF(Management!$C$3:$C$50="Unlimited",10^15,Management!$C$3:$C$50))&gt;='1'!$I187),COLUMN(R186))),"")</f>
        <v/>
      </c>
      <c r="S187" t="str">
        <f>IFERROR(INDEX(Management!$B$3:$B$50,_xlfn.AGGREGATE(15,6,(ROW(Management!$B$3:$B$50)-ROW(Management!$B$3)+1)/((IF(Management!$C$3:$C$50="Unlimited",10^15,Management!$C$3:$C$50))&gt;='1'!$I187),COLUMN(S186))),"")</f>
        <v/>
      </c>
      <c r="T187" t="str">
        <f>IFERROR(INDEX(Management!$B$3:$B$50,_xlfn.AGGREGATE(15,6,(ROW(Management!$B$3:$B$50)-ROW(Management!$B$3)+1)/((IF(Management!$C$3:$C$50="Unlimited",10^15,Management!$C$3:$C$50))&gt;='1'!$I187),COLUMN(T186))),"")</f>
        <v/>
      </c>
    </row>
    <row r="188" spans="1:20">
      <c r="A188" t="str">
        <f>IFERROR(INDEX(Management!$B$3:$B$50,_xlfn.AGGREGATE(15,6,(ROW(Management!$B$3:$B$50)-ROW(Management!$B$3)+1)/((IF(Management!$C$3:$C$50="Unlimited",10^15,Management!$C$3:$C$50))&gt;='1'!$I188),COLUMN(A187))),"")</f>
        <v/>
      </c>
      <c r="B188" t="str">
        <f>IFERROR(INDEX(Management!$B$3:$B$50,_xlfn.AGGREGATE(15,6,(ROW(Management!$B$3:$B$50)-ROW(Management!$B$3)+1)/((IF(Management!$C$3:$C$50="Unlimited",10^15,Management!$C$3:$C$50))&gt;='1'!$I188),COLUMN(B187))),"")</f>
        <v/>
      </c>
      <c r="C188" t="str">
        <f>IFERROR(INDEX(Management!$B$3:$B$50,_xlfn.AGGREGATE(15,6,(ROW(Management!$B$3:$B$50)-ROW(Management!$B$3)+1)/((IF(Management!$C$3:$C$50="Unlimited",10^15,Management!$C$3:$C$50))&gt;='1'!$I188),COLUMN(C187))),"")</f>
        <v/>
      </c>
      <c r="D188" t="str">
        <f>IFERROR(INDEX(Management!$B$3:$B$50,_xlfn.AGGREGATE(15,6,(ROW(Management!$B$3:$B$50)-ROW(Management!$B$3)+1)/((IF(Management!$C$3:$C$50="Unlimited",10^15,Management!$C$3:$C$50))&gt;='1'!$I188),COLUMN(D187))),"")</f>
        <v/>
      </c>
      <c r="E188" t="str">
        <f>IFERROR(INDEX(Management!$B$3:$B$50,_xlfn.AGGREGATE(15,6,(ROW(Management!$B$3:$B$50)-ROW(Management!$B$3)+1)/((IF(Management!$C$3:$C$50="Unlimited",10^15,Management!$C$3:$C$50))&gt;='1'!$I188),COLUMN(E187))),"")</f>
        <v/>
      </c>
      <c r="F188" t="str">
        <f>IFERROR(INDEX(Management!$B$3:$B$50,_xlfn.AGGREGATE(15,6,(ROW(Management!$B$3:$B$50)-ROW(Management!$B$3)+1)/((IF(Management!$C$3:$C$50="Unlimited",10^15,Management!$C$3:$C$50))&gt;='1'!$I188),COLUMN(F187))),"")</f>
        <v/>
      </c>
      <c r="G188" t="str">
        <f>IFERROR(INDEX(Management!$B$3:$B$50,_xlfn.AGGREGATE(15,6,(ROW(Management!$B$3:$B$50)-ROW(Management!$B$3)+1)/((IF(Management!$C$3:$C$50="Unlimited",10^15,Management!$C$3:$C$50))&gt;='1'!$I188),COLUMN(G187))),"")</f>
        <v/>
      </c>
      <c r="H188" t="str">
        <f>IFERROR(INDEX(Management!$B$3:$B$50,_xlfn.AGGREGATE(15,6,(ROW(Management!$B$3:$B$50)-ROW(Management!$B$3)+1)/((IF(Management!$C$3:$C$50="Unlimited",10^15,Management!$C$3:$C$50))&gt;='1'!$I188),COLUMN(H187))),"")</f>
        <v/>
      </c>
      <c r="I188" t="str">
        <f>IFERROR(INDEX(Management!$B$3:$B$50,_xlfn.AGGREGATE(15,6,(ROW(Management!$B$3:$B$50)-ROW(Management!$B$3)+1)/((IF(Management!$C$3:$C$50="Unlimited",10^15,Management!$C$3:$C$50))&gt;='1'!$I188),COLUMN(I187))),"")</f>
        <v/>
      </c>
      <c r="J188" t="str">
        <f>IFERROR(INDEX(Management!$B$3:$B$50,_xlfn.AGGREGATE(15,6,(ROW(Management!$B$3:$B$50)-ROW(Management!$B$3)+1)/((IF(Management!$C$3:$C$50="Unlimited",10^15,Management!$C$3:$C$50))&gt;='1'!$I188),COLUMN(J187))),"")</f>
        <v/>
      </c>
      <c r="K188" t="str">
        <f>IFERROR(INDEX(Management!$B$3:$B$50,_xlfn.AGGREGATE(15,6,(ROW(Management!$B$3:$B$50)-ROW(Management!$B$3)+1)/((IF(Management!$C$3:$C$50="Unlimited",10^15,Management!$C$3:$C$50))&gt;='1'!$I188),COLUMN(K187))),"")</f>
        <v/>
      </c>
      <c r="L188" t="str">
        <f>IFERROR(INDEX(Management!$B$3:$B$50,_xlfn.AGGREGATE(15,6,(ROW(Management!$B$3:$B$50)-ROW(Management!$B$3)+1)/((IF(Management!$C$3:$C$50="Unlimited",10^15,Management!$C$3:$C$50))&gt;='1'!$I188),COLUMN(L187))),"")</f>
        <v/>
      </c>
      <c r="M188" t="str">
        <f>IFERROR(INDEX(Management!$B$3:$B$50,_xlfn.AGGREGATE(15,6,(ROW(Management!$B$3:$B$50)-ROW(Management!$B$3)+1)/((IF(Management!$C$3:$C$50="Unlimited",10^15,Management!$C$3:$C$50))&gt;='1'!$I188),COLUMN(M187))),"")</f>
        <v/>
      </c>
      <c r="N188" t="str">
        <f>IFERROR(INDEX(Management!$B$3:$B$50,_xlfn.AGGREGATE(15,6,(ROW(Management!$B$3:$B$50)-ROW(Management!$B$3)+1)/((IF(Management!$C$3:$C$50="Unlimited",10^15,Management!$C$3:$C$50))&gt;='1'!$I188),COLUMN(N187))),"")</f>
        <v/>
      </c>
      <c r="O188" t="str">
        <f>IFERROR(INDEX(Management!$B$3:$B$50,_xlfn.AGGREGATE(15,6,(ROW(Management!$B$3:$B$50)-ROW(Management!$B$3)+1)/((IF(Management!$C$3:$C$50="Unlimited",10^15,Management!$C$3:$C$50))&gt;='1'!$I188),COLUMN(O187))),"")</f>
        <v/>
      </c>
      <c r="P188" t="str">
        <f>IFERROR(INDEX(Management!$B$3:$B$50,_xlfn.AGGREGATE(15,6,(ROW(Management!$B$3:$B$50)-ROW(Management!$B$3)+1)/((IF(Management!$C$3:$C$50="Unlimited",10^15,Management!$C$3:$C$50))&gt;='1'!$I188),COLUMN(P187))),"")</f>
        <v/>
      </c>
      <c r="Q188" t="str">
        <f>IFERROR(INDEX(Management!$B$3:$B$50,_xlfn.AGGREGATE(15,6,(ROW(Management!$B$3:$B$50)-ROW(Management!$B$3)+1)/((IF(Management!$C$3:$C$50="Unlimited",10^15,Management!$C$3:$C$50))&gt;='1'!$I188),COLUMN(Q187))),"")</f>
        <v/>
      </c>
      <c r="R188" t="str">
        <f>IFERROR(INDEX(Management!$B$3:$B$50,_xlfn.AGGREGATE(15,6,(ROW(Management!$B$3:$B$50)-ROW(Management!$B$3)+1)/((IF(Management!$C$3:$C$50="Unlimited",10^15,Management!$C$3:$C$50))&gt;='1'!$I188),COLUMN(R187))),"")</f>
        <v/>
      </c>
      <c r="S188" t="str">
        <f>IFERROR(INDEX(Management!$B$3:$B$50,_xlfn.AGGREGATE(15,6,(ROW(Management!$B$3:$B$50)-ROW(Management!$B$3)+1)/((IF(Management!$C$3:$C$50="Unlimited",10^15,Management!$C$3:$C$50))&gt;='1'!$I188),COLUMN(S187))),"")</f>
        <v/>
      </c>
      <c r="T188" t="str">
        <f>IFERROR(INDEX(Management!$B$3:$B$50,_xlfn.AGGREGATE(15,6,(ROW(Management!$B$3:$B$50)-ROW(Management!$B$3)+1)/((IF(Management!$C$3:$C$50="Unlimited",10^15,Management!$C$3:$C$50))&gt;='1'!$I188),COLUMN(T187))),"")</f>
        <v/>
      </c>
    </row>
    <row r="189" spans="1:20">
      <c r="A189" t="str">
        <f>IFERROR(INDEX(Management!$B$3:$B$50,_xlfn.AGGREGATE(15,6,(ROW(Management!$B$3:$B$50)-ROW(Management!$B$3)+1)/((IF(Management!$C$3:$C$50="Unlimited",10^15,Management!$C$3:$C$50))&gt;='1'!$I189),COLUMN(A188))),"")</f>
        <v/>
      </c>
      <c r="B189" t="str">
        <f>IFERROR(INDEX(Management!$B$3:$B$50,_xlfn.AGGREGATE(15,6,(ROW(Management!$B$3:$B$50)-ROW(Management!$B$3)+1)/((IF(Management!$C$3:$C$50="Unlimited",10^15,Management!$C$3:$C$50))&gt;='1'!$I189),COLUMN(B188))),"")</f>
        <v/>
      </c>
      <c r="C189" t="str">
        <f>IFERROR(INDEX(Management!$B$3:$B$50,_xlfn.AGGREGATE(15,6,(ROW(Management!$B$3:$B$50)-ROW(Management!$B$3)+1)/((IF(Management!$C$3:$C$50="Unlimited",10^15,Management!$C$3:$C$50))&gt;='1'!$I189),COLUMN(C188))),"")</f>
        <v/>
      </c>
      <c r="D189" t="str">
        <f>IFERROR(INDEX(Management!$B$3:$B$50,_xlfn.AGGREGATE(15,6,(ROW(Management!$B$3:$B$50)-ROW(Management!$B$3)+1)/((IF(Management!$C$3:$C$50="Unlimited",10^15,Management!$C$3:$C$50))&gt;='1'!$I189),COLUMN(D188))),"")</f>
        <v/>
      </c>
      <c r="E189" t="str">
        <f>IFERROR(INDEX(Management!$B$3:$B$50,_xlfn.AGGREGATE(15,6,(ROW(Management!$B$3:$B$50)-ROW(Management!$B$3)+1)/((IF(Management!$C$3:$C$50="Unlimited",10^15,Management!$C$3:$C$50))&gt;='1'!$I189),COLUMN(E188))),"")</f>
        <v/>
      </c>
      <c r="F189" t="str">
        <f>IFERROR(INDEX(Management!$B$3:$B$50,_xlfn.AGGREGATE(15,6,(ROW(Management!$B$3:$B$50)-ROW(Management!$B$3)+1)/((IF(Management!$C$3:$C$50="Unlimited",10^15,Management!$C$3:$C$50))&gt;='1'!$I189),COLUMN(F188))),"")</f>
        <v/>
      </c>
      <c r="G189" t="str">
        <f>IFERROR(INDEX(Management!$B$3:$B$50,_xlfn.AGGREGATE(15,6,(ROW(Management!$B$3:$B$50)-ROW(Management!$B$3)+1)/((IF(Management!$C$3:$C$50="Unlimited",10^15,Management!$C$3:$C$50))&gt;='1'!$I189),COLUMN(G188))),"")</f>
        <v/>
      </c>
      <c r="H189" t="str">
        <f>IFERROR(INDEX(Management!$B$3:$B$50,_xlfn.AGGREGATE(15,6,(ROW(Management!$B$3:$B$50)-ROW(Management!$B$3)+1)/((IF(Management!$C$3:$C$50="Unlimited",10^15,Management!$C$3:$C$50))&gt;='1'!$I189),COLUMN(H188))),"")</f>
        <v/>
      </c>
      <c r="I189" t="str">
        <f>IFERROR(INDEX(Management!$B$3:$B$50,_xlfn.AGGREGATE(15,6,(ROW(Management!$B$3:$B$50)-ROW(Management!$B$3)+1)/((IF(Management!$C$3:$C$50="Unlimited",10^15,Management!$C$3:$C$50))&gt;='1'!$I189),COLUMN(I188))),"")</f>
        <v/>
      </c>
      <c r="J189" t="str">
        <f>IFERROR(INDEX(Management!$B$3:$B$50,_xlfn.AGGREGATE(15,6,(ROW(Management!$B$3:$B$50)-ROW(Management!$B$3)+1)/((IF(Management!$C$3:$C$50="Unlimited",10^15,Management!$C$3:$C$50))&gt;='1'!$I189),COLUMN(J188))),"")</f>
        <v/>
      </c>
      <c r="K189" t="str">
        <f>IFERROR(INDEX(Management!$B$3:$B$50,_xlfn.AGGREGATE(15,6,(ROW(Management!$B$3:$B$50)-ROW(Management!$B$3)+1)/((IF(Management!$C$3:$C$50="Unlimited",10^15,Management!$C$3:$C$50))&gt;='1'!$I189),COLUMN(K188))),"")</f>
        <v/>
      </c>
      <c r="L189" t="str">
        <f>IFERROR(INDEX(Management!$B$3:$B$50,_xlfn.AGGREGATE(15,6,(ROW(Management!$B$3:$B$50)-ROW(Management!$B$3)+1)/((IF(Management!$C$3:$C$50="Unlimited",10^15,Management!$C$3:$C$50))&gt;='1'!$I189),COLUMN(L188))),"")</f>
        <v/>
      </c>
      <c r="M189" t="str">
        <f>IFERROR(INDEX(Management!$B$3:$B$50,_xlfn.AGGREGATE(15,6,(ROW(Management!$B$3:$B$50)-ROW(Management!$B$3)+1)/((IF(Management!$C$3:$C$50="Unlimited",10^15,Management!$C$3:$C$50))&gt;='1'!$I189),COLUMN(M188))),"")</f>
        <v/>
      </c>
      <c r="N189" t="str">
        <f>IFERROR(INDEX(Management!$B$3:$B$50,_xlfn.AGGREGATE(15,6,(ROW(Management!$B$3:$B$50)-ROW(Management!$B$3)+1)/((IF(Management!$C$3:$C$50="Unlimited",10^15,Management!$C$3:$C$50))&gt;='1'!$I189),COLUMN(N188))),"")</f>
        <v/>
      </c>
      <c r="O189" t="str">
        <f>IFERROR(INDEX(Management!$B$3:$B$50,_xlfn.AGGREGATE(15,6,(ROW(Management!$B$3:$B$50)-ROW(Management!$B$3)+1)/((IF(Management!$C$3:$C$50="Unlimited",10^15,Management!$C$3:$C$50))&gt;='1'!$I189),COLUMN(O188))),"")</f>
        <v/>
      </c>
      <c r="P189" t="str">
        <f>IFERROR(INDEX(Management!$B$3:$B$50,_xlfn.AGGREGATE(15,6,(ROW(Management!$B$3:$B$50)-ROW(Management!$B$3)+1)/((IF(Management!$C$3:$C$50="Unlimited",10^15,Management!$C$3:$C$50))&gt;='1'!$I189),COLUMN(P188))),"")</f>
        <v/>
      </c>
      <c r="Q189" t="str">
        <f>IFERROR(INDEX(Management!$B$3:$B$50,_xlfn.AGGREGATE(15,6,(ROW(Management!$B$3:$B$50)-ROW(Management!$B$3)+1)/((IF(Management!$C$3:$C$50="Unlimited",10^15,Management!$C$3:$C$50))&gt;='1'!$I189),COLUMN(Q188))),"")</f>
        <v/>
      </c>
      <c r="R189" t="str">
        <f>IFERROR(INDEX(Management!$B$3:$B$50,_xlfn.AGGREGATE(15,6,(ROW(Management!$B$3:$B$50)-ROW(Management!$B$3)+1)/((IF(Management!$C$3:$C$50="Unlimited",10^15,Management!$C$3:$C$50))&gt;='1'!$I189),COLUMN(R188))),"")</f>
        <v/>
      </c>
      <c r="S189" t="str">
        <f>IFERROR(INDEX(Management!$B$3:$B$50,_xlfn.AGGREGATE(15,6,(ROW(Management!$B$3:$B$50)-ROW(Management!$B$3)+1)/((IF(Management!$C$3:$C$50="Unlimited",10^15,Management!$C$3:$C$50))&gt;='1'!$I189),COLUMN(S188))),"")</f>
        <v/>
      </c>
      <c r="T189" t="str">
        <f>IFERROR(INDEX(Management!$B$3:$B$50,_xlfn.AGGREGATE(15,6,(ROW(Management!$B$3:$B$50)-ROW(Management!$B$3)+1)/((IF(Management!$C$3:$C$50="Unlimited",10^15,Management!$C$3:$C$50))&gt;='1'!$I189),COLUMN(T188))),"")</f>
        <v/>
      </c>
    </row>
    <row r="190" spans="1:20">
      <c r="A190" t="str">
        <f>IFERROR(INDEX(Management!$B$3:$B$50,_xlfn.AGGREGATE(15,6,(ROW(Management!$B$3:$B$50)-ROW(Management!$B$3)+1)/((IF(Management!$C$3:$C$50="Unlimited",10^15,Management!$C$3:$C$50))&gt;='1'!$I190),COLUMN(A189))),"")</f>
        <v/>
      </c>
      <c r="B190" t="str">
        <f>IFERROR(INDEX(Management!$B$3:$B$50,_xlfn.AGGREGATE(15,6,(ROW(Management!$B$3:$B$50)-ROW(Management!$B$3)+1)/((IF(Management!$C$3:$C$50="Unlimited",10^15,Management!$C$3:$C$50))&gt;='1'!$I190),COLUMN(B189))),"")</f>
        <v/>
      </c>
      <c r="C190" t="str">
        <f>IFERROR(INDEX(Management!$B$3:$B$50,_xlfn.AGGREGATE(15,6,(ROW(Management!$B$3:$B$50)-ROW(Management!$B$3)+1)/((IF(Management!$C$3:$C$50="Unlimited",10^15,Management!$C$3:$C$50))&gt;='1'!$I190),COLUMN(C189))),"")</f>
        <v/>
      </c>
      <c r="D190" t="str">
        <f>IFERROR(INDEX(Management!$B$3:$B$50,_xlfn.AGGREGATE(15,6,(ROW(Management!$B$3:$B$50)-ROW(Management!$B$3)+1)/((IF(Management!$C$3:$C$50="Unlimited",10^15,Management!$C$3:$C$50))&gt;='1'!$I190),COLUMN(D189))),"")</f>
        <v/>
      </c>
      <c r="E190" t="str">
        <f>IFERROR(INDEX(Management!$B$3:$B$50,_xlfn.AGGREGATE(15,6,(ROW(Management!$B$3:$B$50)-ROW(Management!$B$3)+1)/((IF(Management!$C$3:$C$50="Unlimited",10^15,Management!$C$3:$C$50))&gt;='1'!$I190),COLUMN(E189))),"")</f>
        <v/>
      </c>
      <c r="F190" t="str">
        <f>IFERROR(INDEX(Management!$B$3:$B$50,_xlfn.AGGREGATE(15,6,(ROW(Management!$B$3:$B$50)-ROW(Management!$B$3)+1)/((IF(Management!$C$3:$C$50="Unlimited",10^15,Management!$C$3:$C$50))&gt;='1'!$I190),COLUMN(F189))),"")</f>
        <v/>
      </c>
      <c r="G190" t="str">
        <f>IFERROR(INDEX(Management!$B$3:$B$50,_xlfn.AGGREGATE(15,6,(ROW(Management!$B$3:$B$50)-ROW(Management!$B$3)+1)/((IF(Management!$C$3:$C$50="Unlimited",10^15,Management!$C$3:$C$50))&gt;='1'!$I190),COLUMN(G189))),"")</f>
        <v/>
      </c>
      <c r="H190" t="str">
        <f>IFERROR(INDEX(Management!$B$3:$B$50,_xlfn.AGGREGATE(15,6,(ROW(Management!$B$3:$B$50)-ROW(Management!$B$3)+1)/((IF(Management!$C$3:$C$50="Unlimited",10^15,Management!$C$3:$C$50))&gt;='1'!$I190),COLUMN(H189))),"")</f>
        <v/>
      </c>
      <c r="I190" t="str">
        <f>IFERROR(INDEX(Management!$B$3:$B$50,_xlfn.AGGREGATE(15,6,(ROW(Management!$B$3:$B$50)-ROW(Management!$B$3)+1)/((IF(Management!$C$3:$C$50="Unlimited",10^15,Management!$C$3:$C$50))&gt;='1'!$I190),COLUMN(I189))),"")</f>
        <v/>
      </c>
      <c r="J190" t="str">
        <f>IFERROR(INDEX(Management!$B$3:$B$50,_xlfn.AGGREGATE(15,6,(ROW(Management!$B$3:$B$50)-ROW(Management!$B$3)+1)/((IF(Management!$C$3:$C$50="Unlimited",10^15,Management!$C$3:$C$50))&gt;='1'!$I190),COLUMN(J189))),"")</f>
        <v/>
      </c>
      <c r="K190" t="str">
        <f>IFERROR(INDEX(Management!$B$3:$B$50,_xlfn.AGGREGATE(15,6,(ROW(Management!$B$3:$B$50)-ROW(Management!$B$3)+1)/((IF(Management!$C$3:$C$50="Unlimited",10^15,Management!$C$3:$C$50))&gt;='1'!$I190),COLUMN(K189))),"")</f>
        <v/>
      </c>
      <c r="L190" t="str">
        <f>IFERROR(INDEX(Management!$B$3:$B$50,_xlfn.AGGREGATE(15,6,(ROW(Management!$B$3:$B$50)-ROW(Management!$B$3)+1)/((IF(Management!$C$3:$C$50="Unlimited",10^15,Management!$C$3:$C$50))&gt;='1'!$I190),COLUMN(L189))),"")</f>
        <v/>
      </c>
      <c r="M190" t="str">
        <f>IFERROR(INDEX(Management!$B$3:$B$50,_xlfn.AGGREGATE(15,6,(ROW(Management!$B$3:$B$50)-ROW(Management!$B$3)+1)/((IF(Management!$C$3:$C$50="Unlimited",10^15,Management!$C$3:$C$50))&gt;='1'!$I190),COLUMN(M189))),"")</f>
        <v/>
      </c>
      <c r="N190" t="str">
        <f>IFERROR(INDEX(Management!$B$3:$B$50,_xlfn.AGGREGATE(15,6,(ROW(Management!$B$3:$B$50)-ROW(Management!$B$3)+1)/((IF(Management!$C$3:$C$50="Unlimited",10^15,Management!$C$3:$C$50))&gt;='1'!$I190),COLUMN(N189))),"")</f>
        <v/>
      </c>
      <c r="O190" t="str">
        <f>IFERROR(INDEX(Management!$B$3:$B$50,_xlfn.AGGREGATE(15,6,(ROW(Management!$B$3:$B$50)-ROW(Management!$B$3)+1)/((IF(Management!$C$3:$C$50="Unlimited",10^15,Management!$C$3:$C$50))&gt;='1'!$I190),COLUMN(O189))),"")</f>
        <v/>
      </c>
      <c r="P190" t="str">
        <f>IFERROR(INDEX(Management!$B$3:$B$50,_xlfn.AGGREGATE(15,6,(ROW(Management!$B$3:$B$50)-ROW(Management!$B$3)+1)/((IF(Management!$C$3:$C$50="Unlimited",10^15,Management!$C$3:$C$50))&gt;='1'!$I190),COLUMN(P189))),"")</f>
        <v/>
      </c>
      <c r="Q190" t="str">
        <f>IFERROR(INDEX(Management!$B$3:$B$50,_xlfn.AGGREGATE(15,6,(ROW(Management!$B$3:$B$50)-ROW(Management!$B$3)+1)/((IF(Management!$C$3:$C$50="Unlimited",10^15,Management!$C$3:$C$50))&gt;='1'!$I190),COLUMN(Q189))),"")</f>
        <v/>
      </c>
      <c r="R190" t="str">
        <f>IFERROR(INDEX(Management!$B$3:$B$50,_xlfn.AGGREGATE(15,6,(ROW(Management!$B$3:$B$50)-ROW(Management!$B$3)+1)/((IF(Management!$C$3:$C$50="Unlimited",10^15,Management!$C$3:$C$50))&gt;='1'!$I190),COLUMN(R189))),"")</f>
        <v/>
      </c>
      <c r="S190" t="str">
        <f>IFERROR(INDEX(Management!$B$3:$B$50,_xlfn.AGGREGATE(15,6,(ROW(Management!$B$3:$B$50)-ROW(Management!$B$3)+1)/((IF(Management!$C$3:$C$50="Unlimited",10^15,Management!$C$3:$C$50))&gt;='1'!$I190),COLUMN(S189))),"")</f>
        <v/>
      </c>
      <c r="T190" t="str">
        <f>IFERROR(INDEX(Management!$B$3:$B$50,_xlfn.AGGREGATE(15,6,(ROW(Management!$B$3:$B$50)-ROW(Management!$B$3)+1)/((IF(Management!$C$3:$C$50="Unlimited",10^15,Management!$C$3:$C$50))&gt;='1'!$I190),COLUMN(T189))),"")</f>
        <v/>
      </c>
    </row>
    <row r="191" spans="1:20">
      <c r="A191" t="str">
        <f>IFERROR(INDEX(Management!$B$3:$B$50,_xlfn.AGGREGATE(15,6,(ROW(Management!$B$3:$B$50)-ROW(Management!$B$3)+1)/((IF(Management!$C$3:$C$50="Unlimited",10^15,Management!$C$3:$C$50))&gt;='1'!$I191),COLUMN(A190))),"")</f>
        <v/>
      </c>
      <c r="B191" t="str">
        <f>IFERROR(INDEX(Management!$B$3:$B$50,_xlfn.AGGREGATE(15,6,(ROW(Management!$B$3:$B$50)-ROW(Management!$B$3)+1)/((IF(Management!$C$3:$C$50="Unlimited",10^15,Management!$C$3:$C$50))&gt;='1'!$I191),COLUMN(B190))),"")</f>
        <v/>
      </c>
      <c r="C191" t="str">
        <f>IFERROR(INDEX(Management!$B$3:$B$50,_xlfn.AGGREGATE(15,6,(ROW(Management!$B$3:$B$50)-ROW(Management!$B$3)+1)/((IF(Management!$C$3:$C$50="Unlimited",10^15,Management!$C$3:$C$50))&gt;='1'!$I191),COLUMN(C190))),"")</f>
        <v/>
      </c>
      <c r="D191" t="str">
        <f>IFERROR(INDEX(Management!$B$3:$B$50,_xlfn.AGGREGATE(15,6,(ROW(Management!$B$3:$B$50)-ROW(Management!$B$3)+1)/((IF(Management!$C$3:$C$50="Unlimited",10^15,Management!$C$3:$C$50))&gt;='1'!$I191),COLUMN(D190))),"")</f>
        <v/>
      </c>
      <c r="E191" t="str">
        <f>IFERROR(INDEX(Management!$B$3:$B$50,_xlfn.AGGREGATE(15,6,(ROW(Management!$B$3:$B$50)-ROW(Management!$B$3)+1)/((IF(Management!$C$3:$C$50="Unlimited",10^15,Management!$C$3:$C$50))&gt;='1'!$I191),COLUMN(E190))),"")</f>
        <v/>
      </c>
      <c r="F191" t="str">
        <f>IFERROR(INDEX(Management!$B$3:$B$50,_xlfn.AGGREGATE(15,6,(ROW(Management!$B$3:$B$50)-ROW(Management!$B$3)+1)/((IF(Management!$C$3:$C$50="Unlimited",10^15,Management!$C$3:$C$50))&gt;='1'!$I191),COLUMN(F190))),"")</f>
        <v/>
      </c>
      <c r="G191" t="str">
        <f>IFERROR(INDEX(Management!$B$3:$B$50,_xlfn.AGGREGATE(15,6,(ROW(Management!$B$3:$B$50)-ROW(Management!$B$3)+1)/((IF(Management!$C$3:$C$50="Unlimited",10^15,Management!$C$3:$C$50))&gt;='1'!$I191),COLUMN(G190))),"")</f>
        <v/>
      </c>
      <c r="H191" t="str">
        <f>IFERROR(INDEX(Management!$B$3:$B$50,_xlfn.AGGREGATE(15,6,(ROW(Management!$B$3:$B$50)-ROW(Management!$B$3)+1)/((IF(Management!$C$3:$C$50="Unlimited",10^15,Management!$C$3:$C$50))&gt;='1'!$I191),COLUMN(H190))),"")</f>
        <v/>
      </c>
      <c r="I191" t="str">
        <f>IFERROR(INDEX(Management!$B$3:$B$50,_xlfn.AGGREGATE(15,6,(ROW(Management!$B$3:$B$50)-ROW(Management!$B$3)+1)/((IF(Management!$C$3:$C$50="Unlimited",10^15,Management!$C$3:$C$50))&gt;='1'!$I191),COLUMN(I190))),"")</f>
        <v/>
      </c>
      <c r="J191" t="str">
        <f>IFERROR(INDEX(Management!$B$3:$B$50,_xlfn.AGGREGATE(15,6,(ROW(Management!$B$3:$B$50)-ROW(Management!$B$3)+1)/((IF(Management!$C$3:$C$50="Unlimited",10^15,Management!$C$3:$C$50))&gt;='1'!$I191),COLUMN(J190))),"")</f>
        <v/>
      </c>
      <c r="K191" t="str">
        <f>IFERROR(INDEX(Management!$B$3:$B$50,_xlfn.AGGREGATE(15,6,(ROW(Management!$B$3:$B$50)-ROW(Management!$B$3)+1)/((IF(Management!$C$3:$C$50="Unlimited",10^15,Management!$C$3:$C$50))&gt;='1'!$I191),COLUMN(K190))),"")</f>
        <v/>
      </c>
      <c r="L191" t="str">
        <f>IFERROR(INDEX(Management!$B$3:$B$50,_xlfn.AGGREGATE(15,6,(ROW(Management!$B$3:$B$50)-ROW(Management!$B$3)+1)/((IF(Management!$C$3:$C$50="Unlimited",10^15,Management!$C$3:$C$50))&gt;='1'!$I191),COLUMN(L190))),"")</f>
        <v/>
      </c>
      <c r="M191" t="str">
        <f>IFERROR(INDEX(Management!$B$3:$B$50,_xlfn.AGGREGATE(15,6,(ROW(Management!$B$3:$B$50)-ROW(Management!$B$3)+1)/((IF(Management!$C$3:$C$50="Unlimited",10^15,Management!$C$3:$C$50))&gt;='1'!$I191),COLUMN(M190))),"")</f>
        <v/>
      </c>
      <c r="N191" t="str">
        <f>IFERROR(INDEX(Management!$B$3:$B$50,_xlfn.AGGREGATE(15,6,(ROW(Management!$B$3:$B$50)-ROW(Management!$B$3)+1)/((IF(Management!$C$3:$C$50="Unlimited",10^15,Management!$C$3:$C$50))&gt;='1'!$I191),COLUMN(N190))),"")</f>
        <v/>
      </c>
      <c r="O191" t="str">
        <f>IFERROR(INDEX(Management!$B$3:$B$50,_xlfn.AGGREGATE(15,6,(ROW(Management!$B$3:$B$50)-ROW(Management!$B$3)+1)/((IF(Management!$C$3:$C$50="Unlimited",10^15,Management!$C$3:$C$50))&gt;='1'!$I191),COLUMN(O190))),"")</f>
        <v/>
      </c>
      <c r="P191" t="str">
        <f>IFERROR(INDEX(Management!$B$3:$B$50,_xlfn.AGGREGATE(15,6,(ROW(Management!$B$3:$B$50)-ROW(Management!$B$3)+1)/((IF(Management!$C$3:$C$50="Unlimited",10^15,Management!$C$3:$C$50))&gt;='1'!$I191),COLUMN(P190))),"")</f>
        <v/>
      </c>
      <c r="Q191" t="str">
        <f>IFERROR(INDEX(Management!$B$3:$B$50,_xlfn.AGGREGATE(15,6,(ROW(Management!$B$3:$B$50)-ROW(Management!$B$3)+1)/((IF(Management!$C$3:$C$50="Unlimited",10^15,Management!$C$3:$C$50))&gt;='1'!$I191),COLUMN(Q190))),"")</f>
        <v/>
      </c>
      <c r="R191" t="str">
        <f>IFERROR(INDEX(Management!$B$3:$B$50,_xlfn.AGGREGATE(15,6,(ROW(Management!$B$3:$B$50)-ROW(Management!$B$3)+1)/((IF(Management!$C$3:$C$50="Unlimited",10^15,Management!$C$3:$C$50))&gt;='1'!$I191),COLUMN(R190))),"")</f>
        <v/>
      </c>
      <c r="S191" t="str">
        <f>IFERROR(INDEX(Management!$B$3:$B$50,_xlfn.AGGREGATE(15,6,(ROW(Management!$B$3:$B$50)-ROW(Management!$B$3)+1)/((IF(Management!$C$3:$C$50="Unlimited",10^15,Management!$C$3:$C$50))&gt;='1'!$I191),COLUMN(S190))),"")</f>
        <v/>
      </c>
      <c r="T191" t="str">
        <f>IFERROR(INDEX(Management!$B$3:$B$50,_xlfn.AGGREGATE(15,6,(ROW(Management!$B$3:$B$50)-ROW(Management!$B$3)+1)/((IF(Management!$C$3:$C$50="Unlimited",10^15,Management!$C$3:$C$50))&gt;='1'!$I191),COLUMN(T190))),"")</f>
        <v/>
      </c>
    </row>
    <row r="192" spans="1:20">
      <c r="A192" t="str">
        <f>IFERROR(INDEX(Management!$B$3:$B$50,_xlfn.AGGREGATE(15,6,(ROW(Management!$B$3:$B$50)-ROW(Management!$B$3)+1)/((IF(Management!$C$3:$C$50="Unlimited",10^15,Management!$C$3:$C$50))&gt;='1'!$I192),COLUMN(A191))),"")</f>
        <v/>
      </c>
      <c r="B192" t="str">
        <f>IFERROR(INDEX(Management!$B$3:$B$50,_xlfn.AGGREGATE(15,6,(ROW(Management!$B$3:$B$50)-ROW(Management!$B$3)+1)/((IF(Management!$C$3:$C$50="Unlimited",10^15,Management!$C$3:$C$50))&gt;='1'!$I192),COLUMN(B191))),"")</f>
        <v/>
      </c>
      <c r="C192" t="str">
        <f>IFERROR(INDEX(Management!$B$3:$B$50,_xlfn.AGGREGATE(15,6,(ROW(Management!$B$3:$B$50)-ROW(Management!$B$3)+1)/((IF(Management!$C$3:$C$50="Unlimited",10^15,Management!$C$3:$C$50))&gt;='1'!$I192),COLUMN(C191))),"")</f>
        <v/>
      </c>
      <c r="D192" t="str">
        <f>IFERROR(INDEX(Management!$B$3:$B$50,_xlfn.AGGREGATE(15,6,(ROW(Management!$B$3:$B$50)-ROW(Management!$B$3)+1)/((IF(Management!$C$3:$C$50="Unlimited",10^15,Management!$C$3:$C$50))&gt;='1'!$I192),COLUMN(D191))),"")</f>
        <v/>
      </c>
      <c r="E192" t="str">
        <f>IFERROR(INDEX(Management!$B$3:$B$50,_xlfn.AGGREGATE(15,6,(ROW(Management!$B$3:$B$50)-ROW(Management!$B$3)+1)/((IF(Management!$C$3:$C$50="Unlimited",10^15,Management!$C$3:$C$50))&gt;='1'!$I192),COLUMN(E191))),"")</f>
        <v/>
      </c>
      <c r="F192" t="str">
        <f>IFERROR(INDEX(Management!$B$3:$B$50,_xlfn.AGGREGATE(15,6,(ROW(Management!$B$3:$B$50)-ROW(Management!$B$3)+1)/((IF(Management!$C$3:$C$50="Unlimited",10^15,Management!$C$3:$C$50))&gt;='1'!$I192),COLUMN(F191))),"")</f>
        <v/>
      </c>
      <c r="G192" t="str">
        <f>IFERROR(INDEX(Management!$B$3:$B$50,_xlfn.AGGREGATE(15,6,(ROW(Management!$B$3:$B$50)-ROW(Management!$B$3)+1)/((IF(Management!$C$3:$C$50="Unlimited",10^15,Management!$C$3:$C$50))&gt;='1'!$I192),COLUMN(G191))),"")</f>
        <v/>
      </c>
      <c r="H192" t="str">
        <f>IFERROR(INDEX(Management!$B$3:$B$50,_xlfn.AGGREGATE(15,6,(ROW(Management!$B$3:$B$50)-ROW(Management!$B$3)+1)/((IF(Management!$C$3:$C$50="Unlimited",10^15,Management!$C$3:$C$50))&gt;='1'!$I192),COLUMN(H191))),"")</f>
        <v/>
      </c>
      <c r="I192" t="str">
        <f>IFERROR(INDEX(Management!$B$3:$B$50,_xlfn.AGGREGATE(15,6,(ROW(Management!$B$3:$B$50)-ROW(Management!$B$3)+1)/((IF(Management!$C$3:$C$50="Unlimited",10^15,Management!$C$3:$C$50))&gt;='1'!$I192),COLUMN(I191))),"")</f>
        <v/>
      </c>
      <c r="J192" t="str">
        <f>IFERROR(INDEX(Management!$B$3:$B$50,_xlfn.AGGREGATE(15,6,(ROW(Management!$B$3:$B$50)-ROW(Management!$B$3)+1)/((IF(Management!$C$3:$C$50="Unlimited",10^15,Management!$C$3:$C$50))&gt;='1'!$I192),COLUMN(J191))),"")</f>
        <v/>
      </c>
      <c r="K192" t="str">
        <f>IFERROR(INDEX(Management!$B$3:$B$50,_xlfn.AGGREGATE(15,6,(ROW(Management!$B$3:$B$50)-ROW(Management!$B$3)+1)/((IF(Management!$C$3:$C$50="Unlimited",10^15,Management!$C$3:$C$50))&gt;='1'!$I192),COLUMN(K191))),"")</f>
        <v/>
      </c>
      <c r="L192" t="str">
        <f>IFERROR(INDEX(Management!$B$3:$B$50,_xlfn.AGGREGATE(15,6,(ROW(Management!$B$3:$B$50)-ROW(Management!$B$3)+1)/((IF(Management!$C$3:$C$50="Unlimited",10^15,Management!$C$3:$C$50))&gt;='1'!$I192),COLUMN(L191))),"")</f>
        <v/>
      </c>
      <c r="M192" t="str">
        <f>IFERROR(INDEX(Management!$B$3:$B$50,_xlfn.AGGREGATE(15,6,(ROW(Management!$B$3:$B$50)-ROW(Management!$B$3)+1)/((IF(Management!$C$3:$C$50="Unlimited",10^15,Management!$C$3:$C$50))&gt;='1'!$I192),COLUMN(M191))),"")</f>
        <v/>
      </c>
      <c r="N192" t="str">
        <f>IFERROR(INDEX(Management!$B$3:$B$50,_xlfn.AGGREGATE(15,6,(ROW(Management!$B$3:$B$50)-ROW(Management!$B$3)+1)/((IF(Management!$C$3:$C$50="Unlimited",10^15,Management!$C$3:$C$50))&gt;='1'!$I192),COLUMN(N191))),"")</f>
        <v/>
      </c>
      <c r="O192" t="str">
        <f>IFERROR(INDEX(Management!$B$3:$B$50,_xlfn.AGGREGATE(15,6,(ROW(Management!$B$3:$B$50)-ROW(Management!$B$3)+1)/((IF(Management!$C$3:$C$50="Unlimited",10^15,Management!$C$3:$C$50))&gt;='1'!$I192),COLUMN(O191))),"")</f>
        <v/>
      </c>
      <c r="P192" t="str">
        <f>IFERROR(INDEX(Management!$B$3:$B$50,_xlfn.AGGREGATE(15,6,(ROW(Management!$B$3:$B$50)-ROW(Management!$B$3)+1)/((IF(Management!$C$3:$C$50="Unlimited",10^15,Management!$C$3:$C$50))&gt;='1'!$I192),COLUMN(P191))),"")</f>
        <v/>
      </c>
      <c r="Q192" t="str">
        <f>IFERROR(INDEX(Management!$B$3:$B$50,_xlfn.AGGREGATE(15,6,(ROW(Management!$B$3:$B$50)-ROW(Management!$B$3)+1)/((IF(Management!$C$3:$C$50="Unlimited",10^15,Management!$C$3:$C$50))&gt;='1'!$I192),COLUMN(Q191))),"")</f>
        <v/>
      </c>
      <c r="R192" t="str">
        <f>IFERROR(INDEX(Management!$B$3:$B$50,_xlfn.AGGREGATE(15,6,(ROW(Management!$B$3:$B$50)-ROW(Management!$B$3)+1)/((IF(Management!$C$3:$C$50="Unlimited",10^15,Management!$C$3:$C$50))&gt;='1'!$I192),COLUMN(R191))),"")</f>
        <v/>
      </c>
      <c r="S192" t="str">
        <f>IFERROR(INDEX(Management!$B$3:$B$50,_xlfn.AGGREGATE(15,6,(ROW(Management!$B$3:$B$50)-ROW(Management!$B$3)+1)/((IF(Management!$C$3:$C$50="Unlimited",10^15,Management!$C$3:$C$50))&gt;='1'!$I192),COLUMN(S191))),"")</f>
        <v/>
      </c>
      <c r="T192" t="str">
        <f>IFERROR(INDEX(Management!$B$3:$B$50,_xlfn.AGGREGATE(15,6,(ROW(Management!$B$3:$B$50)-ROW(Management!$B$3)+1)/((IF(Management!$C$3:$C$50="Unlimited",10^15,Management!$C$3:$C$50))&gt;='1'!$I192),COLUMN(T191))),"")</f>
        <v/>
      </c>
    </row>
    <row r="193" spans="1:20">
      <c r="A193" t="str">
        <f>IFERROR(INDEX(Management!$B$3:$B$50,_xlfn.AGGREGATE(15,6,(ROW(Management!$B$3:$B$50)-ROW(Management!$B$3)+1)/((IF(Management!$C$3:$C$50="Unlimited",10^15,Management!$C$3:$C$50))&gt;='1'!$I193),COLUMN(A192))),"")</f>
        <v/>
      </c>
      <c r="B193" t="str">
        <f>IFERROR(INDEX(Management!$B$3:$B$50,_xlfn.AGGREGATE(15,6,(ROW(Management!$B$3:$B$50)-ROW(Management!$B$3)+1)/((IF(Management!$C$3:$C$50="Unlimited",10^15,Management!$C$3:$C$50))&gt;='1'!$I193),COLUMN(B192))),"")</f>
        <v/>
      </c>
      <c r="C193" t="str">
        <f>IFERROR(INDEX(Management!$B$3:$B$50,_xlfn.AGGREGATE(15,6,(ROW(Management!$B$3:$B$50)-ROW(Management!$B$3)+1)/((IF(Management!$C$3:$C$50="Unlimited",10^15,Management!$C$3:$C$50))&gt;='1'!$I193),COLUMN(C192))),"")</f>
        <v/>
      </c>
      <c r="D193" t="str">
        <f>IFERROR(INDEX(Management!$B$3:$B$50,_xlfn.AGGREGATE(15,6,(ROW(Management!$B$3:$B$50)-ROW(Management!$B$3)+1)/((IF(Management!$C$3:$C$50="Unlimited",10^15,Management!$C$3:$C$50))&gt;='1'!$I193),COLUMN(D192))),"")</f>
        <v/>
      </c>
      <c r="E193" t="str">
        <f>IFERROR(INDEX(Management!$B$3:$B$50,_xlfn.AGGREGATE(15,6,(ROW(Management!$B$3:$B$50)-ROW(Management!$B$3)+1)/((IF(Management!$C$3:$C$50="Unlimited",10^15,Management!$C$3:$C$50))&gt;='1'!$I193),COLUMN(E192))),"")</f>
        <v/>
      </c>
      <c r="F193" t="str">
        <f>IFERROR(INDEX(Management!$B$3:$B$50,_xlfn.AGGREGATE(15,6,(ROW(Management!$B$3:$B$50)-ROW(Management!$B$3)+1)/((IF(Management!$C$3:$C$50="Unlimited",10^15,Management!$C$3:$C$50))&gt;='1'!$I193),COLUMN(F192))),"")</f>
        <v/>
      </c>
      <c r="G193" t="str">
        <f>IFERROR(INDEX(Management!$B$3:$B$50,_xlfn.AGGREGATE(15,6,(ROW(Management!$B$3:$B$50)-ROW(Management!$B$3)+1)/((IF(Management!$C$3:$C$50="Unlimited",10^15,Management!$C$3:$C$50))&gt;='1'!$I193),COLUMN(G192))),"")</f>
        <v/>
      </c>
      <c r="H193" t="str">
        <f>IFERROR(INDEX(Management!$B$3:$B$50,_xlfn.AGGREGATE(15,6,(ROW(Management!$B$3:$B$50)-ROW(Management!$B$3)+1)/((IF(Management!$C$3:$C$50="Unlimited",10^15,Management!$C$3:$C$50))&gt;='1'!$I193),COLUMN(H192))),"")</f>
        <v/>
      </c>
      <c r="I193" t="str">
        <f>IFERROR(INDEX(Management!$B$3:$B$50,_xlfn.AGGREGATE(15,6,(ROW(Management!$B$3:$B$50)-ROW(Management!$B$3)+1)/((IF(Management!$C$3:$C$50="Unlimited",10^15,Management!$C$3:$C$50))&gt;='1'!$I193),COLUMN(I192))),"")</f>
        <v/>
      </c>
      <c r="J193" t="str">
        <f>IFERROR(INDEX(Management!$B$3:$B$50,_xlfn.AGGREGATE(15,6,(ROW(Management!$B$3:$B$50)-ROW(Management!$B$3)+1)/((IF(Management!$C$3:$C$50="Unlimited",10^15,Management!$C$3:$C$50))&gt;='1'!$I193),COLUMN(J192))),"")</f>
        <v/>
      </c>
      <c r="K193" t="str">
        <f>IFERROR(INDEX(Management!$B$3:$B$50,_xlfn.AGGREGATE(15,6,(ROW(Management!$B$3:$B$50)-ROW(Management!$B$3)+1)/((IF(Management!$C$3:$C$50="Unlimited",10^15,Management!$C$3:$C$50))&gt;='1'!$I193),COLUMN(K192))),"")</f>
        <v/>
      </c>
      <c r="L193" t="str">
        <f>IFERROR(INDEX(Management!$B$3:$B$50,_xlfn.AGGREGATE(15,6,(ROW(Management!$B$3:$B$50)-ROW(Management!$B$3)+1)/((IF(Management!$C$3:$C$50="Unlimited",10^15,Management!$C$3:$C$50))&gt;='1'!$I193),COLUMN(L192))),"")</f>
        <v/>
      </c>
      <c r="M193" t="str">
        <f>IFERROR(INDEX(Management!$B$3:$B$50,_xlfn.AGGREGATE(15,6,(ROW(Management!$B$3:$B$50)-ROW(Management!$B$3)+1)/((IF(Management!$C$3:$C$50="Unlimited",10^15,Management!$C$3:$C$50))&gt;='1'!$I193),COLUMN(M192))),"")</f>
        <v/>
      </c>
      <c r="N193" t="str">
        <f>IFERROR(INDEX(Management!$B$3:$B$50,_xlfn.AGGREGATE(15,6,(ROW(Management!$B$3:$B$50)-ROW(Management!$B$3)+1)/((IF(Management!$C$3:$C$50="Unlimited",10^15,Management!$C$3:$C$50))&gt;='1'!$I193),COLUMN(N192))),"")</f>
        <v/>
      </c>
      <c r="O193" t="str">
        <f>IFERROR(INDEX(Management!$B$3:$B$50,_xlfn.AGGREGATE(15,6,(ROW(Management!$B$3:$B$50)-ROW(Management!$B$3)+1)/((IF(Management!$C$3:$C$50="Unlimited",10^15,Management!$C$3:$C$50))&gt;='1'!$I193),COLUMN(O192))),"")</f>
        <v/>
      </c>
      <c r="P193" t="str">
        <f>IFERROR(INDEX(Management!$B$3:$B$50,_xlfn.AGGREGATE(15,6,(ROW(Management!$B$3:$B$50)-ROW(Management!$B$3)+1)/((IF(Management!$C$3:$C$50="Unlimited",10^15,Management!$C$3:$C$50))&gt;='1'!$I193),COLUMN(P192))),"")</f>
        <v/>
      </c>
      <c r="Q193" t="str">
        <f>IFERROR(INDEX(Management!$B$3:$B$50,_xlfn.AGGREGATE(15,6,(ROW(Management!$B$3:$B$50)-ROW(Management!$B$3)+1)/((IF(Management!$C$3:$C$50="Unlimited",10^15,Management!$C$3:$C$50))&gt;='1'!$I193),COLUMN(Q192))),"")</f>
        <v/>
      </c>
      <c r="R193" t="str">
        <f>IFERROR(INDEX(Management!$B$3:$B$50,_xlfn.AGGREGATE(15,6,(ROW(Management!$B$3:$B$50)-ROW(Management!$B$3)+1)/((IF(Management!$C$3:$C$50="Unlimited",10^15,Management!$C$3:$C$50))&gt;='1'!$I193),COLUMN(R192))),"")</f>
        <v/>
      </c>
      <c r="S193" t="str">
        <f>IFERROR(INDEX(Management!$B$3:$B$50,_xlfn.AGGREGATE(15,6,(ROW(Management!$B$3:$B$50)-ROW(Management!$B$3)+1)/((IF(Management!$C$3:$C$50="Unlimited",10^15,Management!$C$3:$C$50))&gt;='1'!$I193),COLUMN(S192))),"")</f>
        <v/>
      </c>
      <c r="T193" t="str">
        <f>IFERROR(INDEX(Management!$B$3:$B$50,_xlfn.AGGREGATE(15,6,(ROW(Management!$B$3:$B$50)-ROW(Management!$B$3)+1)/((IF(Management!$C$3:$C$50="Unlimited",10^15,Management!$C$3:$C$50))&gt;='1'!$I193),COLUMN(T192))),"")</f>
        <v/>
      </c>
    </row>
    <row r="194" spans="1:20">
      <c r="A194" t="str">
        <f>IFERROR(INDEX(Management!$B$3:$B$50,_xlfn.AGGREGATE(15,6,(ROW(Management!$B$3:$B$50)-ROW(Management!$B$3)+1)/((IF(Management!$C$3:$C$50="Unlimited",10^15,Management!$C$3:$C$50))&gt;='1'!$I194),COLUMN(A193))),"")</f>
        <v/>
      </c>
      <c r="B194" t="str">
        <f>IFERROR(INDEX(Management!$B$3:$B$50,_xlfn.AGGREGATE(15,6,(ROW(Management!$B$3:$B$50)-ROW(Management!$B$3)+1)/((IF(Management!$C$3:$C$50="Unlimited",10^15,Management!$C$3:$C$50))&gt;='1'!$I194),COLUMN(B193))),"")</f>
        <v/>
      </c>
      <c r="C194" t="str">
        <f>IFERROR(INDEX(Management!$B$3:$B$50,_xlfn.AGGREGATE(15,6,(ROW(Management!$B$3:$B$50)-ROW(Management!$B$3)+1)/((IF(Management!$C$3:$C$50="Unlimited",10^15,Management!$C$3:$C$50))&gt;='1'!$I194),COLUMN(C193))),"")</f>
        <v/>
      </c>
      <c r="D194" t="str">
        <f>IFERROR(INDEX(Management!$B$3:$B$50,_xlfn.AGGREGATE(15,6,(ROW(Management!$B$3:$B$50)-ROW(Management!$B$3)+1)/((IF(Management!$C$3:$C$50="Unlimited",10^15,Management!$C$3:$C$50))&gt;='1'!$I194),COLUMN(D193))),"")</f>
        <v/>
      </c>
      <c r="E194" t="str">
        <f>IFERROR(INDEX(Management!$B$3:$B$50,_xlfn.AGGREGATE(15,6,(ROW(Management!$B$3:$B$50)-ROW(Management!$B$3)+1)/((IF(Management!$C$3:$C$50="Unlimited",10^15,Management!$C$3:$C$50))&gt;='1'!$I194),COLUMN(E193))),"")</f>
        <v/>
      </c>
      <c r="F194" t="str">
        <f>IFERROR(INDEX(Management!$B$3:$B$50,_xlfn.AGGREGATE(15,6,(ROW(Management!$B$3:$B$50)-ROW(Management!$B$3)+1)/((IF(Management!$C$3:$C$50="Unlimited",10^15,Management!$C$3:$C$50))&gt;='1'!$I194),COLUMN(F193))),"")</f>
        <v/>
      </c>
      <c r="G194" t="str">
        <f>IFERROR(INDEX(Management!$B$3:$B$50,_xlfn.AGGREGATE(15,6,(ROW(Management!$B$3:$B$50)-ROW(Management!$B$3)+1)/((IF(Management!$C$3:$C$50="Unlimited",10^15,Management!$C$3:$C$50))&gt;='1'!$I194),COLUMN(G193))),"")</f>
        <v/>
      </c>
      <c r="H194" t="str">
        <f>IFERROR(INDEX(Management!$B$3:$B$50,_xlfn.AGGREGATE(15,6,(ROW(Management!$B$3:$B$50)-ROW(Management!$B$3)+1)/((IF(Management!$C$3:$C$50="Unlimited",10^15,Management!$C$3:$C$50))&gt;='1'!$I194),COLUMN(H193))),"")</f>
        <v/>
      </c>
      <c r="I194" t="str">
        <f>IFERROR(INDEX(Management!$B$3:$B$50,_xlfn.AGGREGATE(15,6,(ROW(Management!$B$3:$B$50)-ROW(Management!$B$3)+1)/((IF(Management!$C$3:$C$50="Unlimited",10^15,Management!$C$3:$C$50))&gt;='1'!$I194),COLUMN(I193))),"")</f>
        <v/>
      </c>
      <c r="J194" t="str">
        <f>IFERROR(INDEX(Management!$B$3:$B$50,_xlfn.AGGREGATE(15,6,(ROW(Management!$B$3:$B$50)-ROW(Management!$B$3)+1)/((IF(Management!$C$3:$C$50="Unlimited",10^15,Management!$C$3:$C$50))&gt;='1'!$I194),COLUMN(J193))),"")</f>
        <v/>
      </c>
      <c r="K194" t="str">
        <f>IFERROR(INDEX(Management!$B$3:$B$50,_xlfn.AGGREGATE(15,6,(ROW(Management!$B$3:$B$50)-ROW(Management!$B$3)+1)/((IF(Management!$C$3:$C$50="Unlimited",10^15,Management!$C$3:$C$50))&gt;='1'!$I194),COLUMN(K193))),"")</f>
        <v/>
      </c>
      <c r="L194" t="str">
        <f>IFERROR(INDEX(Management!$B$3:$B$50,_xlfn.AGGREGATE(15,6,(ROW(Management!$B$3:$B$50)-ROW(Management!$B$3)+1)/((IF(Management!$C$3:$C$50="Unlimited",10^15,Management!$C$3:$C$50))&gt;='1'!$I194),COLUMN(L193))),"")</f>
        <v/>
      </c>
      <c r="M194" t="str">
        <f>IFERROR(INDEX(Management!$B$3:$B$50,_xlfn.AGGREGATE(15,6,(ROW(Management!$B$3:$B$50)-ROW(Management!$B$3)+1)/((IF(Management!$C$3:$C$50="Unlimited",10^15,Management!$C$3:$C$50))&gt;='1'!$I194),COLUMN(M193))),"")</f>
        <v/>
      </c>
      <c r="N194" t="str">
        <f>IFERROR(INDEX(Management!$B$3:$B$50,_xlfn.AGGREGATE(15,6,(ROW(Management!$B$3:$B$50)-ROW(Management!$B$3)+1)/((IF(Management!$C$3:$C$50="Unlimited",10^15,Management!$C$3:$C$50))&gt;='1'!$I194),COLUMN(N193))),"")</f>
        <v/>
      </c>
      <c r="O194" t="str">
        <f>IFERROR(INDEX(Management!$B$3:$B$50,_xlfn.AGGREGATE(15,6,(ROW(Management!$B$3:$B$50)-ROW(Management!$B$3)+1)/((IF(Management!$C$3:$C$50="Unlimited",10^15,Management!$C$3:$C$50))&gt;='1'!$I194),COLUMN(O193))),"")</f>
        <v/>
      </c>
      <c r="P194" t="str">
        <f>IFERROR(INDEX(Management!$B$3:$B$50,_xlfn.AGGREGATE(15,6,(ROW(Management!$B$3:$B$50)-ROW(Management!$B$3)+1)/((IF(Management!$C$3:$C$50="Unlimited",10^15,Management!$C$3:$C$50))&gt;='1'!$I194),COLUMN(P193))),"")</f>
        <v/>
      </c>
      <c r="Q194" t="str">
        <f>IFERROR(INDEX(Management!$B$3:$B$50,_xlfn.AGGREGATE(15,6,(ROW(Management!$B$3:$B$50)-ROW(Management!$B$3)+1)/((IF(Management!$C$3:$C$50="Unlimited",10^15,Management!$C$3:$C$50))&gt;='1'!$I194),COLUMN(Q193))),"")</f>
        <v/>
      </c>
      <c r="R194" t="str">
        <f>IFERROR(INDEX(Management!$B$3:$B$50,_xlfn.AGGREGATE(15,6,(ROW(Management!$B$3:$B$50)-ROW(Management!$B$3)+1)/((IF(Management!$C$3:$C$50="Unlimited",10^15,Management!$C$3:$C$50))&gt;='1'!$I194),COLUMN(R193))),"")</f>
        <v/>
      </c>
      <c r="S194" t="str">
        <f>IFERROR(INDEX(Management!$B$3:$B$50,_xlfn.AGGREGATE(15,6,(ROW(Management!$B$3:$B$50)-ROW(Management!$B$3)+1)/((IF(Management!$C$3:$C$50="Unlimited",10^15,Management!$C$3:$C$50))&gt;='1'!$I194),COLUMN(S193))),"")</f>
        <v/>
      </c>
      <c r="T194" t="str">
        <f>IFERROR(INDEX(Management!$B$3:$B$50,_xlfn.AGGREGATE(15,6,(ROW(Management!$B$3:$B$50)-ROW(Management!$B$3)+1)/((IF(Management!$C$3:$C$50="Unlimited",10^15,Management!$C$3:$C$50))&gt;='1'!$I194),COLUMN(T193))),"")</f>
        <v/>
      </c>
    </row>
    <row r="195" spans="1:20">
      <c r="A195" t="str">
        <f>IFERROR(INDEX(Management!$B$3:$B$50,_xlfn.AGGREGATE(15,6,(ROW(Management!$B$3:$B$50)-ROW(Management!$B$3)+1)/((IF(Management!$C$3:$C$50="Unlimited",10^15,Management!$C$3:$C$50))&gt;='1'!$I195),COLUMN(A194))),"")</f>
        <v/>
      </c>
      <c r="B195" t="str">
        <f>IFERROR(INDEX(Management!$B$3:$B$50,_xlfn.AGGREGATE(15,6,(ROW(Management!$B$3:$B$50)-ROW(Management!$B$3)+1)/((IF(Management!$C$3:$C$50="Unlimited",10^15,Management!$C$3:$C$50))&gt;='1'!$I195),COLUMN(B194))),"")</f>
        <v/>
      </c>
      <c r="C195" t="str">
        <f>IFERROR(INDEX(Management!$B$3:$B$50,_xlfn.AGGREGATE(15,6,(ROW(Management!$B$3:$B$50)-ROW(Management!$B$3)+1)/((IF(Management!$C$3:$C$50="Unlimited",10^15,Management!$C$3:$C$50))&gt;='1'!$I195),COLUMN(C194))),"")</f>
        <v/>
      </c>
      <c r="D195" t="str">
        <f>IFERROR(INDEX(Management!$B$3:$B$50,_xlfn.AGGREGATE(15,6,(ROW(Management!$B$3:$B$50)-ROW(Management!$B$3)+1)/((IF(Management!$C$3:$C$50="Unlimited",10^15,Management!$C$3:$C$50))&gt;='1'!$I195),COLUMN(D194))),"")</f>
        <v/>
      </c>
      <c r="E195" t="str">
        <f>IFERROR(INDEX(Management!$B$3:$B$50,_xlfn.AGGREGATE(15,6,(ROW(Management!$B$3:$B$50)-ROW(Management!$B$3)+1)/((IF(Management!$C$3:$C$50="Unlimited",10^15,Management!$C$3:$C$50))&gt;='1'!$I195),COLUMN(E194))),"")</f>
        <v/>
      </c>
      <c r="F195" t="str">
        <f>IFERROR(INDEX(Management!$B$3:$B$50,_xlfn.AGGREGATE(15,6,(ROW(Management!$B$3:$B$50)-ROW(Management!$B$3)+1)/((IF(Management!$C$3:$C$50="Unlimited",10^15,Management!$C$3:$C$50))&gt;='1'!$I195),COLUMN(F194))),"")</f>
        <v/>
      </c>
      <c r="G195" t="str">
        <f>IFERROR(INDEX(Management!$B$3:$B$50,_xlfn.AGGREGATE(15,6,(ROW(Management!$B$3:$B$50)-ROW(Management!$B$3)+1)/((IF(Management!$C$3:$C$50="Unlimited",10^15,Management!$C$3:$C$50))&gt;='1'!$I195),COLUMN(G194))),"")</f>
        <v/>
      </c>
      <c r="H195" t="str">
        <f>IFERROR(INDEX(Management!$B$3:$B$50,_xlfn.AGGREGATE(15,6,(ROW(Management!$B$3:$B$50)-ROW(Management!$B$3)+1)/((IF(Management!$C$3:$C$50="Unlimited",10^15,Management!$C$3:$C$50))&gt;='1'!$I195),COLUMN(H194))),"")</f>
        <v/>
      </c>
      <c r="I195" t="str">
        <f>IFERROR(INDEX(Management!$B$3:$B$50,_xlfn.AGGREGATE(15,6,(ROW(Management!$B$3:$B$50)-ROW(Management!$B$3)+1)/((IF(Management!$C$3:$C$50="Unlimited",10^15,Management!$C$3:$C$50))&gt;='1'!$I195),COLUMN(I194))),"")</f>
        <v/>
      </c>
      <c r="J195" t="str">
        <f>IFERROR(INDEX(Management!$B$3:$B$50,_xlfn.AGGREGATE(15,6,(ROW(Management!$B$3:$B$50)-ROW(Management!$B$3)+1)/((IF(Management!$C$3:$C$50="Unlimited",10^15,Management!$C$3:$C$50))&gt;='1'!$I195),COLUMN(J194))),"")</f>
        <v/>
      </c>
      <c r="K195" t="str">
        <f>IFERROR(INDEX(Management!$B$3:$B$50,_xlfn.AGGREGATE(15,6,(ROW(Management!$B$3:$B$50)-ROW(Management!$B$3)+1)/((IF(Management!$C$3:$C$50="Unlimited",10^15,Management!$C$3:$C$50))&gt;='1'!$I195),COLUMN(K194))),"")</f>
        <v/>
      </c>
      <c r="L195" t="str">
        <f>IFERROR(INDEX(Management!$B$3:$B$50,_xlfn.AGGREGATE(15,6,(ROW(Management!$B$3:$B$50)-ROW(Management!$B$3)+1)/((IF(Management!$C$3:$C$50="Unlimited",10^15,Management!$C$3:$C$50))&gt;='1'!$I195),COLUMN(L194))),"")</f>
        <v/>
      </c>
      <c r="M195" t="str">
        <f>IFERROR(INDEX(Management!$B$3:$B$50,_xlfn.AGGREGATE(15,6,(ROW(Management!$B$3:$B$50)-ROW(Management!$B$3)+1)/((IF(Management!$C$3:$C$50="Unlimited",10^15,Management!$C$3:$C$50))&gt;='1'!$I195),COLUMN(M194))),"")</f>
        <v/>
      </c>
      <c r="N195" t="str">
        <f>IFERROR(INDEX(Management!$B$3:$B$50,_xlfn.AGGREGATE(15,6,(ROW(Management!$B$3:$B$50)-ROW(Management!$B$3)+1)/((IF(Management!$C$3:$C$50="Unlimited",10^15,Management!$C$3:$C$50))&gt;='1'!$I195),COLUMN(N194))),"")</f>
        <v/>
      </c>
      <c r="O195" t="str">
        <f>IFERROR(INDEX(Management!$B$3:$B$50,_xlfn.AGGREGATE(15,6,(ROW(Management!$B$3:$B$50)-ROW(Management!$B$3)+1)/((IF(Management!$C$3:$C$50="Unlimited",10^15,Management!$C$3:$C$50))&gt;='1'!$I195),COLUMN(O194))),"")</f>
        <v/>
      </c>
      <c r="P195" t="str">
        <f>IFERROR(INDEX(Management!$B$3:$B$50,_xlfn.AGGREGATE(15,6,(ROW(Management!$B$3:$B$50)-ROW(Management!$B$3)+1)/((IF(Management!$C$3:$C$50="Unlimited",10^15,Management!$C$3:$C$50))&gt;='1'!$I195),COLUMN(P194))),"")</f>
        <v/>
      </c>
      <c r="Q195" t="str">
        <f>IFERROR(INDEX(Management!$B$3:$B$50,_xlfn.AGGREGATE(15,6,(ROW(Management!$B$3:$B$50)-ROW(Management!$B$3)+1)/((IF(Management!$C$3:$C$50="Unlimited",10^15,Management!$C$3:$C$50))&gt;='1'!$I195),COLUMN(Q194))),"")</f>
        <v/>
      </c>
      <c r="R195" t="str">
        <f>IFERROR(INDEX(Management!$B$3:$B$50,_xlfn.AGGREGATE(15,6,(ROW(Management!$B$3:$B$50)-ROW(Management!$B$3)+1)/((IF(Management!$C$3:$C$50="Unlimited",10^15,Management!$C$3:$C$50))&gt;='1'!$I195),COLUMN(R194))),"")</f>
        <v/>
      </c>
      <c r="S195" t="str">
        <f>IFERROR(INDEX(Management!$B$3:$B$50,_xlfn.AGGREGATE(15,6,(ROW(Management!$B$3:$B$50)-ROW(Management!$B$3)+1)/((IF(Management!$C$3:$C$50="Unlimited",10^15,Management!$C$3:$C$50))&gt;='1'!$I195),COLUMN(S194))),"")</f>
        <v/>
      </c>
      <c r="T195" t="str">
        <f>IFERROR(INDEX(Management!$B$3:$B$50,_xlfn.AGGREGATE(15,6,(ROW(Management!$B$3:$B$50)-ROW(Management!$B$3)+1)/((IF(Management!$C$3:$C$50="Unlimited",10^15,Management!$C$3:$C$50))&gt;='1'!$I195),COLUMN(T194))),"")</f>
        <v/>
      </c>
    </row>
    <row r="196" spans="1:20">
      <c r="A196" t="str">
        <f>IFERROR(INDEX(Management!$B$3:$B$50,_xlfn.AGGREGATE(15,6,(ROW(Management!$B$3:$B$50)-ROW(Management!$B$3)+1)/((IF(Management!$C$3:$C$50="Unlimited",10^15,Management!$C$3:$C$50))&gt;='1'!$I196),COLUMN(A195))),"")</f>
        <v/>
      </c>
      <c r="B196" t="str">
        <f>IFERROR(INDEX(Management!$B$3:$B$50,_xlfn.AGGREGATE(15,6,(ROW(Management!$B$3:$B$50)-ROW(Management!$B$3)+1)/((IF(Management!$C$3:$C$50="Unlimited",10^15,Management!$C$3:$C$50))&gt;='1'!$I196),COLUMN(B195))),"")</f>
        <v/>
      </c>
      <c r="C196" t="str">
        <f>IFERROR(INDEX(Management!$B$3:$B$50,_xlfn.AGGREGATE(15,6,(ROW(Management!$B$3:$B$50)-ROW(Management!$B$3)+1)/((IF(Management!$C$3:$C$50="Unlimited",10^15,Management!$C$3:$C$50))&gt;='1'!$I196),COLUMN(C195))),"")</f>
        <v/>
      </c>
      <c r="D196" t="str">
        <f>IFERROR(INDEX(Management!$B$3:$B$50,_xlfn.AGGREGATE(15,6,(ROW(Management!$B$3:$B$50)-ROW(Management!$B$3)+1)/((IF(Management!$C$3:$C$50="Unlimited",10^15,Management!$C$3:$C$50))&gt;='1'!$I196),COLUMN(D195))),"")</f>
        <v/>
      </c>
      <c r="E196" t="str">
        <f>IFERROR(INDEX(Management!$B$3:$B$50,_xlfn.AGGREGATE(15,6,(ROW(Management!$B$3:$B$50)-ROW(Management!$B$3)+1)/((IF(Management!$C$3:$C$50="Unlimited",10^15,Management!$C$3:$C$50))&gt;='1'!$I196),COLUMN(E195))),"")</f>
        <v/>
      </c>
      <c r="F196" t="str">
        <f>IFERROR(INDEX(Management!$B$3:$B$50,_xlfn.AGGREGATE(15,6,(ROW(Management!$B$3:$B$50)-ROW(Management!$B$3)+1)/((IF(Management!$C$3:$C$50="Unlimited",10^15,Management!$C$3:$C$50))&gt;='1'!$I196),COLUMN(F195))),"")</f>
        <v/>
      </c>
      <c r="G196" t="str">
        <f>IFERROR(INDEX(Management!$B$3:$B$50,_xlfn.AGGREGATE(15,6,(ROW(Management!$B$3:$B$50)-ROW(Management!$B$3)+1)/((IF(Management!$C$3:$C$50="Unlimited",10^15,Management!$C$3:$C$50))&gt;='1'!$I196),COLUMN(G195))),"")</f>
        <v/>
      </c>
      <c r="H196" t="str">
        <f>IFERROR(INDEX(Management!$B$3:$B$50,_xlfn.AGGREGATE(15,6,(ROW(Management!$B$3:$B$50)-ROW(Management!$B$3)+1)/((IF(Management!$C$3:$C$50="Unlimited",10^15,Management!$C$3:$C$50))&gt;='1'!$I196),COLUMN(H195))),"")</f>
        <v/>
      </c>
      <c r="I196" t="str">
        <f>IFERROR(INDEX(Management!$B$3:$B$50,_xlfn.AGGREGATE(15,6,(ROW(Management!$B$3:$B$50)-ROW(Management!$B$3)+1)/((IF(Management!$C$3:$C$50="Unlimited",10^15,Management!$C$3:$C$50))&gt;='1'!$I196),COLUMN(I195))),"")</f>
        <v/>
      </c>
      <c r="J196" t="str">
        <f>IFERROR(INDEX(Management!$B$3:$B$50,_xlfn.AGGREGATE(15,6,(ROW(Management!$B$3:$B$50)-ROW(Management!$B$3)+1)/((IF(Management!$C$3:$C$50="Unlimited",10^15,Management!$C$3:$C$50))&gt;='1'!$I196),COLUMN(J195))),"")</f>
        <v/>
      </c>
      <c r="K196" t="str">
        <f>IFERROR(INDEX(Management!$B$3:$B$50,_xlfn.AGGREGATE(15,6,(ROW(Management!$B$3:$B$50)-ROW(Management!$B$3)+1)/((IF(Management!$C$3:$C$50="Unlimited",10^15,Management!$C$3:$C$50))&gt;='1'!$I196),COLUMN(K195))),"")</f>
        <v/>
      </c>
      <c r="L196" t="str">
        <f>IFERROR(INDEX(Management!$B$3:$B$50,_xlfn.AGGREGATE(15,6,(ROW(Management!$B$3:$B$50)-ROW(Management!$B$3)+1)/((IF(Management!$C$3:$C$50="Unlimited",10^15,Management!$C$3:$C$50))&gt;='1'!$I196),COLUMN(L195))),"")</f>
        <v/>
      </c>
      <c r="M196" t="str">
        <f>IFERROR(INDEX(Management!$B$3:$B$50,_xlfn.AGGREGATE(15,6,(ROW(Management!$B$3:$B$50)-ROW(Management!$B$3)+1)/((IF(Management!$C$3:$C$50="Unlimited",10^15,Management!$C$3:$C$50))&gt;='1'!$I196),COLUMN(M195))),"")</f>
        <v/>
      </c>
      <c r="N196" t="str">
        <f>IFERROR(INDEX(Management!$B$3:$B$50,_xlfn.AGGREGATE(15,6,(ROW(Management!$B$3:$B$50)-ROW(Management!$B$3)+1)/((IF(Management!$C$3:$C$50="Unlimited",10^15,Management!$C$3:$C$50))&gt;='1'!$I196),COLUMN(N195))),"")</f>
        <v/>
      </c>
      <c r="O196" t="str">
        <f>IFERROR(INDEX(Management!$B$3:$B$50,_xlfn.AGGREGATE(15,6,(ROW(Management!$B$3:$B$50)-ROW(Management!$B$3)+1)/((IF(Management!$C$3:$C$50="Unlimited",10^15,Management!$C$3:$C$50))&gt;='1'!$I196),COLUMN(O195))),"")</f>
        <v/>
      </c>
      <c r="P196" t="str">
        <f>IFERROR(INDEX(Management!$B$3:$B$50,_xlfn.AGGREGATE(15,6,(ROW(Management!$B$3:$B$50)-ROW(Management!$B$3)+1)/((IF(Management!$C$3:$C$50="Unlimited",10^15,Management!$C$3:$C$50))&gt;='1'!$I196),COLUMN(P195))),"")</f>
        <v/>
      </c>
      <c r="Q196" t="str">
        <f>IFERROR(INDEX(Management!$B$3:$B$50,_xlfn.AGGREGATE(15,6,(ROW(Management!$B$3:$B$50)-ROW(Management!$B$3)+1)/((IF(Management!$C$3:$C$50="Unlimited",10^15,Management!$C$3:$C$50))&gt;='1'!$I196),COLUMN(Q195))),"")</f>
        <v/>
      </c>
      <c r="R196" t="str">
        <f>IFERROR(INDEX(Management!$B$3:$B$50,_xlfn.AGGREGATE(15,6,(ROW(Management!$B$3:$B$50)-ROW(Management!$B$3)+1)/((IF(Management!$C$3:$C$50="Unlimited",10^15,Management!$C$3:$C$50))&gt;='1'!$I196),COLUMN(R195))),"")</f>
        <v/>
      </c>
      <c r="S196" t="str">
        <f>IFERROR(INDEX(Management!$B$3:$B$50,_xlfn.AGGREGATE(15,6,(ROW(Management!$B$3:$B$50)-ROW(Management!$B$3)+1)/((IF(Management!$C$3:$C$50="Unlimited",10^15,Management!$C$3:$C$50))&gt;='1'!$I196),COLUMN(S195))),"")</f>
        <v/>
      </c>
      <c r="T196" t="str">
        <f>IFERROR(INDEX(Management!$B$3:$B$50,_xlfn.AGGREGATE(15,6,(ROW(Management!$B$3:$B$50)-ROW(Management!$B$3)+1)/((IF(Management!$C$3:$C$50="Unlimited",10^15,Management!$C$3:$C$50))&gt;='1'!$I196),COLUMN(T195))),"")</f>
        <v/>
      </c>
    </row>
    <row r="197" spans="1:20">
      <c r="A197" t="str">
        <f>IFERROR(INDEX(Management!$B$3:$B$50,_xlfn.AGGREGATE(15,6,(ROW(Management!$B$3:$B$50)-ROW(Management!$B$3)+1)/((IF(Management!$C$3:$C$50="Unlimited",10^15,Management!$C$3:$C$50))&gt;='1'!$I197),COLUMN(A196))),"")</f>
        <v/>
      </c>
      <c r="B197" t="str">
        <f>IFERROR(INDEX(Management!$B$3:$B$50,_xlfn.AGGREGATE(15,6,(ROW(Management!$B$3:$B$50)-ROW(Management!$B$3)+1)/((IF(Management!$C$3:$C$50="Unlimited",10^15,Management!$C$3:$C$50))&gt;='1'!$I197),COLUMN(B196))),"")</f>
        <v/>
      </c>
      <c r="C197" t="str">
        <f>IFERROR(INDEX(Management!$B$3:$B$50,_xlfn.AGGREGATE(15,6,(ROW(Management!$B$3:$B$50)-ROW(Management!$B$3)+1)/((IF(Management!$C$3:$C$50="Unlimited",10^15,Management!$C$3:$C$50))&gt;='1'!$I197),COLUMN(C196))),"")</f>
        <v/>
      </c>
      <c r="D197" t="str">
        <f>IFERROR(INDEX(Management!$B$3:$B$50,_xlfn.AGGREGATE(15,6,(ROW(Management!$B$3:$B$50)-ROW(Management!$B$3)+1)/((IF(Management!$C$3:$C$50="Unlimited",10^15,Management!$C$3:$C$50))&gt;='1'!$I197),COLUMN(D196))),"")</f>
        <v/>
      </c>
      <c r="E197" t="str">
        <f>IFERROR(INDEX(Management!$B$3:$B$50,_xlfn.AGGREGATE(15,6,(ROW(Management!$B$3:$B$50)-ROW(Management!$B$3)+1)/((IF(Management!$C$3:$C$50="Unlimited",10^15,Management!$C$3:$C$50))&gt;='1'!$I197),COLUMN(E196))),"")</f>
        <v/>
      </c>
      <c r="F197" t="str">
        <f>IFERROR(INDEX(Management!$B$3:$B$50,_xlfn.AGGREGATE(15,6,(ROW(Management!$B$3:$B$50)-ROW(Management!$B$3)+1)/((IF(Management!$C$3:$C$50="Unlimited",10^15,Management!$C$3:$C$50))&gt;='1'!$I197),COLUMN(F196))),"")</f>
        <v/>
      </c>
      <c r="G197" t="str">
        <f>IFERROR(INDEX(Management!$B$3:$B$50,_xlfn.AGGREGATE(15,6,(ROW(Management!$B$3:$B$50)-ROW(Management!$B$3)+1)/((IF(Management!$C$3:$C$50="Unlimited",10^15,Management!$C$3:$C$50))&gt;='1'!$I197),COLUMN(G196))),"")</f>
        <v/>
      </c>
      <c r="H197" t="str">
        <f>IFERROR(INDEX(Management!$B$3:$B$50,_xlfn.AGGREGATE(15,6,(ROW(Management!$B$3:$B$50)-ROW(Management!$B$3)+1)/((IF(Management!$C$3:$C$50="Unlimited",10^15,Management!$C$3:$C$50))&gt;='1'!$I197),COLUMN(H196))),"")</f>
        <v/>
      </c>
      <c r="I197" t="str">
        <f>IFERROR(INDEX(Management!$B$3:$B$50,_xlfn.AGGREGATE(15,6,(ROW(Management!$B$3:$B$50)-ROW(Management!$B$3)+1)/((IF(Management!$C$3:$C$50="Unlimited",10^15,Management!$C$3:$C$50))&gt;='1'!$I197),COLUMN(I196))),"")</f>
        <v/>
      </c>
      <c r="J197" t="str">
        <f>IFERROR(INDEX(Management!$B$3:$B$50,_xlfn.AGGREGATE(15,6,(ROW(Management!$B$3:$B$50)-ROW(Management!$B$3)+1)/((IF(Management!$C$3:$C$50="Unlimited",10^15,Management!$C$3:$C$50))&gt;='1'!$I197),COLUMN(J196))),"")</f>
        <v/>
      </c>
      <c r="K197" t="str">
        <f>IFERROR(INDEX(Management!$B$3:$B$50,_xlfn.AGGREGATE(15,6,(ROW(Management!$B$3:$B$50)-ROW(Management!$B$3)+1)/((IF(Management!$C$3:$C$50="Unlimited",10^15,Management!$C$3:$C$50))&gt;='1'!$I197),COLUMN(K196))),"")</f>
        <v/>
      </c>
      <c r="L197" t="str">
        <f>IFERROR(INDEX(Management!$B$3:$B$50,_xlfn.AGGREGATE(15,6,(ROW(Management!$B$3:$B$50)-ROW(Management!$B$3)+1)/((IF(Management!$C$3:$C$50="Unlimited",10^15,Management!$C$3:$C$50))&gt;='1'!$I197),COLUMN(L196))),"")</f>
        <v/>
      </c>
      <c r="M197" t="str">
        <f>IFERROR(INDEX(Management!$B$3:$B$50,_xlfn.AGGREGATE(15,6,(ROW(Management!$B$3:$B$50)-ROW(Management!$B$3)+1)/((IF(Management!$C$3:$C$50="Unlimited",10^15,Management!$C$3:$C$50))&gt;='1'!$I197),COLUMN(M196))),"")</f>
        <v/>
      </c>
      <c r="N197" t="str">
        <f>IFERROR(INDEX(Management!$B$3:$B$50,_xlfn.AGGREGATE(15,6,(ROW(Management!$B$3:$B$50)-ROW(Management!$B$3)+1)/((IF(Management!$C$3:$C$50="Unlimited",10^15,Management!$C$3:$C$50))&gt;='1'!$I197),COLUMN(N196))),"")</f>
        <v/>
      </c>
      <c r="O197" t="str">
        <f>IFERROR(INDEX(Management!$B$3:$B$50,_xlfn.AGGREGATE(15,6,(ROW(Management!$B$3:$B$50)-ROW(Management!$B$3)+1)/((IF(Management!$C$3:$C$50="Unlimited",10^15,Management!$C$3:$C$50))&gt;='1'!$I197),COLUMN(O196))),"")</f>
        <v/>
      </c>
      <c r="P197" t="str">
        <f>IFERROR(INDEX(Management!$B$3:$B$50,_xlfn.AGGREGATE(15,6,(ROW(Management!$B$3:$B$50)-ROW(Management!$B$3)+1)/((IF(Management!$C$3:$C$50="Unlimited",10^15,Management!$C$3:$C$50))&gt;='1'!$I197),COLUMN(P196))),"")</f>
        <v/>
      </c>
      <c r="Q197" t="str">
        <f>IFERROR(INDEX(Management!$B$3:$B$50,_xlfn.AGGREGATE(15,6,(ROW(Management!$B$3:$B$50)-ROW(Management!$B$3)+1)/((IF(Management!$C$3:$C$50="Unlimited",10^15,Management!$C$3:$C$50))&gt;='1'!$I197),COLUMN(Q196))),"")</f>
        <v/>
      </c>
      <c r="R197" t="str">
        <f>IFERROR(INDEX(Management!$B$3:$B$50,_xlfn.AGGREGATE(15,6,(ROW(Management!$B$3:$B$50)-ROW(Management!$B$3)+1)/((IF(Management!$C$3:$C$50="Unlimited",10^15,Management!$C$3:$C$50))&gt;='1'!$I197),COLUMN(R196))),"")</f>
        <v/>
      </c>
      <c r="S197" t="str">
        <f>IFERROR(INDEX(Management!$B$3:$B$50,_xlfn.AGGREGATE(15,6,(ROW(Management!$B$3:$B$50)-ROW(Management!$B$3)+1)/((IF(Management!$C$3:$C$50="Unlimited",10^15,Management!$C$3:$C$50))&gt;='1'!$I197),COLUMN(S196))),"")</f>
        <v/>
      </c>
      <c r="T197" t="str">
        <f>IFERROR(INDEX(Management!$B$3:$B$50,_xlfn.AGGREGATE(15,6,(ROW(Management!$B$3:$B$50)-ROW(Management!$B$3)+1)/((IF(Management!$C$3:$C$50="Unlimited",10^15,Management!$C$3:$C$50))&gt;='1'!$I197),COLUMN(T196))),"")</f>
        <v/>
      </c>
    </row>
    <row r="198" spans="1:20">
      <c r="A198" t="str">
        <f>IFERROR(INDEX(Management!$B$3:$B$50,_xlfn.AGGREGATE(15,6,(ROW(Management!$B$3:$B$50)-ROW(Management!$B$3)+1)/((IF(Management!$C$3:$C$50="Unlimited",10^15,Management!$C$3:$C$50))&gt;='1'!$I198),COLUMN(A197))),"")</f>
        <v/>
      </c>
      <c r="B198" t="str">
        <f>IFERROR(INDEX(Management!$B$3:$B$50,_xlfn.AGGREGATE(15,6,(ROW(Management!$B$3:$B$50)-ROW(Management!$B$3)+1)/((IF(Management!$C$3:$C$50="Unlimited",10^15,Management!$C$3:$C$50))&gt;='1'!$I198),COLUMN(B197))),"")</f>
        <v/>
      </c>
      <c r="C198" t="str">
        <f>IFERROR(INDEX(Management!$B$3:$B$50,_xlfn.AGGREGATE(15,6,(ROW(Management!$B$3:$B$50)-ROW(Management!$B$3)+1)/((IF(Management!$C$3:$C$50="Unlimited",10^15,Management!$C$3:$C$50))&gt;='1'!$I198),COLUMN(C197))),"")</f>
        <v/>
      </c>
      <c r="D198" t="str">
        <f>IFERROR(INDEX(Management!$B$3:$B$50,_xlfn.AGGREGATE(15,6,(ROW(Management!$B$3:$B$50)-ROW(Management!$B$3)+1)/((IF(Management!$C$3:$C$50="Unlimited",10^15,Management!$C$3:$C$50))&gt;='1'!$I198),COLUMN(D197))),"")</f>
        <v/>
      </c>
      <c r="E198" t="str">
        <f>IFERROR(INDEX(Management!$B$3:$B$50,_xlfn.AGGREGATE(15,6,(ROW(Management!$B$3:$B$50)-ROW(Management!$B$3)+1)/((IF(Management!$C$3:$C$50="Unlimited",10^15,Management!$C$3:$C$50))&gt;='1'!$I198),COLUMN(E197))),"")</f>
        <v/>
      </c>
      <c r="F198" t="str">
        <f>IFERROR(INDEX(Management!$B$3:$B$50,_xlfn.AGGREGATE(15,6,(ROW(Management!$B$3:$B$50)-ROW(Management!$B$3)+1)/((IF(Management!$C$3:$C$50="Unlimited",10^15,Management!$C$3:$C$50))&gt;='1'!$I198),COLUMN(F197))),"")</f>
        <v/>
      </c>
      <c r="G198" t="str">
        <f>IFERROR(INDEX(Management!$B$3:$B$50,_xlfn.AGGREGATE(15,6,(ROW(Management!$B$3:$B$50)-ROW(Management!$B$3)+1)/((IF(Management!$C$3:$C$50="Unlimited",10^15,Management!$C$3:$C$50))&gt;='1'!$I198),COLUMN(G197))),"")</f>
        <v/>
      </c>
      <c r="H198" t="str">
        <f>IFERROR(INDEX(Management!$B$3:$B$50,_xlfn.AGGREGATE(15,6,(ROW(Management!$B$3:$B$50)-ROW(Management!$B$3)+1)/((IF(Management!$C$3:$C$50="Unlimited",10^15,Management!$C$3:$C$50))&gt;='1'!$I198),COLUMN(H197))),"")</f>
        <v/>
      </c>
      <c r="I198" t="str">
        <f>IFERROR(INDEX(Management!$B$3:$B$50,_xlfn.AGGREGATE(15,6,(ROW(Management!$B$3:$B$50)-ROW(Management!$B$3)+1)/((IF(Management!$C$3:$C$50="Unlimited",10^15,Management!$C$3:$C$50))&gt;='1'!$I198),COLUMN(I197))),"")</f>
        <v/>
      </c>
      <c r="J198" t="str">
        <f>IFERROR(INDEX(Management!$B$3:$B$50,_xlfn.AGGREGATE(15,6,(ROW(Management!$B$3:$B$50)-ROW(Management!$B$3)+1)/((IF(Management!$C$3:$C$50="Unlimited",10^15,Management!$C$3:$C$50))&gt;='1'!$I198),COLUMN(J197))),"")</f>
        <v/>
      </c>
      <c r="K198" t="str">
        <f>IFERROR(INDEX(Management!$B$3:$B$50,_xlfn.AGGREGATE(15,6,(ROW(Management!$B$3:$B$50)-ROW(Management!$B$3)+1)/((IF(Management!$C$3:$C$50="Unlimited",10^15,Management!$C$3:$C$50))&gt;='1'!$I198),COLUMN(K197))),"")</f>
        <v/>
      </c>
      <c r="L198" t="str">
        <f>IFERROR(INDEX(Management!$B$3:$B$50,_xlfn.AGGREGATE(15,6,(ROW(Management!$B$3:$B$50)-ROW(Management!$B$3)+1)/((IF(Management!$C$3:$C$50="Unlimited",10^15,Management!$C$3:$C$50))&gt;='1'!$I198),COLUMN(L197))),"")</f>
        <v/>
      </c>
      <c r="M198" t="str">
        <f>IFERROR(INDEX(Management!$B$3:$B$50,_xlfn.AGGREGATE(15,6,(ROW(Management!$B$3:$B$50)-ROW(Management!$B$3)+1)/((IF(Management!$C$3:$C$50="Unlimited",10^15,Management!$C$3:$C$50))&gt;='1'!$I198),COLUMN(M197))),"")</f>
        <v/>
      </c>
      <c r="N198" t="str">
        <f>IFERROR(INDEX(Management!$B$3:$B$50,_xlfn.AGGREGATE(15,6,(ROW(Management!$B$3:$B$50)-ROW(Management!$B$3)+1)/((IF(Management!$C$3:$C$50="Unlimited",10^15,Management!$C$3:$C$50))&gt;='1'!$I198),COLUMN(N197))),"")</f>
        <v/>
      </c>
      <c r="O198" t="str">
        <f>IFERROR(INDEX(Management!$B$3:$B$50,_xlfn.AGGREGATE(15,6,(ROW(Management!$B$3:$B$50)-ROW(Management!$B$3)+1)/((IF(Management!$C$3:$C$50="Unlimited",10^15,Management!$C$3:$C$50))&gt;='1'!$I198),COLUMN(O197))),"")</f>
        <v/>
      </c>
      <c r="P198" t="str">
        <f>IFERROR(INDEX(Management!$B$3:$B$50,_xlfn.AGGREGATE(15,6,(ROW(Management!$B$3:$B$50)-ROW(Management!$B$3)+1)/((IF(Management!$C$3:$C$50="Unlimited",10^15,Management!$C$3:$C$50))&gt;='1'!$I198),COLUMN(P197))),"")</f>
        <v/>
      </c>
      <c r="Q198" t="str">
        <f>IFERROR(INDEX(Management!$B$3:$B$50,_xlfn.AGGREGATE(15,6,(ROW(Management!$B$3:$B$50)-ROW(Management!$B$3)+1)/((IF(Management!$C$3:$C$50="Unlimited",10^15,Management!$C$3:$C$50))&gt;='1'!$I198),COLUMN(Q197))),"")</f>
        <v/>
      </c>
      <c r="R198" t="str">
        <f>IFERROR(INDEX(Management!$B$3:$B$50,_xlfn.AGGREGATE(15,6,(ROW(Management!$B$3:$B$50)-ROW(Management!$B$3)+1)/((IF(Management!$C$3:$C$50="Unlimited",10^15,Management!$C$3:$C$50))&gt;='1'!$I198),COLUMN(R197))),"")</f>
        <v/>
      </c>
      <c r="S198" t="str">
        <f>IFERROR(INDEX(Management!$B$3:$B$50,_xlfn.AGGREGATE(15,6,(ROW(Management!$B$3:$B$50)-ROW(Management!$B$3)+1)/((IF(Management!$C$3:$C$50="Unlimited",10^15,Management!$C$3:$C$50))&gt;='1'!$I198),COLUMN(S197))),"")</f>
        <v/>
      </c>
      <c r="T198" t="str">
        <f>IFERROR(INDEX(Management!$B$3:$B$50,_xlfn.AGGREGATE(15,6,(ROW(Management!$B$3:$B$50)-ROW(Management!$B$3)+1)/((IF(Management!$C$3:$C$50="Unlimited",10^15,Management!$C$3:$C$50))&gt;='1'!$I198),COLUMN(T197))),"")</f>
        <v/>
      </c>
    </row>
    <row r="199" spans="1:20">
      <c r="A199" t="str">
        <f>IFERROR(INDEX(Management!$B$3:$B$50,_xlfn.AGGREGATE(15,6,(ROW(Management!$B$3:$B$50)-ROW(Management!$B$3)+1)/((IF(Management!$C$3:$C$50="Unlimited",10^15,Management!$C$3:$C$50))&gt;='1'!$I199),COLUMN(A198))),"")</f>
        <v/>
      </c>
      <c r="B199" t="str">
        <f>IFERROR(INDEX(Management!$B$3:$B$50,_xlfn.AGGREGATE(15,6,(ROW(Management!$B$3:$B$50)-ROW(Management!$B$3)+1)/((IF(Management!$C$3:$C$50="Unlimited",10^15,Management!$C$3:$C$50))&gt;='1'!$I199),COLUMN(B198))),"")</f>
        <v/>
      </c>
      <c r="C199" t="str">
        <f>IFERROR(INDEX(Management!$B$3:$B$50,_xlfn.AGGREGATE(15,6,(ROW(Management!$B$3:$B$50)-ROW(Management!$B$3)+1)/((IF(Management!$C$3:$C$50="Unlimited",10^15,Management!$C$3:$C$50))&gt;='1'!$I199),COLUMN(C198))),"")</f>
        <v/>
      </c>
      <c r="D199" t="str">
        <f>IFERROR(INDEX(Management!$B$3:$B$50,_xlfn.AGGREGATE(15,6,(ROW(Management!$B$3:$B$50)-ROW(Management!$B$3)+1)/((IF(Management!$C$3:$C$50="Unlimited",10^15,Management!$C$3:$C$50))&gt;='1'!$I199),COLUMN(D198))),"")</f>
        <v/>
      </c>
      <c r="E199" t="str">
        <f>IFERROR(INDEX(Management!$B$3:$B$50,_xlfn.AGGREGATE(15,6,(ROW(Management!$B$3:$B$50)-ROW(Management!$B$3)+1)/((IF(Management!$C$3:$C$50="Unlimited",10^15,Management!$C$3:$C$50))&gt;='1'!$I199),COLUMN(E198))),"")</f>
        <v/>
      </c>
      <c r="F199" t="str">
        <f>IFERROR(INDEX(Management!$B$3:$B$50,_xlfn.AGGREGATE(15,6,(ROW(Management!$B$3:$B$50)-ROW(Management!$B$3)+1)/((IF(Management!$C$3:$C$50="Unlimited",10^15,Management!$C$3:$C$50))&gt;='1'!$I199),COLUMN(F198))),"")</f>
        <v/>
      </c>
      <c r="G199" t="str">
        <f>IFERROR(INDEX(Management!$B$3:$B$50,_xlfn.AGGREGATE(15,6,(ROW(Management!$B$3:$B$50)-ROW(Management!$B$3)+1)/((IF(Management!$C$3:$C$50="Unlimited",10^15,Management!$C$3:$C$50))&gt;='1'!$I199),COLUMN(G198))),"")</f>
        <v/>
      </c>
      <c r="H199" t="str">
        <f>IFERROR(INDEX(Management!$B$3:$B$50,_xlfn.AGGREGATE(15,6,(ROW(Management!$B$3:$B$50)-ROW(Management!$B$3)+1)/((IF(Management!$C$3:$C$50="Unlimited",10^15,Management!$C$3:$C$50))&gt;='1'!$I199),COLUMN(H198))),"")</f>
        <v/>
      </c>
      <c r="I199" t="str">
        <f>IFERROR(INDEX(Management!$B$3:$B$50,_xlfn.AGGREGATE(15,6,(ROW(Management!$B$3:$B$50)-ROW(Management!$B$3)+1)/((IF(Management!$C$3:$C$50="Unlimited",10^15,Management!$C$3:$C$50))&gt;='1'!$I199),COLUMN(I198))),"")</f>
        <v/>
      </c>
      <c r="J199" t="str">
        <f>IFERROR(INDEX(Management!$B$3:$B$50,_xlfn.AGGREGATE(15,6,(ROW(Management!$B$3:$B$50)-ROW(Management!$B$3)+1)/((IF(Management!$C$3:$C$50="Unlimited",10^15,Management!$C$3:$C$50))&gt;='1'!$I199),COLUMN(J198))),"")</f>
        <v/>
      </c>
      <c r="K199" t="str">
        <f>IFERROR(INDEX(Management!$B$3:$B$50,_xlfn.AGGREGATE(15,6,(ROW(Management!$B$3:$B$50)-ROW(Management!$B$3)+1)/((IF(Management!$C$3:$C$50="Unlimited",10^15,Management!$C$3:$C$50))&gt;='1'!$I199),COLUMN(K198))),"")</f>
        <v/>
      </c>
      <c r="L199" t="str">
        <f>IFERROR(INDEX(Management!$B$3:$B$50,_xlfn.AGGREGATE(15,6,(ROW(Management!$B$3:$B$50)-ROW(Management!$B$3)+1)/((IF(Management!$C$3:$C$50="Unlimited",10^15,Management!$C$3:$C$50))&gt;='1'!$I199),COLUMN(L198))),"")</f>
        <v/>
      </c>
      <c r="M199" t="str">
        <f>IFERROR(INDEX(Management!$B$3:$B$50,_xlfn.AGGREGATE(15,6,(ROW(Management!$B$3:$B$50)-ROW(Management!$B$3)+1)/((IF(Management!$C$3:$C$50="Unlimited",10^15,Management!$C$3:$C$50))&gt;='1'!$I199),COLUMN(M198))),"")</f>
        <v/>
      </c>
      <c r="N199" t="str">
        <f>IFERROR(INDEX(Management!$B$3:$B$50,_xlfn.AGGREGATE(15,6,(ROW(Management!$B$3:$B$50)-ROW(Management!$B$3)+1)/((IF(Management!$C$3:$C$50="Unlimited",10^15,Management!$C$3:$C$50))&gt;='1'!$I199),COLUMN(N198))),"")</f>
        <v/>
      </c>
      <c r="O199" t="str">
        <f>IFERROR(INDEX(Management!$B$3:$B$50,_xlfn.AGGREGATE(15,6,(ROW(Management!$B$3:$B$50)-ROW(Management!$B$3)+1)/((IF(Management!$C$3:$C$50="Unlimited",10^15,Management!$C$3:$C$50))&gt;='1'!$I199),COLUMN(O198))),"")</f>
        <v/>
      </c>
      <c r="P199" t="str">
        <f>IFERROR(INDEX(Management!$B$3:$B$50,_xlfn.AGGREGATE(15,6,(ROW(Management!$B$3:$B$50)-ROW(Management!$B$3)+1)/((IF(Management!$C$3:$C$50="Unlimited",10^15,Management!$C$3:$C$50))&gt;='1'!$I199),COLUMN(P198))),"")</f>
        <v/>
      </c>
      <c r="Q199" t="str">
        <f>IFERROR(INDEX(Management!$B$3:$B$50,_xlfn.AGGREGATE(15,6,(ROW(Management!$B$3:$B$50)-ROW(Management!$B$3)+1)/((IF(Management!$C$3:$C$50="Unlimited",10^15,Management!$C$3:$C$50))&gt;='1'!$I199),COLUMN(Q198))),"")</f>
        <v/>
      </c>
      <c r="R199" t="str">
        <f>IFERROR(INDEX(Management!$B$3:$B$50,_xlfn.AGGREGATE(15,6,(ROW(Management!$B$3:$B$50)-ROW(Management!$B$3)+1)/((IF(Management!$C$3:$C$50="Unlimited",10^15,Management!$C$3:$C$50))&gt;='1'!$I199),COLUMN(R198))),"")</f>
        <v/>
      </c>
      <c r="S199" t="str">
        <f>IFERROR(INDEX(Management!$B$3:$B$50,_xlfn.AGGREGATE(15,6,(ROW(Management!$B$3:$B$50)-ROW(Management!$B$3)+1)/((IF(Management!$C$3:$C$50="Unlimited",10^15,Management!$C$3:$C$50))&gt;='1'!$I199),COLUMN(S198))),"")</f>
        <v/>
      </c>
      <c r="T199" t="str">
        <f>IFERROR(INDEX(Management!$B$3:$B$50,_xlfn.AGGREGATE(15,6,(ROW(Management!$B$3:$B$50)-ROW(Management!$B$3)+1)/((IF(Management!$C$3:$C$50="Unlimited",10^15,Management!$C$3:$C$50))&gt;='1'!$I199),COLUMN(T198))),"")</f>
        <v/>
      </c>
    </row>
    <row r="200" spans="1:20">
      <c r="A200" t="str">
        <f>IFERROR(INDEX(Management!$B$3:$B$50,_xlfn.AGGREGATE(15,6,(ROW(Management!$B$3:$B$50)-ROW(Management!$B$3)+1)/((IF(Management!$C$3:$C$50="Unlimited",10^15,Management!$C$3:$C$50))&gt;='1'!$I200),COLUMN(A199))),"")</f>
        <v/>
      </c>
      <c r="B200" t="str">
        <f>IFERROR(INDEX(Management!$B$3:$B$50,_xlfn.AGGREGATE(15,6,(ROW(Management!$B$3:$B$50)-ROW(Management!$B$3)+1)/((IF(Management!$C$3:$C$50="Unlimited",10^15,Management!$C$3:$C$50))&gt;='1'!$I200),COLUMN(B199))),"")</f>
        <v/>
      </c>
      <c r="C200" t="str">
        <f>IFERROR(INDEX(Management!$B$3:$B$50,_xlfn.AGGREGATE(15,6,(ROW(Management!$B$3:$B$50)-ROW(Management!$B$3)+1)/((IF(Management!$C$3:$C$50="Unlimited",10^15,Management!$C$3:$C$50))&gt;='1'!$I200),COLUMN(C199))),"")</f>
        <v/>
      </c>
      <c r="D200" t="str">
        <f>IFERROR(INDEX(Management!$B$3:$B$50,_xlfn.AGGREGATE(15,6,(ROW(Management!$B$3:$B$50)-ROW(Management!$B$3)+1)/((IF(Management!$C$3:$C$50="Unlimited",10^15,Management!$C$3:$C$50))&gt;='1'!$I200),COLUMN(D199))),"")</f>
        <v/>
      </c>
      <c r="E200" t="str">
        <f>IFERROR(INDEX(Management!$B$3:$B$50,_xlfn.AGGREGATE(15,6,(ROW(Management!$B$3:$B$50)-ROW(Management!$B$3)+1)/((IF(Management!$C$3:$C$50="Unlimited",10^15,Management!$C$3:$C$50))&gt;='1'!$I200),COLUMN(E199))),"")</f>
        <v/>
      </c>
      <c r="F200" t="str">
        <f>IFERROR(INDEX(Management!$B$3:$B$50,_xlfn.AGGREGATE(15,6,(ROW(Management!$B$3:$B$50)-ROW(Management!$B$3)+1)/((IF(Management!$C$3:$C$50="Unlimited",10^15,Management!$C$3:$C$50))&gt;='1'!$I200),COLUMN(F199))),"")</f>
        <v/>
      </c>
      <c r="G200" t="str">
        <f>IFERROR(INDEX(Management!$B$3:$B$50,_xlfn.AGGREGATE(15,6,(ROW(Management!$B$3:$B$50)-ROW(Management!$B$3)+1)/((IF(Management!$C$3:$C$50="Unlimited",10^15,Management!$C$3:$C$50))&gt;='1'!$I200),COLUMN(G199))),"")</f>
        <v/>
      </c>
      <c r="H200" t="str">
        <f>IFERROR(INDEX(Management!$B$3:$B$50,_xlfn.AGGREGATE(15,6,(ROW(Management!$B$3:$B$50)-ROW(Management!$B$3)+1)/((IF(Management!$C$3:$C$50="Unlimited",10^15,Management!$C$3:$C$50))&gt;='1'!$I200),COLUMN(H199))),"")</f>
        <v/>
      </c>
      <c r="I200" t="str">
        <f>IFERROR(INDEX(Management!$B$3:$B$50,_xlfn.AGGREGATE(15,6,(ROW(Management!$B$3:$B$50)-ROW(Management!$B$3)+1)/((IF(Management!$C$3:$C$50="Unlimited",10^15,Management!$C$3:$C$50))&gt;='1'!$I200),COLUMN(I199))),"")</f>
        <v/>
      </c>
      <c r="J200" t="str">
        <f>IFERROR(INDEX(Management!$B$3:$B$50,_xlfn.AGGREGATE(15,6,(ROW(Management!$B$3:$B$50)-ROW(Management!$B$3)+1)/((IF(Management!$C$3:$C$50="Unlimited",10^15,Management!$C$3:$C$50))&gt;='1'!$I200),COLUMN(J199))),"")</f>
        <v/>
      </c>
      <c r="K200" t="str">
        <f>IFERROR(INDEX(Management!$B$3:$B$50,_xlfn.AGGREGATE(15,6,(ROW(Management!$B$3:$B$50)-ROW(Management!$B$3)+1)/((IF(Management!$C$3:$C$50="Unlimited",10^15,Management!$C$3:$C$50))&gt;='1'!$I200),COLUMN(K199))),"")</f>
        <v/>
      </c>
      <c r="L200" t="str">
        <f>IFERROR(INDEX(Management!$B$3:$B$50,_xlfn.AGGREGATE(15,6,(ROW(Management!$B$3:$B$50)-ROW(Management!$B$3)+1)/((IF(Management!$C$3:$C$50="Unlimited",10^15,Management!$C$3:$C$50))&gt;='1'!$I200),COLUMN(L199))),"")</f>
        <v/>
      </c>
      <c r="M200" t="str">
        <f>IFERROR(INDEX(Management!$B$3:$B$50,_xlfn.AGGREGATE(15,6,(ROW(Management!$B$3:$B$50)-ROW(Management!$B$3)+1)/((IF(Management!$C$3:$C$50="Unlimited",10^15,Management!$C$3:$C$50))&gt;='1'!$I200),COLUMN(M199))),"")</f>
        <v/>
      </c>
      <c r="N200" t="str">
        <f>IFERROR(INDEX(Management!$B$3:$B$50,_xlfn.AGGREGATE(15,6,(ROW(Management!$B$3:$B$50)-ROW(Management!$B$3)+1)/((IF(Management!$C$3:$C$50="Unlimited",10^15,Management!$C$3:$C$50))&gt;='1'!$I200),COLUMN(N199))),"")</f>
        <v/>
      </c>
      <c r="O200" t="str">
        <f>IFERROR(INDEX(Management!$B$3:$B$50,_xlfn.AGGREGATE(15,6,(ROW(Management!$B$3:$B$50)-ROW(Management!$B$3)+1)/((IF(Management!$C$3:$C$50="Unlimited",10^15,Management!$C$3:$C$50))&gt;='1'!$I200),COLUMN(O199))),"")</f>
        <v/>
      </c>
      <c r="P200" t="str">
        <f>IFERROR(INDEX(Management!$B$3:$B$50,_xlfn.AGGREGATE(15,6,(ROW(Management!$B$3:$B$50)-ROW(Management!$B$3)+1)/((IF(Management!$C$3:$C$50="Unlimited",10^15,Management!$C$3:$C$50))&gt;='1'!$I200),COLUMN(P199))),"")</f>
        <v/>
      </c>
      <c r="Q200" t="str">
        <f>IFERROR(INDEX(Management!$B$3:$B$50,_xlfn.AGGREGATE(15,6,(ROW(Management!$B$3:$B$50)-ROW(Management!$B$3)+1)/((IF(Management!$C$3:$C$50="Unlimited",10^15,Management!$C$3:$C$50))&gt;='1'!$I200),COLUMN(Q199))),"")</f>
        <v/>
      </c>
      <c r="R200" t="str">
        <f>IFERROR(INDEX(Management!$B$3:$B$50,_xlfn.AGGREGATE(15,6,(ROW(Management!$B$3:$B$50)-ROW(Management!$B$3)+1)/((IF(Management!$C$3:$C$50="Unlimited",10^15,Management!$C$3:$C$50))&gt;='1'!$I200),COLUMN(R199))),"")</f>
        <v/>
      </c>
      <c r="S200" t="str">
        <f>IFERROR(INDEX(Management!$B$3:$B$50,_xlfn.AGGREGATE(15,6,(ROW(Management!$B$3:$B$50)-ROW(Management!$B$3)+1)/((IF(Management!$C$3:$C$50="Unlimited",10^15,Management!$C$3:$C$50))&gt;='1'!$I200),COLUMN(S199))),"")</f>
        <v/>
      </c>
      <c r="T200" t="str">
        <f>IFERROR(INDEX(Management!$B$3:$B$50,_xlfn.AGGREGATE(15,6,(ROW(Management!$B$3:$B$50)-ROW(Management!$B$3)+1)/((IF(Management!$C$3:$C$50="Unlimited",10^15,Management!$C$3:$C$50))&gt;='1'!$I200),COLUMN(T199))),"")</f>
        <v/>
      </c>
    </row>
    <row r="201" spans="1:20">
      <c r="A201" t="str">
        <f>IFERROR(INDEX(Management!$B$3:$B$50,_xlfn.AGGREGATE(15,6,(ROW(Management!$B$3:$B$50)-ROW(Management!$B$3)+1)/((IF(Management!$C$3:$C$50="Unlimited",10^15,Management!$C$3:$C$50))&gt;='1'!$I201),COLUMN(A200))),"")</f>
        <v/>
      </c>
      <c r="B201" t="str">
        <f>IFERROR(INDEX(Management!$B$3:$B$50,_xlfn.AGGREGATE(15,6,(ROW(Management!$B$3:$B$50)-ROW(Management!$B$3)+1)/((IF(Management!$C$3:$C$50="Unlimited",10^15,Management!$C$3:$C$50))&gt;='1'!$I201),COLUMN(B200))),"")</f>
        <v/>
      </c>
      <c r="C201" t="str">
        <f>IFERROR(INDEX(Management!$B$3:$B$50,_xlfn.AGGREGATE(15,6,(ROW(Management!$B$3:$B$50)-ROW(Management!$B$3)+1)/((IF(Management!$C$3:$C$50="Unlimited",10^15,Management!$C$3:$C$50))&gt;='1'!$I201),COLUMN(C200))),"")</f>
        <v/>
      </c>
      <c r="D201" t="str">
        <f>IFERROR(INDEX(Management!$B$3:$B$50,_xlfn.AGGREGATE(15,6,(ROW(Management!$B$3:$B$50)-ROW(Management!$B$3)+1)/((IF(Management!$C$3:$C$50="Unlimited",10^15,Management!$C$3:$C$50))&gt;='1'!$I201),COLUMN(D200))),"")</f>
        <v/>
      </c>
      <c r="E201" t="str">
        <f>IFERROR(INDEX(Management!$B$3:$B$50,_xlfn.AGGREGATE(15,6,(ROW(Management!$B$3:$B$50)-ROW(Management!$B$3)+1)/((IF(Management!$C$3:$C$50="Unlimited",10^15,Management!$C$3:$C$50))&gt;='1'!$I201),COLUMN(E200))),"")</f>
        <v/>
      </c>
      <c r="F201" t="str">
        <f>IFERROR(INDEX(Management!$B$3:$B$50,_xlfn.AGGREGATE(15,6,(ROW(Management!$B$3:$B$50)-ROW(Management!$B$3)+1)/((IF(Management!$C$3:$C$50="Unlimited",10^15,Management!$C$3:$C$50))&gt;='1'!$I201),COLUMN(F200))),"")</f>
        <v/>
      </c>
      <c r="G201" t="str">
        <f>IFERROR(INDEX(Management!$B$3:$B$50,_xlfn.AGGREGATE(15,6,(ROW(Management!$B$3:$B$50)-ROW(Management!$B$3)+1)/((IF(Management!$C$3:$C$50="Unlimited",10^15,Management!$C$3:$C$50))&gt;='1'!$I201),COLUMN(G200))),"")</f>
        <v/>
      </c>
      <c r="H201" t="str">
        <f>IFERROR(INDEX(Management!$B$3:$B$50,_xlfn.AGGREGATE(15,6,(ROW(Management!$B$3:$B$50)-ROW(Management!$B$3)+1)/((IF(Management!$C$3:$C$50="Unlimited",10^15,Management!$C$3:$C$50))&gt;='1'!$I201),COLUMN(H200))),"")</f>
        <v/>
      </c>
      <c r="I201" t="str">
        <f>IFERROR(INDEX(Management!$B$3:$B$50,_xlfn.AGGREGATE(15,6,(ROW(Management!$B$3:$B$50)-ROW(Management!$B$3)+1)/((IF(Management!$C$3:$C$50="Unlimited",10^15,Management!$C$3:$C$50))&gt;='1'!$I201),COLUMN(I200))),"")</f>
        <v/>
      </c>
      <c r="J201" t="str">
        <f>IFERROR(INDEX(Management!$B$3:$B$50,_xlfn.AGGREGATE(15,6,(ROW(Management!$B$3:$B$50)-ROW(Management!$B$3)+1)/((IF(Management!$C$3:$C$50="Unlimited",10^15,Management!$C$3:$C$50))&gt;='1'!$I201),COLUMN(J200))),"")</f>
        <v/>
      </c>
      <c r="K201" t="str">
        <f>IFERROR(INDEX(Management!$B$3:$B$50,_xlfn.AGGREGATE(15,6,(ROW(Management!$B$3:$B$50)-ROW(Management!$B$3)+1)/((IF(Management!$C$3:$C$50="Unlimited",10^15,Management!$C$3:$C$50))&gt;='1'!$I201),COLUMN(K200))),"")</f>
        <v/>
      </c>
      <c r="L201" t="str">
        <f>IFERROR(INDEX(Management!$B$3:$B$50,_xlfn.AGGREGATE(15,6,(ROW(Management!$B$3:$B$50)-ROW(Management!$B$3)+1)/((IF(Management!$C$3:$C$50="Unlimited",10^15,Management!$C$3:$C$50))&gt;='1'!$I201),COLUMN(L200))),"")</f>
        <v/>
      </c>
      <c r="M201" t="str">
        <f>IFERROR(INDEX(Management!$B$3:$B$50,_xlfn.AGGREGATE(15,6,(ROW(Management!$B$3:$B$50)-ROW(Management!$B$3)+1)/((IF(Management!$C$3:$C$50="Unlimited",10^15,Management!$C$3:$C$50))&gt;='1'!$I201),COLUMN(M200))),"")</f>
        <v/>
      </c>
      <c r="N201" t="str">
        <f>IFERROR(INDEX(Management!$B$3:$B$50,_xlfn.AGGREGATE(15,6,(ROW(Management!$B$3:$B$50)-ROW(Management!$B$3)+1)/((IF(Management!$C$3:$C$50="Unlimited",10^15,Management!$C$3:$C$50))&gt;='1'!$I201),COLUMN(N200))),"")</f>
        <v/>
      </c>
      <c r="O201" t="str">
        <f>IFERROR(INDEX(Management!$B$3:$B$50,_xlfn.AGGREGATE(15,6,(ROW(Management!$B$3:$B$50)-ROW(Management!$B$3)+1)/((IF(Management!$C$3:$C$50="Unlimited",10^15,Management!$C$3:$C$50))&gt;='1'!$I201),COLUMN(O200))),"")</f>
        <v/>
      </c>
      <c r="P201" t="str">
        <f>IFERROR(INDEX(Management!$B$3:$B$50,_xlfn.AGGREGATE(15,6,(ROW(Management!$B$3:$B$50)-ROW(Management!$B$3)+1)/((IF(Management!$C$3:$C$50="Unlimited",10^15,Management!$C$3:$C$50))&gt;='1'!$I201),COLUMN(P200))),"")</f>
        <v/>
      </c>
      <c r="Q201" t="str">
        <f>IFERROR(INDEX(Management!$B$3:$B$50,_xlfn.AGGREGATE(15,6,(ROW(Management!$B$3:$B$50)-ROW(Management!$B$3)+1)/((IF(Management!$C$3:$C$50="Unlimited",10^15,Management!$C$3:$C$50))&gt;='1'!$I201),COLUMN(Q200))),"")</f>
        <v/>
      </c>
      <c r="R201" t="str">
        <f>IFERROR(INDEX(Management!$B$3:$B$50,_xlfn.AGGREGATE(15,6,(ROW(Management!$B$3:$B$50)-ROW(Management!$B$3)+1)/((IF(Management!$C$3:$C$50="Unlimited",10^15,Management!$C$3:$C$50))&gt;='1'!$I201),COLUMN(R200))),"")</f>
        <v/>
      </c>
      <c r="S201" t="str">
        <f>IFERROR(INDEX(Management!$B$3:$B$50,_xlfn.AGGREGATE(15,6,(ROW(Management!$B$3:$B$50)-ROW(Management!$B$3)+1)/((IF(Management!$C$3:$C$50="Unlimited",10^15,Management!$C$3:$C$50))&gt;='1'!$I201),COLUMN(S200))),"")</f>
        <v/>
      </c>
      <c r="T201" t="str">
        <f>IFERROR(INDEX(Management!$B$3:$B$50,_xlfn.AGGREGATE(15,6,(ROW(Management!$B$3:$B$50)-ROW(Management!$B$3)+1)/((IF(Management!$C$3:$C$50="Unlimited",10^15,Management!$C$3:$C$50))&gt;='1'!$I201),COLUMN(T200))),"")</f>
        <v/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Search</vt:lpstr>
      <vt:lpstr>Dashboard</vt:lpstr>
      <vt:lpstr>Print Form</vt:lpstr>
      <vt:lpstr>Management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Rahat Tanha</cp:lastModifiedBy>
  <dcterms:modified xsi:type="dcterms:W3CDTF">2026-08-03T12:48:02Z</dcterms:modified>
</cp:coreProperties>
</file>